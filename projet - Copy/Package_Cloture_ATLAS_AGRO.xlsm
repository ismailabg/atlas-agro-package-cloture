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MAIL ABGAR\OneDrive\Desktop\stage cv\projet - Copy\"/>
    </mc:Choice>
  </mc:AlternateContent>
  <xr:revisionPtr revIDLastSave="0" documentId="13_ncr:1_{4843FD9A-47AA-4B9C-8BF2-6573E67268F1}" xr6:coauthVersionLast="47" xr6:coauthVersionMax="47" xr10:uidLastSave="{00000000-0000-0000-0000-000000000000}"/>
  <bookViews>
    <workbookView xWindow="-5970" yWindow="-21720" windowWidth="38640" windowHeight="21120" tabRatio="500" firstSheet="1" activeTab="8" xr2:uid="{00000000-000D-0000-FFFF-FFFF00000000}"/>
  </bookViews>
  <sheets>
    <sheet name="pMoisCloture" sheetId="34" state="hidden" r:id="rId1"/>
    <sheet name="PARAM" sheetId="1" r:id="rId2"/>
    <sheet name="DASHBOARD" sheetId="28" r:id="rId3"/>
    <sheet name="PACKAGE_PnL" sheetId="30" r:id="rId4"/>
    <sheet name="SYNTHESE_BU" sheetId="29" r:id="rId5"/>
    <sheet name="_CALC" sheetId="26" state="hidden" r:id="rId6"/>
    <sheet name="MENSUEL_PQ" sheetId="27" state="hidden" r:id="rId7"/>
    <sheet name="AGREG_PQ" sheetId="25" r:id="rId8"/>
    <sheet name="GL_Reel_2026" sheetId="21" r:id="rId9"/>
    <sheet name="GL_Budget_2026" sheetId="12" r:id="rId10"/>
    <sheet name="GL_Reel_2025" sheetId="22" r:id="rId11"/>
  </sheets>
  <externalReferences>
    <externalReference r:id="rId12"/>
  </externalReferences>
  <definedNames>
    <definedName name="DonnéesExternes_1" localSheetId="5" hidden="1">_CALC!$A$55:$B$64</definedName>
    <definedName name="DonnéesExternes_1" localSheetId="10" hidden="1">GL_Reel_2025!$A$1:$S$1001</definedName>
    <definedName name="DonnéesExternes_1" localSheetId="8" hidden="1">GL_Reel_2026!$A$1:$S$1001</definedName>
    <definedName name="DonnéesExternes_1" localSheetId="6" hidden="1">MENSUEL_PQ!$A$1:$L$13</definedName>
    <definedName name="DonnéesExternes_1" localSheetId="0" hidden="1">pMoisCloture!$A$1:$A$2</definedName>
    <definedName name="DonnéesExternes_2" localSheetId="5" hidden="1">_CALC!$A$69:$B$70</definedName>
    <definedName name="DonnéesExternes_2" localSheetId="7" hidden="1">AGREG_PQ!$A$1:$J$2</definedName>
    <definedName name="DonnéesExternes_3" localSheetId="5" hidden="1">_CALC!$I$85:$N$86</definedName>
    <definedName name="ExternalData_2" localSheetId="9" hidden="1">GL_Budget_2026!$A$1:$S$1001</definedName>
    <definedName name="MoisCloture">PARAM!$C$4</definedName>
    <definedName name="SeuilMat" localSheetId="5">#REF!</definedName>
    <definedName name="SeuilMat" localSheetId="2">#REF!</definedName>
    <definedName name="SeuilMat" localSheetId="6">#REF!</definedName>
    <definedName name="SeuilMat" localSheetId="3">#REF!</definedName>
    <definedName name="SeuilMat" localSheetId="4">#REF!</definedName>
    <definedName name="SeuilMat">PARAM!$C$15</definedName>
    <definedName name="SM">[1]PARAM!$C$15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26" l="1"/>
  <c r="I6" i="26"/>
  <c r="I5" i="26"/>
  <c r="I4" i="26"/>
  <c r="I3" i="26"/>
  <c r="H91" i="29"/>
  <c r="G91" i="29"/>
  <c r="F91" i="29"/>
  <c r="D91" i="29"/>
  <c r="C91" i="29"/>
  <c r="B91" i="29"/>
  <c r="H90" i="29"/>
  <c r="G90" i="29"/>
  <c r="F90" i="29"/>
  <c r="D90" i="29"/>
  <c r="C90" i="29"/>
  <c r="B90" i="29"/>
  <c r="H89" i="29"/>
  <c r="G89" i="29"/>
  <c r="F89" i="29"/>
  <c r="D89" i="29"/>
  <c r="C89" i="29"/>
  <c r="B89" i="29"/>
  <c r="L83" i="29"/>
  <c r="K83" i="29"/>
  <c r="J83" i="29"/>
  <c r="I83" i="29"/>
  <c r="H83" i="29"/>
  <c r="G83" i="29"/>
  <c r="F83" i="29"/>
  <c r="E83" i="29"/>
  <c r="D83" i="29"/>
  <c r="C83" i="29"/>
  <c r="L82" i="29"/>
  <c r="K82" i="29"/>
  <c r="J82" i="29"/>
  <c r="I82" i="29"/>
  <c r="H82" i="29"/>
  <c r="G82" i="29"/>
  <c r="F82" i="29"/>
  <c r="E82" i="29"/>
  <c r="D82" i="29"/>
  <c r="C82" i="29"/>
  <c r="L81" i="29"/>
  <c r="K81" i="29"/>
  <c r="J81" i="29"/>
  <c r="I81" i="29"/>
  <c r="H81" i="29"/>
  <c r="G81" i="29"/>
  <c r="F81" i="29"/>
  <c r="E81" i="29"/>
  <c r="D81" i="29"/>
  <c r="C81" i="29"/>
  <c r="L80" i="29"/>
  <c r="K80" i="29"/>
  <c r="J80" i="29"/>
  <c r="I80" i="29"/>
  <c r="H80" i="29"/>
  <c r="G80" i="29"/>
  <c r="F80" i="29"/>
  <c r="E80" i="29"/>
  <c r="D80" i="29"/>
  <c r="C80" i="29"/>
  <c r="L79" i="29"/>
  <c r="K79" i="29"/>
  <c r="J79" i="29"/>
  <c r="I79" i="29"/>
  <c r="H79" i="29"/>
  <c r="G79" i="29"/>
  <c r="F79" i="29"/>
  <c r="E79" i="29"/>
  <c r="D79" i="29"/>
  <c r="C79" i="29"/>
  <c r="G20" i="29"/>
  <c r="D20" i="29"/>
  <c r="C20" i="29"/>
  <c r="G19" i="29"/>
  <c r="D19" i="29"/>
  <c r="C19" i="29"/>
  <c r="G18" i="29"/>
  <c r="D18" i="29"/>
  <c r="C18" i="29"/>
  <c r="G17" i="29"/>
  <c r="D17" i="29"/>
  <c r="C17" i="29"/>
  <c r="G16" i="29"/>
  <c r="D16" i="29"/>
  <c r="C16" i="29"/>
  <c r="M11" i="29"/>
  <c r="K11" i="29"/>
  <c r="E45" i="26" s="1"/>
  <c r="I11" i="29"/>
  <c r="G11" i="29"/>
  <c r="D11" i="29"/>
  <c r="C11" i="29"/>
  <c r="E37" i="29" s="1"/>
  <c r="M10" i="29"/>
  <c r="K10" i="29"/>
  <c r="E44" i="26" s="1"/>
  <c r="I10" i="29"/>
  <c r="G10" i="29"/>
  <c r="D10" i="29"/>
  <c r="C10" i="29"/>
  <c r="M9" i="29"/>
  <c r="K9" i="29"/>
  <c r="E43" i="26" s="1"/>
  <c r="I9" i="29"/>
  <c r="G9" i="29"/>
  <c r="D9" i="29"/>
  <c r="C9" i="29"/>
  <c r="F14" i="26" s="1"/>
  <c r="M8" i="29"/>
  <c r="K8" i="29"/>
  <c r="I8" i="29"/>
  <c r="G8" i="29"/>
  <c r="D8" i="29"/>
  <c r="C8" i="29"/>
  <c r="F34" i="29" s="1"/>
  <c r="M7" i="29"/>
  <c r="K7" i="29"/>
  <c r="I7" i="29"/>
  <c r="G7" i="29"/>
  <c r="D7" i="29"/>
  <c r="C7" i="29"/>
  <c r="D41" i="26" s="1"/>
  <c r="F52" i="30"/>
  <c r="E52" i="30"/>
  <c r="D52" i="30"/>
  <c r="C52" i="30"/>
  <c r="F51" i="30"/>
  <c r="E51" i="30"/>
  <c r="D51" i="30"/>
  <c r="C51" i="30"/>
  <c r="F50" i="30"/>
  <c r="E50" i="30"/>
  <c r="D50" i="30"/>
  <c r="C50" i="30"/>
  <c r="F49" i="30"/>
  <c r="E49" i="30"/>
  <c r="D49" i="30"/>
  <c r="C49" i="30"/>
  <c r="F48" i="30"/>
  <c r="E48" i="30"/>
  <c r="D48" i="30"/>
  <c r="C48" i="30"/>
  <c r="K20" i="30"/>
  <c r="H20" i="30"/>
  <c r="G20" i="30"/>
  <c r="D20" i="30"/>
  <c r="C20" i="30"/>
  <c r="K18" i="30"/>
  <c r="H18" i="30"/>
  <c r="G18" i="30"/>
  <c r="D18" i="30"/>
  <c r="C18" i="30"/>
  <c r="K16" i="30"/>
  <c r="H16" i="30"/>
  <c r="G16" i="30"/>
  <c r="D16" i="30"/>
  <c r="C16" i="30"/>
  <c r="K14" i="30"/>
  <c r="H14" i="30"/>
  <c r="G14" i="30"/>
  <c r="D14" i="30"/>
  <c r="C14" i="30"/>
  <c r="K13" i="30"/>
  <c r="H13" i="30"/>
  <c r="G13" i="30"/>
  <c r="D13" i="30"/>
  <c r="C13" i="30"/>
  <c r="K12" i="30"/>
  <c r="H12" i="30"/>
  <c r="G12" i="30"/>
  <c r="D12" i="30"/>
  <c r="C12" i="30"/>
  <c r="K11" i="30"/>
  <c r="H11" i="30"/>
  <c r="G11" i="30"/>
  <c r="D11" i="30"/>
  <c r="C11" i="30"/>
  <c r="K10" i="30"/>
  <c r="H10" i="30"/>
  <c r="G10" i="30"/>
  <c r="D10" i="30"/>
  <c r="C10" i="30"/>
  <c r="K8" i="30"/>
  <c r="H8" i="30"/>
  <c r="G8" i="30"/>
  <c r="D52" i="28" s="1"/>
  <c r="D8" i="30"/>
  <c r="C8" i="30"/>
  <c r="K7" i="30"/>
  <c r="H7" i="30"/>
  <c r="G7" i="30"/>
  <c r="M7" i="30" s="1"/>
  <c r="D7" i="30"/>
  <c r="C7" i="30"/>
  <c r="O70" i="28"/>
  <c r="N70" i="28"/>
  <c r="M70" i="28"/>
  <c r="L70" i="28"/>
  <c r="K70" i="28"/>
  <c r="J70" i="28"/>
  <c r="I70" i="28"/>
  <c r="H70" i="28"/>
  <c r="G70" i="28"/>
  <c r="F70" i="28"/>
  <c r="O69" i="28"/>
  <c r="N69" i="28"/>
  <c r="M69" i="28"/>
  <c r="L69" i="28"/>
  <c r="K69" i="28"/>
  <c r="J69" i="28"/>
  <c r="I69" i="28"/>
  <c r="H69" i="28"/>
  <c r="G69" i="28"/>
  <c r="F69" i="28"/>
  <c r="O68" i="28"/>
  <c r="N68" i="28"/>
  <c r="M68" i="28"/>
  <c r="L68" i="28"/>
  <c r="K68" i="28"/>
  <c r="J68" i="28"/>
  <c r="I68" i="28"/>
  <c r="H68" i="28"/>
  <c r="G68" i="28"/>
  <c r="F68" i="28"/>
  <c r="O67" i="28"/>
  <c r="N67" i="28"/>
  <c r="M67" i="28"/>
  <c r="L67" i="28"/>
  <c r="K67" i="28"/>
  <c r="J67" i="28"/>
  <c r="I67" i="28"/>
  <c r="H67" i="28"/>
  <c r="G67" i="28"/>
  <c r="F67" i="28"/>
  <c r="O66" i="28"/>
  <c r="N66" i="28"/>
  <c r="M66" i="28"/>
  <c r="L66" i="28"/>
  <c r="K66" i="28"/>
  <c r="J66" i="28"/>
  <c r="I66" i="28"/>
  <c r="H66" i="28"/>
  <c r="G66" i="28"/>
  <c r="F66" i="28"/>
  <c r="B24" i="28"/>
  <c r="B23" i="28"/>
  <c r="N12" i="28"/>
  <c r="C6" i="1"/>
  <c r="B3" i="28" s="1"/>
  <c r="L14" i="30" l="1"/>
  <c r="D53" i="30"/>
  <c r="E17" i="29"/>
  <c r="F17" i="29" s="1"/>
  <c r="C53" i="30"/>
  <c r="E53" i="30"/>
  <c r="E10" i="30"/>
  <c r="F10" i="30" s="1"/>
  <c r="I18" i="30"/>
  <c r="G30" i="26" s="1"/>
  <c r="N16" i="30"/>
  <c r="L13" i="30"/>
  <c r="F37" i="29"/>
  <c r="I10" i="30"/>
  <c r="G24" i="26" s="1"/>
  <c r="G3" i="26"/>
  <c r="E16" i="30"/>
  <c r="F16" i="30" s="1"/>
  <c r="G5" i="26"/>
  <c r="K9" i="30"/>
  <c r="E8" i="30"/>
  <c r="F8" i="30" s="1"/>
  <c r="D9" i="30"/>
  <c r="E18" i="30"/>
  <c r="F18" i="30" s="1"/>
  <c r="H8" i="29"/>
  <c r="D13" i="26" s="1"/>
  <c r="L16" i="30"/>
  <c r="E19" i="29"/>
  <c r="J8" i="29"/>
  <c r="E7" i="30"/>
  <c r="F7" i="30" s="1"/>
  <c r="I14" i="30"/>
  <c r="F28" i="26" s="1"/>
  <c r="F53" i="30"/>
  <c r="I12" i="29"/>
  <c r="E20" i="29"/>
  <c r="F20" i="29" s="1"/>
  <c r="L11" i="30"/>
  <c r="D15" i="30"/>
  <c r="D33" i="29"/>
  <c r="I12" i="30"/>
  <c r="F26" i="26" s="1"/>
  <c r="E20" i="30"/>
  <c r="F20" i="30" s="1"/>
  <c r="E16" i="29"/>
  <c r="F16" i="29" s="1"/>
  <c r="E33" i="29"/>
  <c r="C9" i="30"/>
  <c r="E11" i="30"/>
  <c r="F11" i="30" s="1"/>
  <c r="E34" i="29"/>
  <c r="I20" i="30"/>
  <c r="J20" i="30" s="1"/>
  <c r="M12" i="29"/>
  <c r="E28" i="29" s="1"/>
  <c r="L11" i="29"/>
  <c r="E16" i="26" s="1"/>
  <c r="N11" i="29"/>
  <c r="L12" i="30"/>
  <c r="L7" i="29"/>
  <c r="E12" i="26" s="1"/>
  <c r="N7" i="29"/>
  <c r="M12" i="30"/>
  <c r="E14" i="30"/>
  <c r="F14" i="30" s="1"/>
  <c r="J10" i="29"/>
  <c r="E11" i="29"/>
  <c r="F11" i="29" s="1"/>
  <c r="G35" i="29"/>
  <c r="G7" i="26"/>
  <c r="D45" i="26"/>
  <c r="N7" i="30"/>
  <c r="N13" i="30"/>
  <c r="N9" i="29"/>
  <c r="H17" i="29"/>
  <c r="F7" i="26"/>
  <c r="N12" i="30"/>
  <c r="I16" i="30"/>
  <c r="G29" i="26" s="1"/>
  <c r="L18" i="30"/>
  <c r="L20" i="30"/>
  <c r="E7" i="29"/>
  <c r="F7" i="29" s="1"/>
  <c r="E9" i="29"/>
  <c r="F9" i="29" s="1"/>
  <c r="H35" i="29"/>
  <c r="N18" i="30"/>
  <c r="N20" i="30"/>
  <c r="H11" i="29"/>
  <c r="D16" i="26" s="1"/>
  <c r="H20" i="29"/>
  <c r="C37" i="29"/>
  <c r="D2" i="26"/>
  <c r="H2" i="26" s="1"/>
  <c r="H3" i="26" s="1"/>
  <c r="E4" i="26" s="1"/>
  <c r="E12" i="30"/>
  <c r="F12" i="30" s="1"/>
  <c r="E13" i="30"/>
  <c r="F13" i="30" s="1"/>
  <c r="G12" i="29"/>
  <c r="H9" i="29"/>
  <c r="D14" i="26" s="1"/>
  <c r="H19" i="29"/>
  <c r="C33" i="29"/>
  <c r="D37" i="29"/>
  <c r="F12" i="26"/>
  <c r="D17" i="30"/>
  <c r="G21" i="29"/>
  <c r="H16" i="29"/>
  <c r="F4" i="26"/>
  <c r="E42" i="26"/>
  <c r="G4" i="26"/>
  <c r="D12" i="29"/>
  <c r="H10" i="29"/>
  <c r="D15" i="26" s="1"/>
  <c r="C12" i="29"/>
  <c r="L7" i="30"/>
  <c r="I8" i="30"/>
  <c r="J8" i="30" s="1"/>
  <c r="C15" i="30"/>
  <c r="L10" i="30"/>
  <c r="I11" i="30"/>
  <c r="J11" i="30" s="1"/>
  <c r="L8" i="29"/>
  <c r="E13" i="26" s="1"/>
  <c r="K12" i="29"/>
  <c r="M13" i="30"/>
  <c r="G51" i="26"/>
  <c r="M16" i="30"/>
  <c r="M8" i="30"/>
  <c r="M14" i="30"/>
  <c r="G50" i="26"/>
  <c r="M11" i="30"/>
  <c r="G9" i="30"/>
  <c r="M9" i="30" s="1"/>
  <c r="I7" i="30"/>
  <c r="J7" i="30" s="1"/>
  <c r="M18" i="30"/>
  <c r="M20" i="30"/>
  <c r="H36" i="29"/>
  <c r="G36" i="29"/>
  <c r="C36" i="29"/>
  <c r="F36" i="29"/>
  <c r="E10" i="29"/>
  <c r="F10" i="29" s="1"/>
  <c r="F15" i="26"/>
  <c r="E36" i="29"/>
  <c r="N10" i="29"/>
  <c r="D36" i="29"/>
  <c r="H7" i="29"/>
  <c r="D12" i="26" s="1"/>
  <c r="D44" i="26"/>
  <c r="F19" i="29"/>
  <c r="L8" i="30"/>
  <c r="M10" i="30"/>
  <c r="G15" i="30"/>
  <c r="G6" i="26"/>
  <c r="F6" i="26"/>
  <c r="N11" i="28"/>
  <c r="B28" i="28"/>
  <c r="K15" i="30"/>
  <c r="B6" i="28"/>
  <c r="D49" i="28"/>
  <c r="N10" i="30"/>
  <c r="I13" i="30"/>
  <c r="D34" i="29"/>
  <c r="C34" i="29"/>
  <c r="G34" i="29"/>
  <c r="E8" i="29"/>
  <c r="F8" i="29" s="1"/>
  <c r="D42" i="26"/>
  <c r="F13" i="26"/>
  <c r="N8" i="29"/>
  <c r="H34" i="29"/>
  <c r="L10" i="29"/>
  <c r="E15" i="26" s="1"/>
  <c r="D21" i="29"/>
  <c r="H18" i="29"/>
  <c r="E18" i="29"/>
  <c r="F18" i="29" s="1"/>
  <c r="C21" i="29"/>
  <c r="F33" i="29"/>
  <c r="E41" i="26"/>
  <c r="N14" i="30"/>
  <c r="J7" i="29"/>
  <c r="J9" i="29"/>
  <c r="J11" i="29"/>
  <c r="G33" i="29"/>
  <c r="C35" i="29"/>
  <c r="G37" i="29"/>
  <c r="H15" i="30"/>
  <c r="H9" i="30"/>
  <c r="N9" i="30" s="1"/>
  <c r="N11" i="30"/>
  <c r="H33" i="29"/>
  <c r="D35" i="29"/>
  <c r="H37" i="29"/>
  <c r="F3" i="26"/>
  <c r="F16" i="26"/>
  <c r="N8" i="30"/>
  <c r="L9" i="29"/>
  <c r="E14" i="26" s="1"/>
  <c r="E35" i="29"/>
  <c r="D43" i="26"/>
  <c r="F35" i="29"/>
  <c r="F5" i="26"/>
  <c r="B3" i="29"/>
  <c r="B3" i="30"/>
  <c r="G28" i="26" l="1"/>
  <c r="O14" i="30"/>
  <c r="J18" i="30"/>
  <c r="F30" i="26"/>
  <c r="O18" i="30"/>
  <c r="J10" i="30"/>
  <c r="J16" i="30"/>
  <c r="F24" i="26"/>
  <c r="B30" i="28"/>
  <c r="O16" i="30"/>
  <c r="F29" i="26"/>
  <c r="O10" i="30"/>
  <c r="E9" i="30"/>
  <c r="F9" i="30" s="1"/>
  <c r="E27" i="29"/>
  <c r="E25" i="29"/>
  <c r="G31" i="26"/>
  <c r="H4" i="26"/>
  <c r="H5" i="26" s="1"/>
  <c r="H6" i="26" s="1"/>
  <c r="H7" i="26" s="1"/>
  <c r="J14" i="30"/>
  <c r="E3" i="26"/>
  <c r="E29" i="29"/>
  <c r="E26" i="29"/>
  <c r="O20" i="30"/>
  <c r="O12" i="30"/>
  <c r="F31" i="26"/>
  <c r="G26" i="26"/>
  <c r="H12" i="29"/>
  <c r="J12" i="30"/>
  <c r="B25" i="28"/>
  <c r="D56" i="28"/>
  <c r="B15" i="28"/>
  <c r="G27" i="26"/>
  <c r="F27" i="26"/>
  <c r="O13" i="30"/>
  <c r="E12" i="29"/>
  <c r="F12" i="29" s="1"/>
  <c r="E21" i="29"/>
  <c r="F21" i="29" s="1"/>
  <c r="D29" i="29"/>
  <c r="D8" i="26"/>
  <c r="H8" i="26" s="1"/>
  <c r="D26" i="29"/>
  <c r="D28" i="29"/>
  <c r="D25" i="29"/>
  <c r="D27" i="29"/>
  <c r="J13" i="30"/>
  <c r="B20" i="28"/>
  <c r="D53" i="28"/>
  <c r="K15" i="28"/>
  <c r="H21" i="29"/>
  <c r="K17" i="30"/>
  <c r="L15" i="30"/>
  <c r="G22" i="26"/>
  <c r="O7" i="30"/>
  <c r="F22" i="26"/>
  <c r="G25" i="26"/>
  <c r="O11" i="30"/>
  <c r="F25" i="26"/>
  <c r="G23" i="26"/>
  <c r="F23" i="26"/>
  <c r="O8" i="30"/>
  <c r="H17" i="30"/>
  <c r="N15" i="30"/>
  <c r="G17" i="30"/>
  <c r="I15" i="30"/>
  <c r="O15" i="30" s="1"/>
  <c r="F6" i="28"/>
  <c r="M15" i="30"/>
  <c r="D58" i="28"/>
  <c r="I9" i="30"/>
  <c r="O9" i="30" s="1"/>
  <c r="D55" i="28"/>
  <c r="B10" i="28"/>
  <c r="H15" i="28"/>
  <c r="D50" i="28"/>
  <c r="B8" i="28"/>
  <c r="B27" i="28"/>
  <c r="C17" i="30"/>
  <c r="E15" i="30"/>
  <c r="F15" i="30" s="1"/>
  <c r="C27" i="29"/>
  <c r="C29" i="29"/>
  <c r="B26" i="28"/>
  <c r="C26" i="29"/>
  <c r="N12" i="29"/>
  <c r="C28" i="29"/>
  <c r="L12" i="29"/>
  <c r="C25" i="29"/>
  <c r="J12" i="29"/>
  <c r="D19" i="30"/>
  <c r="L9" i="30"/>
  <c r="E5" i="26" l="1"/>
  <c r="E7" i="26"/>
  <c r="E6" i="26"/>
  <c r="J15" i="30"/>
  <c r="F8" i="28" s="1"/>
  <c r="J9" i="30"/>
  <c r="F10" i="28"/>
  <c r="E15" i="28"/>
  <c r="E17" i="30"/>
  <c r="F17" i="30" s="1"/>
  <c r="C19" i="30"/>
  <c r="K19" i="30"/>
  <c r="L17" i="30"/>
  <c r="H19" i="30"/>
  <c r="N17" i="30"/>
  <c r="B21" i="28"/>
  <c r="D21" i="30"/>
  <c r="G19" i="30"/>
  <c r="I17" i="30"/>
  <c r="O17" i="30" s="1"/>
  <c r="M17" i="30"/>
  <c r="D59" i="28" l="1"/>
  <c r="L19" i="30"/>
  <c r="K21" i="30"/>
  <c r="I19" i="30"/>
  <c r="O19" i="30" s="1"/>
  <c r="B29" i="28" s="1"/>
  <c r="G21" i="30"/>
  <c r="M19" i="30"/>
  <c r="C21" i="30"/>
  <c r="E21" i="30" s="1"/>
  <c r="F21" i="30" s="1"/>
  <c r="E19" i="30"/>
  <c r="F19" i="30" s="1"/>
  <c r="H21" i="30"/>
  <c r="N19" i="30"/>
  <c r="J17" i="30"/>
  <c r="J19" i="30" l="1"/>
  <c r="D32" i="26"/>
  <c r="H32" i="26" s="1"/>
  <c r="I21" i="30"/>
  <c r="O21" i="30" s="1"/>
  <c r="D61" i="28"/>
  <c r="J6" i="28"/>
  <c r="M21" i="30"/>
  <c r="D21" i="26"/>
  <c r="H21" i="26" s="1"/>
  <c r="N21" i="30"/>
  <c r="L21" i="30"/>
  <c r="J21" i="30" l="1"/>
  <c r="J8" i="28" s="1"/>
  <c r="H22" i="26"/>
  <c r="E22" i="26"/>
  <c r="N15" i="28"/>
  <c r="J10" i="28"/>
  <c r="B22" i="28"/>
  <c r="D62" i="28" l="1"/>
  <c r="H23" i="26"/>
  <c r="E23" i="26"/>
  <c r="H24" i="26" l="1"/>
  <c r="E24" i="26"/>
  <c r="H25" i="26" l="1"/>
  <c r="E25" i="26"/>
  <c r="H26" i="26" l="1"/>
  <c r="E26" i="26"/>
  <c r="H27" i="26" l="1"/>
  <c r="E27" i="26"/>
  <c r="H28" i="26" l="1"/>
  <c r="E28" i="26"/>
  <c r="H29" i="26" l="1"/>
  <c r="E29" i="26"/>
  <c r="H30" i="26" l="1"/>
  <c r="E30" i="26"/>
  <c r="H31" i="26" l="1"/>
  <c r="E31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862F02-24D2-43DC-B86D-79AC404D75E3}" keepAlive="1" name="Query - GL_Budget_2026" description="Connection to the 'GL_Budget_2026' query in the workbook." type="5" refreshedVersion="8" saveData="1">
    <dbPr connection="Provider=Microsoft.Mashup.OleDb.1;Data Source=$Workbook$;Location=GL_Budget_2026;Extended Properties=&quot;&quot;" command="SELECT * FROM [GL_Budget_2026]"/>
  </connection>
  <connection id="2" xr16:uid="{B7C1B2C4-AB8D-42E8-8BF3-CFDA919AB081}" keepAlive="1" name="Requête - AGREG_PQ" description="Connexion à la requête « AGREG_PQ » dans le classeur." type="5" refreshedVersion="8" saveData="1">
    <dbPr connection="Provider=Microsoft.Mashup.OleDb.1;Data Source=$Workbook$;Location=AGREG_PQ;Extended Properties=&quot;&quot;" command="SELECT * FROM [AGREG_PQ]"/>
  </connection>
  <connection id="3" xr16:uid="{FB4E698C-DED8-4C2A-B9B3-E2307C51BA2A}" keepAlive="1" name="Requête - CHARGES_CC" description="Connexion à la requête « CHARGES_CC » dans le classeur." type="5" refreshedVersion="8" saveData="1">
    <dbPr connection="Provider=Microsoft.Mashup.OleDb.1;Data Source=$Workbook$;Location=CHARGES_CC;Extended Properties=&quot;&quot;" command="SELECT * FROM [CHARGES_CC]"/>
  </connection>
  <connection id="4" xr16:uid="{514CFE99-C8C1-434D-8FC9-51C82E1272CA}" keepAlive="1" name="Requête - EFFET" description="Connexion à la requête « EFFET » dans le classeur." type="5" refreshedVersion="8" saveData="1">
    <dbPr connection="Provider=Microsoft.Mashup.OleDb.1;Data Source=$Workbook$;Location=EFFET;Extended Properties=&quot;&quot;" command="SELECT * FROM [EFFET]"/>
  </connection>
  <connection id="5" xr16:uid="{1BB3E579-BAA5-4883-86E2-7F743CF15E67}" keepAlive="1" name="Requête - GL_Reel_2025" description="Connexion à la requête « GL_Reel_2025 » dans le classeur." type="5" refreshedVersion="8" saveData="1">
    <dbPr connection="Provider=Microsoft.Mashup.OleDb.1;Data Source=$Workbook$;Location=GL_Reel_2025;Extended Properties=&quot;&quot;" command="SELECT * FROM [GL_Reel_2025]"/>
  </connection>
  <connection id="6" xr16:uid="{9B54A058-DCB7-4117-B02B-1F0EA3020B41}" keepAlive="1" name="Requête - GL_Reel_2026(1)" description="Connexion à la requête « GL_Reel_2026 » dans le classeur." type="5" refreshedVersion="8" saveData="1">
    <dbPr connection="Provider=Microsoft.Mashup.OleDb.1;Data Source=$Workbook$;Location=GL_Reel_2026;Extended Properties=&quot;&quot;" command="SELECT * FROM [GL_Reel_2026]"/>
  </connection>
  <connection id="7" xr16:uid="{F490EE68-D60A-4EA0-94A1-95984C9ACEE0}" keepAlive="1" name="Requête - pMoisCloture" description="Connexion à la requête « pMoisCloture » dans le classeur." type="5" refreshedVersion="8" saveData="1">
    <dbPr connection="Provider=Microsoft.Mashup.OleDb.1;Data Source=$Workbook$;Location=pMoisCloture;Extended Properties=&quot;&quot;" command="SELECT * FROM [pMoisCloture]"/>
  </connection>
  <connection id="8" xr16:uid="{808E86CC-FA49-4A7E-8122-8BC878C77C43}" keepAlive="1" name="Requête - Requête1" description="Connexion à la requête « Requête1 » dans le classeur." type="5" refreshedVersion="8" saveData="1">
    <dbPr connection="Provider=Microsoft.Mashup.OleDb.1;Data Source=$Workbook$;Location=Requête1;Extended Properties=&quot;&quot;" command="SELECT * FROM [Requête1]"/>
  </connection>
  <connection id="9" xr16:uid="{FF3064FE-87A3-45BF-9084-45EDD9287A0C}" keepAlive="1" name="Requête - TOP_CLIENT" description="Connexion à la requête « TOP_CLIENT » dans le classeur." type="5" refreshedVersion="8" saveData="1">
    <dbPr connection="Provider=Microsoft.Mashup.OleDb.1;Data Source=$Workbook$;Location=TOP_CLIENT;Extended Properties=&quot;&quot;" command="SELECT * FROM [TOP_CLIENT]"/>
  </connection>
</connections>
</file>

<file path=xl/sharedStrings.xml><?xml version="1.0" encoding="utf-8"?>
<sst xmlns="http://schemas.openxmlformats.org/spreadsheetml/2006/main" count="36382" uniqueCount="1228">
  <si>
    <t>ATLAS AGRO HOLDING — Paramètres de clôture</t>
  </si>
  <si>
    <t>Mois de clôture (Réel 2026)</t>
  </si>
  <si>
    <t>Année de clôture</t>
  </si>
  <si>
    <t>Libellé période</t>
  </si>
  <si>
    <t>Référentiel entités</t>
  </si>
  <si>
    <t>Code</t>
  </si>
  <si>
    <t>Business Unit</t>
  </si>
  <si>
    <t>BU01</t>
  </si>
  <si>
    <t>Céréales &amp; Meunerie</t>
  </si>
  <si>
    <t>BU02</t>
  </si>
  <si>
    <t>Huiles &amp; Corps Gras</t>
  </si>
  <si>
    <t>BU03</t>
  </si>
  <si>
    <t>Lait &amp; Produits Laitiers</t>
  </si>
  <si>
    <t>BU04</t>
  </si>
  <si>
    <t>Sucre &amp; Conserves</t>
  </si>
  <si>
    <t>BU05</t>
  </si>
  <si>
    <t>Boissons &amp; Jus</t>
  </si>
  <si>
    <t>• Tout le package et le dashboard se recalculent automatiquement.</t>
  </si>
  <si>
    <t>• Convention couleurs : bleu = saisie, noir = formule, vert = lien.</t>
  </si>
  <si>
    <t>vs Budget</t>
  </si>
  <si>
    <t>Marge EBITDA</t>
  </si>
  <si>
    <t>Marge nette</t>
  </si>
  <si>
    <t>Réel</t>
  </si>
  <si>
    <t>Budget</t>
  </si>
  <si>
    <t>EBITDA</t>
  </si>
  <si>
    <t>MOIS</t>
  </si>
  <si>
    <t>CUMUL ANNUEL (YTD)</t>
  </si>
  <si>
    <t>COMPARAISON N-1</t>
  </si>
  <si>
    <t>Poste (compte de résultat)</t>
  </si>
  <si>
    <t>Écart</t>
  </si>
  <si>
    <t>Écart %</t>
  </si>
  <si>
    <t>Réel N-1</t>
  </si>
  <si>
    <t>Var %</t>
  </si>
  <si>
    <t>Chiffre d'affaires</t>
  </si>
  <si>
    <t>Coût des matières</t>
  </si>
  <si>
    <t>MARGE BRUTE</t>
  </si>
  <si>
    <t>Charges de personnel</t>
  </si>
  <si>
    <t>Charges externes</t>
  </si>
  <si>
    <t>Transport &amp; logistique</t>
  </si>
  <si>
    <t>Marketing &amp; publicité</t>
  </si>
  <si>
    <t>Autres charges</t>
  </si>
  <si>
    <t>Amortissements</t>
  </si>
  <si>
    <t>RÉSULTAT D'EXPLOITATION</t>
  </si>
  <si>
    <t>Charges financières</t>
  </si>
  <si>
    <t>RÉSULTAT AVANT IMPÔT</t>
  </si>
  <si>
    <t>Impôt</t>
  </si>
  <si>
    <t>RÉSULTAT NET</t>
  </si>
  <si>
    <t>CA Réel</t>
  </si>
  <si>
    <t>CA Budget</t>
  </si>
  <si>
    <t>Marge brute</t>
  </si>
  <si>
    <t>TOTAL GROUPE</t>
  </si>
  <si>
    <t>EcritureID</t>
  </si>
  <si>
    <t>Scenario</t>
  </si>
  <si>
    <t>Annee</t>
  </si>
  <si>
    <t>Mois</t>
  </si>
  <si>
    <t>Date</t>
  </si>
  <si>
    <t>CodeEntite</t>
  </si>
  <si>
    <t>Entite</t>
  </si>
  <si>
    <t>Compte</t>
  </si>
  <si>
    <t>LibelleCompte</t>
  </si>
  <si>
    <t>PosteP&amp;L</t>
  </si>
  <si>
    <t>Montant_kEUR</t>
  </si>
  <si>
    <t>Ventes produits finis</t>
  </si>
  <si>
    <t>Prestations de services</t>
  </si>
  <si>
    <t>Site</t>
  </si>
  <si>
    <t>CodeProduit</t>
  </si>
  <si>
    <t>Produit</t>
  </si>
  <si>
    <t>Canal</t>
  </si>
  <si>
    <t>Quantite</t>
  </si>
  <si>
    <t>PrixUnitaire_EUR</t>
  </si>
  <si>
    <t>Reims</t>
  </si>
  <si>
    <t>P102</t>
  </si>
  <si>
    <t>Farine T65 1kg</t>
  </si>
  <si>
    <t>GMS</t>
  </si>
  <si>
    <t>Roubaix</t>
  </si>
  <si>
    <t>P103</t>
  </si>
  <si>
    <t>Semoule fine 1kg</t>
  </si>
  <si>
    <t>P104</t>
  </si>
  <si>
    <t>Flocons avoine 500g</t>
  </si>
  <si>
    <t>P105</t>
  </si>
  <si>
    <t>Céréales petit-déj 375g</t>
  </si>
  <si>
    <t>Ventes de marchandises</t>
  </si>
  <si>
    <t>P106</t>
  </si>
  <si>
    <t>Mix boulanger 25kg</t>
  </si>
  <si>
    <t>P101</t>
  </si>
  <si>
    <t>Farine T55 1kg</t>
  </si>
  <si>
    <t>RRR accordés</t>
  </si>
  <si>
    <t>Reel_M</t>
  </si>
  <si>
    <t>Budget_M</t>
  </si>
  <si>
    <t>Reel_YTD</t>
  </si>
  <si>
    <t>Budget_YTD</t>
  </si>
  <si>
    <t>Reel_N1_YTD</t>
  </si>
  <si>
    <t>Ecart_M</t>
  </si>
  <si>
    <t>Ecart_YTD</t>
  </si>
  <si>
    <t>Poste</t>
  </si>
  <si>
    <t>FLOP 3 — écarts défavorables</t>
  </si>
  <si>
    <t>TOP 3 — écarts favorables</t>
  </si>
  <si>
    <t>9 ·  TOP / FLOP DES ÉCARTS — détection automatique</t>
  </si>
  <si>
    <t>Vert = écart favorable · Rouge = défavorable. Charges en convention négative.</t>
  </si>
  <si>
    <t>Financier</t>
  </si>
  <si>
    <t>Amort.</t>
  </si>
  <si>
    <t>Autres</t>
  </si>
  <si>
    <t>Marketing</t>
  </si>
  <si>
    <t>Transport</t>
  </si>
  <si>
    <t>Externes</t>
  </si>
  <si>
    <t>Personnel</t>
  </si>
  <si>
    <t>Matières</t>
  </si>
  <si>
    <t>CA</t>
  </si>
  <si>
    <t>BU \ Poste</t>
  </si>
  <si>
    <t>8 ·  HEATMAP DES ÉCARTS vs BUDGET (YTD, k€)</t>
  </si>
  <si>
    <t>7 ·  MATRICE STRATÉGIQUE — Croissance × Marge (taille = CA)</t>
  </si>
  <si>
    <t>6 ·  BRIDGE EBITDA — du budget au réel (YTD, k€)</t>
  </si>
  <si>
    <t>4 ·  STRUCTURE DE COÛTS PAR BU (% du CA, YTD)</t>
  </si>
  <si>
    <t>% du Rés. net</t>
  </si>
  <si>
    <t>% de l'EBITDA</t>
  </si>
  <si>
    <t>% du CA</t>
  </si>
  <si>
    <t>3 ·  CONTRIBUTION AU GROUPE (YTD)</t>
  </si>
  <si>
    <t>EBITDA %</t>
  </si>
  <si>
    <t>EBITDA M</t>
  </si>
  <si>
    <t>Écart €</t>
  </si>
  <si>
    <t>CA Budget M</t>
  </si>
  <si>
    <t>CA Réel M</t>
  </si>
  <si>
    <t>2 ·  PERFORMANCE DU MOIS</t>
  </si>
  <si>
    <t>RN %</t>
  </si>
  <si>
    <t>Rés. net</t>
  </si>
  <si>
    <t>MB %</t>
  </si>
  <si>
    <t>Crois. %</t>
  </si>
  <si>
    <t>CA N-1</t>
  </si>
  <si>
    <t>1 ·  PERFORMANCE CUMULÉE (YTD)</t>
  </si>
  <si>
    <t>SYNTHÈSE PAR BUSINESS UNIT — Analyse de performance</t>
  </si>
  <si>
    <t>BRIDGE DU RÉSULTAT NET — du budget au réel (YTD, k€)</t>
  </si>
  <si>
    <t>Matérialité</t>
  </si>
  <si>
    <t>% Budget</t>
  </si>
  <si>
    <t>% Réel</t>
  </si>
  <si>
    <t>SEUIL</t>
  </si>
  <si>
    <t>ANALYSE % CA</t>
  </si>
  <si>
    <t>ATLAS AGRO HOLDING — PACKAGE DE CLÔTURE MENSUEL (Compte de résultat consolidé, k€)</t>
  </si>
  <si>
    <t>Résultat net</t>
  </si>
  <si>
    <t>CONTRIBUTION AU CA</t>
  </si>
  <si>
    <t>CA PAR BUSINESS UNIT (YTD)</t>
  </si>
  <si>
    <t>KPI FINANCIERS</t>
  </si>
  <si>
    <t>PERFORMANCE PAR ACTIVITÉ</t>
  </si>
  <si>
    <t>TENDANCES MENSUELLES</t>
  </si>
  <si>
    <t>vs N-1</t>
  </si>
  <si>
    <t>Coût matières</t>
  </si>
  <si>
    <t>Croissance CA</t>
  </si>
  <si>
    <t>RÉSULTAT NET — YTD</t>
  </si>
  <si>
    <t>EBITDA — YTD</t>
  </si>
  <si>
    <t>CHIFFRE D'AFFAIRES — YTD</t>
  </si>
  <si>
    <t>ATLAS AGRO HOLDING   —   COMMAND CENTER</t>
  </si>
  <si>
    <t>HEATMAP DES ÉCARTS vs BUDGET (YTD, k€)</t>
  </si>
  <si>
    <t>ATTERRISSAGE CA</t>
  </si>
  <si>
    <t>FAITS MARQUANTS</t>
  </si>
  <si>
    <t>Références (SKU)</t>
  </si>
  <si>
    <t>Seuil de matérialité (k€)</t>
  </si>
  <si>
    <t>Écart YTD ≥ seuil = significatif</t>
  </si>
  <si>
    <t>Déc</t>
  </si>
  <si>
    <t>Nov</t>
  </si>
  <si>
    <t>Oct</t>
  </si>
  <si>
    <t>Sept</t>
  </si>
  <si>
    <t>Août</t>
  </si>
  <si>
    <t>Juil</t>
  </si>
  <si>
    <t>Juin</t>
  </si>
  <si>
    <t>Mai</t>
  </si>
  <si>
    <t>Avr</t>
  </si>
  <si>
    <t>Mars</t>
  </si>
  <si>
    <t>Févr</t>
  </si>
  <si>
    <t>Janv</t>
  </si>
  <si>
    <t>MgEBITDA_R26</t>
  </si>
  <si>
    <t>RN_R26</t>
  </si>
  <si>
    <t>RN_B26</t>
  </si>
  <si>
    <t>RN_R25</t>
  </si>
  <si>
    <t>EBITDA_R26</t>
  </si>
  <si>
    <t>EBITDA_B26</t>
  </si>
  <si>
    <t>EBITDA_R25</t>
  </si>
  <si>
    <t>CA_R26</t>
  </si>
  <si>
    <t>CA_B26</t>
  </si>
  <si>
    <t>CA_R25</t>
  </si>
  <si>
    <t>MoisLabel</t>
  </si>
  <si>
    <t>BU</t>
  </si>
  <si>
    <t>RN Réel</t>
  </si>
  <si>
    <t>RN Budget</t>
  </si>
  <si>
    <t>Run</t>
  </si>
  <si>
    <t>Baisse</t>
  </si>
  <si>
    <t>Hausse</t>
  </si>
  <si>
    <t>Base</t>
  </si>
  <si>
    <t>Total</t>
  </si>
  <si>
    <t>cat</t>
  </si>
  <si>
    <t>marge</t>
  </si>
  <si>
    <t>crois</t>
  </si>
  <si>
    <t>EBITDA Réel</t>
  </si>
  <si>
    <t>EBITDA Budget</t>
  </si>
  <si>
    <t>BudEB</t>
  </si>
  <si>
    <t>Derniere generation</t>
  </si>
  <si>
    <t>EC00000001</t>
  </si>
  <si>
    <t/>
  </si>
  <si>
    <t>EC00000002</t>
  </si>
  <si>
    <t>EC00000003</t>
  </si>
  <si>
    <t>EC00000004</t>
  </si>
  <si>
    <t>EC00000005</t>
  </si>
  <si>
    <t>EC00000006</t>
  </si>
  <si>
    <t>EC00000007</t>
  </si>
  <si>
    <t>EC00000008</t>
  </si>
  <si>
    <t>EC00000009</t>
  </si>
  <si>
    <t>EC00000010</t>
  </si>
  <si>
    <t>EC00000011</t>
  </si>
  <si>
    <t>EC00000012</t>
  </si>
  <si>
    <t>EC00000013</t>
  </si>
  <si>
    <t>EC00000014</t>
  </si>
  <si>
    <t>EC00000015</t>
  </si>
  <si>
    <t>EC00000016</t>
  </si>
  <si>
    <t>EC00000017</t>
  </si>
  <si>
    <t>EC00000018</t>
  </si>
  <si>
    <t>EC00000019</t>
  </si>
  <si>
    <t>EC00000020</t>
  </si>
  <si>
    <t>EC00000021</t>
  </si>
  <si>
    <t>EC00000022</t>
  </si>
  <si>
    <t>EC00000023</t>
  </si>
  <si>
    <t>EC00000024</t>
  </si>
  <si>
    <t>EC00000025</t>
  </si>
  <si>
    <t>EC00000026</t>
  </si>
  <si>
    <t>EC00000027</t>
  </si>
  <si>
    <t>EC00000028</t>
  </si>
  <si>
    <t>EC00000029</t>
  </si>
  <si>
    <t>EC00000030</t>
  </si>
  <si>
    <t>EC00000031</t>
  </si>
  <si>
    <t>EC00000032</t>
  </si>
  <si>
    <t>EC00000033</t>
  </si>
  <si>
    <t>EC00000034</t>
  </si>
  <si>
    <t>EC00000035</t>
  </si>
  <si>
    <t>EC00000036</t>
  </si>
  <si>
    <t>EC00000037</t>
  </si>
  <si>
    <t>EC00000038</t>
  </si>
  <si>
    <t>EC00000039</t>
  </si>
  <si>
    <t>EC00000040</t>
  </si>
  <si>
    <t>EC00000041</t>
  </si>
  <si>
    <t>EC00000042</t>
  </si>
  <si>
    <t>EC00000043</t>
  </si>
  <si>
    <t>EC00000044</t>
  </si>
  <si>
    <t>EC00000045</t>
  </si>
  <si>
    <t>EC00000046</t>
  </si>
  <si>
    <t>EC00000047</t>
  </si>
  <si>
    <t>EC00000048</t>
  </si>
  <si>
    <t>EC00000049</t>
  </si>
  <si>
    <t>EC00000050</t>
  </si>
  <si>
    <t>EC00000051</t>
  </si>
  <si>
    <t>EC00000052</t>
  </si>
  <si>
    <t>EC00000053</t>
  </si>
  <si>
    <t>EC00000054</t>
  </si>
  <si>
    <t>EC00000055</t>
  </si>
  <si>
    <t>EC00000056</t>
  </si>
  <si>
    <t>EC00000057</t>
  </si>
  <si>
    <t>EC00000058</t>
  </si>
  <si>
    <t>EC00000059</t>
  </si>
  <si>
    <t>EC00000060</t>
  </si>
  <si>
    <t>EC00000061</t>
  </si>
  <si>
    <t>EC00000062</t>
  </si>
  <si>
    <t>EC00000063</t>
  </si>
  <si>
    <t>EC00000064</t>
  </si>
  <si>
    <t>EC00000065</t>
  </si>
  <si>
    <t>EC00000066</t>
  </si>
  <si>
    <t>EC00000067</t>
  </si>
  <si>
    <t>EC00000068</t>
  </si>
  <si>
    <t>EC00000069</t>
  </si>
  <si>
    <t>EC00000070</t>
  </si>
  <si>
    <t>EC00000071</t>
  </si>
  <si>
    <t>EC00000072</t>
  </si>
  <si>
    <t>EC00000073</t>
  </si>
  <si>
    <t>EC00000074</t>
  </si>
  <si>
    <t>EC00000075</t>
  </si>
  <si>
    <t>EC00000076</t>
  </si>
  <si>
    <t>EC00000077</t>
  </si>
  <si>
    <t>EC00000078</t>
  </si>
  <si>
    <t>EC00000079</t>
  </si>
  <si>
    <t>EC00000080</t>
  </si>
  <si>
    <t>EC00000081</t>
  </si>
  <si>
    <t>EC00000082</t>
  </si>
  <si>
    <t>EC00000083</t>
  </si>
  <si>
    <t>EC00000084</t>
  </si>
  <si>
    <t>EC00000085</t>
  </si>
  <si>
    <t>EC00000086</t>
  </si>
  <si>
    <t>EC00000087</t>
  </si>
  <si>
    <t>EC00000088</t>
  </si>
  <si>
    <t>EC00000089</t>
  </si>
  <si>
    <t>EC00000090</t>
  </si>
  <si>
    <t>EC00000091</t>
  </si>
  <si>
    <t>EC00000092</t>
  </si>
  <si>
    <t>EC00000093</t>
  </si>
  <si>
    <t>EC00000094</t>
  </si>
  <si>
    <t>EC00000095</t>
  </si>
  <si>
    <t>EC00000096</t>
  </si>
  <si>
    <t>EC00000097</t>
  </si>
  <si>
    <t>EC00000098</t>
  </si>
  <si>
    <t>EC00000099</t>
  </si>
  <si>
    <t>EC00000100</t>
  </si>
  <si>
    <t>EC00000101</t>
  </si>
  <si>
    <t>EC00000102</t>
  </si>
  <si>
    <t>EC00000103</t>
  </si>
  <si>
    <t>EC00000104</t>
  </si>
  <si>
    <t>EC00000105</t>
  </si>
  <si>
    <t>EC00000106</t>
  </si>
  <si>
    <t>EC00000107</t>
  </si>
  <si>
    <t>EC00000108</t>
  </si>
  <si>
    <t>EC00000109</t>
  </si>
  <si>
    <t>EC00000110</t>
  </si>
  <si>
    <t>EC00000111</t>
  </si>
  <si>
    <t>EC00000112</t>
  </si>
  <si>
    <t>EC00000113</t>
  </si>
  <si>
    <t>EC00000114</t>
  </si>
  <si>
    <t>EC00000115</t>
  </si>
  <si>
    <t>EC00000116</t>
  </si>
  <si>
    <t>EC00000117</t>
  </si>
  <si>
    <t>EC00000118</t>
  </si>
  <si>
    <t>EC00000119</t>
  </si>
  <si>
    <t>EC00000120</t>
  </si>
  <si>
    <t>EC00000121</t>
  </si>
  <si>
    <t>EC00000122</t>
  </si>
  <si>
    <t>EC00000123</t>
  </si>
  <si>
    <t>EC00000124</t>
  </si>
  <si>
    <t>EC00000125</t>
  </si>
  <si>
    <t>EC00000126</t>
  </si>
  <si>
    <t>EC00000127</t>
  </si>
  <si>
    <t>EC00000128</t>
  </si>
  <si>
    <t>EC00000129</t>
  </si>
  <si>
    <t>EC00000130</t>
  </si>
  <si>
    <t>EC00000131</t>
  </si>
  <si>
    <t>EC00000132</t>
  </si>
  <si>
    <t>EC00000133</t>
  </si>
  <si>
    <t>EC00000134</t>
  </si>
  <si>
    <t>EC00000135</t>
  </si>
  <si>
    <t>EC00000136</t>
  </si>
  <si>
    <t>EC00000137</t>
  </si>
  <si>
    <t>EC00000138</t>
  </si>
  <si>
    <t>EC00000139</t>
  </si>
  <si>
    <t>EC00000140</t>
  </si>
  <si>
    <t>EC00000141</t>
  </si>
  <si>
    <t>EC00000142</t>
  </si>
  <si>
    <t>EC00000143</t>
  </si>
  <si>
    <t>EC00000144</t>
  </si>
  <si>
    <t>EC00000145</t>
  </si>
  <si>
    <t>EC00000146</t>
  </si>
  <si>
    <t>EC00000147</t>
  </si>
  <si>
    <t>EC00000148</t>
  </si>
  <si>
    <t>EC00000149</t>
  </si>
  <si>
    <t>EC00000150</t>
  </si>
  <si>
    <t>EC00000151</t>
  </si>
  <si>
    <t>EC00000152</t>
  </si>
  <si>
    <t>EC00000153</t>
  </si>
  <si>
    <t>EC00000154</t>
  </si>
  <si>
    <t>EC00000155</t>
  </si>
  <si>
    <t>EC00000156</t>
  </si>
  <si>
    <t>EC00000157</t>
  </si>
  <si>
    <t>EC00000158</t>
  </si>
  <si>
    <t>EC00000159</t>
  </si>
  <si>
    <t>EC00000160</t>
  </si>
  <si>
    <t>EC00000161</t>
  </si>
  <si>
    <t>EC00000162</t>
  </si>
  <si>
    <t>EC00000163</t>
  </si>
  <si>
    <t>EC00000164</t>
  </si>
  <si>
    <t>EC00000165</t>
  </si>
  <si>
    <t>EC00000166</t>
  </si>
  <si>
    <t>EC00000167</t>
  </si>
  <si>
    <t>EC00000168</t>
  </si>
  <si>
    <t>EC00000169</t>
  </si>
  <si>
    <t>EC00000170</t>
  </si>
  <si>
    <t>EC00000171</t>
  </si>
  <si>
    <t>EC00000172</t>
  </si>
  <si>
    <t>EC00000173</t>
  </si>
  <si>
    <t>EC00000174</t>
  </si>
  <si>
    <t>EC00000175</t>
  </si>
  <si>
    <t>EC00000176</t>
  </si>
  <si>
    <t>EC00000177</t>
  </si>
  <si>
    <t>EC00000178</t>
  </si>
  <si>
    <t>EC00000179</t>
  </si>
  <si>
    <t>EC00000180</t>
  </si>
  <si>
    <t>EC00000181</t>
  </si>
  <si>
    <t>EC00000182</t>
  </si>
  <si>
    <t>EC00000183</t>
  </si>
  <si>
    <t>EC00000184</t>
  </si>
  <si>
    <t>EC00000185</t>
  </si>
  <si>
    <t>EC00000186</t>
  </si>
  <si>
    <t>EC00000187</t>
  </si>
  <si>
    <t>EC00000188</t>
  </si>
  <si>
    <t>EC00000189</t>
  </si>
  <si>
    <t>EC00000190</t>
  </si>
  <si>
    <t>EC00000191</t>
  </si>
  <si>
    <t>EC00000192</t>
  </si>
  <si>
    <t>EC00000193</t>
  </si>
  <si>
    <t>EC00000194</t>
  </si>
  <si>
    <t>EC00000195</t>
  </si>
  <si>
    <t>EC00000196</t>
  </si>
  <si>
    <t>EC00000197</t>
  </si>
  <si>
    <t>EC00000198</t>
  </si>
  <si>
    <t>EC00000199</t>
  </si>
  <si>
    <t>EC00000200</t>
  </si>
  <si>
    <t>EC00000201</t>
  </si>
  <si>
    <t>EC00000202</t>
  </si>
  <si>
    <t>EC00000203</t>
  </si>
  <si>
    <t>EC00000204</t>
  </si>
  <si>
    <t>EC00000205</t>
  </si>
  <si>
    <t>EC00000206</t>
  </si>
  <si>
    <t>EC00000207</t>
  </si>
  <si>
    <t>EC00000208</t>
  </si>
  <si>
    <t>EC00000209</t>
  </si>
  <si>
    <t>EC00000210</t>
  </si>
  <si>
    <t>EC00000211</t>
  </si>
  <si>
    <t>EC00000212</t>
  </si>
  <si>
    <t>EC00000213</t>
  </si>
  <si>
    <t>EC00000214</t>
  </si>
  <si>
    <t>EC00000215</t>
  </si>
  <si>
    <t>EC00000216</t>
  </si>
  <si>
    <t>EC00000217</t>
  </si>
  <si>
    <t>EC00000218</t>
  </si>
  <si>
    <t>EC00000219</t>
  </si>
  <si>
    <t>EC00000220</t>
  </si>
  <si>
    <t>EC00000221</t>
  </si>
  <si>
    <t>EC00000222</t>
  </si>
  <si>
    <t>EC00000223</t>
  </si>
  <si>
    <t>EC00000224</t>
  </si>
  <si>
    <t>EC00000225</t>
  </si>
  <si>
    <t>EC00000226</t>
  </si>
  <si>
    <t>EC00000227</t>
  </si>
  <si>
    <t>EC00000228</t>
  </si>
  <si>
    <t>EC00000229</t>
  </si>
  <si>
    <t>EC00000230</t>
  </si>
  <si>
    <t>EC00000231</t>
  </si>
  <si>
    <t>EC00000232</t>
  </si>
  <si>
    <t>EC00000233</t>
  </si>
  <si>
    <t>EC00000234</t>
  </si>
  <si>
    <t>EC00000235</t>
  </si>
  <si>
    <t>EC00000236</t>
  </si>
  <si>
    <t>EC00000237</t>
  </si>
  <si>
    <t>EC00000238</t>
  </si>
  <si>
    <t>EC00000239</t>
  </si>
  <si>
    <t>EC00000240</t>
  </si>
  <si>
    <t>EC00000241</t>
  </si>
  <si>
    <t>EC00000242</t>
  </si>
  <si>
    <t>EC00000243</t>
  </si>
  <si>
    <t>EC00000244</t>
  </si>
  <si>
    <t>EC00000245</t>
  </si>
  <si>
    <t>EC00000246</t>
  </si>
  <si>
    <t>EC00000247</t>
  </si>
  <si>
    <t>EC00000248</t>
  </si>
  <si>
    <t>EC00000249</t>
  </si>
  <si>
    <t>EC00000250</t>
  </si>
  <si>
    <t>EC00000251</t>
  </si>
  <si>
    <t>EC00000252</t>
  </si>
  <si>
    <t>EC00000253</t>
  </si>
  <si>
    <t>EC00000254</t>
  </si>
  <si>
    <t>EC00000255</t>
  </si>
  <si>
    <t>EC00000256</t>
  </si>
  <si>
    <t>EC00000257</t>
  </si>
  <si>
    <t>EC00000258</t>
  </si>
  <si>
    <t>EC00000259</t>
  </si>
  <si>
    <t>EC00000260</t>
  </si>
  <si>
    <t>EC00000261</t>
  </si>
  <si>
    <t>EC00000262</t>
  </si>
  <si>
    <t>EC00000263</t>
  </si>
  <si>
    <t>EC00000264</t>
  </si>
  <si>
    <t>EC00000265</t>
  </si>
  <si>
    <t>EC00000266</t>
  </si>
  <si>
    <t>EC00000267</t>
  </si>
  <si>
    <t>EC00000268</t>
  </si>
  <si>
    <t>EC00000269</t>
  </si>
  <si>
    <t>EC00000270</t>
  </si>
  <si>
    <t>EC00000271</t>
  </si>
  <si>
    <t>EC00000272</t>
  </si>
  <si>
    <t>EC00000273</t>
  </si>
  <si>
    <t>EC00000274</t>
  </si>
  <si>
    <t>EC00000275</t>
  </si>
  <si>
    <t>EC00000276</t>
  </si>
  <si>
    <t>EC00000277</t>
  </si>
  <si>
    <t>EC00000278</t>
  </si>
  <si>
    <t>EC00000279</t>
  </si>
  <si>
    <t>EC00000280</t>
  </si>
  <si>
    <t>EC00000281</t>
  </si>
  <si>
    <t>EC00000282</t>
  </si>
  <si>
    <t>EC00000283</t>
  </si>
  <si>
    <t>EC00000284</t>
  </si>
  <si>
    <t>EC00000285</t>
  </si>
  <si>
    <t>EC00000286</t>
  </si>
  <si>
    <t>EC00000287</t>
  </si>
  <si>
    <t>EC00000288</t>
  </si>
  <si>
    <t>EC00000289</t>
  </si>
  <si>
    <t>EC00000290</t>
  </si>
  <si>
    <t>EC00000291</t>
  </si>
  <si>
    <t>EC00000292</t>
  </si>
  <si>
    <t>EC00000293</t>
  </si>
  <si>
    <t>EC00000294</t>
  </si>
  <si>
    <t>EC00000295</t>
  </si>
  <si>
    <t>EC00000296</t>
  </si>
  <si>
    <t>EC00000297</t>
  </si>
  <si>
    <t>EC00000298</t>
  </si>
  <si>
    <t>EC00000299</t>
  </si>
  <si>
    <t>EC00000300</t>
  </si>
  <si>
    <t>EC00000301</t>
  </si>
  <si>
    <t>EC00000302</t>
  </si>
  <si>
    <t>EC00000303</t>
  </si>
  <si>
    <t>EC00000304</t>
  </si>
  <si>
    <t>EC00000305</t>
  </si>
  <si>
    <t>EC00000306</t>
  </si>
  <si>
    <t>EC00000307</t>
  </si>
  <si>
    <t>EC00000308</t>
  </si>
  <si>
    <t>EC00000309</t>
  </si>
  <si>
    <t>EC00000310</t>
  </si>
  <si>
    <t>EC00000311</t>
  </si>
  <si>
    <t>EC00000312</t>
  </si>
  <si>
    <t>EC00000313</t>
  </si>
  <si>
    <t>EC00000314</t>
  </si>
  <si>
    <t>EC00000315</t>
  </si>
  <si>
    <t>EC00000316</t>
  </si>
  <si>
    <t>EC00000317</t>
  </si>
  <si>
    <t>EC00000318</t>
  </si>
  <si>
    <t>EC00000319</t>
  </si>
  <si>
    <t>EC00000320</t>
  </si>
  <si>
    <t>EC00000321</t>
  </si>
  <si>
    <t>EC00000322</t>
  </si>
  <si>
    <t>EC00000323</t>
  </si>
  <si>
    <t>EC00000324</t>
  </si>
  <si>
    <t>EC00000325</t>
  </si>
  <si>
    <t>EC00000326</t>
  </si>
  <si>
    <t>EC00000327</t>
  </si>
  <si>
    <t>EC00000328</t>
  </si>
  <si>
    <t>EC00000329</t>
  </si>
  <si>
    <t>EC00000330</t>
  </si>
  <si>
    <t>EC00000331</t>
  </si>
  <si>
    <t>EC00000332</t>
  </si>
  <si>
    <t>EC00000333</t>
  </si>
  <si>
    <t>EC00000334</t>
  </si>
  <si>
    <t>EC00000335</t>
  </si>
  <si>
    <t>EC00000336</t>
  </si>
  <si>
    <t>EC00000337</t>
  </si>
  <si>
    <t>EC00000338</t>
  </si>
  <si>
    <t>EC00000339</t>
  </si>
  <si>
    <t>EC00000340</t>
  </si>
  <si>
    <t>EC00000341</t>
  </si>
  <si>
    <t>EC00000342</t>
  </si>
  <si>
    <t>EC00000343</t>
  </si>
  <si>
    <t>EC00000344</t>
  </si>
  <si>
    <t>EC00000345</t>
  </si>
  <si>
    <t>EC00000346</t>
  </si>
  <si>
    <t>EC00000347</t>
  </si>
  <si>
    <t>EC00000348</t>
  </si>
  <si>
    <t>EC00000349</t>
  </si>
  <si>
    <t>EC00000350</t>
  </si>
  <si>
    <t>EC00000351</t>
  </si>
  <si>
    <t>EC00000352</t>
  </si>
  <si>
    <t>EC00000353</t>
  </si>
  <si>
    <t>EC00000354</t>
  </si>
  <si>
    <t>EC00000355</t>
  </si>
  <si>
    <t>EC00000356</t>
  </si>
  <si>
    <t>EC00000357</t>
  </si>
  <si>
    <t>EC00000358</t>
  </si>
  <si>
    <t>EC00000359</t>
  </si>
  <si>
    <t>EC00000360</t>
  </si>
  <si>
    <t>EC00000361</t>
  </si>
  <si>
    <t>EC00000362</t>
  </si>
  <si>
    <t>EC00000363</t>
  </si>
  <si>
    <t>EC00000364</t>
  </si>
  <si>
    <t>EC00000365</t>
  </si>
  <si>
    <t>EC00000366</t>
  </si>
  <si>
    <t>EC00000367</t>
  </si>
  <si>
    <t>EC00000368</t>
  </si>
  <si>
    <t>EC00000369</t>
  </si>
  <si>
    <t>EC00000370</t>
  </si>
  <si>
    <t>EC00000371</t>
  </si>
  <si>
    <t>EC00000372</t>
  </si>
  <si>
    <t>EC00000373</t>
  </si>
  <si>
    <t>EC00000374</t>
  </si>
  <si>
    <t>EC00000375</t>
  </si>
  <si>
    <t>EC00000376</t>
  </si>
  <si>
    <t>EC00000377</t>
  </si>
  <si>
    <t>EC00000378</t>
  </si>
  <si>
    <t>EC00000379</t>
  </si>
  <si>
    <t>EC00000380</t>
  </si>
  <si>
    <t>EC00000381</t>
  </si>
  <si>
    <t>EC00000382</t>
  </si>
  <si>
    <t>EC00000383</t>
  </si>
  <si>
    <t>EC00000384</t>
  </si>
  <si>
    <t>EC00000385</t>
  </si>
  <si>
    <t>EC00000386</t>
  </si>
  <si>
    <t>EC00000387</t>
  </si>
  <si>
    <t>EC00000388</t>
  </si>
  <si>
    <t>EC00000389</t>
  </si>
  <si>
    <t>EC00000390</t>
  </si>
  <si>
    <t>EC00000391</t>
  </si>
  <si>
    <t>EC00000392</t>
  </si>
  <si>
    <t>EC00000393</t>
  </si>
  <si>
    <t>EC00000394</t>
  </si>
  <si>
    <t>EC00000395</t>
  </si>
  <si>
    <t>EC00000396</t>
  </si>
  <si>
    <t>EC00000397</t>
  </si>
  <si>
    <t>EC00000398</t>
  </si>
  <si>
    <t>EC00000399</t>
  </si>
  <si>
    <t>EC00000400</t>
  </si>
  <si>
    <t>EC00000401</t>
  </si>
  <si>
    <t>EC00000402</t>
  </si>
  <si>
    <t>EC00000403</t>
  </si>
  <si>
    <t>EC00000404</t>
  </si>
  <si>
    <t>EC00000405</t>
  </si>
  <si>
    <t>EC00000406</t>
  </si>
  <si>
    <t>EC00000407</t>
  </si>
  <si>
    <t>EC00000408</t>
  </si>
  <si>
    <t>EC00000409</t>
  </si>
  <si>
    <t>EC00000410</t>
  </si>
  <si>
    <t>EC00000411</t>
  </si>
  <si>
    <t>EC00000412</t>
  </si>
  <si>
    <t>EC00000413</t>
  </si>
  <si>
    <t>EC00000414</t>
  </si>
  <si>
    <t>EC00000415</t>
  </si>
  <si>
    <t>EC00000416</t>
  </si>
  <si>
    <t>EC00000417</t>
  </si>
  <si>
    <t>EC00000418</t>
  </si>
  <si>
    <t>EC00000419</t>
  </si>
  <si>
    <t>EC00000420</t>
  </si>
  <si>
    <t>EC00000421</t>
  </si>
  <si>
    <t>EC00000422</t>
  </si>
  <si>
    <t>EC00000423</t>
  </si>
  <si>
    <t>EC00000424</t>
  </si>
  <si>
    <t>EC00000425</t>
  </si>
  <si>
    <t>EC00000426</t>
  </si>
  <si>
    <t>EC00000427</t>
  </si>
  <si>
    <t>EC00000428</t>
  </si>
  <si>
    <t>EC00000429</t>
  </si>
  <si>
    <t>EC00000430</t>
  </si>
  <si>
    <t>EC00000431</t>
  </si>
  <si>
    <t>EC00000432</t>
  </si>
  <si>
    <t>EC00000433</t>
  </si>
  <si>
    <t>EC00000434</t>
  </si>
  <si>
    <t>EC00000435</t>
  </si>
  <si>
    <t>EC00000436</t>
  </si>
  <si>
    <t>EC00000437</t>
  </si>
  <si>
    <t>EC00000438</t>
  </si>
  <si>
    <t>EC00000439</t>
  </si>
  <si>
    <t>EC00000440</t>
  </si>
  <si>
    <t>EC00000441</t>
  </si>
  <si>
    <t>EC00000442</t>
  </si>
  <si>
    <t>EC00000443</t>
  </si>
  <si>
    <t>EC00000444</t>
  </si>
  <si>
    <t>EC00000445</t>
  </si>
  <si>
    <t>EC00000446</t>
  </si>
  <si>
    <t>EC00000447</t>
  </si>
  <si>
    <t>EC00000448</t>
  </si>
  <si>
    <t>EC00000449</t>
  </si>
  <si>
    <t>EC00000450</t>
  </si>
  <si>
    <t>EC00000451</t>
  </si>
  <si>
    <t>EC00000452</t>
  </si>
  <si>
    <t>EC00000453</t>
  </si>
  <si>
    <t>EC00000454</t>
  </si>
  <si>
    <t>EC00000455</t>
  </si>
  <si>
    <t>EC00000456</t>
  </si>
  <si>
    <t>EC00000457</t>
  </si>
  <si>
    <t>EC00000458</t>
  </si>
  <si>
    <t>EC00000459</t>
  </si>
  <si>
    <t>EC00000460</t>
  </si>
  <si>
    <t>EC00000461</t>
  </si>
  <si>
    <t>EC00000462</t>
  </si>
  <si>
    <t>EC00000463</t>
  </si>
  <si>
    <t>EC00000464</t>
  </si>
  <si>
    <t>EC00000465</t>
  </si>
  <si>
    <t>EC00000466</t>
  </si>
  <si>
    <t>EC00000467</t>
  </si>
  <si>
    <t>EC00000468</t>
  </si>
  <si>
    <t>EC00000469</t>
  </si>
  <si>
    <t>EC00000470</t>
  </si>
  <si>
    <t>EC00000471</t>
  </si>
  <si>
    <t>EC00000472</t>
  </si>
  <si>
    <t>EC00000473</t>
  </si>
  <si>
    <t>EC00000474</t>
  </si>
  <si>
    <t>EC00000475</t>
  </si>
  <si>
    <t>EC00000476</t>
  </si>
  <si>
    <t>EC00000477</t>
  </si>
  <si>
    <t>EC00000478</t>
  </si>
  <si>
    <t>EC00000479</t>
  </si>
  <si>
    <t>EC00000480</t>
  </si>
  <si>
    <t>EC00000481</t>
  </si>
  <si>
    <t>EC00000482</t>
  </si>
  <si>
    <t>EC00000483</t>
  </si>
  <si>
    <t>EC00000484</t>
  </si>
  <si>
    <t>EC00000485</t>
  </si>
  <si>
    <t>EC00000486</t>
  </si>
  <si>
    <t>EC00000487</t>
  </si>
  <si>
    <t>EC00000488</t>
  </si>
  <si>
    <t>EC00000489</t>
  </si>
  <si>
    <t>EC00000490</t>
  </si>
  <si>
    <t>EC00000491</t>
  </si>
  <si>
    <t>EC00000492</t>
  </si>
  <si>
    <t>EC00000493</t>
  </si>
  <si>
    <t>EC00000494</t>
  </si>
  <si>
    <t>EC00000495</t>
  </si>
  <si>
    <t>EC00000496</t>
  </si>
  <si>
    <t>EC00000497</t>
  </si>
  <si>
    <t>EC00000498</t>
  </si>
  <si>
    <t>EC00000499</t>
  </si>
  <si>
    <t>EC00000500</t>
  </si>
  <si>
    <t>EC00000501</t>
  </si>
  <si>
    <t>EC00000502</t>
  </si>
  <si>
    <t>EC00000503</t>
  </si>
  <si>
    <t>EC00000504</t>
  </si>
  <si>
    <t>EC00000505</t>
  </si>
  <si>
    <t>EC00000506</t>
  </si>
  <si>
    <t>EC00000507</t>
  </si>
  <si>
    <t>EC00000508</t>
  </si>
  <si>
    <t>EC00000509</t>
  </si>
  <si>
    <t>EC00000510</t>
  </si>
  <si>
    <t>EC00000511</t>
  </si>
  <si>
    <t>EC00000512</t>
  </si>
  <si>
    <t>EC00000513</t>
  </si>
  <si>
    <t>EC00000514</t>
  </si>
  <si>
    <t>EC00000515</t>
  </si>
  <si>
    <t>EC00000516</t>
  </si>
  <si>
    <t>EC00000517</t>
  </si>
  <si>
    <t>EC00000518</t>
  </si>
  <si>
    <t>EC00000519</t>
  </si>
  <si>
    <t>EC00000520</t>
  </si>
  <si>
    <t>EC00000521</t>
  </si>
  <si>
    <t>EC00000522</t>
  </si>
  <si>
    <t>EC00000523</t>
  </si>
  <si>
    <t>EC00000524</t>
  </si>
  <si>
    <t>EC00000525</t>
  </si>
  <si>
    <t>EC00000526</t>
  </si>
  <si>
    <t>EC00000527</t>
  </si>
  <si>
    <t>EC00000528</t>
  </si>
  <si>
    <t>EC00000529</t>
  </si>
  <si>
    <t>EC00000530</t>
  </si>
  <si>
    <t>EC00000531</t>
  </si>
  <si>
    <t>EC00000532</t>
  </si>
  <si>
    <t>EC00000533</t>
  </si>
  <si>
    <t>EC00000534</t>
  </si>
  <si>
    <t>EC00000535</t>
  </si>
  <si>
    <t>EC00000536</t>
  </si>
  <si>
    <t>EC00000537</t>
  </si>
  <si>
    <t>EC00000538</t>
  </si>
  <si>
    <t>EC00000539</t>
  </si>
  <si>
    <t>EC00000540</t>
  </si>
  <si>
    <t>EC00000541</t>
  </si>
  <si>
    <t>EC00000542</t>
  </si>
  <si>
    <t>EC00000543</t>
  </si>
  <si>
    <t>EC00000544</t>
  </si>
  <si>
    <t>EC00000545</t>
  </si>
  <si>
    <t>EC00000546</t>
  </si>
  <si>
    <t>EC00000547</t>
  </si>
  <si>
    <t>EC00000548</t>
  </si>
  <si>
    <t>EC00000549</t>
  </si>
  <si>
    <t>EC00000550</t>
  </si>
  <si>
    <t>EC00000551</t>
  </si>
  <si>
    <t>EC00000552</t>
  </si>
  <si>
    <t>EC00000553</t>
  </si>
  <si>
    <t>EC00000554</t>
  </si>
  <si>
    <t>EC00000555</t>
  </si>
  <si>
    <t>EC00000556</t>
  </si>
  <si>
    <t>EC00000557</t>
  </si>
  <si>
    <t>EC00000558</t>
  </si>
  <si>
    <t>EC00000559</t>
  </si>
  <si>
    <t>EC00000560</t>
  </si>
  <si>
    <t>EC00000561</t>
  </si>
  <si>
    <t>EC00000562</t>
  </si>
  <si>
    <t>EC00000563</t>
  </si>
  <si>
    <t>EC00000564</t>
  </si>
  <si>
    <t>EC00000565</t>
  </si>
  <si>
    <t>EC00000566</t>
  </si>
  <si>
    <t>EC00000567</t>
  </si>
  <si>
    <t>EC00000568</t>
  </si>
  <si>
    <t>EC00000569</t>
  </si>
  <si>
    <t>EC00000570</t>
  </si>
  <si>
    <t>EC00000571</t>
  </si>
  <si>
    <t>EC00000572</t>
  </si>
  <si>
    <t>EC00000573</t>
  </si>
  <si>
    <t>EC00000574</t>
  </si>
  <si>
    <t>EC00000575</t>
  </si>
  <si>
    <t>EC00000576</t>
  </si>
  <si>
    <t>EC00000577</t>
  </si>
  <si>
    <t>EC00000578</t>
  </si>
  <si>
    <t>EC00000579</t>
  </si>
  <si>
    <t>EC00000580</t>
  </si>
  <si>
    <t>EC00000581</t>
  </si>
  <si>
    <t>EC00000582</t>
  </si>
  <si>
    <t>EC00000583</t>
  </si>
  <si>
    <t>EC00000584</t>
  </si>
  <si>
    <t>EC00000585</t>
  </si>
  <si>
    <t>EC00000586</t>
  </si>
  <si>
    <t>EC00000587</t>
  </si>
  <si>
    <t>EC00000588</t>
  </si>
  <si>
    <t>EC00000589</t>
  </si>
  <si>
    <t>EC00000590</t>
  </si>
  <si>
    <t>EC00000591</t>
  </si>
  <si>
    <t>EC00000592</t>
  </si>
  <si>
    <t>EC00000593</t>
  </si>
  <si>
    <t>EC00000594</t>
  </si>
  <si>
    <t>EC00000595</t>
  </si>
  <si>
    <t>EC00000596</t>
  </si>
  <si>
    <t>EC00000597</t>
  </si>
  <si>
    <t>EC00000598</t>
  </si>
  <si>
    <t>EC00000599</t>
  </si>
  <si>
    <t>EC00000600</t>
  </si>
  <si>
    <t>EC00000601</t>
  </si>
  <si>
    <t>EC00000602</t>
  </si>
  <si>
    <t>EC00000603</t>
  </si>
  <si>
    <t>EC00000604</t>
  </si>
  <si>
    <t>EC00000605</t>
  </si>
  <si>
    <t>EC00000606</t>
  </si>
  <si>
    <t>EC00000607</t>
  </si>
  <si>
    <t>EC00000608</t>
  </si>
  <si>
    <t>EC00000609</t>
  </si>
  <si>
    <t>EC00000610</t>
  </si>
  <si>
    <t>EC00000611</t>
  </si>
  <si>
    <t>EC00000612</t>
  </si>
  <si>
    <t>EC00000613</t>
  </si>
  <si>
    <t>EC00000614</t>
  </si>
  <si>
    <t>EC00000615</t>
  </si>
  <si>
    <t>EC00000616</t>
  </si>
  <si>
    <t>EC00000617</t>
  </si>
  <si>
    <t>EC00000618</t>
  </si>
  <si>
    <t>EC00000619</t>
  </si>
  <si>
    <t>EC00000620</t>
  </si>
  <si>
    <t>EC00000621</t>
  </si>
  <si>
    <t>EC00000622</t>
  </si>
  <si>
    <t>EC00000623</t>
  </si>
  <si>
    <t>EC00000624</t>
  </si>
  <si>
    <t>EC00000625</t>
  </si>
  <si>
    <t>EC00000626</t>
  </si>
  <si>
    <t>EC00000627</t>
  </si>
  <si>
    <t>EC00000628</t>
  </si>
  <si>
    <t>EC00000629</t>
  </si>
  <si>
    <t>EC00000630</t>
  </si>
  <si>
    <t>EC00000631</t>
  </si>
  <si>
    <t>EC00000632</t>
  </si>
  <si>
    <t>EC00000633</t>
  </si>
  <si>
    <t>EC00000634</t>
  </si>
  <si>
    <t>EC00000635</t>
  </si>
  <si>
    <t>EC00000636</t>
  </si>
  <si>
    <t>EC00000637</t>
  </si>
  <si>
    <t>EC00000638</t>
  </si>
  <si>
    <t>EC00000639</t>
  </si>
  <si>
    <t>EC00000640</t>
  </si>
  <si>
    <t>EC00000641</t>
  </si>
  <si>
    <t>EC00000642</t>
  </si>
  <si>
    <t>EC00000643</t>
  </si>
  <si>
    <t>EC00000644</t>
  </si>
  <si>
    <t>EC00000645</t>
  </si>
  <si>
    <t>EC00000646</t>
  </si>
  <si>
    <t>EC00000647</t>
  </si>
  <si>
    <t>EC00000648</t>
  </si>
  <si>
    <t>EC00000649</t>
  </si>
  <si>
    <t>EC00000650</t>
  </si>
  <si>
    <t>EC00000651</t>
  </si>
  <si>
    <t>EC00000652</t>
  </si>
  <si>
    <t>EC00000653</t>
  </si>
  <si>
    <t>EC00000654</t>
  </si>
  <si>
    <t>EC00000655</t>
  </si>
  <si>
    <t>EC00000656</t>
  </si>
  <si>
    <t>EC00000657</t>
  </si>
  <si>
    <t>EC00000658</t>
  </si>
  <si>
    <t>EC00000659</t>
  </si>
  <si>
    <t>EC00000660</t>
  </si>
  <si>
    <t>EC00000661</t>
  </si>
  <si>
    <t>EC00000662</t>
  </si>
  <si>
    <t>EC00000663</t>
  </si>
  <si>
    <t>EC00000664</t>
  </si>
  <si>
    <t>EC00000665</t>
  </si>
  <si>
    <t>EC00000666</t>
  </si>
  <si>
    <t>EC00000667</t>
  </si>
  <si>
    <t>EC00000668</t>
  </si>
  <si>
    <t>EC00000669</t>
  </si>
  <si>
    <t>EC00000670</t>
  </si>
  <si>
    <t>EC00000671</t>
  </si>
  <si>
    <t>EC00000672</t>
  </si>
  <si>
    <t>EC00000673</t>
  </si>
  <si>
    <t>EC00000674</t>
  </si>
  <si>
    <t>EC00000675</t>
  </si>
  <si>
    <t>EC00000676</t>
  </si>
  <si>
    <t>EC00000677</t>
  </si>
  <si>
    <t>EC00000678</t>
  </si>
  <si>
    <t>EC00000679</t>
  </si>
  <si>
    <t>EC00000680</t>
  </si>
  <si>
    <t>EC00000681</t>
  </si>
  <si>
    <t>EC00000682</t>
  </si>
  <si>
    <t>EC00000683</t>
  </si>
  <si>
    <t>EC00000684</t>
  </si>
  <si>
    <t>EC00000685</t>
  </si>
  <si>
    <t>EC00000686</t>
  </si>
  <si>
    <t>EC00000687</t>
  </si>
  <si>
    <t>EC00000688</t>
  </si>
  <si>
    <t>EC00000689</t>
  </si>
  <si>
    <t>EC00000690</t>
  </si>
  <si>
    <t>EC00000691</t>
  </si>
  <si>
    <t>EC00000692</t>
  </si>
  <si>
    <t>EC00000693</t>
  </si>
  <si>
    <t>EC00000694</t>
  </si>
  <si>
    <t>EC00000695</t>
  </si>
  <si>
    <t>EC00000696</t>
  </si>
  <si>
    <t>EC00000697</t>
  </si>
  <si>
    <t>EC00000698</t>
  </si>
  <si>
    <t>EC00000699</t>
  </si>
  <si>
    <t>EC00000700</t>
  </si>
  <si>
    <t>EC00000701</t>
  </si>
  <si>
    <t>EC00000702</t>
  </si>
  <si>
    <t>EC00000703</t>
  </si>
  <si>
    <t>EC00000704</t>
  </si>
  <si>
    <t>EC00000705</t>
  </si>
  <si>
    <t>EC00000706</t>
  </si>
  <si>
    <t>EC00000707</t>
  </si>
  <si>
    <t>EC00000708</t>
  </si>
  <si>
    <t>EC00000709</t>
  </si>
  <si>
    <t>EC00000710</t>
  </si>
  <si>
    <t>EC00000711</t>
  </si>
  <si>
    <t>EC00000712</t>
  </si>
  <si>
    <t>EC00000713</t>
  </si>
  <si>
    <t>EC00000714</t>
  </si>
  <si>
    <t>EC00000715</t>
  </si>
  <si>
    <t>EC00000716</t>
  </si>
  <si>
    <t>EC00000717</t>
  </si>
  <si>
    <t>EC00000718</t>
  </si>
  <si>
    <t>EC00000719</t>
  </si>
  <si>
    <t>EC00000720</t>
  </si>
  <si>
    <t>EC00000721</t>
  </si>
  <si>
    <t>EC00000722</t>
  </si>
  <si>
    <t>EC00000723</t>
  </si>
  <si>
    <t>EC00000724</t>
  </si>
  <si>
    <t>EC00000725</t>
  </si>
  <si>
    <t>EC00000726</t>
  </si>
  <si>
    <t>EC00000727</t>
  </si>
  <si>
    <t>EC00000728</t>
  </si>
  <si>
    <t>EC00000729</t>
  </si>
  <si>
    <t>EC00000730</t>
  </si>
  <si>
    <t>EC00000731</t>
  </si>
  <si>
    <t>EC00000732</t>
  </si>
  <si>
    <t>EC00000733</t>
  </si>
  <si>
    <t>EC00000734</t>
  </si>
  <si>
    <t>EC00000735</t>
  </si>
  <si>
    <t>EC00000736</t>
  </si>
  <si>
    <t>EC00000737</t>
  </si>
  <si>
    <t>EC00000738</t>
  </si>
  <si>
    <t>EC00000739</t>
  </si>
  <si>
    <t>EC00000740</t>
  </si>
  <si>
    <t>EC00000741</t>
  </si>
  <si>
    <t>EC00000742</t>
  </si>
  <si>
    <t>EC00000743</t>
  </si>
  <si>
    <t>EC00000744</t>
  </si>
  <si>
    <t>EC00000745</t>
  </si>
  <si>
    <t>EC00000746</t>
  </si>
  <si>
    <t>EC00000747</t>
  </si>
  <si>
    <t>EC00000748</t>
  </si>
  <si>
    <t>EC00000749</t>
  </si>
  <si>
    <t>EC00000750</t>
  </si>
  <si>
    <t>EC00000751</t>
  </si>
  <si>
    <t>EC00000752</t>
  </si>
  <si>
    <t>EC00000753</t>
  </si>
  <si>
    <t>EC00000754</t>
  </si>
  <si>
    <t>EC00000755</t>
  </si>
  <si>
    <t>EC00000756</t>
  </si>
  <si>
    <t>EC00000757</t>
  </si>
  <si>
    <t>EC00000758</t>
  </si>
  <si>
    <t>EC00000759</t>
  </si>
  <si>
    <t>EC00000760</t>
  </si>
  <si>
    <t>EC00000761</t>
  </si>
  <si>
    <t>EC00000762</t>
  </si>
  <si>
    <t>EC00000763</t>
  </si>
  <si>
    <t>EC00000764</t>
  </si>
  <si>
    <t>EC00000765</t>
  </si>
  <si>
    <t>EC00000766</t>
  </si>
  <si>
    <t>EC00000767</t>
  </si>
  <si>
    <t>EC00000768</t>
  </si>
  <si>
    <t>EC00000769</t>
  </si>
  <si>
    <t>EC00000770</t>
  </si>
  <si>
    <t>EC00000771</t>
  </si>
  <si>
    <t>EC00000772</t>
  </si>
  <si>
    <t>EC00000773</t>
  </si>
  <si>
    <t>EC00000774</t>
  </si>
  <si>
    <t>EC00000775</t>
  </si>
  <si>
    <t>EC00000776</t>
  </si>
  <si>
    <t>EC00000777</t>
  </si>
  <si>
    <t>EC00000778</t>
  </si>
  <si>
    <t>EC00000779</t>
  </si>
  <si>
    <t>EC00000780</t>
  </si>
  <si>
    <t>EC00000781</t>
  </si>
  <si>
    <t>EC00000782</t>
  </si>
  <si>
    <t>EC00000783</t>
  </si>
  <si>
    <t>EC00000784</t>
  </si>
  <si>
    <t>EC00000785</t>
  </si>
  <si>
    <t>EC00000786</t>
  </si>
  <si>
    <t>EC00000787</t>
  </si>
  <si>
    <t>EC00000788</t>
  </si>
  <si>
    <t>EC00000789</t>
  </si>
  <si>
    <t>EC00000790</t>
  </si>
  <si>
    <t>EC00000791</t>
  </si>
  <si>
    <t>EC00000792</t>
  </si>
  <si>
    <t>EC00000793</t>
  </si>
  <si>
    <t>EC00000794</t>
  </si>
  <si>
    <t>EC00000795</t>
  </si>
  <si>
    <t>EC00000796</t>
  </si>
  <si>
    <t>EC00000797</t>
  </si>
  <si>
    <t>EC00000798</t>
  </si>
  <si>
    <t>EC00000799</t>
  </si>
  <si>
    <t>EC00000800</t>
  </si>
  <si>
    <t>EC00000801</t>
  </si>
  <si>
    <t>EC00000802</t>
  </si>
  <si>
    <t>EC00000803</t>
  </si>
  <si>
    <t>EC00000804</t>
  </si>
  <si>
    <t>EC00000805</t>
  </si>
  <si>
    <t>EC00000806</t>
  </si>
  <si>
    <t>EC00000807</t>
  </si>
  <si>
    <t>EC00000808</t>
  </si>
  <si>
    <t>EC00000809</t>
  </si>
  <si>
    <t>EC00000810</t>
  </si>
  <si>
    <t>EC00000811</t>
  </si>
  <si>
    <t>EC00000812</t>
  </si>
  <si>
    <t>EC00000813</t>
  </si>
  <si>
    <t>EC00000814</t>
  </si>
  <si>
    <t>EC00000815</t>
  </si>
  <si>
    <t>EC00000816</t>
  </si>
  <si>
    <t>EC00000817</t>
  </si>
  <si>
    <t>EC00000818</t>
  </si>
  <si>
    <t>EC00000819</t>
  </si>
  <si>
    <t>EC00000820</t>
  </si>
  <si>
    <t>EC00000821</t>
  </si>
  <si>
    <t>EC00000822</t>
  </si>
  <si>
    <t>EC00000823</t>
  </si>
  <si>
    <t>EC00000824</t>
  </si>
  <si>
    <t>EC00000825</t>
  </si>
  <si>
    <t>EC00000826</t>
  </si>
  <si>
    <t>EC00000827</t>
  </si>
  <si>
    <t>EC00000828</t>
  </si>
  <si>
    <t>EC00000829</t>
  </si>
  <si>
    <t>EC00000830</t>
  </si>
  <si>
    <t>EC00000831</t>
  </si>
  <si>
    <t>EC00000832</t>
  </si>
  <si>
    <t>EC00000833</t>
  </si>
  <si>
    <t>EC00000834</t>
  </si>
  <si>
    <t>EC00000835</t>
  </si>
  <si>
    <t>EC00000836</t>
  </si>
  <si>
    <t>EC00000837</t>
  </si>
  <si>
    <t>EC00000838</t>
  </si>
  <si>
    <t>EC00000839</t>
  </si>
  <si>
    <t>EC00000840</t>
  </si>
  <si>
    <t>EC00000841</t>
  </si>
  <si>
    <t>EC00000842</t>
  </si>
  <si>
    <t>EC00000843</t>
  </si>
  <si>
    <t>EC00000844</t>
  </si>
  <si>
    <t>EC00000845</t>
  </si>
  <si>
    <t>EC00000846</t>
  </si>
  <si>
    <t>EC00000847</t>
  </si>
  <si>
    <t>EC00000848</t>
  </si>
  <si>
    <t>EC00000849</t>
  </si>
  <si>
    <t>EC00000850</t>
  </si>
  <si>
    <t>EC00000851</t>
  </si>
  <si>
    <t>EC00000852</t>
  </si>
  <si>
    <t>EC00000853</t>
  </si>
  <si>
    <t>EC00000854</t>
  </si>
  <si>
    <t>EC00000855</t>
  </si>
  <si>
    <t>EC00000856</t>
  </si>
  <si>
    <t>EC00000857</t>
  </si>
  <si>
    <t>EC00000858</t>
  </si>
  <si>
    <t>EC00000859</t>
  </si>
  <si>
    <t>EC00000860</t>
  </si>
  <si>
    <t>EC00000861</t>
  </si>
  <si>
    <t>EC00000862</t>
  </si>
  <si>
    <t>EC00000863</t>
  </si>
  <si>
    <t>EC00000864</t>
  </si>
  <si>
    <t>EC00000865</t>
  </si>
  <si>
    <t>EC00000866</t>
  </si>
  <si>
    <t>EC00000867</t>
  </si>
  <si>
    <t>EC00000868</t>
  </si>
  <si>
    <t>EC00000869</t>
  </si>
  <si>
    <t>EC00000870</t>
  </si>
  <si>
    <t>EC00000871</t>
  </si>
  <si>
    <t>EC00000872</t>
  </si>
  <si>
    <t>EC00000873</t>
  </si>
  <si>
    <t>EC00000874</t>
  </si>
  <si>
    <t>EC00000875</t>
  </si>
  <si>
    <t>EC00000876</t>
  </si>
  <si>
    <t>EC00000877</t>
  </si>
  <si>
    <t>EC00000878</t>
  </si>
  <si>
    <t>EC00000879</t>
  </si>
  <si>
    <t>EC00000880</t>
  </si>
  <si>
    <t>EC00000881</t>
  </si>
  <si>
    <t>EC00000882</t>
  </si>
  <si>
    <t>EC00000883</t>
  </si>
  <si>
    <t>EC00000884</t>
  </si>
  <si>
    <t>EC00000885</t>
  </si>
  <si>
    <t>EC00000886</t>
  </si>
  <si>
    <t>EC00000887</t>
  </si>
  <si>
    <t>EC00000888</t>
  </si>
  <si>
    <t>EC00000889</t>
  </si>
  <si>
    <t>EC00000890</t>
  </si>
  <si>
    <t>EC00000891</t>
  </si>
  <si>
    <t>EC00000892</t>
  </si>
  <si>
    <t>EC00000893</t>
  </si>
  <si>
    <t>EC00000894</t>
  </si>
  <si>
    <t>EC00000895</t>
  </si>
  <si>
    <t>EC00000896</t>
  </si>
  <si>
    <t>EC00000897</t>
  </si>
  <si>
    <t>EC00000898</t>
  </si>
  <si>
    <t>EC00000899</t>
  </si>
  <si>
    <t>EC00000900</t>
  </si>
  <si>
    <t>EC00000901</t>
  </si>
  <si>
    <t>EC00000902</t>
  </si>
  <si>
    <t>EC00000903</t>
  </si>
  <si>
    <t>EC00000904</t>
  </si>
  <si>
    <t>EC00000905</t>
  </si>
  <si>
    <t>EC00000906</t>
  </si>
  <si>
    <t>EC00000907</t>
  </si>
  <si>
    <t>EC00000908</t>
  </si>
  <si>
    <t>EC00000909</t>
  </si>
  <si>
    <t>EC00000910</t>
  </si>
  <si>
    <t>EC00000911</t>
  </si>
  <si>
    <t>EC00000912</t>
  </si>
  <si>
    <t>EC00000913</t>
  </si>
  <si>
    <t>EC00000914</t>
  </si>
  <si>
    <t>EC00000915</t>
  </si>
  <si>
    <t>EC00000916</t>
  </si>
  <si>
    <t>EC00000917</t>
  </si>
  <si>
    <t>EC00000918</t>
  </si>
  <si>
    <t>EC00000919</t>
  </si>
  <si>
    <t>EC00000920</t>
  </si>
  <si>
    <t>EC00000921</t>
  </si>
  <si>
    <t>EC00000922</t>
  </si>
  <si>
    <t>EC00000923</t>
  </si>
  <si>
    <t>EC00000924</t>
  </si>
  <si>
    <t>EC00000925</t>
  </si>
  <si>
    <t>EC00000926</t>
  </si>
  <si>
    <t>EC00000927</t>
  </si>
  <si>
    <t>EC00000928</t>
  </si>
  <si>
    <t>EC00000929</t>
  </si>
  <si>
    <t>EC00000930</t>
  </si>
  <si>
    <t>EC00000931</t>
  </si>
  <si>
    <t>EC00000932</t>
  </si>
  <si>
    <t>EC00000933</t>
  </si>
  <si>
    <t>EC00000934</t>
  </si>
  <si>
    <t>EC00000935</t>
  </si>
  <si>
    <t>EC00000936</t>
  </si>
  <si>
    <t>EC00000937</t>
  </si>
  <si>
    <t>EC00000938</t>
  </si>
  <si>
    <t>EC00000939</t>
  </si>
  <si>
    <t>EC00000940</t>
  </si>
  <si>
    <t>EC00000941</t>
  </si>
  <si>
    <t>EC00000942</t>
  </si>
  <si>
    <t>EC00000943</t>
  </si>
  <si>
    <t>EC00000944</t>
  </si>
  <si>
    <t>EC00000945</t>
  </si>
  <si>
    <t>EC00000946</t>
  </si>
  <si>
    <t>EC00000947</t>
  </si>
  <si>
    <t>EC00000948</t>
  </si>
  <si>
    <t>EC00000949</t>
  </si>
  <si>
    <t>EC00000950</t>
  </si>
  <si>
    <t>EC00000951</t>
  </si>
  <si>
    <t>EC00000952</t>
  </si>
  <si>
    <t>EC00000953</t>
  </si>
  <si>
    <t>EC00000954</t>
  </si>
  <si>
    <t>EC00000955</t>
  </si>
  <si>
    <t>EC00000956</t>
  </si>
  <si>
    <t>EC00000957</t>
  </si>
  <si>
    <t>EC00000958</t>
  </si>
  <si>
    <t>EC00000959</t>
  </si>
  <si>
    <t>EC00000960</t>
  </si>
  <si>
    <t>EC00000961</t>
  </si>
  <si>
    <t>EC00000962</t>
  </si>
  <si>
    <t>EC00000963</t>
  </si>
  <si>
    <t>EC00000964</t>
  </si>
  <si>
    <t>EC00000965</t>
  </si>
  <si>
    <t>EC00000966</t>
  </si>
  <si>
    <t>EC00000967</t>
  </si>
  <si>
    <t>EC00000968</t>
  </si>
  <si>
    <t>EC00000969</t>
  </si>
  <si>
    <t>EC00000970</t>
  </si>
  <si>
    <t>EC00000971</t>
  </si>
  <si>
    <t>EC00000972</t>
  </si>
  <si>
    <t>EC00000973</t>
  </si>
  <si>
    <t>EC00000974</t>
  </si>
  <si>
    <t>EC00000975</t>
  </si>
  <si>
    <t>EC00000976</t>
  </si>
  <si>
    <t>EC00000977</t>
  </si>
  <si>
    <t>EC00000978</t>
  </si>
  <si>
    <t>EC00000979</t>
  </si>
  <si>
    <t>EC00000980</t>
  </si>
  <si>
    <t>EC00000981</t>
  </si>
  <si>
    <t>EC00000982</t>
  </si>
  <si>
    <t>EC00000983</t>
  </si>
  <si>
    <t>EC00000984</t>
  </si>
  <si>
    <t>EC00000985</t>
  </si>
  <si>
    <t>EC00000986</t>
  </si>
  <si>
    <t>EC00000987</t>
  </si>
  <si>
    <t>EC00000988</t>
  </si>
  <si>
    <t>EC00000989</t>
  </si>
  <si>
    <t>EC00000990</t>
  </si>
  <si>
    <t>EC00000991</t>
  </si>
  <si>
    <t>EC00000992</t>
  </si>
  <si>
    <t>EC00000993</t>
  </si>
  <si>
    <t>EC00000994</t>
  </si>
  <si>
    <t>EC00000995</t>
  </si>
  <si>
    <t>EC00000996</t>
  </si>
  <si>
    <t>EC00000997</t>
  </si>
  <si>
    <t>EC00000998</t>
  </si>
  <si>
    <t>EC00000999</t>
  </si>
  <si>
    <t>EC00001000</t>
  </si>
  <si>
    <t>Client</t>
  </si>
  <si>
    <t>CentreCout</t>
  </si>
  <si>
    <t>Monoprix</t>
  </si>
  <si>
    <t>Casino</t>
  </si>
  <si>
    <t>Système U</t>
  </si>
  <si>
    <t>Carrefour</t>
  </si>
  <si>
    <t>Intermarché</t>
  </si>
  <si>
    <t>Auchan</t>
  </si>
  <si>
    <t>Cora</t>
  </si>
  <si>
    <t>Géant Casino</t>
  </si>
  <si>
    <t>Leclerc</t>
  </si>
  <si>
    <t>Réalisé</t>
  </si>
  <si>
    <t>Reste</t>
  </si>
  <si>
    <t>CA_YTD</t>
  </si>
  <si>
    <t>Charges_YTD</t>
  </si>
  <si>
    <t>DeltaCA</t>
  </si>
  <si>
    <t>Effet_Volume</t>
  </si>
  <si>
    <t>Effet_Prix</t>
  </si>
  <si>
    <t>Effet_Mix</t>
  </si>
  <si>
    <t>DÉCOMPOSITION VOLUME / PRIX / MIX — Chiffre d'affaires (YTD, k€)</t>
  </si>
  <si>
    <t>Écart CA</t>
  </si>
  <si>
    <t>Effet Volume</t>
  </si>
  <si>
    <t>Effet Prix</t>
  </si>
  <si>
    <t>Effet Mix</t>
  </si>
  <si>
    <t>STRUCTURE DES CHARGES PAR CENTRE DE COÛT (YTD, k€)</t>
  </si>
  <si>
    <t>TOP 10 CLIENTS — CA YTD (k€)</t>
  </si>
  <si>
    <t>Collaborateurs</t>
  </si>
  <si>
    <t>Canaux de vente</t>
  </si>
  <si>
    <t>Sites industriels</t>
  </si>
  <si>
    <t>Business Units</t>
  </si>
  <si>
    <t>REPÈRES GROUPE</t>
  </si>
  <si>
    <t>IKKI</t>
  </si>
  <si>
    <t>pMoisCloture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</si>
</sst>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\(#,##0\);\-"/>
    <numFmt numFmtId="165" formatCode="0.0%;\(0.0%\);\-"/>
    <numFmt numFmtId="166" formatCode="#,##0;\(#,##0\)"/>
    <numFmt numFmtId="167" formatCode="\+0.0%;\-0.0%;0.0%"/>
  </numFmts>
  <fonts count="40" x14ac:knownFonts="1">
    <font>
      <sz val="11"/>
      <color theme="1"/>
      <name val="Calibri"/>
      <family val="2"/>
      <charset val="1"/>
    </font>
    <font>
      <sz val="9"/>
      <color rgb="FF000000"/>
      <name val="Arial"/>
      <family val="2"/>
    </font>
    <font>
      <b/>
      <sz val="14"/>
      <color rgb="FFFFFFFF"/>
      <name val="Arial"/>
      <family val="2"/>
    </font>
    <font>
      <b/>
      <sz val="10"/>
      <color rgb="FF000000"/>
      <name val="Arial"/>
      <family val="2"/>
    </font>
    <font>
      <b/>
      <sz val="12"/>
      <color rgb="FF0000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i/>
      <sz val="8"/>
      <color rgb="FF808080"/>
      <name val="Arial"/>
      <family val="2"/>
    </font>
    <font>
      <sz val="8"/>
      <name val="Calibri"/>
      <family val="2"/>
      <charset val="1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2"/>
      <color rgb="FFFFFFFF"/>
      <name val="Arial"/>
      <family val="2"/>
    </font>
    <font>
      <i/>
      <sz val="9"/>
      <color rgb="FF808080"/>
      <name val="Arial"/>
      <family val="2"/>
    </font>
    <font>
      <b/>
      <sz val="16"/>
      <color rgb="FF1F3864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b/>
      <sz val="12"/>
      <color rgb="FF1F3864"/>
      <name val="Arial"/>
      <family val="2"/>
    </font>
    <font>
      <b/>
      <sz val="9"/>
      <color rgb="FF808080"/>
      <name val="Arial"/>
      <family val="2"/>
    </font>
    <font>
      <b/>
      <sz val="10"/>
      <color rgb="FFFFFFFF"/>
      <name val="Arial"/>
      <family val="2"/>
    </font>
    <font>
      <sz val="10"/>
      <color rgb="FF1F3864"/>
      <name val="Arial"/>
      <family val="2"/>
    </font>
    <font>
      <i/>
      <sz val="8"/>
      <color rgb="FF808080"/>
      <name val="Arial"/>
      <family val="2"/>
    </font>
    <font>
      <b/>
      <sz val="14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000000"/>
      <name val="Arial"/>
      <family val="2"/>
    </font>
    <font>
      <b/>
      <sz val="20"/>
      <color rgb="FF1F3864"/>
      <name val="Arial"/>
      <family val="2"/>
    </font>
    <font>
      <i/>
      <sz val="10"/>
      <color rgb="FF1F3864"/>
      <name val="Arial"/>
      <family val="2"/>
    </font>
    <font>
      <b/>
      <sz val="16"/>
      <color rgb="FFFFFFFF"/>
      <name val="Arial"/>
      <family val="2"/>
    </font>
    <font>
      <b/>
      <sz val="8"/>
      <color rgb="FF9C0006"/>
      <name val="Arial"/>
      <family val="2"/>
    </font>
    <font>
      <b/>
      <sz val="8"/>
      <color rgb="FF006100"/>
      <name val="Arial"/>
      <family val="2"/>
    </font>
    <font>
      <b/>
      <sz val="9"/>
      <color rgb="FF1F3864"/>
      <name val="Arial"/>
      <family val="2"/>
    </font>
    <font>
      <i/>
      <sz val="9"/>
      <color rgb="FF1F3864"/>
      <name val="Arial"/>
      <family val="2"/>
    </font>
    <font>
      <b/>
      <sz val="14"/>
      <color rgb="FFFFFFFF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3"/>
      <color rgb="FFFFFFFF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D9E1F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2E5496"/>
        <bgColor rgb="FF1F3864"/>
      </patternFill>
    </fill>
    <fill>
      <patternFill patternType="solid">
        <fgColor rgb="FFFFFFFF"/>
        <bgColor rgb="FFF9F9F9"/>
      </patternFill>
    </fill>
    <fill>
      <patternFill patternType="solid">
        <fgColor rgb="FFF7F7F7"/>
        <bgColor rgb="FFF9F9F9"/>
      </patternFill>
    </fill>
    <fill>
      <patternFill patternType="solid">
        <fgColor rgb="FFBDD7EE"/>
        <bgColor rgb="FFD0D0D0"/>
      </patternFill>
    </fill>
    <fill>
      <patternFill patternType="solid">
        <fgColor rgb="FF9C0006"/>
        <bgColor rgb="FF800000"/>
      </patternFill>
    </fill>
    <fill>
      <patternFill patternType="solid">
        <fgColor rgb="FF006100"/>
        <bgColor rgb="FF003300"/>
      </patternFill>
    </fill>
    <fill>
      <patternFill patternType="solid">
        <fgColor rgb="FF8EAADB"/>
        <bgColor rgb="FFA5A5A5"/>
      </patternFill>
    </fill>
    <fill>
      <patternFill patternType="solid">
        <fgColor rgb="FFF2F2F2"/>
        <bgColor rgb="FFF7F7F7"/>
      </patternFill>
    </fill>
    <fill>
      <patternFill patternType="solid">
        <fgColor rgb="FF5B9BD5"/>
        <bgColor rgb="FF4BACC6"/>
      </patternFill>
    </fill>
  </fills>
  <borders count="7">
    <border>
      <left/>
      <right/>
      <top/>
      <bottom/>
      <diagonal/>
    </border>
    <border>
      <left style="thin">
        <color rgb="FFD0D0D0"/>
      </left>
      <right/>
      <top style="thin">
        <color rgb="FFD0D0D0"/>
      </top>
      <bottom style="thin">
        <color rgb="FFD0D0D0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0D0D0"/>
      </left>
      <right style="thin">
        <color rgb="FFD0D0D0"/>
      </right>
      <top style="medium">
        <color rgb="FF1F3864"/>
      </top>
      <bottom style="thin">
        <color rgb="FFD0D0D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0" fontId="0" fillId="12" borderId="0" xfId="0" applyFill="1"/>
    <xf numFmtId="0" fontId="3" fillId="3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2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166" fontId="10" fillId="2" borderId="0" xfId="0" applyNumberFormat="1" applyFont="1" applyFill="1" applyAlignment="1">
      <alignment horizontal="right" vertical="center"/>
    </xf>
    <xf numFmtId="166" fontId="16" fillId="0" borderId="5" xfId="0" applyNumberFormat="1" applyFont="1" applyBorder="1" applyAlignment="1">
      <alignment horizontal="right" vertical="center"/>
    </xf>
    <xf numFmtId="0" fontId="18" fillId="2" borderId="0" xfId="0" applyFont="1" applyFill="1" applyAlignment="1">
      <alignment horizontal="center" vertical="center"/>
    </xf>
    <xf numFmtId="3" fontId="30" fillId="0" borderId="3" xfId="0" applyNumberFormat="1" applyFont="1" applyBorder="1" applyAlignment="1">
      <alignment horizontal="right" vertical="center"/>
    </xf>
    <xf numFmtId="0" fontId="16" fillId="0" borderId="3" xfId="0" applyFont="1" applyBorder="1" applyAlignment="1">
      <alignment horizontal="left" vertical="center"/>
    </xf>
    <xf numFmtId="3" fontId="31" fillId="0" borderId="3" xfId="0" applyNumberFormat="1" applyFont="1" applyBorder="1" applyAlignment="1">
      <alignment horizontal="right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left" vertical="center"/>
    </xf>
    <xf numFmtId="166" fontId="16" fillId="0" borderId="3" xfId="0" applyNumberFormat="1" applyFont="1" applyBorder="1" applyAlignment="1">
      <alignment horizontal="right" vertical="center"/>
    </xf>
    <xf numFmtId="0" fontId="17" fillId="0" borderId="3" xfId="0" applyFont="1" applyBorder="1" applyAlignment="1">
      <alignment horizontal="left" vertical="center"/>
    </xf>
    <xf numFmtId="0" fontId="18" fillId="2" borderId="3" xfId="0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right" vertical="center"/>
    </xf>
    <xf numFmtId="0" fontId="12" fillId="6" borderId="3" xfId="0" applyFont="1" applyFill="1" applyBorder="1" applyAlignment="1">
      <alignment horizontal="left" vertical="center"/>
    </xf>
    <xf numFmtId="165" fontId="12" fillId="7" borderId="3" xfId="0" applyNumberFormat="1" applyFont="1" applyFill="1" applyBorder="1" applyAlignment="1">
      <alignment horizontal="right" vertical="center"/>
    </xf>
    <xf numFmtId="0" fontId="12" fillId="7" borderId="3" xfId="0" applyFont="1" applyFill="1" applyBorder="1" applyAlignment="1">
      <alignment horizontal="left" vertical="center"/>
    </xf>
    <xf numFmtId="0" fontId="32" fillId="8" borderId="3" xfId="0" applyFont="1" applyFill="1" applyBorder="1" applyAlignment="1">
      <alignment horizontal="center" vertical="center"/>
    </xf>
    <xf numFmtId="0" fontId="32" fillId="8" borderId="3" xfId="0" applyFont="1" applyFill="1" applyBorder="1" applyAlignment="1">
      <alignment horizontal="left" vertical="center"/>
    </xf>
    <xf numFmtId="165" fontId="21" fillId="2" borderId="4" xfId="0" applyNumberFormat="1" applyFont="1" applyFill="1" applyBorder="1" applyAlignment="1">
      <alignment horizontal="right" vertical="center"/>
    </xf>
    <xf numFmtId="164" fontId="21" fillId="2" borderId="4" xfId="0" applyNumberFormat="1" applyFont="1" applyFill="1" applyBorder="1" applyAlignment="1">
      <alignment horizontal="right" vertical="center"/>
    </xf>
    <xf numFmtId="0" fontId="21" fillId="2" borderId="4" xfId="0" applyFont="1" applyFill="1" applyBorder="1" applyAlignment="1">
      <alignment horizontal="left" vertical="center"/>
    </xf>
    <xf numFmtId="164" fontId="12" fillId="6" borderId="3" xfId="0" applyNumberFormat="1" applyFont="1" applyFill="1" applyBorder="1" applyAlignment="1">
      <alignment horizontal="right" vertical="center"/>
    </xf>
    <xf numFmtId="164" fontId="12" fillId="7" borderId="3" xfId="0" applyNumberFormat="1" applyFont="1" applyFill="1" applyBorder="1" applyAlignment="1">
      <alignment horizontal="right" vertical="center"/>
    </xf>
    <xf numFmtId="165" fontId="9" fillId="2" borderId="4" xfId="0" applyNumberFormat="1" applyFont="1" applyFill="1" applyBorder="1" applyAlignment="1">
      <alignment horizontal="right" vertical="center"/>
    </xf>
    <xf numFmtId="164" fontId="9" fillId="2" borderId="4" xfId="0" applyNumberFormat="1" applyFont="1" applyFill="1" applyBorder="1" applyAlignment="1">
      <alignment horizontal="right" vertical="center"/>
    </xf>
    <xf numFmtId="0" fontId="9" fillId="2" borderId="4" xfId="0" applyFont="1" applyFill="1" applyBorder="1" applyAlignment="1">
      <alignment horizontal="left" vertical="center"/>
    </xf>
    <xf numFmtId="165" fontId="35" fillId="7" borderId="3" xfId="0" applyNumberFormat="1" applyFont="1" applyFill="1" applyBorder="1" applyAlignment="1">
      <alignment horizontal="right" vertical="center"/>
    </xf>
    <xf numFmtId="164" fontId="35" fillId="7" borderId="3" xfId="0" applyNumberFormat="1" applyFont="1" applyFill="1" applyBorder="1" applyAlignment="1">
      <alignment horizontal="right" vertical="center"/>
    </xf>
    <xf numFmtId="0" fontId="36" fillId="7" borderId="3" xfId="0" applyFont="1" applyFill="1" applyBorder="1" applyAlignment="1">
      <alignment vertical="center" indent="2"/>
    </xf>
    <xf numFmtId="165" fontId="26" fillId="8" borderId="4" xfId="0" applyNumberFormat="1" applyFont="1" applyFill="1" applyBorder="1" applyAlignment="1">
      <alignment horizontal="right" vertical="center"/>
    </xf>
    <xf numFmtId="164" fontId="26" fillId="8" borderId="4" xfId="0" applyNumberFormat="1" applyFont="1" applyFill="1" applyBorder="1" applyAlignment="1">
      <alignment horizontal="right" vertical="center"/>
    </xf>
    <xf numFmtId="0" fontId="26" fillId="8" borderId="4" xfId="0" applyFont="1" applyFill="1" applyBorder="1" applyAlignment="1">
      <alignment horizontal="left" vertical="center"/>
    </xf>
    <xf numFmtId="165" fontId="26" fillId="11" borderId="4" xfId="0" applyNumberFormat="1" applyFont="1" applyFill="1" applyBorder="1" applyAlignment="1">
      <alignment horizontal="right" vertical="center"/>
    </xf>
    <xf numFmtId="164" fontId="26" fillId="11" borderId="4" xfId="0" applyNumberFormat="1" applyFont="1" applyFill="1" applyBorder="1" applyAlignment="1">
      <alignment horizontal="right" vertical="center"/>
    </xf>
    <xf numFmtId="0" fontId="26" fillId="11" borderId="4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center" vertical="center"/>
    </xf>
    <xf numFmtId="165" fontId="35" fillId="6" borderId="3" xfId="0" applyNumberFormat="1" applyFont="1" applyFill="1" applyBorder="1" applyAlignment="1">
      <alignment horizontal="right" vertical="center"/>
    </xf>
    <xf numFmtId="164" fontId="35" fillId="6" borderId="3" xfId="0" applyNumberFormat="1" applyFont="1" applyFill="1" applyBorder="1" applyAlignment="1">
      <alignment horizontal="right" vertical="center"/>
    </xf>
    <xf numFmtId="0" fontId="36" fillId="6" borderId="3" xfId="0" applyFont="1" applyFill="1" applyBorder="1" applyAlignment="1">
      <alignment vertical="center" indent="2"/>
    </xf>
    <xf numFmtId="0" fontId="10" fillId="5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left" vertical="center"/>
    </xf>
    <xf numFmtId="0" fontId="21" fillId="5" borderId="3" xfId="0" applyFont="1" applyFill="1" applyBorder="1" applyAlignment="1">
      <alignment horizontal="center" vertical="center"/>
    </xf>
    <xf numFmtId="2" fontId="12" fillId="12" borderId="5" xfId="0" applyNumberFormat="1" applyFont="1" applyFill="1" applyBorder="1" applyAlignment="1">
      <alignment horizontal="right" vertical="center"/>
    </xf>
    <xf numFmtId="0" fontId="39" fillId="0" borderId="0" xfId="0" applyFont="1"/>
    <xf numFmtId="0" fontId="17" fillId="0" borderId="0" xfId="0" applyFont="1" applyAlignment="1">
      <alignment horizontal="left" vertical="center"/>
    </xf>
    <xf numFmtId="166" fontId="16" fillId="0" borderId="0" xfId="0" applyNumberFormat="1" applyFont="1" applyAlignment="1">
      <alignment horizontal="right" vertical="center"/>
    </xf>
    <xf numFmtId="22" fontId="0" fillId="0" borderId="0" xfId="0" applyNumberFormat="1"/>
    <xf numFmtId="0" fontId="13" fillId="13" borderId="0" xfId="0" applyFont="1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left" vertical="center"/>
    </xf>
    <xf numFmtId="164" fontId="19" fillId="12" borderId="0" xfId="0" applyNumberFormat="1" applyFont="1" applyFill="1" applyAlignment="1">
      <alignment horizontal="right" vertical="center"/>
    </xf>
    <xf numFmtId="167" fontId="11" fillId="12" borderId="0" xfId="0" applyNumberFormat="1" applyFont="1" applyFill="1" applyAlignment="1">
      <alignment horizontal="right" vertical="center"/>
    </xf>
    <xf numFmtId="0" fontId="18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6" xfId="0" applyFont="1" applyBorder="1" applyAlignment="1">
      <alignment horizontal="left" vertical="center"/>
    </xf>
    <xf numFmtId="165" fontId="20" fillId="12" borderId="0" xfId="0" applyNumberFormat="1" applyFont="1" applyFill="1" applyAlignment="1">
      <alignment horizontal="right" vertical="center"/>
    </xf>
    <xf numFmtId="0" fontId="22" fillId="6" borderId="0" xfId="0" applyFont="1" applyFill="1" applyAlignment="1">
      <alignment horizontal="left" vertical="center" indent="1"/>
    </xf>
    <xf numFmtId="0" fontId="22" fillId="12" borderId="0" xfId="0" applyFont="1" applyFill="1" applyAlignment="1">
      <alignment horizontal="left" vertical="center" indent="1"/>
    </xf>
    <xf numFmtId="0" fontId="21" fillId="5" borderId="0" xfId="0" applyFont="1" applyFill="1" applyAlignment="1">
      <alignment horizontal="center" vertical="center"/>
    </xf>
    <xf numFmtId="165" fontId="24" fillId="12" borderId="0" xfId="0" applyNumberFormat="1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165" fontId="26" fillId="12" borderId="0" xfId="0" applyNumberFormat="1" applyFont="1" applyFill="1" applyAlignment="1">
      <alignment horizontal="center" vertical="center"/>
    </xf>
    <xf numFmtId="164" fontId="27" fillId="12" borderId="0" xfId="0" applyNumberFormat="1" applyFont="1" applyFill="1" applyAlignment="1">
      <alignment horizontal="center" vertical="center"/>
    </xf>
    <xf numFmtId="167" fontId="26" fillId="12" borderId="0" xfId="0" applyNumberFormat="1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1" fillId="5" borderId="1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21" fillId="5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10" fillId="1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2" xfId="0" applyFont="1" applyBorder="1" applyAlignment="1">
      <alignment horizontal="left" vertical="top" wrapText="1"/>
    </xf>
    <xf numFmtId="0" fontId="34" fillId="2" borderId="0" xfId="0" applyFont="1" applyFill="1" applyAlignment="1">
      <alignment horizontal="left" vertical="center"/>
    </xf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0006"/>
        <name val="Arial"/>
        <charset val="1"/>
      </font>
      <fill>
        <patternFill>
          <bgColor rgb="FFFFC7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FBFBF"/>
      <rgbColor rgb="FF808080"/>
      <rgbColor rgb="FF8EAADB"/>
      <rgbColor rgb="FFC0504D"/>
      <rgbColor rgb="FFF9F9F9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7F7F7"/>
      <rgbColor rgb="FFC6EFCE"/>
      <rgbColor rgb="FFD9D9D9"/>
      <rgbColor rgb="FFD0D0D0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4F81BD"/>
      <rgbColor rgb="FF878787"/>
      <rgbColor rgb="FF1F3864"/>
      <rgbColor rgb="FF339966"/>
      <rgbColor rgb="FF003300"/>
      <rgbColor rgb="FF333300"/>
      <rgbColor rgb="FF993300"/>
      <rgbColor rgb="FF993366"/>
      <rgbColor rgb="FF2E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26263873878512"/>
          <c:y val="0.11410215736040609"/>
          <c:w val="0.67040564540210912"/>
          <c:h val="0.77161954378538733"/>
        </c:manualLayout>
      </c:layout>
      <c:doughnut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1F386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3821-40B6-AE7D-E16E7B02F9CE}"/>
              </c:ext>
            </c:extLst>
          </c:dPt>
          <c:dPt>
            <c:idx val="1"/>
            <c:bubble3D val="0"/>
            <c:spPr>
              <a:solidFill>
                <a:srgbClr val="D9D9D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3821-40B6-AE7D-E16E7B02F9CE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21-40B6-AE7D-E16E7B02F9CE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21-40B6-AE7D-E16E7B02F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_CALC!$F$50:$F$51</c:f>
              <c:strCache>
                <c:ptCount val="2"/>
                <c:pt idx="0">
                  <c:v>Réalisé</c:v>
                </c:pt>
                <c:pt idx="1">
                  <c:v>Reste</c:v>
                </c:pt>
              </c:strCache>
            </c:strRef>
          </c:cat>
          <c:val>
            <c:numRef>
              <c:f>_CALC!$G$50:$G$51</c:f>
              <c:numCache>
                <c:formatCode>General</c:formatCode>
                <c:ptCount val="2"/>
                <c:pt idx="0" formatCode="#,##0;\(#,##0\);\-">
                  <c:v>2637.590000000002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21-40B6-AE7D-E16E7B02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_CALC!$D$40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4F81BD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_CALC!$C$41:$C$45</c:f>
              <c:strCache>
                <c:ptCount val="5"/>
                <c:pt idx="0">
                  <c:v>Céréales &amp; Meunerie</c:v>
                </c:pt>
                <c:pt idx="1">
                  <c:v>Huiles &amp; Corps Gras</c:v>
                </c:pt>
                <c:pt idx="2">
                  <c:v>Lait &amp; Produits Laitiers</c:v>
                </c:pt>
                <c:pt idx="3">
                  <c:v>Sucre &amp; Conserves</c:v>
                </c:pt>
                <c:pt idx="4">
                  <c:v>Boissons &amp; Jus</c:v>
                </c:pt>
              </c:strCache>
            </c:strRef>
          </c:cat>
          <c:val>
            <c:numRef>
              <c:f>_CALC!$D$41:$D$45</c:f>
              <c:numCache>
                <c:formatCode>#,##0;\(#,##0\);\-</c:formatCode>
                <c:ptCount val="5"/>
                <c:pt idx="0">
                  <c:v>2637.590000000002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F-425A-A834-3D479638F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20028"/>
        <c:axId val="98631319"/>
      </c:barChart>
      <c:catAx>
        <c:axId val="369200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8631319"/>
        <c:crosses val="autoZero"/>
        <c:auto val="1"/>
        <c:lblAlgn val="ctr"/>
        <c:lblOffset val="100"/>
        <c:noMultiLvlLbl val="0"/>
      </c:catAx>
      <c:valAx>
        <c:axId val="98631319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#,##0;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692002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_CALC!$D$40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91C-4866-A599-8A785A09E23A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2-891C-4866-A599-8A785A09E23A}"/>
              </c:ext>
            </c:extLst>
          </c:dPt>
          <c:dPt>
            <c:idx val="2"/>
            <c:bubble3D val="0"/>
            <c:spPr>
              <a:solidFill>
                <a:srgbClr val="9BBB5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4-891C-4866-A599-8A785A09E23A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6-891C-4866-A599-8A785A09E23A}"/>
              </c:ext>
            </c:extLst>
          </c:dPt>
          <c:dPt>
            <c:idx val="4"/>
            <c:bubble3D val="0"/>
            <c:spPr>
              <a:solidFill>
                <a:srgbClr val="4BACC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8-891C-4866-A599-8A785A09E23A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1C-4866-A599-8A785A09E23A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1C-4866-A599-8A785A09E23A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1C-4866-A599-8A785A09E23A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1C-4866-A599-8A785A09E23A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1C-4866-A599-8A785A09E2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_CALC!$C$41:$C$45</c:f>
              <c:strCache>
                <c:ptCount val="5"/>
                <c:pt idx="0">
                  <c:v>Céréales &amp; Meunerie</c:v>
                </c:pt>
                <c:pt idx="1">
                  <c:v>Huiles &amp; Corps Gras</c:v>
                </c:pt>
                <c:pt idx="2">
                  <c:v>Lait &amp; Produits Laitiers</c:v>
                </c:pt>
                <c:pt idx="3">
                  <c:v>Sucre &amp; Conserves</c:v>
                </c:pt>
                <c:pt idx="4">
                  <c:v>Boissons &amp; Jus</c:v>
                </c:pt>
              </c:strCache>
            </c:strRef>
          </c:cat>
          <c:val>
            <c:numRef>
              <c:f>_CALC!$D$41:$D$45</c:f>
              <c:numCache>
                <c:formatCode>#,##0;\(#,##0\);\-</c:formatCode>
                <c:ptCount val="5"/>
                <c:pt idx="0">
                  <c:v>2637.590000000002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1C-4866-A599-8A785A09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_CALC!$B$55</c:f>
              <c:strCache>
                <c:ptCount val="1"/>
                <c:pt idx="0">
                  <c:v>CA_YTD</c:v>
                </c:pt>
              </c:strCache>
            </c:strRef>
          </c:tx>
          <c:spPr>
            <a:solidFill>
              <a:srgbClr val="2E5496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_CALC!$A$56:$A$64</c:f>
              <c:strCache>
                <c:ptCount val="9"/>
                <c:pt idx="0">
                  <c:v>Carrefour</c:v>
                </c:pt>
                <c:pt idx="1">
                  <c:v>Casino</c:v>
                </c:pt>
                <c:pt idx="2">
                  <c:v>Monoprix</c:v>
                </c:pt>
                <c:pt idx="3">
                  <c:v>Auchan</c:v>
                </c:pt>
                <c:pt idx="4">
                  <c:v>Géant Casino</c:v>
                </c:pt>
                <c:pt idx="5">
                  <c:v>Système U</c:v>
                </c:pt>
                <c:pt idx="6">
                  <c:v>Leclerc</c:v>
                </c:pt>
                <c:pt idx="7">
                  <c:v>Cora</c:v>
                </c:pt>
                <c:pt idx="8">
                  <c:v>Intermarché</c:v>
                </c:pt>
              </c:strCache>
            </c:strRef>
          </c:cat>
          <c:val>
            <c:numRef>
              <c:f>_CALC!$B$56:$B$64</c:f>
              <c:numCache>
                <c:formatCode>General</c:formatCode>
                <c:ptCount val="9"/>
                <c:pt idx="0">
                  <c:v>312.85999999999996</c:v>
                </c:pt>
                <c:pt idx="1">
                  <c:v>309.33</c:v>
                </c:pt>
                <c:pt idx="2">
                  <c:v>309.05000000000007</c:v>
                </c:pt>
                <c:pt idx="3">
                  <c:v>308</c:v>
                </c:pt>
                <c:pt idx="4">
                  <c:v>296.0900000000002</c:v>
                </c:pt>
                <c:pt idx="5">
                  <c:v>292.68000000000006</c:v>
                </c:pt>
                <c:pt idx="6">
                  <c:v>273.95999999999992</c:v>
                </c:pt>
                <c:pt idx="7">
                  <c:v>273.85999999999996</c:v>
                </c:pt>
                <c:pt idx="8">
                  <c:v>261.75999999999988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D-4C68-9035-9034D73B8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008232"/>
        <c:axId val="11879787"/>
      </c:barChart>
      <c:catAx>
        <c:axId val="9700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11879787"/>
        <c:crosses val="autoZero"/>
        <c:auto val="1"/>
        <c:lblAlgn val="ctr"/>
        <c:lblOffset val="100"/>
        <c:noMultiLvlLbl val="0"/>
      </c:catAx>
      <c:valAx>
        <c:axId val="11879787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700823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900888133030994E-2"/>
          <c:y val="4.5362543159899987E-2"/>
          <c:w val="0.91703026581002767"/>
          <c:h val="0.818289478906218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_CALC!$B$69</c:f>
              <c:strCache>
                <c:ptCount val="1"/>
                <c:pt idx="0">
                  <c:v>Charges_YTD</c:v>
                </c:pt>
              </c:strCache>
            </c:strRef>
          </c:tx>
          <c:spPr>
            <a:solidFill>
              <a:srgbClr val="1F3864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_CALC!$A$70</c:f>
              <c:numCache>
                <c:formatCode>General</c:formatCode>
                <c:ptCount val="1"/>
              </c:numCache>
            </c:numRef>
          </c:cat>
          <c:val>
            <c:numRef>
              <c:f>_CALC!$B$70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3EB-45B3-B21F-18AD458CF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813154"/>
        <c:axId val="19971376"/>
      </c:barChart>
      <c:catAx>
        <c:axId val="6681315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gradFill>
                  <a:gsLst>
                    <a:gs pos="8000">
                      <a:srgbClr val="FF0000"/>
                    </a:gs>
                    <a:gs pos="0">
                      <a:schemeClr val="accent1">
                        <a:lumMod val="45000"/>
                        <a:lumOff val="55000"/>
                      </a:schemeClr>
                    </a:gs>
                    <a:gs pos="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latin typeface="Calibri"/>
              </a:defRPr>
            </a:pPr>
            <a:endParaRPr lang="fr-FR"/>
          </a:p>
        </c:txPr>
        <c:crossAx val="19971376"/>
        <c:crosses val="autoZero"/>
        <c:auto val="1"/>
        <c:lblAlgn val="ctr"/>
        <c:lblOffset val="100"/>
        <c:noMultiLvlLbl val="0"/>
      </c:catAx>
      <c:valAx>
        <c:axId val="19971376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6681315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Évolution du CA mensuel (k€)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MENSUEL_PQ!$C$1</c:f>
              <c:strCache>
                <c:ptCount val="1"/>
                <c:pt idx="0">
                  <c:v>CA_R25</c:v>
                </c:pt>
              </c:strCache>
            </c:strRef>
          </c:tx>
          <c:spPr>
            <a:ln w="28080">
              <a:solidFill>
                <a:srgbClr val="A5A5A5"/>
              </a:solidFill>
              <a:round/>
            </a:ln>
          </c:spPr>
          <c:marker>
            <c:symbol val="circle"/>
            <c:size val="5"/>
            <c:spPr>
              <a:solidFill>
                <a:srgbClr val="A5A5A5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MENSUEL_PQ!$C$2:$C$13</c:f>
              <c:numCache>
                <c:formatCode>General</c:formatCode>
                <c:ptCount val="12"/>
                <c:pt idx="0">
                  <c:v>1772.7099999999978</c:v>
                </c:pt>
                <c:pt idx="1">
                  <c:v>594.63999999999965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B-4C13-8C38-7E4A804E483F}"/>
            </c:ext>
          </c:extLst>
        </c:ser>
        <c:ser>
          <c:idx val="1"/>
          <c:order val="1"/>
          <c:tx>
            <c:strRef>
              <c:f>MENSUEL_PQ!$D$1</c:f>
              <c:strCache>
                <c:ptCount val="1"/>
                <c:pt idx="0">
                  <c:v>CA_B26</c:v>
                </c:pt>
              </c:strCache>
            </c:strRef>
          </c:tx>
          <c:spPr>
            <a:ln w="28080">
              <a:solidFill>
                <a:srgbClr val="1F3864"/>
              </a:solidFill>
              <a:round/>
            </a:ln>
          </c:spPr>
          <c:marker>
            <c:symbol val="circle"/>
            <c:size val="5"/>
            <c:spPr>
              <a:solidFill>
                <a:srgbClr val="1F3864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MENSUEL_PQ!$D$2:$D$13</c:f>
              <c:numCache>
                <c:formatCode>General</c:formatCode>
                <c:ptCount val="12"/>
                <c:pt idx="0">
                  <c:v>2033.3299999999965</c:v>
                </c:pt>
                <c:pt idx="1">
                  <c:v>675.28999999999985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B-4C13-8C38-7E4A804E483F}"/>
            </c:ext>
          </c:extLst>
        </c:ser>
        <c:ser>
          <c:idx val="2"/>
          <c:order val="2"/>
          <c:tx>
            <c:strRef>
              <c:f>MENSUEL_PQ!$E$1</c:f>
              <c:strCache>
                <c:ptCount val="1"/>
                <c:pt idx="0">
                  <c:v>CA_R26</c:v>
                </c:pt>
              </c:strCache>
            </c:strRef>
          </c:tx>
          <c:spPr>
            <a:ln w="28080">
              <a:solidFill>
                <a:srgbClr val="2E9BD6"/>
              </a:solidFill>
              <a:round/>
            </a:ln>
          </c:spPr>
          <c:marker>
            <c:symbol val="circle"/>
            <c:size val="5"/>
            <c:spPr>
              <a:solidFill>
                <a:srgbClr val="2E9BD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MENSUEL_PQ!$E$2:$E$13</c:f>
              <c:numCache>
                <c:formatCode>General</c:formatCode>
                <c:ptCount val="12"/>
                <c:pt idx="0">
                  <c:v>1874.2900000000009</c:v>
                </c:pt>
                <c:pt idx="1">
                  <c:v>763.30000000000018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B-4C13-8C38-7E4A804E4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74781534"/>
        <c:axId val="32111606"/>
      </c:lineChart>
      <c:catAx>
        <c:axId val="7478153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2111606"/>
        <c:crosses val="autoZero"/>
        <c:auto val="1"/>
        <c:lblAlgn val="ctr"/>
        <c:lblOffset val="100"/>
        <c:noMultiLvlLbl val="0"/>
      </c:catAx>
      <c:valAx>
        <c:axId val="3211160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7478153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EBITDA mensuel &amp; marge (k€ / %)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MENSUEL_PQ!$F$1</c:f>
              <c:strCache>
                <c:ptCount val="1"/>
                <c:pt idx="0">
                  <c:v>EBITDA_R25</c:v>
                </c:pt>
              </c:strCache>
            </c:strRef>
          </c:tx>
          <c:spPr>
            <a:solidFill>
              <a:srgbClr val="4F81BD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MENSUEL_PQ!$F$2:$F$13</c:f>
              <c:numCache>
                <c:formatCode>General</c:formatCode>
                <c:ptCount val="12"/>
                <c:pt idx="0">
                  <c:v>1772.7099999999978</c:v>
                </c:pt>
                <c:pt idx="1">
                  <c:v>594.63999999999965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66-4CCA-8C6D-FD0E291899F7}"/>
            </c:ext>
          </c:extLst>
        </c:ser>
        <c:ser>
          <c:idx val="1"/>
          <c:order val="1"/>
          <c:tx>
            <c:strRef>
              <c:f>MENSUEL_PQ!$G$1</c:f>
              <c:strCache>
                <c:ptCount val="1"/>
                <c:pt idx="0">
                  <c:v>EBITDA_B26</c:v>
                </c:pt>
              </c:strCache>
            </c:strRef>
          </c:tx>
          <c:spPr>
            <a:solidFill>
              <a:srgbClr val="C0504D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MENSUEL_PQ!$G$2:$G$13</c:f>
              <c:numCache>
                <c:formatCode>General</c:formatCode>
                <c:ptCount val="12"/>
                <c:pt idx="0">
                  <c:v>2033.3299999999965</c:v>
                </c:pt>
                <c:pt idx="1">
                  <c:v>675.28999999999985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66-4CCA-8C6D-FD0E291899F7}"/>
            </c:ext>
          </c:extLst>
        </c:ser>
        <c:ser>
          <c:idx val="2"/>
          <c:order val="2"/>
          <c:tx>
            <c:strRef>
              <c:f>MENSUEL_PQ!$H$1</c:f>
              <c:strCache>
                <c:ptCount val="1"/>
                <c:pt idx="0">
                  <c:v>EBITDA_R26</c:v>
                </c:pt>
              </c:strCache>
            </c:strRef>
          </c:tx>
          <c:spPr>
            <a:solidFill>
              <a:srgbClr val="9BBB59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MENSUEL_PQ!$H$2:$H$13</c:f>
              <c:numCache>
                <c:formatCode>General</c:formatCode>
                <c:ptCount val="12"/>
                <c:pt idx="0">
                  <c:v>1874.2900000000009</c:v>
                </c:pt>
                <c:pt idx="1">
                  <c:v>763.30000000000018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66-4CCA-8C6D-FD0E29189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28949"/>
        <c:axId val="9709644"/>
      </c:barChart>
      <c:lineChart>
        <c:grouping val="standard"/>
        <c:varyColors val="0"/>
        <c:ser>
          <c:idx val="3"/>
          <c:order val="3"/>
          <c:tx>
            <c:strRef>
              <c:f>MENSUEL_PQ!$L$1</c:f>
              <c:strCache>
                <c:ptCount val="1"/>
                <c:pt idx="0">
                  <c:v>MgEBITDA_R26</c:v>
                </c:pt>
              </c:strCache>
            </c:strRef>
          </c:tx>
          <c:spPr>
            <a:ln w="2988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MENSUEL_PQ!$L$2:$L$13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6-4CCA-8C6D-FD0E29189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95070983"/>
        <c:axId val="34371853"/>
      </c:lineChart>
      <c:catAx>
        <c:axId val="8312894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709644"/>
        <c:crosses val="autoZero"/>
        <c:auto val="1"/>
        <c:lblAlgn val="ctr"/>
        <c:lblOffset val="100"/>
        <c:noMultiLvlLbl val="0"/>
      </c:catAx>
      <c:valAx>
        <c:axId val="970964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83128949"/>
        <c:crosses val="autoZero"/>
        <c:crossBetween val="between"/>
      </c:valAx>
      <c:catAx>
        <c:axId val="9507098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4371853"/>
        <c:crosses val="autoZero"/>
        <c:auto val="1"/>
        <c:lblAlgn val="ctr"/>
        <c:lblOffset val="100"/>
        <c:noMultiLvlLbl val="0"/>
      </c:catAx>
      <c:valAx>
        <c:axId val="34371853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Marge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5070983"/>
        <c:crosses val="max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Passerelle Résultat net : Budget → Réel (par poste)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Base</c:v>
          </c:tx>
          <c:spPr>
            <a:noFill/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_CALC!$E$21:$E$32</c:f>
              <c:numCache>
                <c:formatCode>#,##0;\(#,##0\);\-</c:formatCode>
                <c:ptCount val="12"/>
                <c:pt idx="0">
                  <c:v>0</c:v>
                </c:pt>
                <c:pt idx="1">
                  <c:v>2637.590000000002</c:v>
                </c:pt>
                <c:pt idx="2">
                  <c:v>2637.590000000002</c:v>
                </c:pt>
                <c:pt idx="3">
                  <c:v>2637.590000000002</c:v>
                </c:pt>
                <c:pt idx="4">
                  <c:v>2637.590000000002</c:v>
                </c:pt>
                <c:pt idx="5">
                  <c:v>2637.590000000002</c:v>
                </c:pt>
                <c:pt idx="6">
                  <c:v>2637.590000000002</c:v>
                </c:pt>
                <c:pt idx="7">
                  <c:v>2637.590000000002</c:v>
                </c:pt>
                <c:pt idx="8">
                  <c:v>2637.590000000002</c:v>
                </c:pt>
                <c:pt idx="9">
                  <c:v>2637.590000000002</c:v>
                </c:pt>
                <c:pt idx="10">
                  <c:v>2637.590000000002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3-4BA8-8924-5DC4C30BC82C}"/>
            </c:ext>
          </c:extLst>
        </c:ser>
        <c:ser>
          <c:idx val="1"/>
          <c:order val="1"/>
          <c:tx>
            <c:v>Baisse</c:v>
          </c:tx>
          <c:spPr>
            <a:solidFill>
              <a:srgbClr val="C00000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_CALC!$G$21:$G$32</c:f>
              <c:numCache>
                <c:formatCode>#,##0;\(#,##0\);\-</c:formatCode>
                <c:ptCount val="12"/>
                <c:pt idx="0">
                  <c:v>0</c:v>
                </c:pt>
                <c:pt idx="1">
                  <c:v>71.029999999995653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3-4BA8-8924-5DC4C30BC82C}"/>
            </c:ext>
          </c:extLst>
        </c:ser>
        <c:ser>
          <c:idx val="2"/>
          <c:order val="2"/>
          <c:tx>
            <c:v>Hausse</c:v>
          </c:tx>
          <c:spPr>
            <a:solidFill>
              <a:srgbClr val="548235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_CALC!$F$21:$F$32</c:f>
              <c:numCache>
                <c:formatCode>#,##0;\(#,##0\);\-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73-4BA8-8924-5DC4C30BC82C}"/>
            </c:ext>
          </c:extLst>
        </c:ser>
        <c:ser>
          <c:idx val="3"/>
          <c:order val="3"/>
          <c:tx>
            <c:v>Total</c:v>
          </c:tx>
          <c:spPr>
            <a:solidFill>
              <a:srgbClr val="1F3864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_CALC!$D$21:$D$32</c:f>
              <c:numCache>
                <c:formatCode>#,##0;\(#,##0\);\-</c:formatCode>
                <c:ptCount val="12"/>
                <c:pt idx="0">
                  <c:v>2708.6199999999976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2637.590000000002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73-4BA8-8924-5DC4C30BC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75865728"/>
        <c:axId val="907185"/>
      </c:barChart>
      <c:catAx>
        <c:axId val="758657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07185"/>
        <c:crosses val="autoZero"/>
        <c:auto val="1"/>
        <c:lblAlgn val="ctr"/>
        <c:lblOffset val="100"/>
        <c:noMultiLvlLbl val="0"/>
      </c:catAx>
      <c:valAx>
        <c:axId val="90718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;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75865728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Décomposition Volume / Prix / Mix par BU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_CALC!$L$85</c:f>
              <c:strCache>
                <c:ptCount val="1"/>
                <c:pt idx="0">
                  <c:v>Effet_Volume</c:v>
                </c:pt>
              </c:strCache>
            </c:strRef>
          </c:tx>
          <c:spPr>
            <a:solidFill>
              <a:srgbClr val="2E5496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_CALC!$J$86:$J$86</c:f>
              <c:strCache>
                <c:ptCount val="1"/>
                <c:pt idx="0">
                  <c:v>Céréales &amp; Meunerie</c:v>
                </c:pt>
              </c:strCache>
            </c:strRef>
          </c:cat>
          <c:val>
            <c:numRef>
              <c:f>_CALC!$L$86:$L$86</c:f>
              <c:numCache>
                <c:formatCode>General</c:formatCode>
                <c:ptCount val="1"/>
                <c:pt idx="0">
                  <c:v>-40.742758745402497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3-46B6-BD5F-279516232EE1}"/>
            </c:ext>
          </c:extLst>
        </c:ser>
        <c:ser>
          <c:idx val="1"/>
          <c:order val="1"/>
          <c:tx>
            <c:strRef>
              <c:f>_CALC!$M$85</c:f>
              <c:strCache>
                <c:ptCount val="1"/>
                <c:pt idx="0">
                  <c:v>Effet_Prix</c:v>
                </c:pt>
              </c:strCache>
            </c:strRef>
          </c:tx>
          <c:spPr>
            <a:solidFill>
              <a:srgbClr val="FFC000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_CALC!$J$86:$J$86</c:f>
              <c:strCache>
                <c:ptCount val="1"/>
                <c:pt idx="0">
                  <c:v>Céréales &amp; Meunerie</c:v>
                </c:pt>
              </c:strCache>
            </c:strRef>
          </c:cat>
          <c:val>
            <c:numRef>
              <c:f>_CALC!$M$86:$M$86</c:f>
              <c:numCache>
                <c:formatCode>General</c:formatCode>
                <c:ptCount val="1"/>
                <c:pt idx="0">
                  <c:v>-30.74977594112913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03-46B6-BD5F-279516232EE1}"/>
            </c:ext>
          </c:extLst>
        </c:ser>
        <c:ser>
          <c:idx val="2"/>
          <c:order val="2"/>
          <c:tx>
            <c:strRef>
              <c:f>_CALC!$N$85</c:f>
              <c:strCache>
                <c:ptCount val="1"/>
                <c:pt idx="0">
                  <c:v>Effet_Mix</c:v>
                </c:pt>
              </c:strCache>
            </c:strRef>
          </c:tx>
          <c:spPr>
            <a:solidFill>
              <a:srgbClr val="C00000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_CALC!$J$86:$J$86</c:f>
              <c:strCache>
                <c:ptCount val="1"/>
                <c:pt idx="0">
                  <c:v>Céréales &amp; Meunerie</c:v>
                </c:pt>
              </c:strCache>
            </c:strRef>
          </c:cat>
          <c:val>
            <c:numRef>
              <c:f>_CALC!$N$86:$N$86</c:f>
              <c:numCache>
                <c:formatCode>General</c:formatCode>
                <c:ptCount val="1"/>
                <c:pt idx="0">
                  <c:v>0.46253468653580321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03-46B6-BD5F-27951623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9840"/>
        <c:axId val="82339954"/>
      </c:barChart>
      <c:catAx>
        <c:axId val="3634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82339954"/>
        <c:crosses val="autoZero"/>
        <c:auto val="1"/>
        <c:lblAlgn val="ctr"/>
        <c:lblOffset val="100"/>
        <c:noMultiLvlLbl val="0"/>
      </c:catAx>
      <c:valAx>
        <c:axId val="8233995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6349840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Passerelle EBITDA : Budget → Réel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Base</c:v>
          </c:tx>
          <c:spPr>
            <a:noFill/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_CALC!$E$2:$E$8</c:f>
              <c:numCache>
                <c:formatCode>General</c:formatCode>
                <c:ptCount val="7"/>
                <c:pt idx="0">
                  <c:v>0</c:v>
                </c:pt>
                <c:pt idx="1">
                  <c:v>2637.590000000002</c:v>
                </c:pt>
                <c:pt idx="2">
                  <c:v>2637.590000000002</c:v>
                </c:pt>
                <c:pt idx="3">
                  <c:v>2637.590000000002</c:v>
                </c:pt>
                <c:pt idx="4">
                  <c:v>2637.590000000002</c:v>
                </c:pt>
                <c:pt idx="5">
                  <c:v>2637.590000000002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A-415E-BEA3-7D38A237B23A}"/>
            </c:ext>
          </c:extLst>
        </c:ser>
        <c:ser>
          <c:idx val="1"/>
          <c:order val="1"/>
          <c:tx>
            <c:v>Baisse</c:v>
          </c:tx>
          <c:spPr>
            <a:solidFill>
              <a:srgbClr val="C00000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_CALC!$G$2:$G$8</c:f>
              <c:numCache>
                <c:formatCode>General</c:formatCode>
                <c:ptCount val="7"/>
                <c:pt idx="0">
                  <c:v>0</c:v>
                </c:pt>
                <c:pt idx="1">
                  <c:v>71.029999999995653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7A-415E-BEA3-7D38A237B23A}"/>
            </c:ext>
          </c:extLst>
        </c:ser>
        <c:ser>
          <c:idx val="2"/>
          <c:order val="2"/>
          <c:tx>
            <c:v>Hausse</c:v>
          </c:tx>
          <c:spPr>
            <a:solidFill>
              <a:srgbClr val="548235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7A-415E-BEA3-7D38A237B23A}"/>
            </c:ext>
          </c:extLst>
        </c:ser>
        <c:ser>
          <c:idx val="3"/>
          <c:order val="3"/>
          <c:tx>
            <c:v>Total</c:v>
          </c:tx>
          <c:spPr>
            <a:solidFill>
              <a:srgbClr val="1F3864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_CALC!$D$2:$D$8</c:f>
              <c:numCache>
                <c:formatCode>General</c:formatCode>
                <c:ptCount val="7"/>
                <c:pt idx="0">
                  <c:v>2708.6199999999976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;\(#,##0\);\-">
                  <c:v>2637.590000000002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A-415E-BEA3-7D38A237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20420923"/>
        <c:axId val="45623418"/>
      </c:barChart>
      <c:catAx>
        <c:axId val="2042092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45623418"/>
        <c:crosses val="autoZero"/>
        <c:auto val="1"/>
        <c:lblAlgn val="ctr"/>
        <c:lblOffset val="100"/>
        <c:noMultiLvlLbl val="0"/>
      </c:catAx>
      <c:valAx>
        <c:axId val="4562341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20420923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Positionnement des BU : croissance (x) vs marge EBITDA (y)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ubbleChart>
        <c:varyColors val="0"/>
        <c:ser>
          <c:idx val="0"/>
          <c:order val="0"/>
          <c:tx>
            <c:v>Céréales &amp; Meunerie</c:v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_CALC!$D$12</c:f>
              <c:numCache>
                <c:formatCode>0.0%;\(0.0%\);\-</c:formatCode>
                <c:ptCount val="1"/>
                <c:pt idx="0">
                  <c:v>0.11415295583669847</c:v>
                </c:pt>
              </c:numCache>
            </c:numRef>
          </c:xVal>
          <c:yVal>
            <c:numRef>
              <c:f>_CALC!$E$12</c:f>
              <c:numCache>
                <c:formatCode>0.0%;\(0.0%\);\-</c:formatCode>
                <c:ptCount val="1"/>
                <c:pt idx="0">
                  <c:v>1</c:v>
                </c:pt>
              </c:numCache>
            </c:numRef>
          </c:yVal>
          <c:bubbleSize>
            <c:numRef>
              <c:f>_CALC!$F$12</c:f>
              <c:numCache>
                <c:formatCode>#,##0;\(#,##0\);\-</c:formatCode>
                <c:ptCount val="1"/>
                <c:pt idx="0">
                  <c:v>2637.590000000002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696-4000-B190-81CB4EC7B2DE}"/>
            </c:ext>
          </c:extLst>
        </c:ser>
        <c:ser>
          <c:idx val="1"/>
          <c:order val="1"/>
          <c:tx>
            <c:v>Huiles &amp; Corps Gras</c:v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_CALC!$E$13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_CALC!$F$13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9696-4000-B190-81CB4EC7B2DE}"/>
            </c:ext>
          </c:extLst>
        </c:ser>
        <c:ser>
          <c:idx val="2"/>
          <c:order val="2"/>
          <c:tx>
            <c:v>Lait &amp; Produits Laitiers</c:v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_CALC!$E$14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_CALC!$F$14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9696-4000-B190-81CB4EC7B2DE}"/>
            </c:ext>
          </c:extLst>
        </c:ser>
        <c:ser>
          <c:idx val="3"/>
          <c:order val="3"/>
          <c:tx>
            <c:v>Sucre &amp; Conserves</c:v>
          </c:tx>
          <c:spPr>
            <a:solidFill>
              <a:srgbClr val="FFC000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_CALC!$D$15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_CALC!$E$15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_CALC!$F$15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9696-4000-B190-81CB4EC7B2DE}"/>
            </c:ext>
          </c:extLst>
        </c:ser>
        <c:ser>
          <c:idx val="4"/>
          <c:order val="4"/>
          <c:tx>
            <c:v>Boissons &amp; Jus</c:v>
          </c:tx>
          <c:spPr>
            <a:solidFill>
              <a:srgbClr val="5B9BD5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_CALC!$D$16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_CALC!$E$16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_CALC!$F$16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9696-4000-B190-81CB4EC7B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1"/>
        <c:axId val="68967935"/>
        <c:axId val="4704486"/>
      </c:bubbleChart>
      <c:valAx>
        <c:axId val="6896793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Croissance vs N-1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4704486"/>
        <c:crosses val="autoZero"/>
        <c:crossBetween val="midCat"/>
      </c:valAx>
      <c:valAx>
        <c:axId val="470448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Marge EBITDA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68967935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274320</xdr:colOff>
      <xdr:row>5</xdr:row>
      <xdr:rowOff>15240</xdr:rowOff>
    </xdr:from>
    <xdr:ext cx="1165860" cy="945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09BED0-4008-4A3D-B672-A386648A39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68580</xdr:colOff>
      <xdr:row>49</xdr:row>
      <xdr:rowOff>30480</xdr:rowOff>
    </xdr:from>
    <xdr:ext cx="3307080" cy="213432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C26563-2BEF-4385-A31D-861976B86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11</xdr:col>
      <xdr:colOff>388620</xdr:colOff>
      <xdr:row>48</xdr:row>
      <xdr:rowOff>138300</xdr:rowOff>
    </xdr:from>
    <xdr:ext cx="3230880" cy="231606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33F712-00C5-46B5-9B7B-3A7752204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2</xdr:col>
      <xdr:colOff>495300</xdr:colOff>
      <xdr:row>78</xdr:row>
      <xdr:rowOff>53340</xdr:rowOff>
    </xdr:from>
    <xdr:ext cx="6350400" cy="251934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AA2468E-87D2-46F3-9E4F-F10D51830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2</xdr:col>
      <xdr:colOff>447560</xdr:colOff>
      <xdr:row>93</xdr:row>
      <xdr:rowOff>49530</xdr:rowOff>
    </xdr:from>
    <xdr:ext cx="6070480" cy="2257127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30713D0-D32C-4E7F-8ACD-43546956A2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161</xdr:col>
          <xdr:colOff>0</xdr:colOff>
          <xdr:row>2</xdr:row>
          <xdr:rowOff>114300</xdr:rowOff>
        </xdr:from>
        <xdr:to>
          <xdr:col>168</xdr:col>
          <xdr:colOff>7620</xdr:colOff>
          <xdr:row>5</xdr:row>
          <xdr:rowOff>160020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Pilotage clôture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</xdr:col>
          <xdr:colOff>15240</xdr:colOff>
          <xdr:row>6</xdr:row>
          <xdr:rowOff>167640</xdr:rowOff>
        </xdr:from>
        <xdr:to>
          <xdr:col>168</xdr:col>
          <xdr:colOff>0</xdr:colOff>
          <xdr:row>10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</xdr:col>
          <xdr:colOff>22860</xdr:colOff>
          <xdr:row>11</xdr:row>
          <xdr:rowOff>45720</xdr:rowOff>
        </xdr:from>
        <xdr:to>
          <xdr:col>168</xdr:col>
          <xdr:colOff>0</xdr:colOff>
          <xdr:row>14</xdr:row>
          <xdr:rowOff>137160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Génerer le Package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112059</xdr:colOff>
      <xdr:row>32</xdr:row>
      <xdr:rowOff>57934</xdr:rowOff>
    </xdr:from>
    <xdr:to>
      <xdr:col>9</xdr:col>
      <xdr:colOff>112623</xdr:colOff>
      <xdr:row>45</xdr:row>
      <xdr:rowOff>113699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1FDA673F-2F9F-425F-8739-2F45E3649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9</xdr:col>
      <xdr:colOff>8467</xdr:colOff>
      <xdr:row>32</xdr:row>
      <xdr:rowOff>31712</xdr:rowOff>
    </xdr:from>
    <xdr:to>
      <xdr:col>17</xdr:col>
      <xdr:colOff>136616</xdr:colOff>
      <xdr:row>45</xdr:row>
      <xdr:rowOff>95097</xdr:rowOff>
    </xdr:to>
    <xdr:graphicFrame macro="">
      <xdr:nvGraphicFramePr>
        <xdr:cNvPr id="10" name="Chart 3">
          <a:extLst>
            <a:ext uri="{FF2B5EF4-FFF2-40B4-BE49-F238E27FC236}">
              <a16:creationId xmlns:a16="http://schemas.microsoft.com/office/drawing/2014/main" id="{554D5AC1-A392-4713-B68D-EDC8C39B7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904875</xdr:colOff>
      <xdr:row>24</xdr:row>
      <xdr:rowOff>62865</xdr:rowOff>
    </xdr:from>
    <xdr:ext cx="8985885" cy="29851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7DF679-43DD-4771-8F65-AD326DB13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1407795</xdr:colOff>
      <xdr:row>54</xdr:row>
      <xdr:rowOff>24765</xdr:rowOff>
    </xdr:from>
    <xdr:ext cx="6314220" cy="242064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EE97F-164C-4DB4-B5E3-5711C2ACE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963930</xdr:colOff>
      <xdr:row>39</xdr:row>
      <xdr:rowOff>92340</xdr:rowOff>
    </xdr:from>
    <xdr:ext cx="7011540" cy="29416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232A39-9B2D-4797-ABDB-F7EBF3BC5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685800</xdr:colOff>
      <xdr:row>58</xdr:row>
      <xdr:rowOff>19950</xdr:rowOff>
    </xdr:from>
    <xdr:ext cx="7915275" cy="276516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36A400-BE03-48D5-97E5-7A701D50C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MAIL%20ABGAR\OneDrive\Desktop\stage%20cv\Atlas_Agro_Command_Center%20(3).xlsx" TargetMode="External"/><Relationship Id="rId1" Type="http://schemas.openxmlformats.org/officeDocument/2006/relationships/externalLinkPath" Target="file:///C:\Users\ISMAIL%20ABGAR\OneDrive\Desktop\stage%20cv\Atlas_Agro_Command_Center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"/>
      <sheetName val="DASHBOARD"/>
      <sheetName val="PACKAGE_PnL"/>
      <sheetName val="SYNTHESE_BU"/>
      <sheetName val="AGREG_PQ"/>
      <sheetName val="MENSUEL_PQ"/>
      <sheetName val="_CALC"/>
    </sheetNames>
    <sheetDataSet>
      <sheetData sheetId="0">
        <row r="15">
          <cell r="C15">
            <v>50</v>
          </cell>
        </row>
      </sheetData>
      <sheetData sheetId="1"/>
      <sheetData sheetId="2"/>
      <sheetData sheetId="3"/>
      <sheetData sheetId="4"/>
      <sheetData sheetId="5">
        <row r="1">
          <cell r="C1" t="str">
            <v>CA_R25</v>
          </cell>
        </row>
        <row r="2">
          <cell r="B2" t="str">
            <v>Janv</v>
          </cell>
        </row>
        <row r="3">
          <cell r="B3" t="str">
            <v>Févr</v>
          </cell>
        </row>
        <row r="4">
          <cell r="B4" t="str">
            <v>Mars</v>
          </cell>
        </row>
        <row r="5">
          <cell r="B5" t="str">
            <v>Avr</v>
          </cell>
        </row>
        <row r="6">
          <cell r="B6" t="str">
            <v>Mai</v>
          </cell>
        </row>
        <row r="7">
          <cell r="B7" t="str">
            <v>Juin</v>
          </cell>
        </row>
        <row r="8">
          <cell r="B8" t="str">
            <v>Juil</v>
          </cell>
        </row>
        <row r="9">
          <cell r="B9" t="str">
            <v>Août</v>
          </cell>
        </row>
        <row r="10">
          <cell r="B10" t="str">
            <v>Sept</v>
          </cell>
        </row>
        <row r="11">
          <cell r="B11" t="str">
            <v>Oct</v>
          </cell>
        </row>
        <row r="12">
          <cell r="B12" t="str">
            <v>Nov</v>
          </cell>
        </row>
        <row r="13">
          <cell r="B13" t="str">
            <v>Déc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7" xr16:uid="{0FBCADAE-507E-48E6-AA39-2C3C04F347FB}" autoFormatId="16" applyNumberFormats="0" applyBorderFormats="0" applyFontFormats="0" applyPatternFormats="0" applyAlignmentFormats="0" applyWidthHeightFormats="0">
  <queryTableRefresh nextId="2">
    <queryTableFields count="1">
      <queryTableField id="1" name="pMoisClotur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9" xr16:uid="{860EC590-1D00-45E5-BEC8-814E5C0063D8}" autoFormatId="16" applyNumberFormats="0" applyBorderFormats="0" applyFontFormats="0" applyPatternFormats="0" applyAlignmentFormats="0" applyWidthHeightFormats="0">
  <queryTableRefresh nextId="3">
    <queryTableFields count="2">
      <queryTableField id="1" name="Client" tableColumnId="1"/>
      <queryTableField id="2" name="CA_YT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3" xr16:uid="{CE1ECDB5-E48C-48A7-BACD-71C203EB679F}" autoFormatId="16" applyNumberFormats="0" applyBorderFormats="0" applyFontFormats="0" applyPatternFormats="0" applyAlignmentFormats="0" applyWidthHeightFormats="0">
  <queryTableRefresh nextId="3">
    <queryTableFields count="2">
      <queryTableField id="1" name="CentreCout" tableColumnId="1"/>
      <queryTableField id="2" name="Charges_YT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backgroundRefresh="0" connectionId="4" xr16:uid="{48B7F91A-7C32-4354-8B95-46F605F86D8E}" autoFormatId="16" applyNumberFormats="0" applyBorderFormats="0" applyFontFormats="0" applyPatternFormats="0" applyAlignmentFormats="0" applyWidthHeightFormats="0">
  <queryTableRefresh nextId="8">
    <queryTableFields count="6">
      <queryTableField id="1" name="CodeEntite" tableColumnId="1"/>
      <queryTableField id="2" name="Entite" tableColumnId="2"/>
      <queryTableField id="6" name="DeltaCA" tableColumnId="6"/>
      <queryTableField id="3" name="Effet_Volume" tableColumnId="3"/>
      <queryTableField id="4" name="Effet_Prix" tableColumnId="4"/>
      <queryTableField id="5" name="Effet_Mix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8" xr16:uid="{7CF283BA-2989-442D-AE8D-87853920A15F}" autoFormatId="16" applyNumberFormats="0" applyBorderFormats="0" applyFontFormats="0" applyPatternFormats="0" applyAlignmentFormats="0" applyWidthHeightFormats="0">
  <queryTableRefresh nextId="13">
    <queryTableFields count="12">
      <queryTableField id="1" name="Mois" tableColumnId="1"/>
      <queryTableField id="2" name="MoisLabel" tableColumnId="2"/>
      <queryTableField id="3" name="CA_R25" tableColumnId="3"/>
      <queryTableField id="4" name="CA_B26" tableColumnId="4"/>
      <queryTableField id="5" name="CA_R26" tableColumnId="5"/>
      <queryTableField id="6" name="EBITDA_R25" tableColumnId="6"/>
      <queryTableField id="7" name="EBITDA_B26" tableColumnId="7"/>
      <queryTableField id="8" name="EBITDA_R26" tableColumnId="8"/>
      <queryTableField id="9" name="RN_R25" tableColumnId="9"/>
      <queryTableField id="10" name="RN_B26" tableColumnId="10"/>
      <queryTableField id="11" name="RN_R26" tableColumnId="11"/>
      <queryTableField id="12" name="MgEBITDA_R26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2" xr16:uid="{7B4D3AB9-6969-4BB8-B987-07D4D3D47721}" autoFormatId="16" applyNumberFormats="0" applyBorderFormats="0" applyFontFormats="0" applyPatternFormats="0" applyAlignmentFormats="0" applyWidthHeightFormats="0">
  <queryTableRefresh nextId="11">
    <queryTableFields count="10">
      <queryTableField id="1" name="CodeEntite" tableColumnId="1"/>
      <queryTableField id="2" name="Entite" tableColumnId="2"/>
      <queryTableField id="3" name="PosteP&amp;L" tableColumnId="3"/>
      <queryTableField id="4" name="Reel_M" tableColumnId="4"/>
      <queryTableField id="5" name="Budget_M" tableColumnId="5"/>
      <queryTableField id="6" name="Reel_YTD" tableColumnId="6"/>
      <queryTableField id="7" name="Budget_YTD" tableColumnId="7"/>
      <queryTableField id="8" name="Reel_N1_YTD" tableColumnId="8"/>
      <queryTableField id="9" name="Ecart_M" tableColumnId="9"/>
      <queryTableField id="10" name="Ecart_YT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6" xr16:uid="{1DB60761-7F93-482D-A2C1-C065F56AAF0D}" autoFormatId="16" applyNumberFormats="0" applyBorderFormats="0" applyFontFormats="0" applyPatternFormats="0" applyAlignmentFormats="0" applyWidthHeightFormats="0">
  <queryTableRefresh nextId="20">
    <queryTableFields count="19">
      <queryTableField id="1" name="EcritureID" tableColumnId="1"/>
      <queryTableField id="2" name="Scenario" tableColumnId="2"/>
      <queryTableField id="3" name="Annee" tableColumnId="3"/>
      <queryTableField id="4" name="Mois" tableColumnId="4"/>
      <queryTableField id="5" name="Date" tableColumnId="5"/>
      <queryTableField id="6" name="CodeEntite" tableColumnId="6"/>
      <queryTableField id="7" name="Entite" tableColumnId="7"/>
      <queryTableField id="8" name="Site" tableColumnId="8"/>
      <queryTableField id="9" name="CodeProduit" tableColumnId="9"/>
      <queryTableField id="10" name="Produit" tableColumnId="10"/>
      <queryTableField id="11" name="Canal" tableColumnId="11"/>
      <queryTableField id="12" name="Compte" tableColumnId="12"/>
      <queryTableField id="13" name="LibelleCompte" tableColumnId="13"/>
      <queryTableField id="14" name="PosteP&amp;L" tableColumnId="14"/>
      <queryTableField id="15" name="Quantite" tableColumnId="15"/>
      <queryTableField id="16" name="PrixUnitaire_EUR" tableColumnId="16"/>
      <queryTableField id="17" name="Montant_kEUR" tableColumnId="17"/>
      <queryTableField id="18" name="Client" tableColumnId="18"/>
      <queryTableField id="19" name="CentreCout" tableColumnId="1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4267FE8C-26AC-45E4-8995-681CD351D359}" autoFormatId="16" applyNumberFormats="0" applyBorderFormats="0" applyFontFormats="0" applyPatternFormats="0" applyAlignmentFormats="0" applyWidthHeightFormats="0">
  <queryTableRefresh nextId="20">
    <queryTableFields count="19">
      <queryTableField id="1" name="EcritureID" tableColumnId="1"/>
      <queryTableField id="2" name="Scenario" tableColumnId="2"/>
      <queryTableField id="3" name="Annee" tableColumnId="3"/>
      <queryTableField id="4" name="Mois" tableColumnId="4"/>
      <queryTableField id="5" name="Date" tableColumnId="5"/>
      <queryTableField id="6" name="CodeEntite" tableColumnId="6"/>
      <queryTableField id="7" name="Entite" tableColumnId="7"/>
      <queryTableField id="8" name="Site" tableColumnId="8"/>
      <queryTableField id="9" name="CodeProduit" tableColumnId="9"/>
      <queryTableField id="10" name="Produit" tableColumnId="10"/>
      <queryTableField id="11" name="Canal" tableColumnId="11"/>
      <queryTableField id="12" name="Compte" tableColumnId="12"/>
      <queryTableField id="13" name="LibelleCompte" tableColumnId="13"/>
      <queryTableField id="14" name="PosteP&amp;L" tableColumnId="14"/>
      <queryTableField id="15" name="Quantite" tableColumnId="15"/>
      <queryTableField id="16" name="PrixUnitaire_EUR" tableColumnId="16"/>
      <queryTableField id="17" name="Montant_kEUR" tableColumnId="17"/>
      <queryTableField id="18" name="Client" tableColumnId="18"/>
      <queryTableField id="19" name="CentreCout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5" xr16:uid="{A84D2A56-EECE-4DF8-B714-91F8F57AC4DF}" autoFormatId="16" applyNumberFormats="0" applyBorderFormats="0" applyFontFormats="0" applyPatternFormats="0" applyAlignmentFormats="0" applyWidthHeightFormats="0">
  <queryTableRefresh nextId="20">
    <queryTableFields count="19">
      <queryTableField id="1" name="EcritureID" tableColumnId="1"/>
      <queryTableField id="2" name="Scenario" tableColumnId="2"/>
      <queryTableField id="3" name="Annee" tableColumnId="3"/>
      <queryTableField id="4" name="Mois" tableColumnId="4"/>
      <queryTableField id="5" name="Date" tableColumnId="5"/>
      <queryTableField id="6" name="CodeEntite" tableColumnId="6"/>
      <queryTableField id="7" name="Entite" tableColumnId="7"/>
      <queryTableField id="8" name="Site" tableColumnId="8"/>
      <queryTableField id="9" name="CodeProduit" tableColumnId="9"/>
      <queryTableField id="10" name="Produit" tableColumnId="10"/>
      <queryTableField id="11" name="Canal" tableColumnId="11"/>
      <queryTableField id="12" name="Compte" tableColumnId="12"/>
      <queryTableField id="13" name="LibelleCompte" tableColumnId="13"/>
      <queryTableField id="14" name="PosteP&amp;L" tableColumnId="14"/>
      <queryTableField id="15" name="Quantite" tableColumnId="15"/>
      <queryTableField id="16" name="PrixUnitaire_EUR" tableColumnId="16"/>
      <queryTableField id="17" name="Montant_kEUR" tableColumnId="17"/>
      <queryTableField id="18" name="Client" tableColumnId="18"/>
      <queryTableField id="19" name="CentreCout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79AA4CD-7EF3-4AA3-AF07-A6E283B34A82}" name="pMoisCloture" displayName="pMoisCloture" ref="A1:A2" tableType="queryTable" totalsRowShown="0">
  <autoFilter ref="A1:A2" xr:uid="{C79AA4CD-7EF3-4AA3-AF07-A6E283B34A82}"/>
  <tableColumns count="1">
    <tableColumn id="1" xr3:uid="{1F9B6F19-A72A-4F90-BE65-7A31A5971064}" uniqueName="1" name="pMoisClotur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12E2050-F899-4B09-B2A4-19056CF8AC21}" name="TOP_CLIENT" displayName="TOP_CLIENT" ref="A55:B64" tableType="queryTable" totalsRowShown="0">
  <autoFilter ref="A55:B64" xr:uid="{512E2050-F899-4B09-B2A4-19056CF8AC21}"/>
  <tableColumns count="2">
    <tableColumn id="1" xr3:uid="{42C1460B-D73E-4CCB-B8D9-1A48B752BA44}" uniqueName="1" name="Client" queryTableFieldId="1" dataDxfId="68"/>
    <tableColumn id="2" xr3:uid="{13488463-7AC6-4C8D-AE2A-290730AFCAA9}" uniqueName="2" name="CA_YTD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C689C-52D5-475E-9BE8-5C7D1E2FCFCE}" name="CHARGES_CC" displayName="CHARGES_CC" ref="A69:B70" tableType="queryTable" insertRow="1" totalsRowShown="0">
  <autoFilter ref="A69:B70" xr:uid="{E20C689C-52D5-475E-9BE8-5C7D1E2FCFCE}"/>
  <tableColumns count="2">
    <tableColumn id="1" xr3:uid="{232F0A98-B480-4DBC-A934-9A18F9BB322F}" uniqueName="1" name="CentreCout" queryTableFieldId="1"/>
    <tableColumn id="2" xr3:uid="{C9C84220-6209-47C0-B568-7D2649A39527}" uniqueName="2" name="Charges_YTD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1A6B26-DBB6-4C60-A4D3-304C63FE63AF}" name="EFFET" displayName="EFFET" ref="I85:N86" tableType="queryTable" totalsRowShown="0">
  <autoFilter ref="I85:N86" xr:uid="{6B1A6B26-DBB6-4C60-A4D3-304C63FE63AF}"/>
  <tableColumns count="6">
    <tableColumn id="1" xr3:uid="{50D2ACB1-4632-4273-B14A-9085FCC7F2F3}" uniqueName="1" name="CodeEntite" queryTableFieldId="1" dataDxfId="70"/>
    <tableColumn id="2" xr3:uid="{87B42EA7-7A9C-4F60-B051-F1349F6AE355}" uniqueName="2" name="Entite" queryTableFieldId="2" dataDxfId="69"/>
    <tableColumn id="6" xr3:uid="{3DA844FD-E01F-4EB4-B83A-A3550D945CBD}" uniqueName="6" name="DeltaCA" queryTableFieldId="6"/>
    <tableColumn id="3" xr3:uid="{B8EA5943-1BE2-4ACF-940A-F2A21E3D7390}" uniqueName="3" name="Effet_Volume" queryTableFieldId="3"/>
    <tableColumn id="4" xr3:uid="{9D510230-04EF-476E-9AAF-E0425FD813E7}" uniqueName="4" name="Effet_Prix" queryTableFieldId="4"/>
    <tableColumn id="5" xr3:uid="{F01D96CB-15B3-4432-BDA8-4BE705A2528D}" uniqueName="5" name="Effet_Mix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1A101-E96C-42EA-B7DB-C890F003982E}" name="Requête1" displayName="Requête1" ref="A1:L13" tableType="queryTable" totalsRowShown="0">
  <autoFilter ref="A1:L13" xr:uid="{5161A101-E96C-42EA-B7DB-C890F003982E}"/>
  <tableColumns count="12">
    <tableColumn id="1" xr3:uid="{4350408C-D558-45B6-9C8B-20F258C55D33}" uniqueName="1" name="Mois" queryTableFieldId="1"/>
    <tableColumn id="2" xr3:uid="{33F362A1-E994-42D9-B70E-199D297361B7}" uniqueName="2" name="MoisLabel" queryTableFieldId="2" dataDxfId="71"/>
    <tableColumn id="3" xr3:uid="{C9935F16-70B1-4727-80F8-28A45EEED79D}" uniqueName="3" name="CA_R25" queryTableFieldId="3"/>
    <tableColumn id="4" xr3:uid="{062A3845-BDFB-41A2-B104-0E54966B0DBA}" uniqueName="4" name="CA_B26" queryTableFieldId="4"/>
    <tableColumn id="5" xr3:uid="{651FED8C-FBCD-48C6-9DE4-0C0CC78C30F7}" uniqueName="5" name="CA_R26" queryTableFieldId="5"/>
    <tableColumn id="6" xr3:uid="{A372C74B-5044-4D37-B20A-E0D6F8A40981}" uniqueName="6" name="EBITDA_R25" queryTableFieldId="6"/>
    <tableColumn id="7" xr3:uid="{A47D1619-EB98-4F32-BC5C-C41D93A89240}" uniqueName="7" name="EBITDA_B26" queryTableFieldId="7"/>
    <tableColumn id="8" xr3:uid="{CBD41D34-EB29-4BC7-A28D-5876F39D5B57}" uniqueName="8" name="EBITDA_R26" queryTableFieldId="8"/>
    <tableColumn id="9" xr3:uid="{704C7FEC-1EA7-481E-9744-B5DAE31DDF45}" uniqueName="9" name="RN_R25" queryTableFieldId="9"/>
    <tableColumn id="10" xr3:uid="{6FC2F54C-09D4-43D8-8878-07EDBE631B64}" uniqueName="10" name="RN_B26" queryTableFieldId="10"/>
    <tableColumn id="11" xr3:uid="{B7ACD0EF-DAF6-45BB-A117-B979D2DDCFBC}" uniqueName="11" name="RN_R26" queryTableFieldId="11"/>
    <tableColumn id="12" xr3:uid="{95B8F9B9-F67B-400E-BEB4-27DA01EAE975}" uniqueName="12" name="MgEBITDA_R26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44FD65-862C-4821-ABB0-A94EE8F694B8}" name="AGREG_PQ" displayName="AGREG_PQ" ref="A1:J2" tableType="queryTable" totalsRowShown="0">
  <autoFilter ref="A1:J2" xr:uid="{9944FD65-862C-4821-ABB0-A94EE8F694B8}"/>
  <sortState xmlns:xlrd2="http://schemas.microsoft.com/office/spreadsheetml/2017/richdata2" ref="A2:J2">
    <sortCondition ref="A1:A2"/>
  </sortState>
  <tableColumns count="10">
    <tableColumn id="1" xr3:uid="{AB0E1153-518E-40C1-A3EF-25D397158B3B}" uniqueName="1" name="CodeEntite" queryTableFieldId="1" dataDxfId="67"/>
    <tableColumn id="2" xr3:uid="{44F986D7-DFEF-4677-9C78-95894CED94FC}" uniqueName="2" name="Entite" queryTableFieldId="2" dataDxfId="66"/>
    <tableColumn id="3" xr3:uid="{3C969FF0-CC0D-4AF1-AEF0-CB2F2197BBEF}" uniqueName="3" name="PosteP&amp;L" queryTableFieldId="3" dataDxfId="65"/>
    <tableColumn id="4" xr3:uid="{08BAB101-F808-43A9-957E-74D3A6D5B899}" uniqueName="4" name="Reel_M" queryTableFieldId="4"/>
    <tableColumn id="5" xr3:uid="{3A47F177-BB81-4267-90C3-640A25676F1A}" uniqueName="5" name="Budget_M" queryTableFieldId="5"/>
    <tableColumn id="6" xr3:uid="{AA6A5D30-A57E-4F26-92E5-7AEBF36615CA}" uniqueName="6" name="Reel_YTD" queryTableFieldId="6"/>
    <tableColumn id="7" xr3:uid="{1E62CB74-9C91-42B5-8B10-CBE7A2DABA0A}" uniqueName="7" name="Budget_YTD" queryTableFieldId="7"/>
    <tableColumn id="8" xr3:uid="{4C1C86EC-1F8C-4DA8-8B0E-296831CBF76B}" uniqueName="8" name="Reel_N1_YTD" queryTableFieldId="8"/>
    <tableColumn id="9" xr3:uid="{DF6BDF16-AFDE-467C-983A-77A9DEB9E0B0}" uniqueName="9" name="Ecart_M" queryTableFieldId="9"/>
    <tableColumn id="10" xr3:uid="{BE14494D-DD1A-4ABE-AEEB-1A43605F3E2E}" uniqueName="10" name="Ecart_YT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F96A43-3678-4222-804B-8829E1F1070B}" name="GL_Reel_2026" displayName="GL_Reel_2026" ref="A1:S1001" tableType="queryTable" totalsRowShown="0">
  <autoFilter ref="A1:S1001" xr:uid="{1EF96A43-3678-4222-804B-8829E1F1070B}"/>
  <sortState xmlns:xlrd2="http://schemas.microsoft.com/office/spreadsheetml/2017/richdata2" ref="A2:S1001">
    <sortCondition ref="E1:E1001"/>
  </sortState>
  <tableColumns count="19">
    <tableColumn id="1" xr3:uid="{AACE3E1F-BE7A-4857-B4A3-C8F23FAA40A9}" uniqueName="1" name="EcritureID" queryTableFieldId="1" dataDxfId="64"/>
    <tableColumn id="2" xr3:uid="{756EA89C-A70C-407B-88C1-3C6EC7F07CE4}" uniqueName="2" name="Scenario" queryTableFieldId="2" dataDxfId="63"/>
    <tableColumn id="3" xr3:uid="{36992560-0A49-4B2F-A256-AF5607A0EE41}" uniqueName="3" name="Annee" queryTableFieldId="3"/>
    <tableColumn id="4" xr3:uid="{3F12F18E-D1F6-4768-8384-9465D4B8A0F8}" uniqueName="4" name="Mois" queryTableFieldId="4"/>
    <tableColumn id="5" xr3:uid="{0CB5974E-0D58-4D72-A442-C84563375531}" uniqueName="5" name="Date" queryTableFieldId="5" dataDxfId="62"/>
    <tableColumn id="6" xr3:uid="{794CBEA0-1F67-468F-8129-F743C948F55D}" uniqueName="6" name="CodeEntite" queryTableFieldId="6" dataDxfId="61"/>
    <tableColumn id="7" xr3:uid="{BEDFD497-C475-4020-A9B6-9B01C38A4F1E}" uniqueName="7" name="Entite" queryTableFieldId="7" dataDxfId="60"/>
    <tableColumn id="8" xr3:uid="{CA9C8A06-4B45-4B0B-A005-3B0A2E91F1A1}" uniqueName="8" name="Site" queryTableFieldId="8" dataDxfId="59"/>
    <tableColumn id="9" xr3:uid="{31EABBE3-50CA-4ECD-A45A-32029F9D2FFE}" uniqueName="9" name="CodeProduit" queryTableFieldId="9" dataDxfId="58"/>
    <tableColumn id="10" xr3:uid="{4E3F3950-DA6F-49DC-AC05-8F0B5D99905B}" uniqueName="10" name="Produit" queryTableFieldId="10" dataDxfId="57"/>
    <tableColumn id="11" xr3:uid="{EEAF81A5-7338-40B8-B328-2C622EDBDAB9}" uniqueName="11" name="Canal" queryTableFieldId="11" dataDxfId="56"/>
    <tableColumn id="12" xr3:uid="{F62AFC0C-C4A4-40C5-BF57-0FC067BBA84E}" uniqueName="12" name="Compte" queryTableFieldId="12"/>
    <tableColumn id="13" xr3:uid="{3F59005B-7C1F-4671-929A-24EA3184B801}" uniqueName="13" name="LibelleCompte" queryTableFieldId="13" dataDxfId="55"/>
    <tableColumn id="14" xr3:uid="{4C9F639D-259A-44FC-BF13-090144A8B685}" uniqueName="14" name="PosteP&amp;L" queryTableFieldId="14" dataDxfId="54"/>
    <tableColumn id="15" xr3:uid="{F227EC5D-8B15-4FEB-AE64-22E6181D5406}" uniqueName="15" name="Quantite" queryTableFieldId="15"/>
    <tableColumn id="16" xr3:uid="{6E7DF3F8-7DE1-4341-8888-F54D07FCB420}" uniqueName="16" name="PrixUnitaire_EUR" queryTableFieldId="16"/>
    <tableColumn id="17" xr3:uid="{DDC07CD5-C2B6-4C1A-8755-2EDD85892DE6}" uniqueName="17" name="Montant_kEUR" queryTableFieldId="17"/>
    <tableColumn id="18" xr3:uid="{39086092-8988-4BF7-9100-C0233547906C}" uniqueName="18" name="Client" queryTableFieldId="18" dataDxfId="53"/>
    <tableColumn id="19" xr3:uid="{11650350-D79D-46C6-B9A6-DCBDC2FEFC4F}" uniqueName="19" name="CentreCout" queryTableFieldId="19" dataDxfId="5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E3A5EA-15E8-4DE6-9097-0E50545ADCE0}" name="GL_Budget_2026" displayName="GL_Budget_2026" ref="A1:S1001" tableType="queryTable" totalsRowShown="0">
  <autoFilter ref="A1:S1001" xr:uid="{5CE3A5EA-15E8-4DE6-9097-0E50545ADCE0}"/>
  <sortState xmlns:xlrd2="http://schemas.microsoft.com/office/spreadsheetml/2017/richdata2" ref="A2:S1001">
    <sortCondition ref="E1:E1001"/>
  </sortState>
  <tableColumns count="19">
    <tableColumn id="1" xr3:uid="{3C859E91-EE7E-430E-8DB8-11B4AE385B44}" uniqueName="1" name="EcritureID" queryTableFieldId="1" dataDxfId="51"/>
    <tableColumn id="2" xr3:uid="{E4B0D8E0-0DF8-4F3F-8477-6A2E8D8E99A1}" uniqueName="2" name="Scenario" queryTableFieldId="2" dataDxfId="50"/>
    <tableColumn id="3" xr3:uid="{10A25ABB-4E88-4FC4-9A60-A8FC5534098D}" uniqueName="3" name="Annee" queryTableFieldId="3"/>
    <tableColumn id="4" xr3:uid="{222526B9-7B35-430A-AC2B-045F3047A0FA}" uniqueName="4" name="Mois" queryTableFieldId="4"/>
    <tableColumn id="5" xr3:uid="{31E7E2D7-3553-47E4-8763-840B4D3629B3}" uniqueName="5" name="Date" queryTableFieldId="5" dataDxfId="49"/>
    <tableColumn id="6" xr3:uid="{E53FDBE6-529D-495C-9697-8EA8D27D359B}" uniqueName="6" name="CodeEntite" queryTableFieldId="6" dataDxfId="48"/>
    <tableColumn id="7" xr3:uid="{E2DB090E-99E9-4A63-8BD5-A4F93FCE065B}" uniqueName="7" name="Entite" queryTableFieldId="7" dataDxfId="47"/>
    <tableColumn id="8" xr3:uid="{0C0EF574-88DE-403D-A4EB-8510772EB4DB}" uniqueName="8" name="Site" queryTableFieldId="8" dataDxfId="46"/>
    <tableColumn id="9" xr3:uid="{9748F5F4-008B-4DF4-BEA0-2FBCA2458465}" uniqueName="9" name="CodeProduit" queryTableFieldId="9" dataDxfId="45"/>
    <tableColumn id="10" xr3:uid="{1443219E-2E79-4369-BFBA-7E7FD12614EB}" uniqueName="10" name="Produit" queryTableFieldId="10" dataDxfId="44"/>
    <tableColumn id="11" xr3:uid="{5E52E7F5-10E3-42FE-AD51-C1EBC8543644}" uniqueName="11" name="Canal" queryTableFieldId="11" dataDxfId="43"/>
    <tableColumn id="12" xr3:uid="{2832C43C-2FA0-4D34-A4E4-3635249F1383}" uniqueName="12" name="Compte" queryTableFieldId="12"/>
    <tableColumn id="13" xr3:uid="{019F9435-206C-4D33-A142-B2BCE9B054AA}" uniqueName="13" name="LibelleCompte" queryTableFieldId="13" dataDxfId="42"/>
    <tableColumn id="14" xr3:uid="{C963484F-0F4D-4D32-8263-4A22C62A469C}" uniqueName="14" name="PosteP&amp;L" queryTableFieldId="14" dataDxfId="41"/>
    <tableColumn id="15" xr3:uid="{EA7C7D32-1C2D-4C6B-B270-621AC27A5B26}" uniqueName="15" name="Quantite" queryTableFieldId="15"/>
    <tableColumn id="16" xr3:uid="{4CB2E7FC-7630-44F5-8692-3154235D6900}" uniqueName="16" name="PrixUnitaire_EUR" queryTableFieldId="16"/>
    <tableColumn id="17" xr3:uid="{75BD6E6F-6C42-4963-852E-DAA431D34EED}" uniqueName="17" name="Montant_kEUR" queryTableFieldId="17"/>
    <tableColumn id="18" xr3:uid="{7EA3ADFF-0609-4FB8-89DC-15990C89FB60}" uniqueName="18" name="Client" queryTableFieldId="18" dataDxfId="40"/>
    <tableColumn id="19" xr3:uid="{7E232DE3-75E3-4717-B5F0-3B4B2180365A}" uniqueName="19" name="CentreCout" queryTableFieldId="19" dataDxfId="3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964600-EC57-42C8-A2CC-5486413BB2AE}" name="GL_Reel_2025_1" displayName="GL_Reel_2025_1" ref="A1:S1001" tableType="queryTable" totalsRowShown="0">
  <autoFilter ref="A1:S1001" xr:uid="{F9964600-EC57-42C8-A2CC-5486413BB2AE}"/>
  <tableColumns count="19">
    <tableColumn id="1" xr3:uid="{4B9D2BC6-3C19-44DE-AF7B-DF87382C3A13}" uniqueName="1" name="EcritureID" queryTableFieldId="1" dataDxfId="12"/>
    <tableColumn id="2" xr3:uid="{C1903ACE-7C11-4F42-9E18-F85C4913F2EC}" uniqueName="2" name="Scenario" queryTableFieldId="2" dataDxfId="11"/>
    <tableColumn id="3" xr3:uid="{E1838AC7-BE96-44E9-9C40-DEF3129D800C}" uniqueName="3" name="Annee" queryTableFieldId="3"/>
    <tableColumn id="4" xr3:uid="{0A78EF55-F1DE-4596-B560-63A47F6AB150}" uniqueName="4" name="Mois" queryTableFieldId="4"/>
    <tableColumn id="5" xr3:uid="{F40AC19A-8C42-4704-AA14-CBFF65494201}" uniqueName="5" name="Date" queryTableFieldId="5" dataDxfId="10"/>
    <tableColumn id="6" xr3:uid="{8532F9EA-B9DB-4202-B59E-BCBCF7E33E22}" uniqueName="6" name="CodeEntite" queryTableFieldId="6" dataDxfId="9"/>
    <tableColumn id="7" xr3:uid="{4FC52A1F-AA12-42AB-820E-FE31FCECA60F}" uniqueName="7" name="Entite" queryTableFieldId="7" dataDxfId="8"/>
    <tableColumn id="8" xr3:uid="{FB91FFD8-7BD5-437C-816F-0EE95F570A3D}" uniqueName="8" name="Site" queryTableFieldId="8" dataDxfId="7"/>
    <tableColumn id="9" xr3:uid="{C69B63C9-250C-456B-BED3-7DA24D6C89BA}" uniqueName="9" name="CodeProduit" queryTableFieldId="9" dataDxfId="6"/>
    <tableColumn id="10" xr3:uid="{8B694E58-F4B5-4D92-8724-A642D44D6503}" uniqueName="10" name="Produit" queryTableFieldId="10" dataDxfId="5"/>
    <tableColumn id="11" xr3:uid="{D65C0768-424E-4E18-AB7F-062F525BB720}" uniqueName="11" name="Canal" queryTableFieldId="11" dataDxfId="4"/>
    <tableColumn id="12" xr3:uid="{67CA8CAC-7C7C-4EB9-A159-FA65735A899A}" uniqueName="12" name="Compte" queryTableFieldId="12"/>
    <tableColumn id="13" xr3:uid="{B779532D-0497-4E08-A97A-946CB77E4134}" uniqueName="13" name="LibelleCompte" queryTableFieldId="13" dataDxfId="3"/>
    <tableColumn id="14" xr3:uid="{51BC70DD-E1CA-4505-B5A0-36E175A19C13}" uniqueName="14" name="PosteP&amp;L" queryTableFieldId="14" dataDxfId="2"/>
    <tableColumn id="15" xr3:uid="{7410950A-F8EC-4A3E-8313-1187F737EF32}" uniqueName="15" name="Quantite" queryTableFieldId="15"/>
    <tableColumn id="16" xr3:uid="{9B72E4A2-E121-42C2-BEBB-0B1190F8A7F4}" uniqueName="16" name="PrixUnitaire_EUR" queryTableFieldId="16"/>
    <tableColumn id="17" xr3:uid="{99D4B951-4387-4BB8-A4E8-C1A247735647}" uniqueName="17" name="Montant_kEUR" queryTableFieldId="17"/>
    <tableColumn id="18" xr3:uid="{02733597-CE11-44F6-B574-38E77F22A357}" uniqueName="18" name="Client" queryTableFieldId="18" dataDxfId="1"/>
    <tableColumn id="19" xr3:uid="{08B6B428-C570-4D2F-BC87-BB02D3E9127B}" uniqueName="19" name="CentreCout" queryTableFieldId="1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26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BAF26C5-128D-4353-BA31-30C1FEEB39D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4362bab2-ba1f-4759-a3cb-2f98051a249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A8896-733F-4244-97B4-89191D307F8E}">
  <sheetPr codeName="Feuil1"/>
  <dimension ref="A1:A2"/>
  <sheetViews>
    <sheetView workbookViewId="0"/>
  </sheetViews>
  <sheetFormatPr baseColWidth="10" defaultRowHeight="14.4" x14ac:dyDescent="0.3"/>
  <cols>
    <col min="1" max="1" width="15" bestFit="1" customWidth="1"/>
  </cols>
  <sheetData>
    <row r="1" spans="1:1" x14ac:dyDescent="0.3">
      <c r="A1" t="s">
        <v>1227</v>
      </c>
    </row>
    <row r="2" spans="1:1" x14ac:dyDescent="0.3">
      <c r="A2"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9"/>
  <sheetViews>
    <sheetView showGridLines="0" zoomScaleNormal="100" workbookViewId="0">
      <selection activeCell="C5" sqref="C5"/>
    </sheetView>
  </sheetViews>
  <sheetFormatPr baseColWidth="10" defaultColWidth="8.6640625" defaultRowHeight="14.4" x14ac:dyDescent="0.3"/>
  <cols>
    <col min="1" max="1" width="3" customWidth="1"/>
    <col min="2" max="2" width="53.33203125" bestFit="1" customWidth="1"/>
    <col min="3" max="3" width="21.88671875" bestFit="1" customWidth="1"/>
    <col min="4" max="4" width="18" customWidth="1"/>
    <col min="5" max="5" width="4" customWidth="1"/>
    <col min="6" max="6" width="30" customWidth="1"/>
  </cols>
  <sheetData>
    <row r="2" spans="2:6" ht="17.399999999999999" x14ac:dyDescent="0.3">
      <c r="B2" s="85" t="s">
        <v>0</v>
      </c>
      <c r="C2" s="85"/>
      <c r="D2" s="85"/>
      <c r="E2" s="85"/>
      <c r="F2" s="85"/>
    </row>
    <row r="4" spans="2:6" ht="15.6" x14ac:dyDescent="0.3">
      <c r="B4" s="4" t="s">
        <v>1</v>
      </c>
      <c r="C4" s="5">
        <v>2</v>
      </c>
    </row>
    <row r="5" spans="2:6" x14ac:dyDescent="0.3">
      <c r="B5" s="4" t="s">
        <v>2</v>
      </c>
      <c r="C5" s="6">
        <v>2026</v>
      </c>
    </row>
    <row r="6" spans="2:6" x14ac:dyDescent="0.3">
      <c r="B6" s="4" t="s">
        <v>3</v>
      </c>
      <c r="C6" s="7" t="str">
        <f>"Clôture "&amp;CHOOSE(C4,"janvier","février","mars","avril","mai","juin","juillet","août","septembre","octobre","novembre","décembre")&amp;" "&amp;C5</f>
        <v>Clôture février 2026</v>
      </c>
    </row>
    <row r="8" spans="2:6" x14ac:dyDescent="0.3">
      <c r="B8" s="4" t="s">
        <v>4</v>
      </c>
      <c r="C8" s="8" t="s">
        <v>5</v>
      </c>
      <c r="D8" s="4" t="s">
        <v>6</v>
      </c>
    </row>
    <row r="9" spans="2:6" x14ac:dyDescent="0.3">
      <c r="C9" s="7" t="s">
        <v>7</v>
      </c>
      <c r="D9" s="9" t="s">
        <v>8</v>
      </c>
    </row>
    <row r="10" spans="2:6" x14ac:dyDescent="0.3">
      <c r="C10" s="7" t="s">
        <v>9</v>
      </c>
      <c r="D10" s="9" t="s">
        <v>10</v>
      </c>
    </row>
    <row r="11" spans="2:6" x14ac:dyDescent="0.3">
      <c r="C11" s="7" t="s">
        <v>11</v>
      </c>
      <c r="D11" s="9" t="s">
        <v>12</v>
      </c>
    </row>
    <row r="12" spans="2:6" x14ac:dyDescent="0.3">
      <c r="C12" s="7" t="s">
        <v>13</v>
      </c>
      <c r="D12" s="9" t="s">
        <v>14</v>
      </c>
    </row>
    <row r="13" spans="2:6" x14ac:dyDescent="0.3">
      <c r="C13" s="7" t="s">
        <v>15</v>
      </c>
      <c r="D13" s="9" t="s">
        <v>16</v>
      </c>
    </row>
    <row r="15" spans="2:6" ht="15.6" x14ac:dyDescent="0.3">
      <c r="B15" s="4" t="s">
        <v>154</v>
      </c>
      <c r="C15" s="5">
        <v>45</v>
      </c>
    </row>
    <row r="16" spans="2:6" x14ac:dyDescent="0.3">
      <c r="B16" s="10" t="s">
        <v>155</v>
      </c>
    </row>
    <row r="17" spans="2:3" x14ac:dyDescent="0.3">
      <c r="B17" s="1" t="s">
        <v>17</v>
      </c>
    </row>
    <row r="18" spans="2:3" x14ac:dyDescent="0.3">
      <c r="B18" s="1" t="s">
        <v>193</v>
      </c>
      <c r="C18" s="62">
        <v>46181.614421296297</v>
      </c>
    </row>
    <row r="19" spans="2:3" x14ac:dyDescent="0.3">
      <c r="B19" s="1" t="s">
        <v>18</v>
      </c>
    </row>
  </sheetData>
  <mergeCells count="1">
    <mergeCell ref="B2:F2"/>
  </mergeCells>
  <dataValidations count="1">
    <dataValidation type="whole" sqref="C4" xr:uid="{53092F24-DC6D-4D8C-AF40-295C2BB2C2E7}">
      <formula1>1</formula1>
      <formula2>3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E6B2A-3F94-44CD-BDE9-06F5FBCC34D4}">
  <sheetPr codeName="Feuil2">
    <pageSetUpPr fitToPage="1"/>
  </sheetPr>
  <dimension ref="B2:FC400"/>
  <sheetViews>
    <sheetView showGridLines="0" zoomScale="83" zoomScaleNormal="100" workbookViewId="0">
      <selection activeCell="FI7" sqref="FI7"/>
    </sheetView>
  </sheetViews>
  <sheetFormatPr baseColWidth="10" defaultColWidth="8.6640625" defaultRowHeight="14.4" x14ac:dyDescent="0.3"/>
  <cols>
    <col min="1" max="1" width="2" customWidth="1"/>
    <col min="2" max="18" width="7.44140625" customWidth="1"/>
    <col min="19" max="159" width="13" hidden="1" customWidth="1"/>
  </cols>
  <sheetData>
    <row r="2" spans="2:18" ht="19.5" customHeight="1" x14ac:dyDescent="0.3">
      <c r="B2" s="83" t="s">
        <v>149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</row>
    <row r="3" spans="2:18" ht="15" customHeight="1" x14ac:dyDescent="0.3">
      <c r="B3" s="84" t="str">
        <f>"Reporting Direction Financière      |      "&amp;PARAM!C6&amp;"      |      Montants en k€"</f>
        <v>Reporting Direction Financière      |      Clôture février 2026      |      Montants en k€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5" spans="2:18" ht="15" customHeight="1" x14ac:dyDescent="0.3">
      <c r="B5" s="75" t="s">
        <v>148</v>
      </c>
      <c r="C5" s="75"/>
      <c r="D5" s="75"/>
      <c r="E5" s="75"/>
      <c r="F5" s="75" t="s">
        <v>147</v>
      </c>
      <c r="G5" s="75"/>
      <c r="H5" s="75"/>
      <c r="I5" s="75"/>
      <c r="J5" s="75" t="s">
        <v>146</v>
      </c>
      <c r="K5" s="75"/>
      <c r="L5" s="75"/>
      <c r="M5" s="75"/>
      <c r="N5" s="75" t="s">
        <v>151</v>
      </c>
      <c r="O5" s="75"/>
      <c r="P5" s="75"/>
      <c r="Q5" s="75"/>
      <c r="R5" s="75"/>
    </row>
    <row r="6" spans="2:18" ht="15" customHeight="1" x14ac:dyDescent="0.3">
      <c r="B6" s="81">
        <f>PACKAGE_PnL!G7</f>
        <v>2637.590000000002</v>
      </c>
      <c r="C6" s="81"/>
      <c r="D6" s="81"/>
      <c r="E6" s="81"/>
      <c r="F6" s="81">
        <f>PACKAGE_PnL!G15</f>
        <v>2637.590000000002</v>
      </c>
      <c r="G6" s="81"/>
      <c r="H6" s="81"/>
      <c r="I6" s="81"/>
      <c r="J6" s="81">
        <f>PACKAGE_PnL!G21</f>
        <v>2637.590000000002</v>
      </c>
      <c r="K6" s="81"/>
      <c r="L6" s="81"/>
      <c r="M6" s="81"/>
      <c r="N6" s="3"/>
      <c r="O6" s="3"/>
      <c r="P6" s="3"/>
      <c r="Q6" s="3"/>
      <c r="R6" s="3"/>
    </row>
    <row r="7" spans="2:18" ht="15" customHeight="1" x14ac:dyDescent="0.3"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3"/>
      <c r="O7" s="3"/>
      <c r="P7" s="3"/>
      <c r="Q7" s="3"/>
      <c r="R7" s="3"/>
    </row>
    <row r="8" spans="2:18" ht="15" customHeight="1" x14ac:dyDescent="0.3">
      <c r="B8" s="82">
        <f>PACKAGE_PnL!J7</f>
        <v>-2.6223685862171775E-2</v>
      </c>
      <c r="C8" s="82"/>
      <c r="D8" s="82"/>
      <c r="E8" s="82"/>
      <c r="F8" s="82">
        <f>PACKAGE_PnL!J15</f>
        <v>-2.6223685862171775E-2</v>
      </c>
      <c r="G8" s="82"/>
      <c r="H8" s="82"/>
      <c r="I8" s="82"/>
      <c r="J8" s="82">
        <f>PACKAGE_PnL!J21</f>
        <v>-2.6223685862171775E-2</v>
      </c>
      <c r="K8" s="82"/>
      <c r="L8" s="82"/>
      <c r="M8" s="82"/>
      <c r="N8" s="3"/>
      <c r="O8" s="3"/>
      <c r="P8" s="3"/>
      <c r="Q8" s="3"/>
      <c r="R8" s="3"/>
    </row>
    <row r="9" spans="2:18" ht="15" customHeight="1" x14ac:dyDescent="0.3">
      <c r="B9" s="77" t="s">
        <v>19</v>
      </c>
      <c r="C9" s="77"/>
      <c r="D9" s="77"/>
      <c r="E9" s="77"/>
      <c r="F9" s="77" t="s">
        <v>19</v>
      </c>
      <c r="G9" s="77"/>
      <c r="H9" s="77"/>
      <c r="I9" s="77"/>
      <c r="J9" s="77" t="s">
        <v>19</v>
      </c>
      <c r="K9" s="77"/>
      <c r="L9" s="77"/>
      <c r="M9" s="77"/>
      <c r="N9" s="3"/>
      <c r="O9" s="3"/>
      <c r="P9" s="3"/>
      <c r="Q9" s="3"/>
      <c r="R9" s="3"/>
    </row>
    <row r="10" spans="2:18" ht="15" customHeight="1" x14ac:dyDescent="0.3">
      <c r="B10" s="80">
        <f>PACKAGE_PnL!L7</f>
        <v>0.11415295583669847</v>
      </c>
      <c r="C10" s="80"/>
      <c r="D10" s="80"/>
      <c r="E10" s="80"/>
      <c r="F10" s="80">
        <f>PACKAGE_PnL!M15</f>
        <v>1</v>
      </c>
      <c r="G10" s="80"/>
      <c r="H10" s="80"/>
      <c r="I10" s="80"/>
      <c r="J10" s="80">
        <f>PACKAGE_PnL!M21</f>
        <v>1</v>
      </c>
      <c r="K10" s="80"/>
      <c r="L10" s="80"/>
      <c r="M10" s="80"/>
      <c r="N10" s="3"/>
      <c r="O10" s="3"/>
      <c r="P10" s="3"/>
      <c r="Q10" s="3"/>
      <c r="R10" s="3"/>
    </row>
    <row r="11" spans="2:18" ht="15" customHeight="1" x14ac:dyDescent="0.3">
      <c r="B11" s="77" t="s">
        <v>143</v>
      </c>
      <c r="C11" s="77"/>
      <c r="D11" s="77"/>
      <c r="E11" s="77"/>
      <c r="F11" s="77" t="s">
        <v>20</v>
      </c>
      <c r="G11" s="77"/>
      <c r="H11" s="77"/>
      <c r="I11" s="77"/>
      <c r="J11" s="77" t="s">
        <v>21</v>
      </c>
      <c r="K11" s="77"/>
      <c r="L11" s="77"/>
      <c r="M11" s="77"/>
      <c r="N11" s="78" t="e">
        <f>TEXT(PACKAGE_PnL!G7/SUM(#REF!),"0.0%")&amp;" de l'objectif annuel"</f>
        <v>#REF!</v>
      </c>
      <c r="O11" s="78"/>
      <c r="P11" s="78"/>
      <c r="Q11" s="78"/>
      <c r="R11" s="78"/>
    </row>
    <row r="12" spans="2:18" ht="15" customHeight="1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77" t="e">
        <f>"Objectif : "&amp;TEXT(SUM(#REF!),"#,##0")&amp;" k€"</f>
        <v>#REF!</v>
      </c>
      <c r="O12" s="77"/>
      <c r="P12" s="77"/>
      <c r="Q12" s="77"/>
      <c r="R12" s="77"/>
    </row>
    <row r="14" spans="2:18" ht="15" customHeight="1" x14ac:dyDescent="0.3">
      <c r="B14" s="79" t="s">
        <v>49</v>
      </c>
      <c r="C14" s="79"/>
      <c r="D14" s="79"/>
      <c r="E14" s="79" t="s">
        <v>20</v>
      </c>
      <c r="F14" s="79"/>
      <c r="G14" s="79"/>
      <c r="H14" s="79" t="s">
        <v>145</v>
      </c>
      <c r="I14" s="79"/>
      <c r="J14" s="79"/>
      <c r="K14" s="79" t="s">
        <v>144</v>
      </c>
      <c r="L14" s="79"/>
      <c r="M14" s="79"/>
      <c r="N14" s="79" t="s">
        <v>21</v>
      </c>
      <c r="O14" s="79"/>
      <c r="P14" s="79"/>
      <c r="Q14" s="79"/>
      <c r="R14" s="79"/>
    </row>
    <row r="15" spans="2:18" ht="15" customHeight="1" x14ac:dyDescent="0.3">
      <c r="B15" s="76">
        <f>PACKAGE_PnL!M9</f>
        <v>1</v>
      </c>
      <c r="C15" s="76"/>
      <c r="D15" s="76"/>
      <c r="E15" s="76">
        <f>PACKAGE_PnL!M15</f>
        <v>1</v>
      </c>
      <c r="F15" s="76"/>
      <c r="G15" s="76"/>
      <c r="H15" s="76">
        <f>PACKAGE_PnL!L7</f>
        <v>0.11415295583669847</v>
      </c>
      <c r="I15" s="76"/>
      <c r="J15" s="76"/>
      <c r="K15" s="76">
        <f>PACKAGE_PnL!M8</f>
        <v>0</v>
      </c>
      <c r="L15" s="76"/>
      <c r="M15" s="76"/>
      <c r="N15" s="76">
        <f>PACKAGE_PnL!M21</f>
        <v>1</v>
      </c>
      <c r="O15" s="76"/>
      <c r="P15" s="76"/>
      <c r="Q15" s="76"/>
      <c r="R15" s="76"/>
    </row>
    <row r="16" spans="2:18" ht="15" customHeight="1" x14ac:dyDescent="0.3"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</row>
    <row r="17" spans="2:18" ht="15" customHeight="1" x14ac:dyDescent="0.3">
      <c r="B17" s="77" t="s">
        <v>115</v>
      </c>
      <c r="C17" s="77"/>
      <c r="D17" s="77"/>
      <c r="E17" s="77" t="s">
        <v>115</v>
      </c>
      <c r="F17" s="77"/>
      <c r="G17" s="77"/>
      <c r="H17" s="77" t="s">
        <v>143</v>
      </c>
      <c r="I17" s="77"/>
      <c r="J17" s="77"/>
      <c r="K17" s="77" t="s">
        <v>115</v>
      </c>
      <c r="L17" s="77"/>
      <c r="M17" s="77"/>
      <c r="N17" s="77" t="s">
        <v>115</v>
      </c>
      <c r="O17" s="77"/>
      <c r="P17" s="77"/>
      <c r="Q17" s="77"/>
      <c r="R17" s="77"/>
    </row>
    <row r="19" spans="2:18" ht="15" customHeight="1" x14ac:dyDescent="0.3">
      <c r="B19" s="63" t="s">
        <v>152</v>
      </c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2:18" ht="15" customHeight="1" x14ac:dyDescent="0.3">
      <c r="B20" s="74" t="str">
        <f>"•  Chiffre d'affaires groupe : "&amp;TEXT(PACKAGE_PnL!G7,"#,##0")&amp;" k€  ("&amp;TEXT(PACKAGE_PnL!J7,"+0.0%;-0.0%")&amp;" vs budget, "&amp;TEXT(PACKAGE_PnL!L7,"+0.0%;-0.0%")&amp;" vs N-1)."</f>
        <v>•  Chiffre d'affaires groupe : 2,638 k€  (-2.6% vs budget, +11.4% vs N-1).</v>
      </c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</row>
    <row r="21" spans="2:18" ht="15" customHeight="1" x14ac:dyDescent="0.3">
      <c r="B21" s="73" t="str">
        <f>"•  EBITDA : "&amp;TEXT(PACKAGE_PnL!G15,"#,##0")&amp;" k€ — marge de "&amp;TEXT(PACKAGE_PnL!M15,"0.0%")&amp;"  ("&amp;TEXT(PACKAGE_PnL!J15,"+0.0%;-0.0%")&amp;" vs budget)."</f>
        <v>•  EBITDA : 2,638 k€ — marge de 100.0%  (-2.6% vs budget).</v>
      </c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</row>
    <row r="22" spans="2:18" ht="15" customHeight="1" x14ac:dyDescent="0.3">
      <c r="B22" s="74" t="str">
        <f>"•  Résultat net : "&amp;TEXT(PACKAGE_PnL!G21,"#,##0")&amp;" k€  ("&amp;TEXT(PACKAGE_PnL!J21,"+0.0%;-0.0%")&amp;" vs budget)."</f>
        <v>•  Résultat net : 2,638 k€  (-2.6% vs budget).</v>
      </c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</row>
    <row r="23" spans="2:18" ht="15" customHeight="1" x14ac:dyDescent="0.3">
      <c r="B23" s="73" t="str">
        <f>"•  Meilleure performance : "&amp;INDEX(AGREG_PQ[Entite],MATCH(LARGE(AGREG_PQ[Ecart_YTD],1),AGREG_PQ[Ecart_YTD],0))&amp;" sur "&amp;INDEX(AGREG_PQ[PosteP&amp;L],MATCH(LARGE(AGREG_PQ[Ecart_YTD],1),AGREG_PQ[Ecart_YTD],0))&amp;" (+"&amp;TEXT(LARGE(AGREG_PQ[Ecart_YTD],1),"#,##0")&amp;" k€)."</f>
        <v>•  Meilleure performance : Céréales &amp; Meunerie sur Chiffre d'affaires (+-71 k€).</v>
      </c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</row>
    <row r="24" spans="2:18" ht="15" customHeight="1" x14ac:dyDescent="0.3">
      <c r="B24" s="74" t="str">
        <f>"•  Point de vigilance : "&amp;INDEX(AGREG_PQ[Entite],MATCH(SMALL(AGREG_PQ[Ecart_YTD],1),AGREG_PQ[Ecart_YTD],0))&amp;" sur "&amp;INDEX(AGREG_PQ[PosteP&amp;L],MATCH(SMALL(AGREG_PQ[Ecart_YTD],1),AGREG_PQ[Ecart_YTD],0))&amp;" ("&amp;TEXT(SMALL(AGREG_PQ[Ecart_YTD],1),"#,##0")&amp;" k€)."</f>
        <v>•  Point de vigilance : Céréales &amp; Meunerie sur Chiffre d'affaires (-71 k€).</v>
      </c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</row>
    <row r="25" spans="2:18" ht="15" customHeight="1" x14ac:dyDescent="0.3">
      <c r="B25" s="73" t="str">
        <f>"•  Marge brute groupe : "&amp;TEXT(PACKAGE_PnL!M9,"0.0%")&amp;" du CA ("&amp;TEXT(PACKAGE_PnL!G9,"#,##0")&amp;" k€)."</f>
        <v>•  Marge brute groupe : 100.0% du CA (2,638 k€).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</row>
    <row r="26" spans="2:18" ht="15" customHeight="1" x14ac:dyDescent="0.3">
      <c r="B26" s="74" t="str">
        <f>"•  1ère contribution au CA : "&amp;INDEX(SYNTHESE_BU!B7:B11,MATCH(MAX(SYNTHESE_BU!C7:C11),SYNTHESE_BU!C7:C11,0))&amp;" ("&amp;TEXT(MAX(SYNTHESE_BU!C7:C11)/SYNTHESE_BU!C12,"0.0%")&amp;" du CA groupe)."</f>
        <v>•  1ère contribution au CA : Céréales &amp; Meunerie (100.0% du CA groupe).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</row>
    <row r="27" spans="2:18" ht="15" customHeight="1" x14ac:dyDescent="0.3">
      <c r="B27" s="73" t="str">
        <f>"•  BU la plus rentable : "&amp;INDEX(SYNTHESE_BU!B7:B11,MATCH(MAX(SYNTHESE_BU!L7:L11),SYNTHESE_BU!L7:L11,0))&amp;" (marge EBITDA "&amp;TEXT(MAX(SYNTHESE_BU!L7:L11),"0.0%")&amp;")."</f>
        <v>•  BU la plus rentable : Céréales &amp; Meunerie (marge EBITDA 100.0%).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</row>
    <row r="28" spans="2:18" ht="15" customHeight="1" x14ac:dyDescent="0.3">
      <c r="B28" s="74" t="str">
        <f>"•  Poids des charges de personnel : "&amp;TEXT(-PACKAGE_PnL!G10/PACKAGE_PnL!G7,"0.0%")&amp;" du CA."</f>
        <v>•  Poids des charges de personnel : 0.0% du CA.</v>
      </c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</row>
    <row r="29" spans="2:18" ht="15" customHeight="1" x14ac:dyDescent="0.3">
      <c r="B29" s="73" t="str">
        <f>"•  Écarts significatifs : "&amp;TEXT(COUNTIF(PACKAGE_PnL!O7:O20,"Défavorable")+COUNTIF(PACKAGE_PnL!O7:O20,"Favorable"),"0")&amp;" poste(s) au-delà du seuil de "&amp;TEXT(PARAM!C15,"0")&amp;" k€."</f>
        <v>•  Écarts significatifs : 5 poste(s) au-delà du seuil de 45 k€.</v>
      </c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</row>
    <row r="30" spans="2:18" ht="15" customHeight="1" x14ac:dyDescent="0.3">
      <c r="B30" s="74" t="str">
        <f>"•  Dynamique du mois : CA "&amp;TEXT(PACKAGE_PnL!F7,"+0.0%;-0.0%")&amp;" vs budget (cumul YTD : "&amp;TEXT(PACKAGE_PnL!J7,"+0.0%;-0.0%")&amp;")."</f>
        <v>•  Dynamique du mois : CA +13.0% vs budget (cumul YTD : -2.6%).</v>
      </c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</row>
    <row r="32" spans="2:18" ht="15" customHeight="1" x14ac:dyDescent="0.3">
      <c r="B32" s="63" t="s">
        <v>142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47" spans="2:18" ht="15" customHeight="1" x14ac:dyDescent="0.3">
      <c r="B47" s="63" t="s">
        <v>141</v>
      </c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</row>
    <row r="48" spans="2:18" ht="15" customHeight="1" x14ac:dyDescent="0.3">
      <c r="B48" s="75" t="s">
        <v>140</v>
      </c>
      <c r="C48" s="75"/>
      <c r="D48" s="75"/>
      <c r="E48" s="75"/>
      <c r="F48" s="75" t="s">
        <v>139</v>
      </c>
      <c r="G48" s="75"/>
      <c r="H48" s="75"/>
      <c r="I48" s="75"/>
      <c r="J48" s="75"/>
      <c r="K48" s="75"/>
      <c r="L48" s="75" t="s">
        <v>138</v>
      </c>
      <c r="M48" s="75"/>
      <c r="N48" s="75"/>
      <c r="O48" s="75"/>
      <c r="P48" s="75"/>
      <c r="Q48" s="75"/>
      <c r="R48" s="75"/>
    </row>
    <row r="49" spans="2:18" ht="15" customHeight="1" x14ac:dyDescent="0.3">
      <c r="B49" s="66" t="s">
        <v>33</v>
      </c>
      <c r="C49" s="66"/>
      <c r="D49" s="67">
        <f>PACKAGE_PnL!G7</f>
        <v>2637.590000000002</v>
      </c>
      <c r="E49" s="67"/>
    </row>
    <row r="50" spans="2:18" ht="15" customHeight="1" x14ac:dyDescent="0.3">
      <c r="B50" s="66"/>
      <c r="C50" s="66"/>
      <c r="D50" s="68">
        <f>PACKAGE_PnL!J7</f>
        <v>-2.6223685862171775E-2</v>
      </c>
      <c r="E50" s="68"/>
    </row>
    <row r="52" spans="2:18" ht="15" customHeight="1" x14ac:dyDescent="0.3">
      <c r="B52" s="66" t="s">
        <v>34</v>
      </c>
      <c r="C52" s="66"/>
      <c r="D52" s="67">
        <f>PACKAGE_PnL!G8</f>
        <v>0</v>
      </c>
      <c r="E52" s="67"/>
    </row>
    <row r="53" spans="2:18" ht="15" customHeight="1" x14ac:dyDescent="0.3">
      <c r="B53" s="66"/>
      <c r="C53" s="66"/>
      <c r="D53" s="72">
        <f>PACKAGE_PnL!M8</f>
        <v>0</v>
      </c>
      <c r="E53" s="72"/>
    </row>
    <row r="55" spans="2:18" ht="15" customHeight="1" x14ac:dyDescent="0.3">
      <c r="B55" s="66" t="s">
        <v>49</v>
      </c>
      <c r="C55" s="66"/>
      <c r="D55" s="67">
        <f>PACKAGE_PnL!G9</f>
        <v>2637.590000000002</v>
      </c>
      <c r="E55" s="67"/>
    </row>
    <row r="56" spans="2:18" ht="15" customHeight="1" x14ac:dyDescent="0.3">
      <c r="B56" s="66"/>
      <c r="C56" s="66"/>
      <c r="D56" s="72">
        <f>PACKAGE_PnL!M9</f>
        <v>1</v>
      </c>
      <c r="E56" s="72"/>
    </row>
    <row r="58" spans="2:18" ht="15" customHeight="1" x14ac:dyDescent="0.3">
      <c r="B58" s="66" t="s">
        <v>24</v>
      </c>
      <c r="C58" s="66"/>
      <c r="D58" s="67">
        <f>PACKAGE_PnL!G15</f>
        <v>2637.590000000002</v>
      </c>
      <c r="E58" s="67"/>
    </row>
    <row r="59" spans="2:18" ht="15" customHeight="1" x14ac:dyDescent="0.3">
      <c r="B59" s="66"/>
      <c r="C59" s="66"/>
      <c r="D59" s="68">
        <f>PACKAGE_PnL!J15</f>
        <v>-2.6223685862171775E-2</v>
      </c>
      <c r="E59" s="68"/>
    </row>
    <row r="61" spans="2:18" ht="15" customHeight="1" x14ac:dyDescent="0.3">
      <c r="B61" s="66" t="s">
        <v>137</v>
      </c>
      <c r="C61" s="66"/>
      <c r="D61" s="67">
        <f>PACKAGE_PnL!G21</f>
        <v>2637.590000000002</v>
      </c>
      <c r="E61" s="67"/>
    </row>
    <row r="62" spans="2:18" ht="15" customHeight="1" x14ac:dyDescent="0.3">
      <c r="B62" s="66"/>
      <c r="C62" s="66"/>
      <c r="D62" s="68">
        <f>PACKAGE_PnL!J21</f>
        <v>-2.6223685862171775E-2</v>
      </c>
      <c r="E62" s="68"/>
    </row>
    <row r="64" spans="2:18" ht="15" customHeight="1" x14ac:dyDescent="0.3">
      <c r="B64" s="63" t="s">
        <v>150</v>
      </c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</row>
    <row r="65" spans="2:18" ht="15" customHeight="1" x14ac:dyDescent="0.3">
      <c r="D65" s="69" t="s">
        <v>108</v>
      </c>
      <c r="E65" s="69"/>
      <c r="F65" s="19" t="s">
        <v>107</v>
      </c>
      <c r="G65" s="19" t="s">
        <v>106</v>
      </c>
      <c r="H65" s="19" t="s">
        <v>105</v>
      </c>
      <c r="I65" s="19" t="s">
        <v>104</v>
      </c>
      <c r="J65" s="19" t="s">
        <v>103</v>
      </c>
      <c r="K65" s="19" t="s">
        <v>102</v>
      </c>
      <c r="L65" s="19" t="s">
        <v>101</v>
      </c>
      <c r="M65" s="19" t="s">
        <v>100</v>
      </c>
      <c r="N65" s="19" t="s">
        <v>99</v>
      </c>
      <c r="O65" s="19" t="s">
        <v>45</v>
      </c>
    </row>
    <row r="66" spans="2:18" ht="15" customHeight="1" x14ac:dyDescent="0.3">
      <c r="D66" s="70" t="s">
        <v>8</v>
      </c>
      <c r="E66" s="71"/>
      <c r="F66" s="18">
        <f>SUMIFS(AGREG_PQ[Ecart_YTD],AGREG_PQ[CodeEntite],"BU01",AGREG_PQ[PosteP&amp;L],"Chiffre d'affaires")</f>
        <v>-71.029999999995653</v>
      </c>
      <c r="G66" s="18">
        <f>SUMIFS(AGREG_PQ[Ecart_YTD],AGREG_PQ[CodeEntite],"BU01",AGREG_PQ[PosteP&amp;L],"Coût des matières")</f>
        <v>0</v>
      </c>
      <c r="H66" s="18">
        <f>SUMIFS(AGREG_PQ[Ecart_YTD],AGREG_PQ[CodeEntite],"BU01",AGREG_PQ[PosteP&amp;L],"Charges de personnel")</f>
        <v>0</v>
      </c>
      <c r="I66" s="18">
        <f>SUMIFS(AGREG_PQ[Ecart_YTD],AGREG_PQ[CodeEntite],"BU01",AGREG_PQ[PosteP&amp;L],"Charges externes")</f>
        <v>0</v>
      </c>
      <c r="J66" s="18">
        <f>SUMIFS(AGREG_PQ[Ecart_YTD],AGREG_PQ[CodeEntite],"BU01",AGREG_PQ[PosteP&amp;L],"Transport &amp; logistique")</f>
        <v>0</v>
      </c>
      <c r="K66" s="18">
        <f>SUMIFS(AGREG_PQ[Ecart_YTD],AGREG_PQ[CodeEntite],"BU01",AGREG_PQ[PosteP&amp;L],"Marketing &amp; publicité")</f>
        <v>0</v>
      </c>
      <c r="L66" s="18">
        <f>SUMIFS(AGREG_PQ[Ecart_YTD],AGREG_PQ[CodeEntite],"BU01",AGREG_PQ[PosteP&amp;L],"Autres charges")</f>
        <v>0</v>
      </c>
      <c r="M66" s="18">
        <f>SUMIFS(AGREG_PQ[Ecart_YTD],AGREG_PQ[CodeEntite],"BU01",AGREG_PQ[PosteP&amp;L],"Amortissements")</f>
        <v>0</v>
      </c>
      <c r="N66" s="18">
        <f>SUMIFS(AGREG_PQ[Ecart_YTD],AGREG_PQ[CodeEntite],"BU01",AGREG_PQ[PosteP&amp;L],"Charges financières")</f>
        <v>0</v>
      </c>
      <c r="O66" s="18">
        <f>SUMIFS(AGREG_PQ[Ecart_YTD],AGREG_PQ[CodeEntite],"BU01",AGREG_PQ[PosteP&amp;L],"Impôt")</f>
        <v>0</v>
      </c>
    </row>
    <row r="67" spans="2:18" ht="15" customHeight="1" x14ac:dyDescent="0.3">
      <c r="D67" s="70" t="s">
        <v>10</v>
      </c>
      <c r="E67" s="71"/>
      <c r="F67" s="18">
        <f>SUMIFS(AGREG_PQ[Ecart_YTD],AGREG_PQ[CodeEntite],"BU02",AGREG_PQ[PosteP&amp;L],"Chiffre d'affaires")</f>
        <v>0</v>
      </c>
      <c r="G67" s="18">
        <f>SUMIFS(AGREG_PQ[Ecart_YTD],AGREG_PQ[CodeEntite],"BU02",AGREG_PQ[PosteP&amp;L],"Coût des matières")</f>
        <v>0</v>
      </c>
      <c r="H67" s="18">
        <f>SUMIFS(AGREG_PQ[Ecart_YTD],AGREG_PQ[CodeEntite],"BU02",AGREG_PQ[PosteP&amp;L],"Charges de personnel")</f>
        <v>0</v>
      </c>
      <c r="I67" s="18">
        <f>SUMIFS(AGREG_PQ[Ecart_YTD],AGREG_PQ[CodeEntite],"BU02",AGREG_PQ[PosteP&amp;L],"Charges externes")</f>
        <v>0</v>
      </c>
      <c r="J67" s="18">
        <f>SUMIFS(AGREG_PQ[Ecart_YTD],AGREG_PQ[CodeEntite],"BU02",AGREG_PQ[PosteP&amp;L],"Transport &amp; logistique")</f>
        <v>0</v>
      </c>
      <c r="K67" s="18">
        <f>SUMIFS(AGREG_PQ[Ecart_YTD],AGREG_PQ[CodeEntite],"BU02",AGREG_PQ[PosteP&amp;L],"Marketing &amp; publicité")</f>
        <v>0</v>
      </c>
      <c r="L67" s="18">
        <f>SUMIFS(AGREG_PQ[Ecart_YTD],AGREG_PQ[CodeEntite],"BU02",AGREG_PQ[PosteP&amp;L],"Autres charges")</f>
        <v>0</v>
      </c>
      <c r="M67" s="18">
        <f>SUMIFS(AGREG_PQ[Ecart_YTD],AGREG_PQ[CodeEntite],"BU02",AGREG_PQ[PosteP&amp;L],"Amortissements")</f>
        <v>0</v>
      </c>
      <c r="N67" s="18">
        <f>SUMIFS(AGREG_PQ[Ecart_YTD],AGREG_PQ[CodeEntite],"BU02",AGREG_PQ[PosteP&amp;L],"Charges financières")</f>
        <v>0</v>
      </c>
      <c r="O67" s="18">
        <f>SUMIFS(AGREG_PQ[Ecart_YTD],AGREG_PQ[CodeEntite],"BU02",AGREG_PQ[PosteP&amp;L],"Impôt")</f>
        <v>0</v>
      </c>
    </row>
    <row r="68" spans="2:18" ht="15" customHeight="1" x14ac:dyDescent="0.3">
      <c r="D68" s="70" t="s">
        <v>12</v>
      </c>
      <c r="E68" s="71"/>
      <c r="F68" s="18">
        <f>SUMIFS(AGREG_PQ[Ecart_YTD],AGREG_PQ[CodeEntite],"BU03",AGREG_PQ[PosteP&amp;L],"Chiffre d'affaires")</f>
        <v>0</v>
      </c>
      <c r="G68" s="18">
        <f>SUMIFS(AGREG_PQ[Ecart_YTD],AGREG_PQ[CodeEntite],"BU03",AGREG_PQ[PosteP&amp;L],"Coût des matières")</f>
        <v>0</v>
      </c>
      <c r="H68" s="18">
        <f>SUMIFS(AGREG_PQ[Ecart_YTD],AGREG_PQ[CodeEntite],"BU03",AGREG_PQ[PosteP&amp;L],"Charges de personnel")</f>
        <v>0</v>
      </c>
      <c r="I68" s="18">
        <f>SUMIFS(AGREG_PQ[Ecart_YTD],AGREG_PQ[CodeEntite],"BU03",AGREG_PQ[PosteP&amp;L],"Charges externes")</f>
        <v>0</v>
      </c>
      <c r="J68" s="18">
        <f>SUMIFS(AGREG_PQ[Ecart_YTD],AGREG_PQ[CodeEntite],"BU03",AGREG_PQ[PosteP&amp;L],"Transport &amp; logistique")</f>
        <v>0</v>
      </c>
      <c r="K68" s="18">
        <f>SUMIFS(AGREG_PQ[Ecart_YTD],AGREG_PQ[CodeEntite],"BU03",AGREG_PQ[PosteP&amp;L],"Marketing &amp; publicité")</f>
        <v>0</v>
      </c>
      <c r="L68" s="18">
        <f>SUMIFS(AGREG_PQ[Ecart_YTD],AGREG_PQ[CodeEntite],"BU03",AGREG_PQ[PosteP&amp;L],"Autres charges")</f>
        <v>0</v>
      </c>
      <c r="M68" s="18">
        <f>SUMIFS(AGREG_PQ[Ecart_YTD],AGREG_PQ[CodeEntite],"BU03",AGREG_PQ[PosteP&amp;L],"Amortissements")</f>
        <v>0</v>
      </c>
      <c r="N68" s="18">
        <f>SUMIFS(AGREG_PQ[Ecart_YTD],AGREG_PQ[CodeEntite],"BU03",AGREG_PQ[PosteP&amp;L],"Charges financières")</f>
        <v>0</v>
      </c>
      <c r="O68" s="18">
        <f>SUMIFS(AGREG_PQ[Ecart_YTD],AGREG_PQ[CodeEntite],"BU03",AGREG_PQ[PosteP&amp;L],"Impôt")</f>
        <v>0</v>
      </c>
    </row>
    <row r="69" spans="2:18" ht="15" customHeight="1" x14ac:dyDescent="0.3">
      <c r="D69" s="70" t="s">
        <v>14</v>
      </c>
      <c r="E69" s="71"/>
      <c r="F69" s="18">
        <f>SUMIFS(AGREG_PQ[Ecart_YTD],AGREG_PQ[CodeEntite],"BU04",AGREG_PQ[PosteP&amp;L],"Chiffre d'affaires")</f>
        <v>0</v>
      </c>
      <c r="G69" s="18">
        <f>SUMIFS(AGREG_PQ[Ecart_YTD],AGREG_PQ[CodeEntite],"BU04",AGREG_PQ[PosteP&amp;L],"Coût des matières")</f>
        <v>0</v>
      </c>
      <c r="H69" s="18">
        <f>SUMIFS(AGREG_PQ[Ecart_YTD],AGREG_PQ[CodeEntite],"BU04",AGREG_PQ[PosteP&amp;L],"Charges de personnel")</f>
        <v>0</v>
      </c>
      <c r="I69" s="18">
        <f>SUMIFS(AGREG_PQ[Ecart_YTD],AGREG_PQ[CodeEntite],"BU04",AGREG_PQ[PosteP&amp;L],"Charges externes")</f>
        <v>0</v>
      </c>
      <c r="J69" s="18">
        <f>SUMIFS(AGREG_PQ[Ecart_YTD],AGREG_PQ[CodeEntite],"BU04",AGREG_PQ[PosteP&amp;L],"Transport &amp; logistique")</f>
        <v>0</v>
      </c>
      <c r="K69" s="18">
        <f>SUMIFS(AGREG_PQ[Ecart_YTD],AGREG_PQ[CodeEntite],"BU04",AGREG_PQ[PosteP&amp;L],"Marketing &amp; publicité")</f>
        <v>0</v>
      </c>
      <c r="L69" s="18">
        <f>SUMIFS(AGREG_PQ[Ecart_YTD],AGREG_PQ[CodeEntite],"BU04",AGREG_PQ[PosteP&amp;L],"Autres charges")</f>
        <v>0</v>
      </c>
      <c r="M69" s="18">
        <f>SUMIFS(AGREG_PQ[Ecart_YTD],AGREG_PQ[CodeEntite],"BU04",AGREG_PQ[PosteP&amp;L],"Amortissements")</f>
        <v>0</v>
      </c>
      <c r="N69" s="18">
        <f>SUMIFS(AGREG_PQ[Ecart_YTD],AGREG_PQ[CodeEntite],"BU04",AGREG_PQ[PosteP&amp;L],"Charges financières")</f>
        <v>0</v>
      </c>
      <c r="O69" s="18">
        <f>SUMIFS(AGREG_PQ[Ecart_YTD],AGREG_PQ[CodeEntite],"BU04",AGREG_PQ[PosteP&amp;L],"Impôt")</f>
        <v>0</v>
      </c>
    </row>
    <row r="70" spans="2:18" ht="15" customHeight="1" x14ac:dyDescent="0.3">
      <c r="D70" s="70" t="s">
        <v>16</v>
      </c>
      <c r="E70" s="71"/>
      <c r="F70" s="18">
        <f>SUMIFS(AGREG_PQ[Ecart_YTD],AGREG_PQ[CodeEntite],"BU05",AGREG_PQ[PosteP&amp;L],"Chiffre d'affaires")</f>
        <v>0</v>
      </c>
      <c r="G70" s="18">
        <f>SUMIFS(AGREG_PQ[Ecart_YTD],AGREG_PQ[CodeEntite],"BU05",AGREG_PQ[PosteP&amp;L],"Coût des matières")</f>
        <v>0</v>
      </c>
      <c r="H70" s="18">
        <f>SUMIFS(AGREG_PQ[Ecart_YTD],AGREG_PQ[CodeEntite],"BU05",AGREG_PQ[PosteP&amp;L],"Charges de personnel")</f>
        <v>0</v>
      </c>
      <c r="I70" s="18">
        <f>SUMIFS(AGREG_PQ[Ecart_YTD],AGREG_PQ[CodeEntite],"BU05",AGREG_PQ[PosteP&amp;L],"Charges externes")</f>
        <v>0</v>
      </c>
      <c r="J70" s="18">
        <f>SUMIFS(AGREG_PQ[Ecart_YTD],AGREG_PQ[CodeEntite],"BU05",AGREG_PQ[PosteP&amp;L],"Transport &amp; logistique")</f>
        <v>0</v>
      </c>
      <c r="K70" s="18">
        <f>SUMIFS(AGREG_PQ[Ecart_YTD],AGREG_PQ[CodeEntite],"BU05",AGREG_PQ[PosteP&amp;L],"Marketing &amp; publicité")</f>
        <v>0</v>
      </c>
      <c r="L70" s="18">
        <f>SUMIFS(AGREG_PQ[Ecart_YTD],AGREG_PQ[CodeEntite],"BU05",AGREG_PQ[PosteP&amp;L],"Autres charges")</f>
        <v>0</v>
      </c>
      <c r="M70" s="18">
        <f>SUMIFS(AGREG_PQ[Ecart_YTD],AGREG_PQ[CodeEntite],"BU05",AGREG_PQ[PosteP&amp;L],"Amortissements")</f>
        <v>0</v>
      </c>
      <c r="N70" s="18">
        <f>SUMIFS(AGREG_PQ[Ecart_YTD],AGREG_PQ[CodeEntite],"BU05",AGREG_PQ[PosteP&amp;L],"Charges financières")</f>
        <v>0</v>
      </c>
      <c r="O70" s="18">
        <f>SUMIFS(AGREG_PQ[Ecart_YTD],AGREG_PQ[CodeEntite],"BU05",AGREG_PQ[PosteP&amp;L],"Impôt")</f>
        <v>0</v>
      </c>
    </row>
    <row r="71" spans="2:18" ht="15" customHeight="1" x14ac:dyDescent="0.3">
      <c r="D71" s="60"/>
      <c r="E71" s="60"/>
      <c r="F71" s="61"/>
      <c r="G71" s="61"/>
      <c r="H71" s="61"/>
      <c r="I71" s="61"/>
      <c r="J71" s="61"/>
      <c r="K71" s="61"/>
      <c r="L71" s="61"/>
      <c r="M71" s="61"/>
      <c r="N71" s="61"/>
      <c r="O71" s="61"/>
    </row>
    <row r="73" spans="2:18" ht="15" customHeight="1" x14ac:dyDescent="0.3">
      <c r="B73" s="63" t="s">
        <v>1225</v>
      </c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</row>
    <row r="74" spans="2:18" ht="19.5" customHeight="1" x14ac:dyDescent="0.3">
      <c r="B74" s="65">
        <v>5</v>
      </c>
      <c r="C74" s="65"/>
      <c r="D74" s="65"/>
      <c r="E74" s="65">
        <v>8</v>
      </c>
      <c r="F74" s="65"/>
      <c r="G74" s="65"/>
      <c r="H74" s="65">
        <v>29</v>
      </c>
      <c r="I74" s="65"/>
      <c r="J74" s="65"/>
      <c r="K74" s="65">
        <v>5</v>
      </c>
      <c r="L74" s="65"/>
      <c r="M74" s="65"/>
      <c r="N74" s="65">
        <v>850</v>
      </c>
      <c r="O74" s="65"/>
      <c r="P74" s="65"/>
      <c r="Q74" s="65"/>
      <c r="R74" s="65"/>
    </row>
    <row r="75" spans="2:18" ht="15" customHeight="1" x14ac:dyDescent="0.3">
      <c r="B75" s="64" t="s">
        <v>1224</v>
      </c>
      <c r="C75" s="64"/>
      <c r="D75" s="64"/>
      <c r="E75" s="64" t="s">
        <v>1223</v>
      </c>
      <c r="F75" s="64"/>
      <c r="G75" s="64"/>
      <c r="H75" s="64" t="s">
        <v>153</v>
      </c>
      <c r="I75" s="64"/>
      <c r="J75" s="64"/>
      <c r="K75" s="64" t="s">
        <v>1222</v>
      </c>
      <c r="L75" s="64"/>
      <c r="M75" s="64"/>
      <c r="N75" s="64" t="s">
        <v>1221</v>
      </c>
      <c r="O75" s="64"/>
      <c r="P75" s="64"/>
      <c r="Q75" s="64"/>
      <c r="R75" s="64"/>
    </row>
    <row r="77" spans="2:18" ht="15" customHeight="1" x14ac:dyDescent="0.3"/>
    <row r="78" spans="2:18" ht="15" customHeight="1" x14ac:dyDescent="0.3">
      <c r="B78" s="63" t="s">
        <v>1220</v>
      </c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</row>
    <row r="79" spans="2:18" ht="15" customHeight="1" x14ac:dyDescent="0.3"/>
    <row r="80" spans="2:18" ht="15" customHeight="1" x14ac:dyDescent="0.3"/>
    <row r="81" spans="2:18" ht="15" customHeight="1" x14ac:dyDescent="0.3"/>
    <row r="82" spans="2:18" ht="15" customHeight="1" x14ac:dyDescent="0.3"/>
    <row r="83" spans="2:18" ht="15" customHeight="1" x14ac:dyDescent="0.3"/>
    <row r="84" spans="2:18" ht="15" customHeight="1" x14ac:dyDescent="0.3"/>
    <row r="85" spans="2:18" ht="15" customHeight="1" x14ac:dyDescent="0.3"/>
    <row r="86" spans="2:18" ht="15" customHeight="1" x14ac:dyDescent="0.3"/>
    <row r="87" spans="2:18" ht="15" customHeight="1" x14ac:dyDescent="0.3"/>
    <row r="88" spans="2:18" ht="15" customHeight="1" x14ac:dyDescent="0.3"/>
    <row r="89" spans="2:18" ht="15" customHeight="1" x14ac:dyDescent="0.3"/>
    <row r="90" spans="2:18" ht="15" customHeight="1" x14ac:dyDescent="0.3"/>
    <row r="91" spans="2:18" ht="15" customHeight="1" x14ac:dyDescent="0.3"/>
    <row r="92" spans="2:18" ht="15" customHeight="1" x14ac:dyDescent="0.3"/>
    <row r="93" spans="2:18" ht="15" customHeight="1" x14ac:dyDescent="0.3">
      <c r="B93" s="63" t="s">
        <v>1219</v>
      </c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</row>
    <row r="94" spans="2:18" ht="15" customHeight="1" x14ac:dyDescent="0.3"/>
    <row r="95" spans="2:18" ht="15" customHeight="1" x14ac:dyDescent="0.3"/>
    <row r="96" spans="2:18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hidden="1" customHeight="1" x14ac:dyDescent="0.3"/>
    <row r="109" ht="15" hidden="1" customHeight="1" x14ac:dyDescent="0.3"/>
    <row r="110" ht="15" hidden="1" customHeight="1" x14ac:dyDescent="0.3"/>
    <row r="111" ht="15" hidden="1" customHeight="1" x14ac:dyDescent="0.3"/>
    <row r="112" ht="15" hidden="1" customHeight="1" x14ac:dyDescent="0.3"/>
    <row r="113" ht="15" hidden="1" customHeight="1" x14ac:dyDescent="0.3"/>
    <row r="114" ht="15" hidden="1" customHeight="1" x14ac:dyDescent="0.3"/>
    <row r="115" ht="15" hidden="1" customHeight="1" x14ac:dyDescent="0.3"/>
    <row r="116" ht="15" hidden="1" customHeight="1" x14ac:dyDescent="0.3"/>
    <row r="117" ht="15" hidden="1" customHeight="1" x14ac:dyDescent="0.3"/>
    <row r="118" ht="15" hidden="1" customHeight="1" x14ac:dyDescent="0.3"/>
    <row r="119" ht="15" hidden="1" customHeight="1" x14ac:dyDescent="0.3"/>
    <row r="120" ht="15" hidden="1" customHeight="1" x14ac:dyDescent="0.3"/>
    <row r="121" ht="15" hidden="1" customHeight="1" x14ac:dyDescent="0.3"/>
    <row r="122" ht="15" hidden="1" customHeight="1" x14ac:dyDescent="0.3"/>
    <row r="123" ht="15" hidden="1" customHeight="1" x14ac:dyDescent="0.3"/>
    <row r="124" ht="15" hidden="1" customHeight="1" x14ac:dyDescent="0.3"/>
    <row r="125" ht="15" hidden="1" customHeight="1" x14ac:dyDescent="0.3"/>
    <row r="126" ht="15" hidden="1" customHeight="1" x14ac:dyDescent="0.3"/>
    <row r="127" ht="15" hidden="1" customHeight="1" x14ac:dyDescent="0.3"/>
    <row r="128" ht="15" hidden="1" customHeight="1" x14ac:dyDescent="0.3"/>
    <row r="129" ht="15" hidden="1" customHeight="1" x14ac:dyDescent="0.3"/>
    <row r="130" ht="15" hidden="1" customHeight="1" x14ac:dyDescent="0.3"/>
    <row r="131" ht="15" hidden="1" customHeight="1" x14ac:dyDescent="0.3"/>
    <row r="132" ht="15" hidden="1" customHeight="1" x14ac:dyDescent="0.3"/>
    <row r="133" ht="15" hidden="1" customHeight="1" x14ac:dyDescent="0.3"/>
    <row r="134" ht="15" hidden="1" customHeight="1" x14ac:dyDescent="0.3"/>
    <row r="135" ht="15" hidden="1" customHeight="1" x14ac:dyDescent="0.3"/>
    <row r="136" ht="15" hidden="1" customHeight="1" x14ac:dyDescent="0.3"/>
    <row r="137" ht="15" hidden="1" customHeight="1" x14ac:dyDescent="0.3"/>
    <row r="138" ht="15" hidden="1" customHeight="1" x14ac:dyDescent="0.3"/>
    <row r="139" ht="15" hidden="1" customHeight="1" x14ac:dyDescent="0.3"/>
    <row r="140" ht="15" hidden="1" customHeight="1" x14ac:dyDescent="0.3"/>
    <row r="141" ht="15" hidden="1" customHeight="1" x14ac:dyDescent="0.3"/>
    <row r="142" ht="15" hidden="1" customHeight="1" x14ac:dyDescent="0.3"/>
    <row r="143" ht="15" hidden="1" customHeight="1" x14ac:dyDescent="0.3"/>
    <row r="144" ht="15" hidden="1" customHeight="1" x14ac:dyDescent="0.3"/>
    <row r="145" ht="15" hidden="1" customHeight="1" x14ac:dyDescent="0.3"/>
    <row r="146" ht="15" hidden="1" customHeight="1" x14ac:dyDescent="0.3"/>
    <row r="147" ht="15" hidden="1" customHeight="1" x14ac:dyDescent="0.3"/>
    <row r="148" ht="15" hidden="1" customHeight="1" x14ac:dyDescent="0.3"/>
    <row r="149" ht="15" hidden="1" customHeight="1" x14ac:dyDescent="0.3"/>
    <row r="150" ht="15" hidden="1" customHeight="1" x14ac:dyDescent="0.3"/>
    <row r="151" ht="15" hidden="1" customHeight="1" x14ac:dyDescent="0.3"/>
    <row r="152" ht="15" hidden="1" customHeight="1" x14ac:dyDescent="0.3"/>
    <row r="153" ht="15" hidden="1" customHeight="1" x14ac:dyDescent="0.3"/>
    <row r="154" ht="15" hidden="1" customHeight="1" x14ac:dyDescent="0.3"/>
    <row r="155" ht="15" hidden="1" customHeight="1" x14ac:dyDescent="0.3"/>
    <row r="156" ht="15" hidden="1" customHeight="1" x14ac:dyDescent="0.3"/>
    <row r="157" ht="15" hidden="1" customHeight="1" x14ac:dyDescent="0.3"/>
    <row r="158" ht="15" hidden="1" customHeight="1" x14ac:dyDescent="0.3"/>
    <row r="159" ht="15" hidden="1" customHeight="1" x14ac:dyDescent="0.3"/>
    <row r="160" ht="15" hidden="1" customHeight="1" x14ac:dyDescent="0.3"/>
    <row r="161" ht="15" hidden="1" customHeight="1" x14ac:dyDescent="0.3"/>
    <row r="162" ht="15" hidden="1" customHeight="1" x14ac:dyDescent="0.3"/>
    <row r="163" ht="15" hidden="1" customHeight="1" x14ac:dyDescent="0.3"/>
    <row r="164" ht="15" hidden="1" customHeight="1" x14ac:dyDescent="0.3"/>
    <row r="165" ht="15" hidden="1" customHeight="1" x14ac:dyDescent="0.3"/>
    <row r="166" ht="15" hidden="1" customHeight="1" x14ac:dyDescent="0.3"/>
    <row r="167" ht="15" hidden="1" customHeight="1" x14ac:dyDescent="0.3"/>
    <row r="168" ht="15" hidden="1" customHeight="1" x14ac:dyDescent="0.3"/>
    <row r="169" ht="15" hidden="1" customHeight="1" x14ac:dyDescent="0.3"/>
    <row r="170" ht="15" hidden="1" customHeight="1" x14ac:dyDescent="0.3"/>
    <row r="171" ht="15" hidden="1" customHeight="1" x14ac:dyDescent="0.3"/>
    <row r="172" ht="15" hidden="1" customHeight="1" x14ac:dyDescent="0.3"/>
    <row r="173" ht="15" hidden="1" customHeight="1" x14ac:dyDescent="0.3"/>
    <row r="174" ht="15" hidden="1" customHeight="1" x14ac:dyDescent="0.3"/>
    <row r="175" ht="15" hidden="1" customHeight="1" x14ac:dyDescent="0.3"/>
    <row r="176" ht="15" hidden="1" customHeight="1" x14ac:dyDescent="0.3"/>
    <row r="177" ht="15" hidden="1" customHeight="1" x14ac:dyDescent="0.3"/>
    <row r="178" ht="15" hidden="1" customHeight="1" x14ac:dyDescent="0.3"/>
    <row r="179" ht="15" hidden="1" customHeight="1" x14ac:dyDescent="0.3"/>
    <row r="180" ht="15" hidden="1" customHeight="1" x14ac:dyDescent="0.3"/>
    <row r="181" ht="15" hidden="1" customHeight="1" x14ac:dyDescent="0.3"/>
    <row r="182" ht="15" hidden="1" customHeight="1" x14ac:dyDescent="0.3"/>
    <row r="183" ht="15" hidden="1" customHeight="1" x14ac:dyDescent="0.3"/>
    <row r="184" ht="15" hidden="1" customHeight="1" x14ac:dyDescent="0.3"/>
    <row r="185" ht="15" hidden="1" customHeight="1" x14ac:dyDescent="0.3"/>
    <row r="186" ht="15" hidden="1" customHeight="1" x14ac:dyDescent="0.3"/>
    <row r="187" ht="15" hidden="1" customHeight="1" x14ac:dyDescent="0.3"/>
    <row r="188" ht="15" hidden="1" customHeight="1" x14ac:dyDescent="0.3"/>
    <row r="189" ht="15" hidden="1" customHeight="1" x14ac:dyDescent="0.3"/>
    <row r="190" ht="15" hidden="1" customHeight="1" x14ac:dyDescent="0.3"/>
    <row r="191" ht="15" hidden="1" customHeight="1" x14ac:dyDescent="0.3"/>
    <row r="192" ht="15" hidden="1" customHeight="1" x14ac:dyDescent="0.3"/>
    <row r="193" ht="15" hidden="1" customHeight="1" x14ac:dyDescent="0.3"/>
    <row r="194" ht="15" hidden="1" customHeight="1" x14ac:dyDescent="0.3"/>
    <row r="195" ht="15" hidden="1" customHeight="1" x14ac:dyDescent="0.3"/>
    <row r="196" ht="15" hidden="1" customHeight="1" x14ac:dyDescent="0.3"/>
    <row r="197" ht="15" hidden="1" customHeight="1" x14ac:dyDescent="0.3"/>
    <row r="198" ht="15" hidden="1" customHeight="1" x14ac:dyDescent="0.3"/>
    <row r="199" ht="15" hidden="1" customHeight="1" x14ac:dyDescent="0.3"/>
    <row r="200" ht="15" hidden="1" customHeight="1" x14ac:dyDescent="0.3"/>
    <row r="201" ht="15" hidden="1" customHeight="1" x14ac:dyDescent="0.3"/>
    <row r="202" ht="15" hidden="1" customHeight="1" x14ac:dyDescent="0.3"/>
    <row r="203" ht="15" hidden="1" customHeight="1" x14ac:dyDescent="0.3"/>
    <row r="204" ht="15" hidden="1" customHeight="1" x14ac:dyDescent="0.3"/>
    <row r="205" ht="15" hidden="1" customHeight="1" x14ac:dyDescent="0.3"/>
    <row r="206" ht="15" hidden="1" customHeight="1" x14ac:dyDescent="0.3"/>
    <row r="207" ht="15" hidden="1" customHeight="1" x14ac:dyDescent="0.3"/>
    <row r="208" ht="15" hidden="1" customHeight="1" x14ac:dyDescent="0.3"/>
    <row r="209" ht="15" hidden="1" customHeight="1" x14ac:dyDescent="0.3"/>
    <row r="210" ht="15" hidden="1" customHeight="1" x14ac:dyDescent="0.3"/>
    <row r="211" ht="15" hidden="1" customHeight="1" x14ac:dyDescent="0.3"/>
    <row r="212" ht="15" hidden="1" customHeight="1" x14ac:dyDescent="0.3"/>
    <row r="213" ht="15" hidden="1" customHeight="1" x14ac:dyDescent="0.3"/>
    <row r="214" ht="15" hidden="1" customHeight="1" x14ac:dyDescent="0.3"/>
    <row r="215" ht="15" hidden="1" customHeight="1" x14ac:dyDescent="0.3"/>
    <row r="216" ht="15" hidden="1" customHeight="1" x14ac:dyDescent="0.3"/>
    <row r="217" ht="15" hidden="1" customHeight="1" x14ac:dyDescent="0.3"/>
    <row r="218" ht="15" hidden="1" customHeight="1" x14ac:dyDescent="0.3"/>
    <row r="219" ht="15" hidden="1" customHeight="1" x14ac:dyDescent="0.3"/>
    <row r="220" ht="15" hidden="1" customHeight="1" x14ac:dyDescent="0.3"/>
    <row r="221" ht="15" hidden="1" customHeight="1" x14ac:dyDescent="0.3"/>
    <row r="222" ht="15" hidden="1" customHeight="1" x14ac:dyDescent="0.3"/>
    <row r="223" ht="15" hidden="1" customHeight="1" x14ac:dyDescent="0.3"/>
    <row r="224" ht="15" hidden="1" customHeight="1" x14ac:dyDescent="0.3"/>
    <row r="225" ht="15" hidden="1" customHeight="1" x14ac:dyDescent="0.3"/>
    <row r="226" ht="15" hidden="1" customHeight="1" x14ac:dyDescent="0.3"/>
    <row r="227" ht="15" hidden="1" customHeight="1" x14ac:dyDescent="0.3"/>
    <row r="228" ht="15" hidden="1" customHeight="1" x14ac:dyDescent="0.3"/>
    <row r="229" ht="15" hidden="1" customHeight="1" x14ac:dyDescent="0.3"/>
    <row r="230" ht="15" hidden="1" customHeight="1" x14ac:dyDescent="0.3"/>
    <row r="231" ht="15" hidden="1" customHeight="1" x14ac:dyDescent="0.3"/>
    <row r="232" ht="15" hidden="1" customHeight="1" x14ac:dyDescent="0.3"/>
    <row r="233" ht="15" hidden="1" customHeight="1" x14ac:dyDescent="0.3"/>
    <row r="234" ht="15" hidden="1" customHeight="1" x14ac:dyDescent="0.3"/>
    <row r="235" ht="15" hidden="1" customHeight="1" x14ac:dyDescent="0.3"/>
    <row r="236" ht="15" hidden="1" customHeight="1" x14ac:dyDescent="0.3"/>
    <row r="237" ht="15" hidden="1" customHeight="1" x14ac:dyDescent="0.3"/>
    <row r="238" ht="15" hidden="1" customHeight="1" x14ac:dyDescent="0.3"/>
    <row r="239" ht="15" hidden="1" customHeight="1" x14ac:dyDescent="0.3"/>
    <row r="240" ht="15" hidden="1" customHeight="1" x14ac:dyDescent="0.3"/>
    <row r="241" ht="15" hidden="1" customHeight="1" x14ac:dyDescent="0.3"/>
    <row r="242" ht="15" hidden="1" customHeight="1" x14ac:dyDescent="0.3"/>
    <row r="243" ht="15" hidden="1" customHeight="1" x14ac:dyDescent="0.3"/>
    <row r="244" ht="15" hidden="1" customHeight="1" x14ac:dyDescent="0.3"/>
    <row r="245" ht="15" hidden="1" customHeight="1" x14ac:dyDescent="0.3"/>
    <row r="246" ht="15" hidden="1" customHeight="1" x14ac:dyDescent="0.3"/>
    <row r="247" ht="15" hidden="1" customHeight="1" x14ac:dyDescent="0.3"/>
    <row r="248" ht="15" hidden="1" customHeight="1" x14ac:dyDescent="0.3"/>
    <row r="249" ht="15" hidden="1" customHeight="1" x14ac:dyDescent="0.3"/>
    <row r="250" ht="15" hidden="1" customHeight="1" x14ac:dyDescent="0.3"/>
    <row r="251" ht="15" hidden="1" customHeight="1" x14ac:dyDescent="0.3"/>
    <row r="252" ht="15" hidden="1" customHeight="1" x14ac:dyDescent="0.3"/>
    <row r="253" ht="15" hidden="1" customHeight="1" x14ac:dyDescent="0.3"/>
    <row r="254" ht="15" hidden="1" customHeight="1" x14ac:dyDescent="0.3"/>
    <row r="255" ht="15" hidden="1" customHeight="1" x14ac:dyDescent="0.3"/>
    <row r="256" ht="15" hidden="1" customHeight="1" x14ac:dyDescent="0.3"/>
    <row r="257" ht="15" hidden="1" customHeight="1" x14ac:dyDescent="0.3"/>
    <row r="258" ht="15" hidden="1" customHeight="1" x14ac:dyDescent="0.3"/>
    <row r="259" ht="15" hidden="1" customHeight="1" x14ac:dyDescent="0.3"/>
    <row r="260" ht="15" hidden="1" customHeight="1" x14ac:dyDescent="0.3"/>
    <row r="261" ht="15" hidden="1" customHeight="1" x14ac:dyDescent="0.3"/>
    <row r="262" ht="15" hidden="1" customHeight="1" x14ac:dyDescent="0.3"/>
    <row r="263" ht="15" hidden="1" customHeight="1" x14ac:dyDescent="0.3"/>
    <row r="264" ht="15" hidden="1" customHeight="1" x14ac:dyDescent="0.3"/>
    <row r="265" ht="15" hidden="1" customHeight="1" x14ac:dyDescent="0.3"/>
    <row r="266" ht="15" hidden="1" customHeight="1" x14ac:dyDescent="0.3"/>
    <row r="267" ht="15" hidden="1" customHeight="1" x14ac:dyDescent="0.3"/>
    <row r="268" ht="15" hidden="1" customHeight="1" x14ac:dyDescent="0.3"/>
    <row r="269" ht="15" hidden="1" customHeight="1" x14ac:dyDescent="0.3"/>
    <row r="270" ht="15" hidden="1" customHeight="1" x14ac:dyDescent="0.3"/>
    <row r="271" ht="15" hidden="1" customHeight="1" x14ac:dyDescent="0.3"/>
    <row r="272" ht="15" hidden="1" customHeight="1" x14ac:dyDescent="0.3"/>
    <row r="273" ht="15" hidden="1" customHeight="1" x14ac:dyDescent="0.3"/>
    <row r="274" ht="15" hidden="1" customHeight="1" x14ac:dyDescent="0.3"/>
    <row r="275" ht="15" hidden="1" customHeight="1" x14ac:dyDescent="0.3"/>
    <row r="276" ht="15" hidden="1" customHeight="1" x14ac:dyDescent="0.3"/>
    <row r="277" ht="15" hidden="1" customHeight="1" x14ac:dyDescent="0.3"/>
    <row r="278" ht="15" hidden="1" customHeight="1" x14ac:dyDescent="0.3"/>
    <row r="279" ht="15" hidden="1" customHeight="1" x14ac:dyDescent="0.3"/>
    <row r="280" ht="15" hidden="1" customHeight="1" x14ac:dyDescent="0.3"/>
    <row r="281" ht="15" hidden="1" customHeight="1" x14ac:dyDescent="0.3"/>
    <row r="282" ht="15" hidden="1" customHeight="1" x14ac:dyDescent="0.3"/>
    <row r="283" ht="15" hidden="1" customHeight="1" x14ac:dyDescent="0.3"/>
    <row r="284" ht="15" hidden="1" customHeight="1" x14ac:dyDescent="0.3"/>
    <row r="285" ht="15" hidden="1" customHeight="1" x14ac:dyDescent="0.3"/>
    <row r="286" ht="15" hidden="1" customHeight="1" x14ac:dyDescent="0.3"/>
    <row r="287" ht="15" hidden="1" customHeight="1" x14ac:dyDescent="0.3"/>
    <row r="288" ht="15" hidden="1" customHeight="1" x14ac:dyDescent="0.3"/>
    <row r="289" ht="15" hidden="1" customHeight="1" x14ac:dyDescent="0.3"/>
    <row r="290" ht="15" hidden="1" customHeight="1" x14ac:dyDescent="0.3"/>
    <row r="291" ht="15" hidden="1" customHeight="1" x14ac:dyDescent="0.3"/>
    <row r="292" ht="15" hidden="1" customHeight="1" x14ac:dyDescent="0.3"/>
    <row r="293" ht="15" hidden="1" customHeight="1" x14ac:dyDescent="0.3"/>
    <row r="294" ht="15" hidden="1" customHeight="1" x14ac:dyDescent="0.3"/>
    <row r="295" ht="15" hidden="1" customHeight="1" x14ac:dyDescent="0.3"/>
    <row r="296" ht="15" hidden="1" customHeight="1" x14ac:dyDescent="0.3"/>
    <row r="297" ht="15" hidden="1" customHeight="1" x14ac:dyDescent="0.3"/>
    <row r="298" ht="15" hidden="1" customHeight="1" x14ac:dyDescent="0.3"/>
    <row r="299" ht="15" hidden="1" customHeight="1" x14ac:dyDescent="0.3"/>
    <row r="300" ht="15" hidden="1" customHeight="1" x14ac:dyDescent="0.3"/>
    <row r="301" ht="15" hidden="1" customHeight="1" x14ac:dyDescent="0.3"/>
    <row r="302" ht="15" hidden="1" customHeight="1" x14ac:dyDescent="0.3"/>
    <row r="303" ht="15" hidden="1" customHeight="1" x14ac:dyDescent="0.3"/>
    <row r="304" ht="15" hidden="1" customHeight="1" x14ac:dyDescent="0.3"/>
    <row r="305" ht="15" hidden="1" customHeight="1" x14ac:dyDescent="0.3"/>
    <row r="306" ht="15" hidden="1" customHeight="1" x14ac:dyDescent="0.3"/>
    <row r="307" ht="15" hidden="1" customHeight="1" x14ac:dyDescent="0.3"/>
    <row r="308" ht="15" hidden="1" customHeight="1" x14ac:dyDescent="0.3"/>
    <row r="309" ht="15" hidden="1" customHeight="1" x14ac:dyDescent="0.3"/>
    <row r="310" ht="15" hidden="1" customHeight="1" x14ac:dyDescent="0.3"/>
    <row r="311" ht="15" hidden="1" customHeight="1" x14ac:dyDescent="0.3"/>
    <row r="312" ht="15" hidden="1" customHeight="1" x14ac:dyDescent="0.3"/>
    <row r="313" ht="15" hidden="1" customHeight="1" x14ac:dyDescent="0.3"/>
    <row r="314" ht="15" hidden="1" customHeight="1" x14ac:dyDescent="0.3"/>
    <row r="315" ht="15" hidden="1" customHeight="1" x14ac:dyDescent="0.3"/>
    <row r="316" ht="15" hidden="1" customHeight="1" x14ac:dyDescent="0.3"/>
    <row r="317" ht="15" hidden="1" customHeight="1" x14ac:dyDescent="0.3"/>
    <row r="318" ht="15" hidden="1" customHeight="1" x14ac:dyDescent="0.3"/>
    <row r="319" ht="15" hidden="1" customHeight="1" x14ac:dyDescent="0.3"/>
    <row r="320" ht="15" hidden="1" customHeight="1" x14ac:dyDescent="0.3"/>
    <row r="321" ht="15" hidden="1" customHeight="1" x14ac:dyDescent="0.3"/>
    <row r="322" ht="15" hidden="1" customHeight="1" x14ac:dyDescent="0.3"/>
    <row r="323" ht="15" hidden="1" customHeight="1" x14ac:dyDescent="0.3"/>
    <row r="324" ht="15" hidden="1" customHeight="1" x14ac:dyDescent="0.3"/>
    <row r="325" ht="15" hidden="1" customHeight="1" x14ac:dyDescent="0.3"/>
    <row r="326" ht="15" hidden="1" customHeight="1" x14ac:dyDescent="0.3"/>
    <row r="327" ht="15" hidden="1" customHeight="1" x14ac:dyDescent="0.3"/>
    <row r="328" ht="15" hidden="1" customHeight="1" x14ac:dyDescent="0.3"/>
    <row r="329" ht="15" hidden="1" customHeight="1" x14ac:dyDescent="0.3"/>
    <row r="330" ht="15" hidden="1" customHeight="1" x14ac:dyDescent="0.3"/>
    <row r="331" ht="15" hidden="1" customHeight="1" x14ac:dyDescent="0.3"/>
    <row r="332" ht="15" hidden="1" customHeight="1" x14ac:dyDescent="0.3"/>
    <row r="333" ht="15" hidden="1" customHeight="1" x14ac:dyDescent="0.3"/>
    <row r="334" ht="15" hidden="1" customHeight="1" x14ac:dyDescent="0.3"/>
    <row r="335" ht="15" hidden="1" customHeight="1" x14ac:dyDescent="0.3"/>
    <row r="336" ht="15" hidden="1" customHeight="1" x14ac:dyDescent="0.3"/>
    <row r="337" ht="15" hidden="1" customHeight="1" x14ac:dyDescent="0.3"/>
    <row r="338" ht="15" hidden="1" customHeight="1" x14ac:dyDescent="0.3"/>
    <row r="339" ht="15" hidden="1" customHeight="1" x14ac:dyDescent="0.3"/>
    <row r="340" ht="15" hidden="1" customHeight="1" x14ac:dyDescent="0.3"/>
    <row r="341" ht="15" hidden="1" customHeight="1" x14ac:dyDescent="0.3"/>
    <row r="342" ht="15" hidden="1" customHeight="1" x14ac:dyDescent="0.3"/>
    <row r="343" ht="15" hidden="1" customHeight="1" x14ac:dyDescent="0.3"/>
    <row r="344" ht="15" hidden="1" customHeight="1" x14ac:dyDescent="0.3"/>
    <row r="345" ht="15" hidden="1" customHeight="1" x14ac:dyDescent="0.3"/>
    <row r="346" ht="15" hidden="1" customHeight="1" x14ac:dyDescent="0.3"/>
    <row r="347" ht="15" hidden="1" customHeight="1" x14ac:dyDescent="0.3"/>
    <row r="348" ht="15" hidden="1" customHeight="1" x14ac:dyDescent="0.3"/>
    <row r="349" ht="15" hidden="1" customHeight="1" x14ac:dyDescent="0.3"/>
    <row r="350" ht="15" hidden="1" customHeight="1" x14ac:dyDescent="0.3"/>
    <row r="351" ht="15" hidden="1" customHeight="1" x14ac:dyDescent="0.3"/>
    <row r="352" ht="15" hidden="1" customHeight="1" x14ac:dyDescent="0.3"/>
    <row r="353" ht="15" hidden="1" customHeight="1" x14ac:dyDescent="0.3"/>
    <row r="354" ht="15" hidden="1" customHeight="1" x14ac:dyDescent="0.3"/>
    <row r="355" ht="15" hidden="1" customHeight="1" x14ac:dyDescent="0.3"/>
    <row r="356" ht="15" hidden="1" customHeight="1" x14ac:dyDescent="0.3"/>
    <row r="357" ht="15" hidden="1" customHeight="1" x14ac:dyDescent="0.3"/>
    <row r="358" ht="15" hidden="1" customHeight="1" x14ac:dyDescent="0.3"/>
    <row r="359" ht="15" hidden="1" customHeight="1" x14ac:dyDescent="0.3"/>
    <row r="360" ht="15" hidden="1" customHeight="1" x14ac:dyDescent="0.3"/>
    <row r="361" ht="15" hidden="1" customHeight="1" x14ac:dyDescent="0.3"/>
    <row r="362" ht="15" hidden="1" customHeight="1" x14ac:dyDescent="0.3"/>
    <row r="363" ht="15" hidden="1" customHeight="1" x14ac:dyDescent="0.3"/>
    <row r="364" ht="15" hidden="1" customHeight="1" x14ac:dyDescent="0.3"/>
    <row r="365" ht="15" hidden="1" customHeight="1" x14ac:dyDescent="0.3"/>
    <row r="366" ht="15" hidden="1" customHeight="1" x14ac:dyDescent="0.3"/>
    <row r="367" ht="15" hidden="1" customHeight="1" x14ac:dyDescent="0.3"/>
    <row r="368" ht="15" hidden="1" customHeight="1" x14ac:dyDescent="0.3"/>
    <row r="369" ht="15" hidden="1" customHeight="1" x14ac:dyDescent="0.3"/>
    <row r="370" ht="15" hidden="1" customHeight="1" x14ac:dyDescent="0.3"/>
    <row r="371" ht="15" hidden="1" customHeight="1" x14ac:dyDescent="0.3"/>
    <row r="372" ht="15" hidden="1" customHeight="1" x14ac:dyDescent="0.3"/>
    <row r="373" ht="15" hidden="1" customHeight="1" x14ac:dyDescent="0.3"/>
    <row r="374" ht="15" hidden="1" customHeight="1" x14ac:dyDescent="0.3"/>
    <row r="375" ht="15" hidden="1" customHeight="1" x14ac:dyDescent="0.3"/>
    <row r="376" ht="15" hidden="1" customHeight="1" x14ac:dyDescent="0.3"/>
    <row r="377" ht="15" hidden="1" customHeight="1" x14ac:dyDescent="0.3"/>
    <row r="378" ht="15" hidden="1" customHeight="1" x14ac:dyDescent="0.3"/>
    <row r="379" ht="15" hidden="1" customHeight="1" x14ac:dyDescent="0.3"/>
    <row r="380" ht="15" hidden="1" customHeight="1" x14ac:dyDescent="0.3"/>
    <row r="381" ht="15" hidden="1" customHeight="1" x14ac:dyDescent="0.3"/>
    <row r="382" ht="15" hidden="1" customHeight="1" x14ac:dyDescent="0.3"/>
    <row r="383" ht="15" hidden="1" customHeight="1" x14ac:dyDescent="0.3"/>
    <row r="384" ht="15" hidden="1" customHeight="1" x14ac:dyDescent="0.3"/>
    <row r="385" ht="15" hidden="1" customHeight="1" x14ac:dyDescent="0.3"/>
    <row r="386" ht="15" hidden="1" customHeight="1" x14ac:dyDescent="0.3"/>
    <row r="387" ht="15" hidden="1" customHeight="1" x14ac:dyDescent="0.3"/>
    <row r="388" ht="15" hidden="1" customHeight="1" x14ac:dyDescent="0.3"/>
    <row r="389" ht="15" hidden="1" customHeight="1" x14ac:dyDescent="0.3"/>
    <row r="390" ht="15" hidden="1" customHeight="1" x14ac:dyDescent="0.3"/>
    <row r="391" ht="15" hidden="1" customHeight="1" x14ac:dyDescent="0.3"/>
    <row r="392" ht="15" hidden="1" customHeight="1" x14ac:dyDescent="0.3"/>
    <row r="393" ht="15" hidden="1" customHeight="1" x14ac:dyDescent="0.3"/>
    <row r="394" ht="15" hidden="1" customHeight="1" x14ac:dyDescent="0.3"/>
    <row r="395" ht="15" hidden="1" customHeight="1" x14ac:dyDescent="0.3"/>
    <row r="396" ht="15" hidden="1" customHeight="1" x14ac:dyDescent="0.3"/>
    <row r="397" ht="15" hidden="1" customHeight="1" x14ac:dyDescent="0.3"/>
    <row r="398" ht="15" hidden="1" customHeight="1" x14ac:dyDescent="0.3"/>
    <row r="399" ht="15" hidden="1" customHeight="1" x14ac:dyDescent="0.3"/>
    <row r="400" ht="15" hidden="1" customHeight="1" x14ac:dyDescent="0.3"/>
  </sheetData>
  <mergeCells count="90">
    <mergeCell ref="B2:R2"/>
    <mergeCell ref="B3:R3"/>
    <mergeCell ref="B5:E5"/>
    <mergeCell ref="F5:I5"/>
    <mergeCell ref="J5:M5"/>
    <mergeCell ref="N5:R5"/>
    <mergeCell ref="B6:E7"/>
    <mergeCell ref="F6:I7"/>
    <mergeCell ref="J6:M7"/>
    <mergeCell ref="B8:E8"/>
    <mergeCell ref="F8:I8"/>
    <mergeCell ref="J8:M8"/>
    <mergeCell ref="B9:E9"/>
    <mergeCell ref="F9:I9"/>
    <mergeCell ref="J9:M9"/>
    <mergeCell ref="B10:E10"/>
    <mergeCell ref="F10:I10"/>
    <mergeCell ref="J10:M10"/>
    <mergeCell ref="B14:D14"/>
    <mergeCell ref="E14:G14"/>
    <mergeCell ref="H14:J14"/>
    <mergeCell ref="K14:M14"/>
    <mergeCell ref="N14:R14"/>
    <mergeCell ref="B11:E11"/>
    <mergeCell ref="F11:I11"/>
    <mergeCell ref="J11:M11"/>
    <mergeCell ref="N11:R11"/>
    <mergeCell ref="N12:R12"/>
    <mergeCell ref="B17:D17"/>
    <mergeCell ref="E17:G17"/>
    <mergeCell ref="H17:J17"/>
    <mergeCell ref="K17:M17"/>
    <mergeCell ref="N17:R17"/>
    <mergeCell ref="B15:D16"/>
    <mergeCell ref="E15:G16"/>
    <mergeCell ref="H15:J16"/>
    <mergeCell ref="K15:M16"/>
    <mergeCell ref="N15:R16"/>
    <mergeCell ref="B24:R24"/>
    <mergeCell ref="B25:R25"/>
    <mergeCell ref="B26:R26"/>
    <mergeCell ref="B27:R27"/>
    <mergeCell ref="B28:R28"/>
    <mergeCell ref="B19:R19"/>
    <mergeCell ref="B20:R20"/>
    <mergeCell ref="B21:R21"/>
    <mergeCell ref="B22:R22"/>
    <mergeCell ref="B23:R23"/>
    <mergeCell ref="B29:R29"/>
    <mergeCell ref="B30:R30"/>
    <mergeCell ref="B32:R32"/>
    <mergeCell ref="B47:R47"/>
    <mergeCell ref="B48:E48"/>
    <mergeCell ref="F48:K48"/>
    <mergeCell ref="L48:R48"/>
    <mergeCell ref="B49:C50"/>
    <mergeCell ref="D49:E49"/>
    <mergeCell ref="D50:E50"/>
    <mergeCell ref="B52:C53"/>
    <mergeCell ref="D52:E52"/>
    <mergeCell ref="D53:E53"/>
    <mergeCell ref="B55:C56"/>
    <mergeCell ref="D55:E55"/>
    <mergeCell ref="D56:E56"/>
    <mergeCell ref="B58:C59"/>
    <mergeCell ref="D58:E58"/>
    <mergeCell ref="D59:E59"/>
    <mergeCell ref="D66:E66"/>
    <mergeCell ref="D67:E67"/>
    <mergeCell ref="D68:E68"/>
    <mergeCell ref="D69:E69"/>
    <mergeCell ref="D70:E70"/>
    <mergeCell ref="B61:C62"/>
    <mergeCell ref="D61:E61"/>
    <mergeCell ref="D62:E62"/>
    <mergeCell ref="B64:R64"/>
    <mergeCell ref="D65:E65"/>
    <mergeCell ref="B73:R73"/>
    <mergeCell ref="B74:D74"/>
    <mergeCell ref="E74:G74"/>
    <mergeCell ref="H74:J74"/>
    <mergeCell ref="K74:M74"/>
    <mergeCell ref="N74:R74"/>
    <mergeCell ref="B78:R78"/>
    <mergeCell ref="B93:R93"/>
    <mergeCell ref="B75:D75"/>
    <mergeCell ref="E75:G75"/>
    <mergeCell ref="H75:J75"/>
    <mergeCell ref="K75:M75"/>
    <mergeCell ref="N75:R75"/>
  </mergeCells>
  <conditionalFormatting sqref="B8">
    <cfRule type="cellIs" dxfId="38" priority="1" operator="greaterThan">
      <formula>0</formula>
    </cfRule>
    <cfRule type="cellIs" dxfId="37" priority="2" operator="lessThan">
      <formula>0</formula>
    </cfRule>
  </conditionalFormatting>
  <conditionalFormatting sqref="D50">
    <cfRule type="cellIs" dxfId="36" priority="7" operator="greaterThan">
      <formula>0</formula>
    </cfRule>
    <cfRule type="cellIs" dxfId="35" priority="8" operator="lessThan">
      <formula>0</formula>
    </cfRule>
  </conditionalFormatting>
  <conditionalFormatting sqref="D59">
    <cfRule type="cellIs" dxfId="34" priority="9" operator="greaterThan">
      <formula>0</formula>
    </cfRule>
    <cfRule type="cellIs" dxfId="33" priority="10" operator="lessThan">
      <formula>0</formula>
    </cfRule>
  </conditionalFormatting>
  <conditionalFormatting sqref="D62">
    <cfRule type="cellIs" dxfId="32" priority="11" operator="greaterThan">
      <formula>0</formula>
    </cfRule>
    <cfRule type="cellIs" dxfId="31" priority="12" operator="lessThan">
      <formula>0</formula>
    </cfRule>
  </conditionalFormatting>
  <conditionalFormatting sqref="F8">
    <cfRule type="cellIs" dxfId="30" priority="3" operator="greaterThan">
      <formula>0</formula>
    </cfRule>
    <cfRule type="cellIs" dxfId="29" priority="4" operator="lessThan">
      <formula>0</formula>
    </cfRule>
  </conditionalFormatting>
  <conditionalFormatting sqref="F66:O71">
    <cfRule type="colorScale" priority="13">
      <colorScale>
        <cfvo type="num" val="-150"/>
        <cfvo type="num" val="0"/>
        <cfvo type="num" val="150"/>
        <color rgb="FFE06666"/>
        <color rgb="FFFFFFFF"/>
        <color rgb="FF93C47D"/>
      </colorScale>
    </cfRule>
  </conditionalFormatting>
  <conditionalFormatting sqref="J8">
    <cfRule type="cellIs" dxfId="28" priority="5" operator="greaterThan">
      <formula>0</formula>
    </cfRule>
    <cfRule type="cellIs" dxfId="27" priority="6" operator="lessThan">
      <formula>0</formula>
    </cfRule>
  </conditionalFormatting>
  <printOptions horizontalCentered="1"/>
  <pageMargins left="0.3" right="0.3" top="0.5" bottom="0.4" header="0.511811023622047" footer="0.511811023622047"/>
  <pageSetup fitToHeight="0" orientation="landscape" horizontalDpi="300" verticalDpi="300" r:id="rId1"/>
  <headerFooter>
    <oddHeader>&amp;C&amp;"Arial,Bold"&amp;12 Atlas Agro Holding - Package de cloture</oddHeader>
    <oddFooter>&amp;L&amp;"Arial"&amp;8 DASHBOARD&amp;C&amp;"Arial"&amp;8 Page &amp;P / &amp;N&amp;R&amp;"Arial"&amp;8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fficherPilotage">
                <anchor moveWithCells="1" sizeWithCells="1">
                  <from>
                    <xdr:col>161</xdr:col>
                    <xdr:colOff>0</xdr:colOff>
                    <xdr:row>2</xdr:row>
                    <xdr:rowOff>114300</xdr:rowOff>
                  </from>
                  <to>
                    <xdr:col>168</xdr:col>
                    <xdr:colOff>7620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mporterDonnees">
                <anchor moveWithCells="1" sizeWithCells="1">
                  <from>
                    <xdr:col>161</xdr:col>
                    <xdr:colOff>15240</xdr:colOff>
                    <xdr:row>6</xdr:row>
                    <xdr:rowOff>167640</xdr:rowOff>
                  </from>
                  <to>
                    <xdr:col>168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enererPackage">
                <anchor moveWithCells="1" sizeWithCells="1">
                  <from>
                    <xdr:col>161</xdr:col>
                    <xdr:colOff>22860</xdr:colOff>
                    <xdr:row>11</xdr:row>
                    <xdr:rowOff>45720</xdr:rowOff>
                  </from>
                  <to>
                    <xdr:col>168</xdr:col>
                    <xdr:colOff>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85FD5-3F9D-4D06-8C0D-ABFE6EF234CE}">
  <sheetPr codeName="Feuil3">
    <pageSetUpPr fitToPage="1"/>
  </sheetPr>
  <dimension ref="B2:O53"/>
  <sheetViews>
    <sheetView showGridLines="0" showWhiteSpace="0" zoomScaleNormal="100" workbookViewId="0">
      <selection activeCell="FH25" sqref="FH25"/>
    </sheetView>
  </sheetViews>
  <sheetFormatPr baseColWidth="10" defaultColWidth="8.6640625" defaultRowHeight="14.4" x14ac:dyDescent="0.3"/>
  <cols>
    <col min="1" max="1" width="2" customWidth="1"/>
    <col min="2" max="2" width="30" customWidth="1"/>
    <col min="3" max="5" width="12" customWidth="1"/>
    <col min="6" max="6" width="9" customWidth="1"/>
    <col min="7" max="9" width="12" customWidth="1"/>
    <col min="10" max="10" width="9" customWidth="1"/>
    <col min="11" max="11" width="12" customWidth="1"/>
    <col min="12" max="12" width="9" customWidth="1"/>
    <col min="13" max="14" width="10" customWidth="1"/>
    <col min="15" max="15" width="13" customWidth="1"/>
  </cols>
  <sheetData>
    <row r="2" spans="2:15" ht="15.75" customHeight="1" x14ac:dyDescent="0.3">
      <c r="B2" s="88" t="s">
        <v>136</v>
      </c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2:15" ht="15" customHeight="1" x14ac:dyDescent="0.3">
      <c r="B3" s="89" t="str">
        <f>PARAM!C6&amp;"   |   Périmètre : 5 Business Units   |   Devise : k€"</f>
        <v>Clôture février 2026   |   Périmètre : 5 Business Units   |   Devise : k€</v>
      </c>
      <c r="C3" s="89"/>
      <c r="D3" s="89"/>
      <c r="E3" s="89"/>
      <c r="F3" s="89"/>
      <c r="G3" s="89"/>
      <c r="H3" s="89"/>
      <c r="I3" s="89"/>
      <c r="J3" s="89"/>
      <c r="K3" s="89"/>
      <c r="L3" s="89"/>
    </row>
    <row r="5" spans="2:15" ht="15" customHeight="1" x14ac:dyDescent="0.3">
      <c r="C5" s="90" t="s">
        <v>25</v>
      </c>
      <c r="D5" s="90"/>
      <c r="E5" s="90"/>
      <c r="F5" s="90"/>
      <c r="G5" s="90" t="s">
        <v>26</v>
      </c>
      <c r="H5" s="90"/>
      <c r="I5" s="90"/>
      <c r="J5" s="90"/>
      <c r="K5" s="90" t="s">
        <v>27</v>
      </c>
      <c r="L5" s="90"/>
      <c r="M5" s="86" t="s">
        <v>135</v>
      </c>
      <c r="N5" s="86"/>
      <c r="O5" s="57" t="s">
        <v>134</v>
      </c>
    </row>
    <row r="6" spans="2:15" ht="15" customHeight="1" x14ac:dyDescent="0.3">
      <c r="B6" s="56" t="s">
        <v>28</v>
      </c>
      <c r="C6" s="55" t="s">
        <v>22</v>
      </c>
      <c r="D6" s="55" t="s">
        <v>23</v>
      </c>
      <c r="E6" s="55" t="s">
        <v>29</v>
      </c>
      <c r="F6" s="55" t="s">
        <v>30</v>
      </c>
      <c r="G6" s="55" t="s">
        <v>22</v>
      </c>
      <c r="H6" s="55" t="s">
        <v>23</v>
      </c>
      <c r="I6" s="55" t="s">
        <v>29</v>
      </c>
      <c r="J6" s="55" t="s">
        <v>30</v>
      </c>
      <c r="K6" s="55" t="s">
        <v>31</v>
      </c>
      <c r="L6" s="55" t="s">
        <v>32</v>
      </c>
      <c r="M6" s="55" t="s">
        <v>133</v>
      </c>
      <c r="N6" s="55" t="s">
        <v>132</v>
      </c>
      <c r="O6" s="55" t="s">
        <v>131</v>
      </c>
    </row>
    <row r="7" spans="2:15" ht="15" customHeight="1" x14ac:dyDescent="0.3">
      <c r="B7" s="54" t="s">
        <v>33</v>
      </c>
      <c r="C7" s="53">
        <f>SUMIFS(AGREG_PQ[Reel_M],AGREG_PQ[PosteP&amp;L],$B7)</f>
        <v>763.30000000000018</v>
      </c>
      <c r="D7" s="53">
        <f>SUMIFS(AGREG_PQ[Budget_M],AGREG_PQ[PosteP&amp;L],$B7)</f>
        <v>675.28999999999985</v>
      </c>
      <c r="E7" s="53">
        <f t="shared" ref="E7:E21" si="0">C7-D7</f>
        <v>88.010000000000332</v>
      </c>
      <c r="F7" s="52">
        <f t="shared" ref="F7:F21" si="1">IF(D7=0,"-",E7/ABS(D7))</f>
        <v>0.13032919190273862</v>
      </c>
      <c r="G7" s="53">
        <f>SUMIFS(AGREG_PQ[Reel_YTD],AGREG_PQ[PosteP&amp;L],$B7)</f>
        <v>2637.590000000002</v>
      </c>
      <c r="H7" s="53">
        <f>SUMIFS(AGREG_PQ[Budget_YTD],AGREG_PQ[PosteP&amp;L],$B7)</f>
        <v>2708.6199999999976</v>
      </c>
      <c r="I7" s="53">
        <f t="shared" ref="I7:I21" si="2">G7-H7</f>
        <v>-71.029999999995653</v>
      </c>
      <c r="J7" s="52">
        <f t="shared" ref="J7:J21" si="3">IF(H7=0,"-",I7/ABS(H7))</f>
        <v>-2.6223685862171775E-2</v>
      </c>
      <c r="K7" s="53">
        <f>SUMIFS(AGREG_PQ[Reel_N1_YTD],AGREG_PQ[PosteP&amp;L],$B7)</f>
        <v>2367.3499999999945</v>
      </c>
      <c r="L7" s="52">
        <f t="shared" ref="L7:L21" si="4">IF(K7=0,"-",(G7-K7)/ABS(K7))</f>
        <v>0.11415295583669847</v>
      </c>
      <c r="M7" s="52">
        <f t="shared" ref="M7:M21" si="5">IF($G$7=0,"-",G7/$G$7)</f>
        <v>1</v>
      </c>
      <c r="N7" s="52">
        <f t="shared" ref="N7:N21" si="6">IF($H$7=0,"-",H7/$H$7)</f>
        <v>1</v>
      </c>
      <c r="O7" s="51" t="str">
        <f t="shared" ref="O7:O21" si="7">IF(ABS(I7)&lt;SM,"",IF(I7&gt;0,"Favorable","Défavorable"))</f>
        <v>Défavorable</v>
      </c>
    </row>
    <row r="8" spans="2:15" ht="15" customHeight="1" thickBot="1" x14ac:dyDescent="0.35">
      <c r="B8" s="44" t="s">
        <v>34</v>
      </c>
      <c r="C8" s="43">
        <f>SUMIFS(AGREG_PQ[Reel_M],AGREG_PQ[PosteP&amp;L],$B8)</f>
        <v>0</v>
      </c>
      <c r="D8" s="43">
        <f>SUMIFS(AGREG_PQ[Budget_M],AGREG_PQ[PosteP&amp;L],$B8)</f>
        <v>0</v>
      </c>
      <c r="E8" s="43">
        <f t="shared" si="0"/>
        <v>0</v>
      </c>
      <c r="F8" s="42" t="str">
        <f t="shared" si="1"/>
        <v>-</v>
      </c>
      <c r="G8" s="43">
        <f>SUMIFS(AGREG_PQ[Reel_YTD],AGREG_PQ[PosteP&amp;L],$B8)</f>
        <v>0</v>
      </c>
      <c r="H8" s="43">
        <f>SUMIFS(AGREG_PQ[Budget_YTD],AGREG_PQ[PosteP&amp;L],$B8)</f>
        <v>0</v>
      </c>
      <c r="I8" s="43">
        <f t="shared" si="2"/>
        <v>0</v>
      </c>
      <c r="J8" s="42" t="str">
        <f t="shared" si="3"/>
        <v>-</v>
      </c>
      <c r="K8" s="43">
        <f>SUMIFS(AGREG_PQ[Reel_N1_YTD],AGREG_PQ[PosteP&amp;L],$B8)</f>
        <v>0</v>
      </c>
      <c r="L8" s="42" t="str">
        <f t="shared" si="4"/>
        <v>-</v>
      </c>
      <c r="M8" s="42">
        <f t="shared" si="5"/>
        <v>0</v>
      </c>
      <c r="N8" s="42">
        <f t="shared" si="6"/>
        <v>0</v>
      </c>
      <c r="O8" s="51" t="str">
        <f t="shared" si="7"/>
        <v/>
      </c>
    </row>
    <row r="9" spans="2:15" ht="15" customHeight="1" x14ac:dyDescent="0.3">
      <c r="B9" s="47" t="s">
        <v>35</v>
      </c>
      <c r="C9" s="46">
        <f>C7+C8</f>
        <v>763.30000000000018</v>
      </c>
      <c r="D9" s="46">
        <f>D7+D8</f>
        <v>675.28999999999985</v>
      </c>
      <c r="E9" s="46">
        <f t="shared" si="0"/>
        <v>88.010000000000332</v>
      </c>
      <c r="F9" s="45">
        <f t="shared" si="1"/>
        <v>0.13032919190273862</v>
      </c>
      <c r="G9" s="46">
        <f>G7+G8</f>
        <v>2637.590000000002</v>
      </c>
      <c r="H9" s="46">
        <f>H7+H8</f>
        <v>2708.6199999999976</v>
      </c>
      <c r="I9" s="46">
        <f t="shared" si="2"/>
        <v>-71.029999999995653</v>
      </c>
      <c r="J9" s="45">
        <f t="shared" si="3"/>
        <v>-2.6223685862171775E-2</v>
      </c>
      <c r="K9" s="46">
        <f>K7+K8</f>
        <v>2367.3499999999945</v>
      </c>
      <c r="L9" s="45">
        <f t="shared" si="4"/>
        <v>0.11415295583669847</v>
      </c>
      <c r="M9" s="45">
        <f t="shared" si="5"/>
        <v>1</v>
      </c>
      <c r="N9" s="45">
        <f t="shared" si="6"/>
        <v>1</v>
      </c>
      <c r="O9" s="51" t="str">
        <f t="shared" si="7"/>
        <v>Défavorable</v>
      </c>
    </row>
    <row r="10" spans="2:15" ht="15" customHeight="1" x14ac:dyDescent="0.3">
      <c r="B10" s="44" t="s">
        <v>36</v>
      </c>
      <c r="C10" s="43">
        <f>SUMIFS(AGREG_PQ[Reel_M],AGREG_PQ[PosteP&amp;L],$B10)</f>
        <v>0</v>
      </c>
      <c r="D10" s="43">
        <f>SUMIFS(AGREG_PQ[Budget_M],AGREG_PQ[PosteP&amp;L],$B10)</f>
        <v>0</v>
      </c>
      <c r="E10" s="43">
        <f t="shared" si="0"/>
        <v>0</v>
      </c>
      <c r="F10" s="42" t="str">
        <f t="shared" si="1"/>
        <v>-</v>
      </c>
      <c r="G10" s="43">
        <f>SUMIFS(AGREG_PQ[Reel_YTD],AGREG_PQ[PosteP&amp;L],$B10)</f>
        <v>0</v>
      </c>
      <c r="H10" s="43">
        <f>SUMIFS(AGREG_PQ[Budget_YTD],AGREG_PQ[PosteP&amp;L],$B10)</f>
        <v>0</v>
      </c>
      <c r="I10" s="43">
        <f t="shared" si="2"/>
        <v>0</v>
      </c>
      <c r="J10" s="42" t="str">
        <f t="shared" si="3"/>
        <v>-</v>
      </c>
      <c r="K10" s="43">
        <f>SUMIFS(AGREG_PQ[Reel_N1_YTD],AGREG_PQ[PosteP&amp;L],$B10)</f>
        <v>0</v>
      </c>
      <c r="L10" s="42" t="str">
        <f t="shared" si="4"/>
        <v>-</v>
      </c>
      <c r="M10" s="42">
        <f t="shared" si="5"/>
        <v>0</v>
      </c>
      <c r="N10" s="42">
        <f t="shared" si="6"/>
        <v>0</v>
      </c>
      <c r="O10" s="51" t="str">
        <f t="shared" si="7"/>
        <v/>
      </c>
    </row>
    <row r="11" spans="2:15" ht="15" customHeight="1" x14ac:dyDescent="0.3">
      <c r="B11" s="54" t="s">
        <v>37</v>
      </c>
      <c r="C11" s="53">
        <f>SUMIFS(AGREG_PQ[Reel_M],AGREG_PQ[PosteP&amp;L],$B11)</f>
        <v>0</v>
      </c>
      <c r="D11" s="53">
        <f>SUMIFS(AGREG_PQ[Budget_M],AGREG_PQ[PosteP&amp;L],$B11)</f>
        <v>0</v>
      </c>
      <c r="E11" s="53">
        <f t="shared" si="0"/>
        <v>0</v>
      </c>
      <c r="F11" s="52" t="str">
        <f t="shared" si="1"/>
        <v>-</v>
      </c>
      <c r="G11" s="53">
        <f>SUMIFS(AGREG_PQ[Reel_YTD],AGREG_PQ[PosteP&amp;L],$B11)</f>
        <v>0</v>
      </c>
      <c r="H11" s="53">
        <f>SUMIFS(AGREG_PQ[Budget_YTD],AGREG_PQ[PosteP&amp;L],$B11)</f>
        <v>0</v>
      </c>
      <c r="I11" s="53">
        <f t="shared" si="2"/>
        <v>0</v>
      </c>
      <c r="J11" s="52" t="str">
        <f t="shared" si="3"/>
        <v>-</v>
      </c>
      <c r="K11" s="53">
        <f>SUMIFS(AGREG_PQ[Reel_N1_YTD],AGREG_PQ[PosteP&amp;L],$B11)</f>
        <v>0</v>
      </c>
      <c r="L11" s="52" t="str">
        <f t="shared" si="4"/>
        <v>-</v>
      </c>
      <c r="M11" s="52">
        <f t="shared" si="5"/>
        <v>0</v>
      </c>
      <c r="N11" s="52">
        <f t="shared" si="6"/>
        <v>0</v>
      </c>
      <c r="O11" s="51" t="str">
        <f t="shared" si="7"/>
        <v/>
      </c>
    </row>
    <row r="12" spans="2:15" ht="15" customHeight="1" x14ac:dyDescent="0.3">
      <c r="B12" s="44" t="s">
        <v>38</v>
      </c>
      <c r="C12" s="43">
        <f>SUMIFS(AGREG_PQ[Reel_M],AGREG_PQ[PosteP&amp;L],$B12)</f>
        <v>0</v>
      </c>
      <c r="D12" s="43">
        <f>SUMIFS(AGREG_PQ[Budget_M],AGREG_PQ[PosteP&amp;L],$B12)</f>
        <v>0</v>
      </c>
      <c r="E12" s="43">
        <f t="shared" si="0"/>
        <v>0</v>
      </c>
      <c r="F12" s="42" t="str">
        <f t="shared" si="1"/>
        <v>-</v>
      </c>
      <c r="G12" s="43">
        <f>SUMIFS(AGREG_PQ[Reel_YTD],AGREG_PQ[PosteP&amp;L],$B12)</f>
        <v>0</v>
      </c>
      <c r="H12" s="43">
        <f>SUMIFS(AGREG_PQ[Budget_YTD],AGREG_PQ[PosteP&amp;L],$B12)</f>
        <v>0</v>
      </c>
      <c r="I12" s="43">
        <f t="shared" si="2"/>
        <v>0</v>
      </c>
      <c r="J12" s="42" t="str">
        <f t="shared" si="3"/>
        <v>-</v>
      </c>
      <c r="K12" s="43">
        <f>SUMIFS(AGREG_PQ[Reel_N1_YTD],AGREG_PQ[PosteP&amp;L],$B12)</f>
        <v>0</v>
      </c>
      <c r="L12" s="42" t="str">
        <f t="shared" si="4"/>
        <v>-</v>
      </c>
      <c r="M12" s="42">
        <f t="shared" si="5"/>
        <v>0</v>
      </c>
      <c r="N12" s="42">
        <f t="shared" si="6"/>
        <v>0</v>
      </c>
      <c r="O12" s="51" t="str">
        <f t="shared" si="7"/>
        <v/>
      </c>
    </row>
    <row r="13" spans="2:15" ht="15" customHeight="1" x14ac:dyDescent="0.3">
      <c r="B13" s="54" t="s">
        <v>39</v>
      </c>
      <c r="C13" s="53">
        <f>SUMIFS(AGREG_PQ[Reel_M],AGREG_PQ[PosteP&amp;L],$B13)</f>
        <v>0</v>
      </c>
      <c r="D13" s="53">
        <f>SUMIFS(AGREG_PQ[Budget_M],AGREG_PQ[PosteP&amp;L],$B13)</f>
        <v>0</v>
      </c>
      <c r="E13" s="53">
        <f t="shared" si="0"/>
        <v>0</v>
      </c>
      <c r="F13" s="52" t="str">
        <f t="shared" si="1"/>
        <v>-</v>
      </c>
      <c r="G13" s="53">
        <f>SUMIFS(AGREG_PQ[Reel_YTD],AGREG_PQ[PosteP&amp;L],$B13)</f>
        <v>0</v>
      </c>
      <c r="H13" s="53">
        <f>SUMIFS(AGREG_PQ[Budget_YTD],AGREG_PQ[PosteP&amp;L],$B13)</f>
        <v>0</v>
      </c>
      <c r="I13" s="53">
        <f t="shared" si="2"/>
        <v>0</v>
      </c>
      <c r="J13" s="52" t="str">
        <f t="shared" si="3"/>
        <v>-</v>
      </c>
      <c r="K13" s="53">
        <f>SUMIFS(AGREG_PQ[Reel_N1_YTD],AGREG_PQ[PosteP&amp;L],$B13)</f>
        <v>0</v>
      </c>
      <c r="L13" s="52" t="str">
        <f t="shared" si="4"/>
        <v>-</v>
      </c>
      <c r="M13" s="52">
        <f t="shared" si="5"/>
        <v>0</v>
      </c>
      <c r="N13" s="52">
        <f t="shared" si="6"/>
        <v>0</v>
      </c>
      <c r="O13" s="51" t="str">
        <f t="shared" si="7"/>
        <v/>
      </c>
    </row>
    <row r="14" spans="2:15" ht="15" customHeight="1" thickBot="1" x14ac:dyDescent="0.35">
      <c r="B14" s="44" t="s">
        <v>40</v>
      </c>
      <c r="C14" s="43">
        <f>SUMIFS(AGREG_PQ[Reel_M],AGREG_PQ[PosteP&amp;L],$B14)</f>
        <v>0</v>
      </c>
      <c r="D14" s="43">
        <f>SUMIFS(AGREG_PQ[Budget_M],AGREG_PQ[PosteP&amp;L],$B14)</f>
        <v>0</v>
      </c>
      <c r="E14" s="43">
        <f t="shared" si="0"/>
        <v>0</v>
      </c>
      <c r="F14" s="42" t="str">
        <f t="shared" si="1"/>
        <v>-</v>
      </c>
      <c r="G14" s="43">
        <f>SUMIFS(AGREG_PQ[Reel_YTD],AGREG_PQ[PosteP&amp;L],$B14)</f>
        <v>0</v>
      </c>
      <c r="H14" s="43">
        <f>SUMIFS(AGREG_PQ[Budget_YTD],AGREG_PQ[PosteP&amp;L],$B14)</f>
        <v>0</v>
      </c>
      <c r="I14" s="43">
        <f t="shared" si="2"/>
        <v>0</v>
      </c>
      <c r="J14" s="42" t="str">
        <f t="shared" si="3"/>
        <v>-</v>
      </c>
      <c r="K14" s="43">
        <f>SUMIFS(AGREG_PQ[Reel_N1_YTD],AGREG_PQ[PosteP&amp;L],$B14)</f>
        <v>0</v>
      </c>
      <c r="L14" s="42" t="str">
        <f t="shared" si="4"/>
        <v>-</v>
      </c>
      <c r="M14" s="42">
        <f t="shared" si="5"/>
        <v>0</v>
      </c>
      <c r="N14" s="42">
        <f t="shared" si="6"/>
        <v>0</v>
      </c>
      <c r="O14" s="51" t="str">
        <f t="shared" si="7"/>
        <v/>
      </c>
    </row>
    <row r="15" spans="2:15" ht="15" customHeight="1" x14ac:dyDescent="0.3">
      <c r="B15" s="50" t="s">
        <v>24</v>
      </c>
      <c r="C15" s="49">
        <f>C7+C8+C10+C11+C12+C13+C14</f>
        <v>763.30000000000018</v>
      </c>
      <c r="D15" s="49">
        <f>D7+D8+D10+D11+D12+D13+D14</f>
        <v>675.28999999999985</v>
      </c>
      <c r="E15" s="49">
        <f t="shared" si="0"/>
        <v>88.010000000000332</v>
      </c>
      <c r="F15" s="48">
        <f t="shared" si="1"/>
        <v>0.13032919190273862</v>
      </c>
      <c r="G15" s="49">
        <f>G7+G8+G10+G11+G12+G13+G14</f>
        <v>2637.590000000002</v>
      </c>
      <c r="H15" s="49">
        <f>H7+H8+H10+H11+H12+H13+H14</f>
        <v>2708.6199999999976</v>
      </c>
      <c r="I15" s="49">
        <f t="shared" si="2"/>
        <v>-71.029999999995653</v>
      </c>
      <c r="J15" s="48">
        <f t="shared" si="3"/>
        <v>-2.6223685862171775E-2</v>
      </c>
      <c r="K15" s="49">
        <f>K7+K8+K10+K11+K12+K13+K14</f>
        <v>2367.3499999999945</v>
      </c>
      <c r="L15" s="48">
        <f t="shared" si="4"/>
        <v>0.11415295583669847</v>
      </c>
      <c r="M15" s="48">
        <f t="shared" si="5"/>
        <v>1</v>
      </c>
      <c r="N15" s="48">
        <f t="shared" si="6"/>
        <v>1</v>
      </c>
      <c r="O15" s="51" t="str">
        <f t="shared" si="7"/>
        <v>Défavorable</v>
      </c>
    </row>
    <row r="16" spans="2:15" ht="15" customHeight="1" thickBot="1" x14ac:dyDescent="0.35">
      <c r="B16" s="44" t="s">
        <v>41</v>
      </c>
      <c r="C16" s="43">
        <f>SUMIFS(AGREG_PQ[Reel_M],AGREG_PQ[PosteP&amp;L],$B16)</f>
        <v>0</v>
      </c>
      <c r="D16" s="43">
        <f>SUMIFS(AGREG_PQ[Budget_M],AGREG_PQ[PosteP&amp;L],$B16)</f>
        <v>0</v>
      </c>
      <c r="E16" s="43">
        <f t="shared" si="0"/>
        <v>0</v>
      </c>
      <c r="F16" s="42" t="str">
        <f t="shared" si="1"/>
        <v>-</v>
      </c>
      <c r="G16" s="43">
        <f>SUMIFS(AGREG_PQ[Reel_YTD],AGREG_PQ[PosteP&amp;L],$B16)</f>
        <v>0</v>
      </c>
      <c r="H16" s="43">
        <f>SUMIFS(AGREG_PQ[Budget_YTD],AGREG_PQ[PosteP&amp;L],$B16)</f>
        <v>0</v>
      </c>
      <c r="I16" s="43">
        <f t="shared" si="2"/>
        <v>0</v>
      </c>
      <c r="J16" s="42" t="str">
        <f t="shared" si="3"/>
        <v>-</v>
      </c>
      <c r="K16" s="43">
        <f>SUMIFS(AGREG_PQ[Reel_N1_YTD],AGREG_PQ[PosteP&amp;L],$B16)</f>
        <v>0</v>
      </c>
      <c r="L16" s="42" t="str">
        <f t="shared" si="4"/>
        <v>-</v>
      </c>
      <c r="M16" s="42">
        <f t="shared" si="5"/>
        <v>0</v>
      </c>
      <c r="N16" s="42">
        <f t="shared" si="6"/>
        <v>0</v>
      </c>
      <c r="O16" s="51" t="str">
        <f t="shared" si="7"/>
        <v/>
      </c>
    </row>
    <row r="17" spans="2:15" ht="15" customHeight="1" x14ac:dyDescent="0.3">
      <c r="B17" s="50" t="s">
        <v>42</v>
      </c>
      <c r="C17" s="49">
        <f>C15+C16</f>
        <v>763.30000000000018</v>
      </c>
      <c r="D17" s="49">
        <f>D15+D16</f>
        <v>675.28999999999985</v>
      </c>
      <c r="E17" s="49">
        <f t="shared" si="0"/>
        <v>88.010000000000332</v>
      </c>
      <c r="F17" s="48">
        <f t="shared" si="1"/>
        <v>0.13032919190273862</v>
      </c>
      <c r="G17" s="49">
        <f>G15+G16</f>
        <v>2637.590000000002</v>
      </c>
      <c r="H17" s="49">
        <f>H15+H16</f>
        <v>2708.6199999999976</v>
      </c>
      <c r="I17" s="49">
        <f t="shared" si="2"/>
        <v>-71.029999999995653</v>
      </c>
      <c r="J17" s="48">
        <f t="shared" si="3"/>
        <v>-2.6223685862171775E-2</v>
      </c>
      <c r="K17" s="49">
        <f>K15+K16</f>
        <v>2367.3499999999945</v>
      </c>
      <c r="L17" s="48">
        <f t="shared" si="4"/>
        <v>0.11415295583669847</v>
      </c>
      <c r="M17" s="48">
        <f t="shared" si="5"/>
        <v>1</v>
      </c>
      <c r="N17" s="48">
        <f t="shared" si="6"/>
        <v>1</v>
      </c>
      <c r="O17" s="51" t="str">
        <f t="shared" si="7"/>
        <v>Défavorable</v>
      </c>
    </row>
    <row r="18" spans="2:15" ht="15" customHeight="1" thickBot="1" x14ac:dyDescent="0.35">
      <c r="B18" s="44" t="s">
        <v>43</v>
      </c>
      <c r="C18" s="43">
        <f>SUMIFS(AGREG_PQ[Reel_M],AGREG_PQ[PosteP&amp;L],$B18)</f>
        <v>0</v>
      </c>
      <c r="D18" s="43">
        <f>SUMIFS(AGREG_PQ[Budget_M],AGREG_PQ[PosteP&amp;L],$B18)</f>
        <v>0</v>
      </c>
      <c r="E18" s="43">
        <f t="shared" si="0"/>
        <v>0</v>
      </c>
      <c r="F18" s="42" t="str">
        <f t="shared" si="1"/>
        <v>-</v>
      </c>
      <c r="G18" s="43">
        <f>SUMIFS(AGREG_PQ[Reel_YTD],AGREG_PQ[PosteP&amp;L],$B18)</f>
        <v>0</v>
      </c>
      <c r="H18" s="43">
        <f>SUMIFS(AGREG_PQ[Budget_YTD],AGREG_PQ[PosteP&amp;L],$B18)</f>
        <v>0</v>
      </c>
      <c r="I18" s="43">
        <f t="shared" si="2"/>
        <v>0</v>
      </c>
      <c r="J18" s="42" t="str">
        <f t="shared" si="3"/>
        <v>-</v>
      </c>
      <c r="K18" s="43">
        <f>SUMIFS(AGREG_PQ[Reel_N1_YTD],AGREG_PQ[PosteP&amp;L],$B18)</f>
        <v>0</v>
      </c>
      <c r="L18" s="42" t="str">
        <f t="shared" si="4"/>
        <v>-</v>
      </c>
      <c r="M18" s="42">
        <f t="shared" si="5"/>
        <v>0</v>
      </c>
      <c r="N18" s="42">
        <f t="shared" si="6"/>
        <v>0</v>
      </c>
      <c r="O18" s="51" t="str">
        <f t="shared" si="7"/>
        <v/>
      </c>
    </row>
    <row r="19" spans="2:15" ht="15" customHeight="1" x14ac:dyDescent="0.3">
      <c r="B19" s="47" t="s">
        <v>44</v>
      </c>
      <c r="C19" s="46">
        <f>C17+C18</f>
        <v>763.30000000000018</v>
      </c>
      <c r="D19" s="46">
        <f>D17+D18</f>
        <v>675.28999999999985</v>
      </c>
      <c r="E19" s="46">
        <f t="shared" si="0"/>
        <v>88.010000000000332</v>
      </c>
      <c r="F19" s="45">
        <f t="shared" si="1"/>
        <v>0.13032919190273862</v>
      </c>
      <c r="G19" s="46">
        <f>G17+G18</f>
        <v>2637.590000000002</v>
      </c>
      <c r="H19" s="46">
        <f>H17+H18</f>
        <v>2708.6199999999976</v>
      </c>
      <c r="I19" s="46">
        <f t="shared" si="2"/>
        <v>-71.029999999995653</v>
      </c>
      <c r="J19" s="45">
        <f t="shared" si="3"/>
        <v>-2.6223685862171775E-2</v>
      </c>
      <c r="K19" s="46">
        <f>K17+K18</f>
        <v>2367.3499999999945</v>
      </c>
      <c r="L19" s="45">
        <f t="shared" si="4"/>
        <v>0.11415295583669847</v>
      </c>
      <c r="M19" s="45">
        <f t="shared" si="5"/>
        <v>1</v>
      </c>
      <c r="N19" s="45">
        <f t="shared" si="6"/>
        <v>1</v>
      </c>
      <c r="O19" s="51" t="str">
        <f t="shared" si="7"/>
        <v>Défavorable</v>
      </c>
    </row>
    <row r="20" spans="2:15" ht="15" customHeight="1" thickBot="1" x14ac:dyDescent="0.35">
      <c r="B20" s="44" t="s">
        <v>45</v>
      </c>
      <c r="C20" s="43">
        <f>SUMIFS(AGREG_PQ[Reel_M],AGREG_PQ[PosteP&amp;L],$B20)</f>
        <v>0</v>
      </c>
      <c r="D20" s="43">
        <f>SUMIFS(AGREG_PQ[Budget_M],AGREG_PQ[PosteP&amp;L],$B20)</f>
        <v>0</v>
      </c>
      <c r="E20" s="43">
        <f t="shared" si="0"/>
        <v>0</v>
      </c>
      <c r="F20" s="42" t="str">
        <f t="shared" si="1"/>
        <v>-</v>
      </c>
      <c r="G20" s="43">
        <f>SUMIFS(AGREG_PQ[Reel_YTD],AGREG_PQ[PosteP&amp;L],$B20)</f>
        <v>0</v>
      </c>
      <c r="H20" s="43">
        <f>SUMIFS(AGREG_PQ[Budget_YTD],AGREG_PQ[PosteP&amp;L],$B20)</f>
        <v>0</v>
      </c>
      <c r="I20" s="43">
        <f t="shared" si="2"/>
        <v>0</v>
      </c>
      <c r="J20" s="42" t="str">
        <f t="shared" si="3"/>
        <v>-</v>
      </c>
      <c r="K20" s="43">
        <f>SUMIFS(AGREG_PQ[Reel_N1_YTD],AGREG_PQ[PosteP&amp;L],$B20)</f>
        <v>0</v>
      </c>
      <c r="L20" s="42" t="str">
        <f t="shared" si="4"/>
        <v>-</v>
      </c>
      <c r="M20" s="42">
        <f t="shared" si="5"/>
        <v>0</v>
      </c>
      <c r="N20" s="42">
        <f t="shared" si="6"/>
        <v>0</v>
      </c>
      <c r="O20" s="51" t="str">
        <f t="shared" si="7"/>
        <v/>
      </c>
    </row>
    <row r="21" spans="2:15" ht="15" customHeight="1" x14ac:dyDescent="0.3">
      <c r="B21" s="41" t="s">
        <v>46</v>
      </c>
      <c r="C21" s="40">
        <f>C19+C20</f>
        <v>763.30000000000018</v>
      </c>
      <c r="D21" s="40">
        <f>D19+D20</f>
        <v>675.28999999999985</v>
      </c>
      <c r="E21" s="40">
        <f t="shared" si="0"/>
        <v>88.010000000000332</v>
      </c>
      <c r="F21" s="39">
        <f t="shared" si="1"/>
        <v>0.13032919190273862</v>
      </c>
      <c r="G21" s="40">
        <f>G19+G20</f>
        <v>2637.590000000002</v>
      </c>
      <c r="H21" s="40">
        <f>H19+H20</f>
        <v>2708.6199999999976</v>
      </c>
      <c r="I21" s="40">
        <f t="shared" si="2"/>
        <v>-71.029999999995653</v>
      </c>
      <c r="J21" s="39">
        <f t="shared" si="3"/>
        <v>-2.6223685862171775E-2</v>
      </c>
      <c r="K21" s="40">
        <f>K19+K20</f>
        <v>2367.3499999999945</v>
      </c>
      <c r="L21" s="39">
        <f t="shared" si="4"/>
        <v>0.11415295583669847</v>
      </c>
      <c r="M21" s="39">
        <f t="shared" si="5"/>
        <v>1</v>
      </c>
      <c r="N21" s="39">
        <f t="shared" si="6"/>
        <v>1</v>
      </c>
      <c r="O21" s="51" t="str">
        <f t="shared" si="7"/>
        <v>Défavorable</v>
      </c>
    </row>
    <row r="24" spans="2:15" ht="15" customHeight="1" x14ac:dyDescent="0.3">
      <c r="B24" s="87" t="s">
        <v>130</v>
      </c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</row>
    <row r="46" spans="2:15" x14ac:dyDescent="0.3">
      <c r="B46" s="87" t="s">
        <v>1214</v>
      </c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</row>
    <row r="47" spans="2:15" x14ac:dyDescent="0.3">
      <c r="B47" s="14" t="s">
        <v>6</v>
      </c>
      <c r="C47" s="14" t="s">
        <v>1215</v>
      </c>
      <c r="D47" s="14" t="s">
        <v>1216</v>
      </c>
      <c r="E47" s="14" t="s">
        <v>1217</v>
      </c>
      <c r="F47" s="14" t="s">
        <v>1218</v>
      </c>
    </row>
    <row r="48" spans="2:15" x14ac:dyDescent="0.3">
      <c r="B48" s="15" t="s">
        <v>8</v>
      </c>
      <c r="C48" s="58" t="e">
        <f>_CALC!#REF!</f>
        <v>#REF!</v>
      </c>
      <c r="D48" s="58" t="e">
        <f>_CALC!#REF!</f>
        <v>#REF!</v>
      </c>
      <c r="E48" s="58" t="e">
        <f>_CALC!#REF!</f>
        <v>#REF!</v>
      </c>
      <c r="F48" s="58" t="e">
        <f>_CALC!#REF!</f>
        <v>#REF!</v>
      </c>
    </row>
    <row r="49" spans="2:6" x14ac:dyDescent="0.3">
      <c r="B49" s="15" t="s">
        <v>10</v>
      </c>
      <c r="C49" s="58" t="e">
        <f>_CALC!#REF!</f>
        <v>#REF!</v>
      </c>
      <c r="D49" s="58" t="e">
        <f>_CALC!#REF!</f>
        <v>#REF!</v>
      </c>
      <c r="E49" s="58" t="e">
        <f>_CALC!#REF!</f>
        <v>#REF!</v>
      </c>
      <c r="F49" s="58" t="e">
        <f>_CALC!#REF!</f>
        <v>#REF!</v>
      </c>
    </row>
    <row r="50" spans="2:6" x14ac:dyDescent="0.3">
      <c r="B50" s="15" t="s">
        <v>12</v>
      </c>
      <c r="C50" s="58" t="e">
        <f>_CALC!#REF!</f>
        <v>#REF!</v>
      </c>
      <c r="D50" s="58" t="e">
        <f>_CALC!#REF!</f>
        <v>#REF!</v>
      </c>
      <c r="E50" s="58" t="e">
        <f>_CALC!#REF!</f>
        <v>#REF!</v>
      </c>
      <c r="F50" s="58" t="e">
        <f>_CALC!#REF!</f>
        <v>#REF!</v>
      </c>
    </row>
    <row r="51" spans="2:6" x14ac:dyDescent="0.3">
      <c r="B51" s="15" t="s">
        <v>14</v>
      </c>
      <c r="C51" s="58" t="e">
        <f>_CALC!#REF!</f>
        <v>#REF!</v>
      </c>
      <c r="D51" s="58" t="e">
        <f>_CALC!#REF!</f>
        <v>#REF!</v>
      </c>
      <c r="E51" s="58" t="e">
        <f>_CALC!#REF!</f>
        <v>#REF!</v>
      </c>
      <c r="F51" s="58" t="e">
        <f>_CALC!#REF!</f>
        <v>#REF!</v>
      </c>
    </row>
    <row r="52" spans="2:6" x14ac:dyDescent="0.3">
      <c r="B52" s="15" t="s">
        <v>16</v>
      </c>
      <c r="C52" s="58">
        <f>_CALC!K86</f>
        <v>-71.029999999995823</v>
      </c>
      <c r="D52" s="58">
        <f>_CALC!L86</f>
        <v>-40.742758745402497</v>
      </c>
      <c r="E52" s="58">
        <f>_CALC!M86</f>
        <v>-30.74977594112913</v>
      </c>
      <c r="F52" s="58">
        <f>_CALC!N86</f>
        <v>0.46253468653580321</v>
      </c>
    </row>
    <row r="53" spans="2:6" x14ac:dyDescent="0.3">
      <c r="B53" s="16" t="s">
        <v>50</v>
      </c>
      <c r="C53" s="17" t="e">
        <f>SUM(C48:C52)</f>
        <v>#REF!</v>
      </c>
      <c r="D53" s="17" t="e">
        <f>SUM(D48:D52)</f>
        <v>#REF!</v>
      </c>
      <c r="E53" s="17" t="e">
        <f>SUM(E48:E52)</f>
        <v>#REF!</v>
      </c>
      <c r="F53" s="17" t="e">
        <f>SUM(F48:F52)</f>
        <v>#REF!</v>
      </c>
    </row>
  </sheetData>
  <mergeCells count="8">
    <mergeCell ref="M5:N5"/>
    <mergeCell ref="B24:O24"/>
    <mergeCell ref="B46:O46"/>
    <mergeCell ref="B2:L2"/>
    <mergeCell ref="B3:L3"/>
    <mergeCell ref="C5:F5"/>
    <mergeCell ref="G5:J5"/>
    <mergeCell ref="K5:L5"/>
  </mergeCells>
  <conditionalFormatting sqref="C48:F52">
    <cfRule type="cellIs" dxfId="26" priority="11" operator="greaterThan">
      <formula>0</formula>
    </cfRule>
    <cfRule type="cellIs" dxfId="25" priority="12" operator="lessThan">
      <formula>0</formula>
    </cfRule>
  </conditionalFormatting>
  <conditionalFormatting sqref="F7:F21">
    <cfRule type="cellIs" dxfId="24" priority="3" operator="greaterThan">
      <formula>0.001</formula>
    </cfRule>
    <cfRule type="cellIs" dxfId="23" priority="4" operator="lessThan">
      <formula>-0.001</formula>
    </cfRule>
  </conditionalFormatting>
  <conditionalFormatting sqref="J7:J21">
    <cfRule type="cellIs" dxfId="22" priority="5" operator="greaterThan">
      <formula>0.001</formula>
    </cfRule>
    <cfRule type="cellIs" dxfId="21" priority="6" operator="lessThan">
      <formula>-0.001</formula>
    </cfRule>
  </conditionalFormatting>
  <conditionalFormatting sqref="L7:L21">
    <cfRule type="cellIs" dxfId="20" priority="7" operator="greaterThan">
      <formula>0.001</formula>
    </cfRule>
    <cfRule type="cellIs" dxfId="19" priority="8" operator="lessThan">
      <formula>-0.001</formula>
    </cfRule>
  </conditionalFormatting>
  <conditionalFormatting sqref="O7:O21">
    <cfRule type="expression" dxfId="18" priority="1">
      <formula>$O7="Défavorable"</formula>
    </cfRule>
    <cfRule type="expression" dxfId="17" priority="2">
      <formula>$O7="Favorable"</formula>
    </cfRule>
  </conditionalFormatting>
  <printOptions horizontalCentered="1"/>
  <pageMargins left="0.3" right="0.3" top="0.5" bottom="0.4" header="0.511811023622047" footer="0.511811023622047"/>
  <pageSetup paperSize="9" scale="80" fitToHeight="0" orientation="landscape" r:id="rId1"/>
  <headerFooter>
    <oddHeader>&amp;C&amp;"Arial,Bold"&amp;12 Atlas Agro Holding - Package de cloture</oddHeader>
    <oddFooter>&amp;L&amp;"Arial"&amp;8 PACKAGE_PnL&amp;C&amp;"Arial"&amp;8 Page &amp;P / &amp;N&amp;R&amp;"Arial"&amp;8 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00A9-D1BB-48FE-B4AE-9AF050A81A88}">
  <sheetPr codeName="Feuil4">
    <pageSetUpPr fitToPage="1"/>
  </sheetPr>
  <dimension ref="B2:N97"/>
  <sheetViews>
    <sheetView showGridLines="0" topLeftCell="A18" zoomScaleNormal="100" workbookViewId="0">
      <selection activeCell="FH25" sqref="FH25"/>
    </sheetView>
  </sheetViews>
  <sheetFormatPr baseColWidth="10" defaultColWidth="8.6640625" defaultRowHeight="14.4" x14ac:dyDescent="0.3"/>
  <cols>
    <col min="1" max="1" width="2" customWidth="1"/>
    <col min="2" max="2" width="26" customWidth="1"/>
    <col min="3" max="4" width="11" customWidth="1"/>
    <col min="5" max="5" width="10" customWidth="1"/>
    <col min="6" max="6" width="8" customWidth="1"/>
    <col min="7" max="7" width="11" customWidth="1"/>
    <col min="8" max="8" width="9" customWidth="1"/>
    <col min="9" max="9" width="11" customWidth="1"/>
    <col min="10" max="10" width="8" customWidth="1"/>
    <col min="11" max="11" width="11" customWidth="1"/>
    <col min="12" max="12" width="9" customWidth="1"/>
    <col min="13" max="13" width="11" customWidth="1"/>
    <col min="14" max="14" width="8" customWidth="1"/>
  </cols>
  <sheetData>
    <row r="2" spans="2:14" ht="17.25" customHeight="1" x14ac:dyDescent="0.3">
      <c r="B2" s="96" t="s">
        <v>129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</row>
    <row r="3" spans="2:14" ht="15" customHeight="1" x14ac:dyDescent="0.3">
      <c r="B3" s="89" t="str">
        <f>"Période : "&amp;PARAM!C6&amp;"   |   Montants en k€   |   Atlas Agro Holding"</f>
        <v>Période : Clôture février 2026   |   Montants en k€   |   Atlas Agro Holding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2:14" hidden="1" x14ac:dyDescent="0.3"/>
    <row r="5" spans="2:14" ht="15" customHeight="1" x14ac:dyDescent="0.3">
      <c r="B5" s="87" t="s">
        <v>128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2:14" ht="15" customHeight="1" x14ac:dyDescent="0.3">
      <c r="B6" s="33" t="s">
        <v>6</v>
      </c>
      <c r="C6" s="32" t="s">
        <v>47</v>
      </c>
      <c r="D6" s="32" t="s">
        <v>48</v>
      </c>
      <c r="E6" s="32" t="s">
        <v>119</v>
      </c>
      <c r="F6" s="32" t="s">
        <v>30</v>
      </c>
      <c r="G6" s="32" t="s">
        <v>127</v>
      </c>
      <c r="H6" s="32" t="s">
        <v>126</v>
      </c>
      <c r="I6" s="32" t="s">
        <v>49</v>
      </c>
      <c r="J6" s="32" t="s">
        <v>125</v>
      </c>
      <c r="K6" s="32" t="s">
        <v>24</v>
      </c>
      <c r="L6" s="32" t="s">
        <v>117</v>
      </c>
      <c r="M6" s="32" t="s">
        <v>124</v>
      </c>
      <c r="N6" s="32" t="s">
        <v>123</v>
      </c>
    </row>
    <row r="7" spans="2:14" ht="15" customHeight="1" x14ac:dyDescent="0.3">
      <c r="B7" s="29" t="s">
        <v>8</v>
      </c>
      <c r="C7" s="37">
        <f>SUMIFS(AGREG_PQ[Reel_YTD],AGREG_PQ[CodeEntite],"BU01",AGREG_PQ[PosteP&amp;L],"Chiffre d'affaires")</f>
        <v>2637.590000000002</v>
      </c>
      <c r="D7" s="37">
        <f>SUMIFS(AGREG_PQ[Budget_YTD],AGREG_PQ[CodeEntite],"BU01",AGREG_PQ[PosteP&amp;L],"Chiffre d'affaires")</f>
        <v>2708.6199999999976</v>
      </c>
      <c r="E7" s="37">
        <f>C7-D7</f>
        <v>-71.029999999995653</v>
      </c>
      <c r="F7" s="28">
        <f t="shared" ref="F7:F12" si="0">IF(D7=0,"-",E7/ABS(D7))</f>
        <v>-2.6223685862171775E-2</v>
      </c>
      <c r="G7" s="37">
        <f>SUMIFS(AGREG_PQ[Reel_N1_YTD],AGREG_PQ[CodeEntite],"BU01",AGREG_PQ[PosteP&amp;L],"Chiffre d'affaires")</f>
        <v>2367.3499999999945</v>
      </c>
      <c r="H7" s="28">
        <f t="shared" ref="H7:H12" si="1">IF(G7=0,"-",(C7-G7)/ABS(G7))</f>
        <v>0.11415295583669847</v>
      </c>
      <c r="I7" s="37">
        <f>SUMIFS(AGREG_PQ[Reel_YTD],AGREG_PQ[CodeEntite],"BU01",AGREG_PQ[PosteP&amp;L],"Chiffre d'affaires")+SUMIFS(AGREG_PQ[Reel_YTD],AGREG_PQ[CodeEntite],"BU01",AGREG_PQ[PosteP&amp;L],"Coût des matières")</f>
        <v>2637.590000000002</v>
      </c>
      <c r="J7" s="28">
        <f t="shared" ref="J7:J12" si="2">IF(C7=0,"-",I7/C7)</f>
        <v>1</v>
      </c>
      <c r="K7" s="37">
        <f>SUMIFS(AGREG_PQ[Reel_YTD],AGREG_PQ[CodeEntite],"BU01",AGREG_PQ[PosteP&amp;L],"Chiffre d'affaires")+SUMIFS(AGREG_PQ[Reel_YTD],AGREG_PQ[CodeEntite],"BU01",AGREG_PQ[PosteP&amp;L],"Coût des matières")+SUMIFS(AGREG_PQ[Reel_YTD],AGREG_PQ[CodeEntite],"BU01",AGREG_PQ[PosteP&amp;L],"Charges de personnel")+SUMIFS(AGREG_PQ[Reel_YTD],AGREG_PQ[CodeEntite],"BU01",AGREG_PQ[PosteP&amp;L],"Charges externes")+SUMIFS(AGREG_PQ[Reel_YTD],AGREG_PQ[CodeEntite],"BU01",AGREG_PQ[PosteP&amp;L],"Transport &amp; logistique")+SUMIFS(AGREG_PQ[Reel_YTD],AGREG_PQ[CodeEntite],"BU01",AGREG_PQ[PosteP&amp;L],"Marketing &amp; publicité")+SUMIFS(AGREG_PQ[Reel_YTD],AGREG_PQ[CodeEntite],"BU01",AGREG_PQ[PosteP&amp;L],"Autres charges")</f>
        <v>2637.590000000002</v>
      </c>
      <c r="L7" s="28">
        <f t="shared" ref="L7:L12" si="3">IF(C7=0,"-",K7/C7)</f>
        <v>1</v>
      </c>
      <c r="M7" s="37">
        <f>SUMIFS(AGREG_PQ[Reel_YTD],AGREG_PQ[CodeEntite],"BU01",AGREG_PQ[PosteP&amp;L],"Chiffre d'affaires")+SUMIFS(AGREG_PQ[Reel_YTD],AGREG_PQ[CodeEntite],"BU01",AGREG_PQ[PosteP&amp;L],"Coût des matières")+SUMIFS(AGREG_PQ[Reel_YTD],AGREG_PQ[CodeEntite],"BU01",AGREG_PQ[PosteP&amp;L],"Charges de personnel")+SUMIFS(AGREG_PQ[Reel_YTD],AGREG_PQ[CodeEntite],"BU01",AGREG_PQ[PosteP&amp;L],"Charges externes")+SUMIFS(AGREG_PQ[Reel_YTD],AGREG_PQ[CodeEntite],"BU01",AGREG_PQ[PosteP&amp;L],"Transport &amp; logistique")+SUMIFS(AGREG_PQ[Reel_YTD],AGREG_PQ[CodeEntite],"BU01",AGREG_PQ[PosteP&amp;L],"Marketing &amp; publicité")+SUMIFS(AGREG_PQ[Reel_YTD],AGREG_PQ[CodeEntite],"BU01",AGREG_PQ[PosteP&amp;L],"Autres charges")+SUMIFS(AGREG_PQ[Reel_YTD],AGREG_PQ[CodeEntite],"BU01",AGREG_PQ[PosteP&amp;L],"Amortissements")+SUMIFS(AGREG_PQ[Reel_YTD],AGREG_PQ[CodeEntite],"BU01",AGREG_PQ[PosteP&amp;L],"Charges financières")+SUMIFS(AGREG_PQ[Reel_YTD],AGREG_PQ[CodeEntite],"BU01",AGREG_PQ[PosteP&amp;L],"Impôt")</f>
        <v>2637.590000000002</v>
      </c>
      <c r="N7" s="28">
        <f t="shared" ref="N7:N12" si="4">IF(C7=0,"-",M7/C7)</f>
        <v>1</v>
      </c>
    </row>
    <row r="8" spans="2:14" ht="15" customHeight="1" x14ac:dyDescent="0.3">
      <c r="B8" s="31" t="s">
        <v>10</v>
      </c>
      <c r="C8" s="38">
        <f>SUMIFS(AGREG_PQ[Reel_YTD],AGREG_PQ[CodeEntite],"BU02",AGREG_PQ[PosteP&amp;L],"Chiffre d'affaires")</f>
        <v>0</v>
      </c>
      <c r="D8" s="38">
        <f>SUMIFS(AGREG_PQ[Budget_YTD],AGREG_PQ[CodeEntite],"BU02",AGREG_PQ[PosteP&amp;L],"Chiffre d'affaires")</f>
        <v>0</v>
      </c>
      <c r="E8" s="38">
        <f>C8-D8</f>
        <v>0</v>
      </c>
      <c r="F8" s="30" t="str">
        <f t="shared" si="0"/>
        <v>-</v>
      </c>
      <c r="G8" s="38">
        <f>SUMIFS(AGREG_PQ[Reel_N1_YTD],AGREG_PQ[CodeEntite],"BU02",AGREG_PQ[PosteP&amp;L],"Chiffre d'affaires")</f>
        <v>0</v>
      </c>
      <c r="H8" s="30" t="str">
        <f t="shared" si="1"/>
        <v>-</v>
      </c>
      <c r="I8" s="38">
        <f>SUMIFS(AGREG_PQ[Reel_YTD],AGREG_PQ[CodeEntite],"BU02",AGREG_PQ[PosteP&amp;L],"Chiffre d'affaires")+SUMIFS(AGREG_PQ[Reel_YTD],AGREG_PQ[CodeEntite],"BU02",AGREG_PQ[PosteP&amp;L],"Coût des matières")</f>
        <v>0</v>
      </c>
      <c r="J8" s="30" t="str">
        <f t="shared" si="2"/>
        <v>-</v>
      </c>
      <c r="K8" s="38">
        <f>SUMIFS(AGREG_PQ[Reel_YTD],AGREG_PQ[CodeEntite],"BU02",AGREG_PQ[PosteP&amp;L],"Chiffre d'affaires")+SUMIFS(AGREG_PQ[Reel_YTD],AGREG_PQ[CodeEntite],"BU02",AGREG_PQ[PosteP&amp;L],"Coût des matières")+SUMIFS(AGREG_PQ[Reel_YTD],AGREG_PQ[CodeEntite],"BU02",AGREG_PQ[PosteP&amp;L],"Charges de personnel")+SUMIFS(AGREG_PQ[Reel_YTD],AGREG_PQ[CodeEntite],"BU02",AGREG_PQ[PosteP&amp;L],"Charges externes")+SUMIFS(AGREG_PQ[Reel_YTD],AGREG_PQ[CodeEntite],"BU02",AGREG_PQ[PosteP&amp;L],"Transport &amp; logistique")+SUMIFS(AGREG_PQ[Reel_YTD],AGREG_PQ[CodeEntite],"BU02",AGREG_PQ[PosteP&amp;L],"Marketing &amp; publicité")+SUMIFS(AGREG_PQ[Reel_YTD],AGREG_PQ[CodeEntite],"BU02",AGREG_PQ[PosteP&amp;L],"Autres charges")</f>
        <v>0</v>
      </c>
      <c r="L8" s="30" t="str">
        <f t="shared" si="3"/>
        <v>-</v>
      </c>
      <c r="M8" s="38">
        <f>SUMIFS(AGREG_PQ[Reel_YTD],AGREG_PQ[CodeEntite],"BU02",AGREG_PQ[PosteP&amp;L],"Chiffre d'affaires")+SUMIFS(AGREG_PQ[Reel_YTD],AGREG_PQ[CodeEntite],"BU02",AGREG_PQ[PosteP&amp;L],"Coût des matières")+SUMIFS(AGREG_PQ[Reel_YTD],AGREG_PQ[CodeEntite],"BU02",AGREG_PQ[PosteP&amp;L],"Charges de personnel")+SUMIFS(AGREG_PQ[Reel_YTD],AGREG_PQ[CodeEntite],"BU02",AGREG_PQ[PosteP&amp;L],"Charges externes")+SUMIFS(AGREG_PQ[Reel_YTD],AGREG_PQ[CodeEntite],"BU02",AGREG_PQ[PosteP&amp;L],"Transport &amp; logistique")+SUMIFS(AGREG_PQ[Reel_YTD],AGREG_PQ[CodeEntite],"BU02",AGREG_PQ[PosteP&amp;L],"Marketing &amp; publicité")+SUMIFS(AGREG_PQ[Reel_YTD],AGREG_PQ[CodeEntite],"BU02",AGREG_PQ[PosteP&amp;L],"Autres charges")+SUMIFS(AGREG_PQ[Reel_YTD],AGREG_PQ[CodeEntite],"BU02",AGREG_PQ[PosteP&amp;L],"Amortissements")+SUMIFS(AGREG_PQ[Reel_YTD],AGREG_PQ[CodeEntite],"BU02",AGREG_PQ[PosteP&amp;L],"Charges financières")+SUMIFS(AGREG_PQ[Reel_YTD],AGREG_PQ[CodeEntite],"BU02",AGREG_PQ[PosteP&amp;L],"Impôt")</f>
        <v>0</v>
      </c>
      <c r="N8" s="30" t="str">
        <f t="shared" si="4"/>
        <v>-</v>
      </c>
    </row>
    <row r="9" spans="2:14" ht="15" customHeight="1" x14ac:dyDescent="0.3">
      <c r="B9" s="29" t="s">
        <v>12</v>
      </c>
      <c r="C9" s="37">
        <f>SUMIFS(AGREG_PQ[Reel_YTD],AGREG_PQ[CodeEntite],"BU03",AGREG_PQ[PosteP&amp;L],"Chiffre d'affaires")</f>
        <v>0</v>
      </c>
      <c r="D9" s="37">
        <f>SUMIFS(AGREG_PQ[Budget_YTD],AGREG_PQ[CodeEntite],"BU03",AGREG_PQ[PosteP&amp;L],"Chiffre d'affaires")</f>
        <v>0</v>
      </c>
      <c r="E9" s="37">
        <f>C9-D9</f>
        <v>0</v>
      </c>
      <c r="F9" s="28" t="str">
        <f t="shared" si="0"/>
        <v>-</v>
      </c>
      <c r="G9" s="37">
        <f>SUMIFS(AGREG_PQ[Reel_N1_YTD],AGREG_PQ[CodeEntite],"BU03",AGREG_PQ[PosteP&amp;L],"Chiffre d'affaires")</f>
        <v>0</v>
      </c>
      <c r="H9" s="28" t="str">
        <f t="shared" si="1"/>
        <v>-</v>
      </c>
      <c r="I9" s="37">
        <f>SUMIFS(AGREG_PQ[Reel_YTD],AGREG_PQ[CodeEntite],"BU03",AGREG_PQ[PosteP&amp;L],"Chiffre d'affaires")+SUMIFS(AGREG_PQ[Reel_YTD],AGREG_PQ[CodeEntite],"BU03",AGREG_PQ[PosteP&amp;L],"Coût des matières")</f>
        <v>0</v>
      </c>
      <c r="J9" s="28" t="str">
        <f t="shared" si="2"/>
        <v>-</v>
      </c>
      <c r="K9" s="37">
        <f>SUMIFS(AGREG_PQ[Reel_YTD],AGREG_PQ[CodeEntite],"BU03",AGREG_PQ[PosteP&amp;L],"Chiffre d'affaires")+SUMIFS(AGREG_PQ[Reel_YTD],AGREG_PQ[CodeEntite],"BU03",AGREG_PQ[PosteP&amp;L],"Coût des matières")+SUMIFS(AGREG_PQ[Reel_YTD],AGREG_PQ[CodeEntite],"BU03",AGREG_PQ[PosteP&amp;L],"Charges de personnel")+SUMIFS(AGREG_PQ[Reel_YTD],AGREG_PQ[CodeEntite],"BU03",AGREG_PQ[PosteP&amp;L],"Charges externes")+SUMIFS(AGREG_PQ[Reel_YTD],AGREG_PQ[CodeEntite],"BU03",AGREG_PQ[PosteP&amp;L],"Transport &amp; logistique")+SUMIFS(AGREG_PQ[Reel_YTD],AGREG_PQ[CodeEntite],"BU03",AGREG_PQ[PosteP&amp;L],"Marketing &amp; publicité")+SUMIFS(AGREG_PQ[Reel_YTD],AGREG_PQ[CodeEntite],"BU03",AGREG_PQ[PosteP&amp;L],"Autres charges")</f>
        <v>0</v>
      </c>
      <c r="L9" s="28" t="str">
        <f t="shared" si="3"/>
        <v>-</v>
      </c>
      <c r="M9" s="37">
        <f>SUMIFS(AGREG_PQ[Reel_YTD],AGREG_PQ[CodeEntite],"BU03",AGREG_PQ[PosteP&amp;L],"Chiffre d'affaires")+SUMIFS(AGREG_PQ[Reel_YTD],AGREG_PQ[CodeEntite],"BU03",AGREG_PQ[PosteP&amp;L],"Coût des matières")+SUMIFS(AGREG_PQ[Reel_YTD],AGREG_PQ[CodeEntite],"BU03",AGREG_PQ[PosteP&amp;L],"Charges de personnel")+SUMIFS(AGREG_PQ[Reel_YTD],AGREG_PQ[CodeEntite],"BU03",AGREG_PQ[PosteP&amp;L],"Charges externes")+SUMIFS(AGREG_PQ[Reel_YTD],AGREG_PQ[CodeEntite],"BU03",AGREG_PQ[PosteP&amp;L],"Transport &amp; logistique")+SUMIFS(AGREG_PQ[Reel_YTD],AGREG_PQ[CodeEntite],"BU03",AGREG_PQ[PosteP&amp;L],"Marketing &amp; publicité")+SUMIFS(AGREG_PQ[Reel_YTD],AGREG_PQ[CodeEntite],"BU03",AGREG_PQ[PosteP&amp;L],"Autres charges")+SUMIFS(AGREG_PQ[Reel_YTD],AGREG_PQ[CodeEntite],"BU03",AGREG_PQ[PosteP&amp;L],"Amortissements")+SUMIFS(AGREG_PQ[Reel_YTD],AGREG_PQ[CodeEntite],"BU03",AGREG_PQ[PosteP&amp;L],"Charges financières")+SUMIFS(AGREG_PQ[Reel_YTD],AGREG_PQ[CodeEntite],"BU03",AGREG_PQ[PosteP&amp;L],"Impôt")</f>
        <v>0</v>
      </c>
      <c r="N9" s="28" t="str">
        <f t="shared" si="4"/>
        <v>-</v>
      </c>
    </row>
    <row r="10" spans="2:14" ht="15" customHeight="1" x14ac:dyDescent="0.3">
      <c r="B10" s="31" t="s">
        <v>14</v>
      </c>
      <c r="C10" s="38">
        <f>SUMIFS(AGREG_PQ[Reel_YTD],AGREG_PQ[CodeEntite],"BU04",AGREG_PQ[PosteP&amp;L],"Chiffre d'affaires")</f>
        <v>0</v>
      </c>
      <c r="D10" s="38">
        <f>SUMIFS(AGREG_PQ[Budget_YTD],AGREG_PQ[CodeEntite],"BU04",AGREG_PQ[PosteP&amp;L],"Chiffre d'affaires")</f>
        <v>0</v>
      </c>
      <c r="E10" s="38">
        <f>C10-D10</f>
        <v>0</v>
      </c>
      <c r="F10" s="30" t="str">
        <f t="shared" si="0"/>
        <v>-</v>
      </c>
      <c r="G10" s="38">
        <f>SUMIFS(AGREG_PQ[Reel_N1_YTD],AGREG_PQ[CodeEntite],"BU04",AGREG_PQ[PosteP&amp;L],"Chiffre d'affaires")</f>
        <v>0</v>
      </c>
      <c r="H10" s="30" t="str">
        <f t="shared" si="1"/>
        <v>-</v>
      </c>
      <c r="I10" s="38">
        <f>SUMIFS(AGREG_PQ[Reel_YTD],AGREG_PQ[CodeEntite],"BU04",AGREG_PQ[PosteP&amp;L],"Chiffre d'affaires")+SUMIFS(AGREG_PQ[Reel_YTD],AGREG_PQ[CodeEntite],"BU04",AGREG_PQ[PosteP&amp;L],"Coût des matières")</f>
        <v>0</v>
      </c>
      <c r="J10" s="30" t="str">
        <f t="shared" si="2"/>
        <v>-</v>
      </c>
      <c r="K10" s="38">
        <f>SUMIFS(AGREG_PQ[Reel_YTD],AGREG_PQ[CodeEntite],"BU04",AGREG_PQ[PosteP&amp;L],"Chiffre d'affaires")+SUMIFS(AGREG_PQ[Reel_YTD],AGREG_PQ[CodeEntite],"BU04",AGREG_PQ[PosteP&amp;L],"Coût des matières")+SUMIFS(AGREG_PQ[Reel_YTD],AGREG_PQ[CodeEntite],"BU04",AGREG_PQ[PosteP&amp;L],"Charges de personnel")+SUMIFS(AGREG_PQ[Reel_YTD],AGREG_PQ[CodeEntite],"BU04",AGREG_PQ[PosteP&amp;L],"Charges externes")+SUMIFS(AGREG_PQ[Reel_YTD],AGREG_PQ[CodeEntite],"BU04",AGREG_PQ[PosteP&amp;L],"Transport &amp; logistique")+SUMIFS(AGREG_PQ[Reel_YTD],AGREG_PQ[CodeEntite],"BU04",AGREG_PQ[PosteP&amp;L],"Marketing &amp; publicité")+SUMIFS(AGREG_PQ[Reel_YTD],AGREG_PQ[CodeEntite],"BU04",AGREG_PQ[PosteP&amp;L],"Autres charges")</f>
        <v>0</v>
      </c>
      <c r="L10" s="30" t="str">
        <f t="shared" si="3"/>
        <v>-</v>
      </c>
      <c r="M10" s="38">
        <f>SUMIFS(AGREG_PQ[Reel_YTD],AGREG_PQ[CodeEntite],"BU04",AGREG_PQ[PosteP&amp;L],"Chiffre d'affaires")+SUMIFS(AGREG_PQ[Reel_YTD],AGREG_PQ[CodeEntite],"BU04",AGREG_PQ[PosteP&amp;L],"Coût des matières")+SUMIFS(AGREG_PQ[Reel_YTD],AGREG_PQ[CodeEntite],"BU04",AGREG_PQ[PosteP&amp;L],"Charges de personnel")+SUMIFS(AGREG_PQ[Reel_YTD],AGREG_PQ[CodeEntite],"BU04",AGREG_PQ[PosteP&amp;L],"Charges externes")+SUMIFS(AGREG_PQ[Reel_YTD],AGREG_PQ[CodeEntite],"BU04",AGREG_PQ[PosteP&amp;L],"Transport &amp; logistique")+SUMIFS(AGREG_PQ[Reel_YTD],AGREG_PQ[CodeEntite],"BU04",AGREG_PQ[PosteP&amp;L],"Marketing &amp; publicité")+SUMIFS(AGREG_PQ[Reel_YTD],AGREG_PQ[CodeEntite],"BU04",AGREG_PQ[PosteP&amp;L],"Autres charges")+SUMIFS(AGREG_PQ[Reel_YTD],AGREG_PQ[CodeEntite],"BU04",AGREG_PQ[PosteP&amp;L],"Amortissements")+SUMIFS(AGREG_PQ[Reel_YTD],AGREG_PQ[CodeEntite],"BU04",AGREG_PQ[PosteP&amp;L],"Charges financières")+SUMIFS(AGREG_PQ[Reel_YTD],AGREG_PQ[CodeEntite],"BU04",AGREG_PQ[PosteP&amp;L],"Impôt")</f>
        <v>0</v>
      </c>
      <c r="N10" s="30" t="str">
        <f t="shared" si="4"/>
        <v>-</v>
      </c>
    </row>
    <row r="11" spans="2:14" ht="15" customHeight="1" thickBot="1" x14ac:dyDescent="0.35">
      <c r="B11" s="29" t="s">
        <v>16</v>
      </c>
      <c r="C11" s="37">
        <f>SUMIFS(AGREG_PQ[Reel_YTD],AGREG_PQ[CodeEntite],"BU05",AGREG_PQ[PosteP&amp;L],"Chiffre d'affaires")</f>
        <v>0</v>
      </c>
      <c r="D11" s="37">
        <f>SUMIFS(AGREG_PQ[Budget_YTD],AGREG_PQ[CodeEntite],"BU05",AGREG_PQ[PosteP&amp;L],"Chiffre d'affaires")</f>
        <v>0</v>
      </c>
      <c r="E11" s="37">
        <f>C11-D11</f>
        <v>0</v>
      </c>
      <c r="F11" s="28" t="str">
        <f t="shared" si="0"/>
        <v>-</v>
      </c>
      <c r="G11" s="37">
        <f>SUMIFS(AGREG_PQ[Reel_N1_YTD],AGREG_PQ[CodeEntite],"BU05",AGREG_PQ[PosteP&amp;L],"Chiffre d'affaires")</f>
        <v>0</v>
      </c>
      <c r="H11" s="28" t="str">
        <f t="shared" si="1"/>
        <v>-</v>
      </c>
      <c r="I11" s="37">
        <f>SUMIFS(AGREG_PQ[Reel_YTD],AGREG_PQ[CodeEntite],"BU05",AGREG_PQ[PosteP&amp;L],"Chiffre d'affaires")+SUMIFS(AGREG_PQ[Reel_YTD],AGREG_PQ[CodeEntite],"BU05",AGREG_PQ[PosteP&amp;L],"Coût des matières")</f>
        <v>0</v>
      </c>
      <c r="J11" s="28" t="str">
        <f t="shared" si="2"/>
        <v>-</v>
      </c>
      <c r="K11" s="37">
        <f>SUMIFS(AGREG_PQ[Reel_YTD],AGREG_PQ[CodeEntite],"BU05",AGREG_PQ[PosteP&amp;L],"Chiffre d'affaires")+SUMIFS(AGREG_PQ[Reel_YTD],AGREG_PQ[CodeEntite],"BU05",AGREG_PQ[PosteP&amp;L],"Coût des matières")+SUMIFS(AGREG_PQ[Reel_YTD],AGREG_PQ[CodeEntite],"BU05",AGREG_PQ[PosteP&amp;L],"Charges de personnel")+SUMIFS(AGREG_PQ[Reel_YTD],AGREG_PQ[CodeEntite],"BU05",AGREG_PQ[PosteP&amp;L],"Charges externes")+SUMIFS(AGREG_PQ[Reel_YTD],AGREG_PQ[CodeEntite],"BU05",AGREG_PQ[PosteP&amp;L],"Transport &amp; logistique")+SUMIFS(AGREG_PQ[Reel_YTD],AGREG_PQ[CodeEntite],"BU05",AGREG_PQ[PosteP&amp;L],"Marketing &amp; publicité")+SUMIFS(AGREG_PQ[Reel_YTD],AGREG_PQ[CodeEntite],"BU05",AGREG_PQ[PosteP&amp;L],"Autres charges")</f>
        <v>0</v>
      </c>
      <c r="L11" s="28" t="str">
        <f t="shared" si="3"/>
        <v>-</v>
      </c>
      <c r="M11" s="37">
        <f>SUMIFS(AGREG_PQ[Reel_YTD],AGREG_PQ[CodeEntite],"BU05",AGREG_PQ[PosteP&amp;L],"Chiffre d'affaires")+SUMIFS(AGREG_PQ[Reel_YTD],AGREG_PQ[CodeEntite],"BU05",AGREG_PQ[PosteP&amp;L],"Coût des matières")+SUMIFS(AGREG_PQ[Reel_YTD],AGREG_PQ[CodeEntite],"BU05",AGREG_PQ[PosteP&amp;L],"Charges de personnel")+SUMIFS(AGREG_PQ[Reel_YTD],AGREG_PQ[CodeEntite],"BU05",AGREG_PQ[PosteP&amp;L],"Charges externes")+SUMIFS(AGREG_PQ[Reel_YTD],AGREG_PQ[CodeEntite],"BU05",AGREG_PQ[PosteP&amp;L],"Transport &amp; logistique")+SUMIFS(AGREG_PQ[Reel_YTD],AGREG_PQ[CodeEntite],"BU05",AGREG_PQ[PosteP&amp;L],"Marketing &amp; publicité")+SUMIFS(AGREG_PQ[Reel_YTD],AGREG_PQ[CodeEntite],"BU05",AGREG_PQ[PosteP&amp;L],"Autres charges")+SUMIFS(AGREG_PQ[Reel_YTD],AGREG_PQ[CodeEntite],"BU05",AGREG_PQ[PosteP&amp;L],"Amortissements")+SUMIFS(AGREG_PQ[Reel_YTD],AGREG_PQ[CodeEntite],"BU05",AGREG_PQ[PosteP&amp;L],"Charges financières")+SUMIFS(AGREG_PQ[Reel_YTD],AGREG_PQ[CodeEntite],"BU05",AGREG_PQ[PosteP&amp;L],"Impôt")</f>
        <v>0</v>
      </c>
      <c r="N11" s="28" t="str">
        <f t="shared" si="4"/>
        <v>-</v>
      </c>
    </row>
    <row r="12" spans="2:14" ht="15" customHeight="1" x14ac:dyDescent="0.3">
      <c r="B12" s="36" t="s">
        <v>50</v>
      </c>
      <c r="C12" s="35">
        <f>SUM(C7:C11)</f>
        <v>2637.590000000002</v>
      </c>
      <c r="D12" s="35">
        <f>SUM(D7:D11)</f>
        <v>2708.6199999999976</v>
      </c>
      <c r="E12" s="35">
        <f>SUM(E7:E11)</f>
        <v>-71.029999999995653</v>
      </c>
      <c r="F12" s="34">
        <f t="shared" si="0"/>
        <v>-2.6223685862171775E-2</v>
      </c>
      <c r="G12" s="35">
        <f>SUM(G7:G11)</f>
        <v>2367.3499999999945</v>
      </c>
      <c r="H12" s="34">
        <f t="shared" si="1"/>
        <v>0.11415295583669847</v>
      </c>
      <c r="I12" s="35">
        <f>SUM(I7:I11)</f>
        <v>2637.590000000002</v>
      </c>
      <c r="J12" s="34">
        <f t="shared" si="2"/>
        <v>1</v>
      </c>
      <c r="K12" s="35">
        <f>SUM(K7:K11)</f>
        <v>2637.590000000002</v>
      </c>
      <c r="L12" s="34">
        <f t="shared" si="3"/>
        <v>1</v>
      </c>
      <c r="M12" s="35">
        <f>SUM(M7:M11)</f>
        <v>2637.590000000002</v>
      </c>
      <c r="N12" s="34">
        <f t="shared" si="4"/>
        <v>1</v>
      </c>
    </row>
    <row r="14" spans="2:14" ht="15" customHeight="1" x14ac:dyDescent="0.3">
      <c r="B14" s="87" t="s">
        <v>122</v>
      </c>
      <c r="C14" s="87"/>
      <c r="D14" s="87"/>
      <c r="E14" s="87"/>
      <c r="F14" s="87"/>
      <c r="G14" s="87"/>
      <c r="H14" s="87"/>
    </row>
    <row r="15" spans="2:14" ht="15" customHeight="1" x14ac:dyDescent="0.3">
      <c r="B15" s="33" t="s">
        <v>6</v>
      </c>
      <c r="C15" s="32" t="s">
        <v>121</v>
      </c>
      <c r="D15" s="32" t="s">
        <v>120</v>
      </c>
      <c r="E15" s="32" t="s">
        <v>119</v>
      </c>
      <c r="F15" s="32" t="s">
        <v>30</v>
      </c>
      <c r="G15" s="32" t="s">
        <v>118</v>
      </c>
      <c r="H15" s="32" t="s">
        <v>117</v>
      </c>
      <c r="L15" s="59"/>
    </row>
    <row r="16" spans="2:14" ht="15" customHeight="1" x14ac:dyDescent="0.3">
      <c r="B16" s="29" t="s">
        <v>8</v>
      </c>
      <c r="C16" s="37">
        <f>SUMIFS(AGREG_PQ[Reel_M],AGREG_PQ[CodeEntite],"BU01",AGREG_PQ[PosteP&amp;L],"Chiffre d'affaires")</f>
        <v>763.30000000000018</v>
      </c>
      <c r="D16" s="37">
        <f>SUMIFS(AGREG_PQ[Budget_M],AGREG_PQ[CodeEntite],"BU01",AGREG_PQ[PosteP&amp;L],"Chiffre d'affaires")</f>
        <v>675.28999999999985</v>
      </c>
      <c r="E16" s="37">
        <f>C16-D16</f>
        <v>88.010000000000332</v>
      </c>
      <c r="F16" s="28">
        <f t="shared" ref="F16:F21" si="5">IF(D16=0,"-",E16/ABS(D16))</f>
        <v>0.13032919190273862</v>
      </c>
      <c r="G16" s="37">
        <f>SUMIFS(AGREG_PQ[Reel_M],AGREG_PQ[CodeEntite],"BU01",AGREG_PQ[PosteP&amp;L],"Chiffre d'affaires")+SUMIFS(AGREG_PQ[Reel_M],AGREG_PQ[CodeEntite],"BU01",AGREG_PQ[PosteP&amp;L],"Coût des matières")+SUMIFS(AGREG_PQ[Reel_M],AGREG_PQ[CodeEntite],"BU01",AGREG_PQ[PosteP&amp;L],"Charges de personnel")+SUMIFS(AGREG_PQ[Reel_M],AGREG_PQ[CodeEntite],"BU01",AGREG_PQ[PosteP&amp;L],"Charges externes")+SUMIFS(AGREG_PQ[Reel_M],AGREG_PQ[CodeEntite],"BU01",AGREG_PQ[PosteP&amp;L],"Transport &amp; logistique")+SUMIFS(AGREG_PQ[Reel_M],AGREG_PQ[CodeEntite],"BU01",AGREG_PQ[PosteP&amp;L],"Marketing &amp; publicité")+SUMIFS(AGREG_PQ[Reel_M],AGREG_PQ[CodeEntite],"BU01",AGREG_PQ[PosteP&amp;L],"Autres charges")</f>
        <v>763.30000000000018</v>
      </c>
      <c r="H16" s="28">
        <f t="shared" ref="H16:H21" si="6">IF(C16=0,"-",G16/C16)</f>
        <v>1</v>
      </c>
    </row>
    <row r="17" spans="2:8" ht="15" customHeight="1" x14ac:dyDescent="0.3">
      <c r="B17" s="31" t="s">
        <v>10</v>
      </c>
      <c r="C17" s="38">
        <f>SUMIFS(AGREG_PQ[Reel_M],AGREG_PQ[CodeEntite],"BU02",AGREG_PQ[PosteP&amp;L],"Chiffre d'affaires")</f>
        <v>0</v>
      </c>
      <c r="D17" s="38">
        <f>SUMIFS(AGREG_PQ[Budget_M],AGREG_PQ[CodeEntite],"BU02",AGREG_PQ[PosteP&amp;L],"Chiffre d'affaires")</f>
        <v>0</v>
      </c>
      <c r="E17" s="38">
        <f>C17-D17</f>
        <v>0</v>
      </c>
      <c r="F17" s="30" t="str">
        <f t="shared" si="5"/>
        <v>-</v>
      </c>
      <c r="G17" s="38">
        <f>SUMIFS(AGREG_PQ[Reel_M],AGREG_PQ[CodeEntite],"BU02",AGREG_PQ[PosteP&amp;L],"Chiffre d'affaires")+SUMIFS(AGREG_PQ[Reel_M],AGREG_PQ[CodeEntite],"BU02",AGREG_PQ[PosteP&amp;L],"Coût des matières")+SUMIFS(AGREG_PQ[Reel_M],AGREG_PQ[CodeEntite],"BU02",AGREG_PQ[PosteP&amp;L],"Charges de personnel")+SUMIFS(AGREG_PQ[Reel_M],AGREG_PQ[CodeEntite],"BU02",AGREG_PQ[PosteP&amp;L],"Charges externes")+SUMIFS(AGREG_PQ[Reel_M],AGREG_PQ[CodeEntite],"BU02",AGREG_PQ[PosteP&amp;L],"Transport &amp; logistique")+SUMIFS(AGREG_PQ[Reel_M],AGREG_PQ[CodeEntite],"BU02",AGREG_PQ[PosteP&amp;L],"Marketing &amp; publicité")+SUMIFS(AGREG_PQ[Reel_M],AGREG_PQ[CodeEntite],"BU02",AGREG_PQ[PosteP&amp;L],"Autres charges")</f>
        <v>0</v>
      </c>
      <c r="H17" s="30" t="str">
        <f t="shared" si="6"/>
        <v>-</v>
      </c>
    </row>
    <row r="18" spans="2:8" ht="15" customHeight="1" x14ac:dyDescent="0.3">
      <c r="B18" s="29" t="s">
        <v>12</v>
      </c>
      <c r="C18" s="37">
        <f>SUMIFS(AGREG_PQ[Reel_M],AGREG_PQ[CodeEntite],"BU03",AGREG_PQ[PosteP&amp;L],"Chiffre d'affaires")</f>
        <v>0</v>
      </c>
      <c r="D18" s="37">
        <f>SUMIFS(AGREG_PQ[Budget_M],AGREG_PQ[CodeEntite],"BU03",AGREG_PQ[PosteP&amp;L],"Chiffre d'affaires")</f>
        <v>0</v>
      </c>
      <c r="E18" s="37">
        <f>C18-D18</f>
        <v>0</v>
      </c>
      <c r="F18" s="28" t="str">
        <f t="shared" si="5"/>
        <v>-</v>
      </c>
      <c r="G18" s="37">
        <f>SUMIFS(AGREG_PQ[Reel_M],AGREG_PQ[CodeEntite],"BU03",AGREG_PQ[PosteP&amp;L],"Chiffre d'affaires")+SUMIFS(AGREG_PQ[Reel_M],AGREG_PQ[CodeEntite],"BU03",AGREG_PQ[PosteP&amp;L],"Coût des matières")+SUMIFS(AGREG_PQ[Reel_M],AGREG_PQ[CodeEntite],"BU03",AGREG_PQ[PosteP&amp;L],"Charges de personnel")+SUMIFS(AGREG_PQ[Reel_M],AGREG_PQ[CodeEntite],"BU03",AGREG_PQ[PosteP&amp;L],"Charges externes")+SUMIFS(AGREG_PQ[Reel_M],AGREG_PQ[CodeEntite],"BU03",AGREG_PQ[PosteP&amp;L],"Transport &amp; logistique")+SUMIFS(AGREG_PQ[Reel_M],AGREG_PQ[CodeEntite],"BU03",AGREG_PQ[PosteP&amp;L],"Marketing &amp; publicité")+SUMIFS(AGREG_PQ[Reel_M],AGREG_PQ[CodeEntite],"BU03",AGREG_PQ[PosteP&amp;L],"Autres charges")</f>
        <v>0</v>
      </c>
      <c r="H18" s="28" t="str">
        <f t="shared" si="6"/>
        <v>-</v>
      </c>
    </row>
    <row r="19" spans="2:8" ht="15" customHeight="1" x14ac:dyDescent="0.3">
      <c r="B19" s="31" t="s">
        <v>14</v>
      </c>
      <c r="C19" s="38">
        <f>SUMIFS(AGREG_PQ[Reel_M],AGREG_PQ[CodeEntite],"BU04",AGREG_PQ[PosteP&amp;L],"Chiffre d'affaires")</f>
        <v>0</v>
      </c>
      <c r="D19" s="38">
        <f>SUMIFS(AGREG_PQ[Budget_M],AGREG_PQ[CodeEntite],"BU04",AGREG_PQ[PosteP&amp;L],"Chiffre d'affaires")</f>
        <v>0</v>
      </c>
      <c r="E19" s="38">
        <f>C19-D19</f>
        <v>0</v>
      </c>
      <c r="F19" s="30" t="str">
        <f t="shared" si="5"/>
        <v>-</v>
      </c>
      <c r="G19" s="38">
        <f>SUMIFS(AGREG_PQ[Reel_M],AGREG_PQ[CodeEntite],"BU04",AGREG_PQ[PosteP&amp;L],"Chiffre d'affaires")+SUMIFS(AGREG_PQ[Reel_M],AGREG_PQ[CodeEntite],"BU04",AGREG_PQ[PosteP&amp;L],"Coût des matières")+SUMIFS(AGREG_PQ[Reel_M],AGREG_PQ[CodeEntite],"BU04",AGREG_PQ[PosteP&amp;L],"Charges de personnel")+SUMIFS(AGREG_PQ[Reel_M],AGREG_PQ[CodeEntite],"BU04",AGREG_PQ[PosteP&amp;L],"Charges externes")+SUMIFS(AGREG_PQ[Reel_M],AGREG_PQ[CodeEntite],"BU04",AGREG_PQ[PosteP&amp;L],"Transport &amp; logistique")+SUMIFS(AGREG_PQ[Reel_M],AGREG_PQ[CodeEntite],"BU04",AGREG_PQ[PosteP&amp;L],"Marketing &amp; publicité")+SUMIFS(AGREG_PQ[Reel_M],AGREG_PQ[CodeEntite],"BU04",AGREG_PQ[PosteP&amp;L],"Autres charges")</f>
        <v>0</v>
      </c>
      <c r="H19" s="30" t="str">
        <f t="shared" si="6"/>
        <v>-</v>
      </c>
    </row>
    <row r="20" spans="2:8" ht="15" customHeight="1" thickBot="1" x14ac:dyDescent="0.35">
      <c r="B20" s="29" t="s">
        <v>16</v>
      </c>
      <c r="C20" s="37">
        <f>SUMIFS(AGREG_PQ[Reel_M],AGREG_PQ[CodeEntite],"BU05",AGREG_PQ[PosteP&amp;L],"Chiffre d'affaires")</f>
        <v>0</v>
      </c>
      <c r="D20" s="37">
        <f>SUMIFS(AGREG_PQ[Budget_M],AGREG_PQ[CodeEntite],"BU05",AGREG_PQ[PosteP&amp;L],"Chiffre d'affaires")</f>
        <v>0</v>
      </c>
      <c r="E20" s="37">
        <f>C20-D20</f>
        <v>0</v>
      </c>
      <c r="F20" s="28" t="str">
        <f t="shared" si="5"/>
        <v>-</v>
      </c>
      <c r="G20" s="37">
        <f>SUMIFS(AGREG_PQ[Reel_M],AGREG_PQ[CodeEntite],"BU05",AGREG_PQ[PosteP&amp;L],"Chiffre d'affaires")+SUMIFS(AGREG_PQ[Reel_M],AGREG_PQ[CodeEntite],"BU05",AGREG_PQ[PosteP&amp;L],"Coût des matières")+SUMIFS(AGREG_PQ[Reel_M],AGREG_PQ[CodeEntite],"BU05",AGREG_PQ[PosteP&amp;L],"Charges de personnel")+SUMIFS(AGREG_PQ[Reel_M],AGREG_PQ[CodeEntite],"BU05",AGREG_PQ[PosteP&amp;L],"Charges externes")+SUMIFS(AGREG_PQ[Reel_M],AGREG_PQ[CodeEntite],"BU05",AGREG_PQ[PosteP&amp;L],"Transport &amp; logistique")+SUMIFS(AGREG_PQ[Reel_M],AGREG_PQ[CodeEntite],"BU05",AGREG_PQ[PosteP&amp;L],"Marketing &amp; publicité")+SUMIFS(AGREG_PQ[Reel_M],AGREG_PQ[CodeEntite],"BU05",AGREG_PQ[PosteP&amp;L],"Autres charges")</f>
        <v>0</v>
      </c>
      <c r="H20" s="28" t="str">
        <f t="shared" si="6"/>
        <v>-</v>
      </c>
    </row>
    <row r="21" spans="2:8" ht="15" customHeight="1" x14ac:dyDescent="0.3">
      <c r="B21" s="36" t="s">
        <v>50</v>
      </c>
      <c r="C21" s="35">
        <f>SUM(C16:C20)</f>
        <v>763.30000000000018</v>
      </c>
      <c r="D21" s="35">
        <f>SUM(D16:D20)</f>
        <v>675.28999999999985</v>
      </c>
      <c r="E21" s="35">
        <f>SUM(E16:E20)</f>
        <v>88.010000000000332</v>
      </c>
      <c r="F21" s="34">
        <f t="shared" si="5"/>
        <v>0.13032919190273862</v>
      </c>
      <c r="G21" s="35">
        <f>SUM(G16:G20)</f>
        <v>763.30000000000018</v>
      </c>
      <c r="H21" s="34">
        <f t="shared" si="6"/>
        <v>1</v>
      </c>
    </row>
    <row r="23" spans="2:8" ht="15" customHeight="1" x14ac:dyDescent="0.3">
      <c r="B23" s="87" t="s">
        <v>116</v>
      </c>
      <c r="C23" s="87"/>
      <c r="D23" s="87"/>
      <c r="E23" s="87"/>
    </row>
    <row r="24" spans="2:8" ht="15" customHeight="1" x14ac:dyDescent="0.3">
      <c r="B24" s="33" t="s">
        <v>6</v>
      </c>
      <c r="C24" s="32" t="s">
        <v>115</v>
      </c>
      <c r="D24" s="32" t="s">
        <v>114</v>
      </c>
      <c r="E24" s="32" t="s">
        <v>113</v>
      </c>
    </row>
    <row r="25" spans="2:8" ht="15" customHeight="1" x14ac:dyDescent="0.3">
      <c r="B25" s="29" t="s">
        <v>8</v>
      </c>
      <c r="C25" s="28">
        <f>IF(C12=0,"-",C7/C12)</f>
        <v>1</v>
      </c>
      <c r="D25" s="28">
        <f>IF(K12=0,"-",K7/K12)</f>
        <v>1</v>
      </c>
      <c r="E25" s="28">
        <f>IF(M12=0,"-",M7/M12)</f>
        <v>1</v>
      </c>
    </row>
    <row r="26" spans="2:8" ht="15" customHeight="1" x14ac:dyDescent="0.3">
      <c r="B26" s="31" t="s">
        <v>10</v>
      </c>
      <c r="C26" s="30">
        <f>IF(C12=0,"-",C8/C12)</f>
        <v>0</v>
      </c>
      <c r="D26" s="30">
        <f>IF(K12=0,"-",K8/K12)</f>
        <v>0</v>
      </c>
      <c r="E26" s="30">
        <f>IF(M12=0,"-",M8/M12)</f>
        <v>0</v>
      </c>
    </row>
    <row r="27" spans="2:8" ht="15" customHeight="1" x14ac:dyDescent="0.3">
      <c r="B27" s="29" t="s">
        <v>12</v>
      </c>
      <c r="C27" s="28">
        <f>IF(C12=0,"-",C9/C12)</f>
        <v>0</v>
      </c>
      <c r="D27" s="28">
        <f>IF(K12=0,"-",K9/K12)</f>
        <v>0</v>
      </c>
      <c r="E27" s="28">
        <f>IF(M12=0,"-",M9/M12)</f>
        <v>0</v>
      </c>
    </row>
    <row r="28" spans="2:8" ht="15" customHeight="1" x14ac:dyDescent="0.3">
      <c r="B28" s="31" t="s">
        <v>14</v>
      </c>
      <c r="C28" s="30">
        <f>IF(C12=0,"-",C10/C12)</f>
        <v>0</v>
      </c>
      <c r="D28" s="30">
        <f>IF(K12=0,"-",K10/K12)</f>
        <v>0</v>
      </c>
      <c r="E28" s="30">
        <f>IF(M12=0,"-",M10/M12)</f>
        <v>0</v>
      </c>
    </row>
    <row r="29" spans="2:8" ht="15" customHeight="1" x14ac:dyDescent="0.3">
      <c r="B29" s="29" t="s">
        <v>16</v>
      </c>
      <c r="C29" s="28">
        <f>IF(C12=0,"-",C11/C12)</f>
        <v>0</v>
      </c>
      <c r="D29" s="28">
        <f>IF(K12=0,"-",K11/K12)</f>
        <v>0</v>
      </c>
      <c r="E29" s="28">
        <f>IF(M12=0,"-",M11/M12)</f>
        <v>0</v>
      </c>
    </row>
    <row r="31" spans="2:8" ht="15" customHeight="1" x14ac:dyDescent="0.3">
      <c r="B31" s="87" t="s">
        <v>112</v>
      </c>
      <c r="C31" s="87"/>
      <c r="D31" s="87"/>
      <c r="E31" s="87"/>
      <c r="F31" s="87"/>
      <c r="G31" s="87"/>
      <c r="H31" s="87"/>
    </row>
    <row r="32" spans="2:8" ht="15" customHeight="1" x14ac:dyDescent="0.3">
      <c r="B32" s="33" t="s">
        <v>6</v>
      </c>
      <c r="C32" s="32" t="s">
        <v>106</v>
      </c>
      <c r="D32" s="32" t="s">
        <v>105</v>
      </c>
      <c r="E32" s="32" t="s">
        <v>104</v>
      </c>
      <c r="F32" s="32" t="s">
        <v>103</v>
      </c>
      <c r="G32" s="32" t="s">
        <v>102</v>
      </c>
      <c r="H32" s="32" t="s">
        <v>20</v>
      </c>
    </row>
    <row r="33" spans="2:14" ht="15" customHeight="1" x14ac:dyDescent="0.3">
      <c r="B33" s="29" t="s">
        <v>8</v>
      </c>
      <c r="C33" s="28">
        <f>IF(C7=0,"-",-(SUMIFS(AGREG_PQ[Reel_YTD],AGREG_PQ[CodeEntite],"BU01",AGREG_PQ[PosteP&amp;L],"Coût des matières"))/C7)</f>
        <v>0</v>
      </c>
      <c r="D33" s="28">
        <f>IF(C7=0,"-",-(SUMIFS(AGREG_PQ[Reel_YTD],AGREG_PQ[CodeEntite],"BU01",AGREG_PQ[PosteP&amp;L],"Charges de personnel"))/C7)</f>
        <v>0</v>
      </c>
      <c r="E33" s="28">
        <f>IF(C7=0,"-",-(SUMIFS(AGREG_PQ[Reel_YTD],AGREG_PQ[CodeEntite],"BU01",AGREG_PQ[PosteP&amp;L],"Charges externes"))/C7)</f>
        <v>0</v>
      </c>
      <c r="F33" s="28">
        <f>IF(C7=0,"-",-(SUMIFS(AGREG_PQ[Reel_YTD],AGREG_PQ[CodeEntite],"BU01",AGREG_PQ[PosteP&amp;L],"Transport &amp; logistique"))/C7)</f>
        <v>0</v>
      </c>
      <c r="G33" s="28">
        <f>IF(C7=0,"-",-(SUMIFS(AGREG_PQ[Reel_YTD],AGREG_PQ[CodeEntite],"BU01",AGREG_PQ[PosteP&amp;L],"Marketing &amp; publicité"))/C7)</f>
        <v>0</v>
      </c>
      <c r="H33" s="28">
        <f>IF(C7=0,"-",K7/C7)</f>
        <v>1</v>
      </c>
    </row>
    <row r="34" spans="2:14" ht="15" customHeight="1" x14ac:dyDescent="0.3">
      <c r="B34" s="31" t="s">
        <v>10</v>
      </c>
      <c r="C34" s="30" t="str">
        <f>IF(C8=0,"-",-(SUMIFS(AGREG_PQ[Reel_YTD],AGREG_PQ[CodeEntite],"BU02",AGREG_PQ[PosteP&amp;L],"Coût des matières"))/C8)</f>
        <v>-</v>
      </c>
      <c r="D34" s="30" t="str">
        <f>IF(C8=0,"-",-(SUMIFS(AGREG_PQ[Reel_YTD],AGREG_PQ[CodeEntite],"BU02",AGREG_PQ[PosteP&amp;L],"Charges de personnel"))/C8)</f>
        <v>-</v>
      </c>
      <c r="E34" s="30" t="str">
        <f>IF(C8=0,"-",-(SUMIFS(AGREG_PQ[Reel_YTD],AGREG_PQ[CodeEntite],"BU02",AGREG_PQ[PosteP&amp;L],"Charges externes"))/C8)</f>
        <v>-</v>
      </c>
      <c r="F34" s="30" t="str">
        <f>IF(C8=0,"-",-(SUMIFS(AGREG_PQ[Reel_YTD],AGREG_PQ[CodeEntite],"BU02",AGREG_PQ[PosteP&amp;L],"Transport &amp; logistique"))/C8)</f>
        <v>-</v>
      </c>
      <c r="G34" s="30" t="str">
        <f>IF(C8=0,"-",-(SUMIFS(AGREG_PQ[Reel_YTD],AGREG_PQ[CodeEntite],"BU02",AGREG_PQ[PosteP&amp;L],"Marketing &amp; publicité"))/C8)</f>
        <v>-</v>
      </c>
      <c r="H34" s="30" t="str">
        <f>IF(C8=0,"-",K8/C8)</f>
        <v>-</v>
      </c>
    </row>
    <row r="35" spans="2:14" ht="15" customHeight="1" x14ac:dyDescent="0.3">
      <c r="B35" s="29" t="s">
        <v>12</v>
      </c>
      <c r="C35" s="28" t="str">
        <f>IF(C9=0,"-",-(SUMIFS(AGREG_PQ[Reel_YTD],AGREG_PQ[CodeEntite],"BU03",AGREG_PQ[PosteP&amp;L],"Coût des matières"))/C9)</f>
        <v>-</v>
      </c>
      <c r="D35" s="28" t="str">
        <f>IF(C9=0,"-",-(SUMIFS(AGREG_PQ[Reel_YTD],AGREG_PQ[CodeEntite],"BU03",AGREG_PQ[PosteP&amp;L],"Charges de personnel"))/C9)</f>
        <v>-</v>
      </c>
      <c r="E35" s="28" t="str">
        <f>IF(C9=0,"-",-(SUMIFS(AGREG_PQ[Reel_YTD],AGREG_PQ[CodeEntite],"BU03",AGREG_PQ[PosteP&amp;L],"Charges externes"))/C9)</f>
        <v>-</v>
      </c>
      <c r="F35" s="28" t="str">
        <f>IF(C9=0,"-",-(SUMIFS(AGREG_PQ[Reel_YTD],AGREG_PQ[CodeEntite],"BU03",AGREG_PQ[PosteP&amp;L],"Transport &amp; logistique"))/C9)</f>
        <v>-</v>
      </c>
      <c r="G35" s="28" t="str">
        <f>IF(C9=0,"-",-(SUMIFS(AGREG_PQ[Reel_YTD],AGREG_PQ[CodeEntite],"BU03",AGREG_PQ[PosteP&amp;L],"Marketing &amp; publicité"))/C9)</f>
        <v>-</v>
      </c>
      <c r="H35" s="28" t="str">
        <f>IF(C9=0,"-",K9/C9)</f>
        <v>-</v>
      </c>
    </row>
    <row r="36" spans="2:14" ht="15" customHeight="1" x14ac:dyDescent="0.3">
      <c r="B36" s="31" t="s">
        <v>14</v>
      </c>
      <c r="C36" s="30" t="str">
        <f>IF(C10=0,"-",-(SUMIFS(AGREG_PQ[Reel_YTD],AGREG_PQ[CodeEntite],"BU04",AGREG_PQ[PosteP&amp;L],"Coût des matières"))/C10)</f>
        <v>-</v>
      </c>
      <c r="D36" s="30" t="str">
        <f>IF(C10=0,"-",-(SUMIFS(AGREG_PQ[Reel_YTD],AGREG_PQ[CodeEntite],"BU04",AGREG_PQ[PosteP&amp;L],"Charges de personnel"))/C10)</f>
        <v>-</v>
      </c>
      <c r="E36" s="30" t="str">
        <f>IF(C10=0,"-",-(SUMIFS(AGREG_PQ[Reel_YTD],AGREG_PQ[CodeEntite],"BU04",AGREG_PQ[PosteP&amp;L],"Charges externes"))/C10)</f>
        <v>-</v>
      </c>
      <c r="F36" s="30" t="str">
        <f>IF(C10=0,"-",-(SUMIFS(AGREG_PQ[Reel_YTD],AGREG_PQ[CodeEntite],"BU04",AGREG_PQ[PosteP&amp;L],"Transport &amp; logistique"))/C10)</f>
        <v>-</v>
      </c>
      <c r="G36" s="30" t="str">
        <f>IF(C10=0,"-",-(SUMIFS(AGREG_PQ[Reel_YTD],AGREG_PQ[CodeEntite],"BU04",AGREG_PQ[PosteP&amp;L],"Marketing &amp; publicité"))/C10)</f>
        <v>-</v>
      </c>
      <c r="H36" s="30" t="str">
        <f>IF(C10=0,"-",K10/C10)</f>
        <v>-</v>
      </c>
    </row>
    <row r="37" spans="2:14" ht="15" customHeight="1" x14ac:dyDescent="0.3">
      <c r="B37" s="29" t="s">
        <v>16</v>
      </c>
      <c r="C37" s="28" t="str">
        <f>IF(C11=0,"-",-(SUMIFS(AGREG_PQ[Reel_YTD],AGREG_PQ[CodeEntite],"BU05",AGREG_PQ[PosteP&amp;L],"Coût des matières"))/C11)</f>
        <v>-</v>
      </c>
      <c r="D37" s="28" t="str">
        <f>IF(C11=0,"-",-(SUMIFS(AGREG_PQ[Reel_YTD],AGREG_PQ[CodeEntite],"BU05",AGREG_PQ[PosteP&amp;L],"Charges de personnel"))/C11)</f>
        <v>-</v>
      </c>
      <c r="E37" s="28" t="str">
        <f>IF(C11=0,"-",-(SUMIFS(AGREG_PQ[Reel_YTD],AGREG_PQ[CodeEntite],"BU05",AGREG_PQ[PosteP&amp;L],"Charges externes"))/C11)</f>
        <v>-</v>
      </c>
      <c r="F37" s="28" t="str">
        <f>IF(C11=0,"-",-(SUMIFS(AGREG_PQ[Reel_YTD],AGREG_PQ[CodeEntite],"BU05",AGREG_PQ[PosteP&amp;L],"Transport &amp; logistique"))/C11)</f>
        <v>-</v>
      </c>
      <c r="G37" s="28" t="str">
        <f>IF(C11=0,"-",-(SUMIFS(AGREG_PQ[Reel_YTD],AGREG_PQ[CodeEntite],"BU05",AGREG_PQ[PosteP&amp;L],"Marketing &amp; publicité"))/C11)</f>
        <v>-</v>
      </c>
      <c r="H37" s="28" t="str">
        <f>IF(C11=0,"-",K11/C11)</f>
        <v>-</v>
      </c>
    </row>
    <row r="39" spans="2:14" ht="15" customHeight="1" x14ac:dyDescent="0.3">
      <c r="B39" s="87" t="s">
        <v>111</v>
      </c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</row>
    <row r="57" spans="2:14" ht="15" customHeight="1" x14ac:dyDescent="0.3">
      <c r="B57" s="87" t="s">
        <v>110</v>
      </c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</row>
    <row r="77" spans="2:14" ht="15" customHeight="1" x14ac:dyDescent="0.3">
      <c r="B77" s="87" t="s">
        <v>109</v>
      </c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</row>
    <row r="78" spans="2:14" ht="15" customHeight="1" x14ac:dyDescent="0.3">
      <c r="B78" s="27" t="s">
        <v>108</v>
      </c>
      <c r="C78" s="27" t="s">
        <v>107</v>
      </c>
      <c r="D78" s="27" t="s">
        <v>106</v>
      </c>
      <c r="E78" s="27" t="s">
        <v>105</v>
      </c>
      <c r="F78" s="27" t="s">
        <v>104</v>
      </c>
      <c r="G78" s="27" t="s">
        <v>103</v>
      </c>
      <c r="H78" s="27" t="s">
        <v>102</v>
      </c>
      <c r="I78" s="27" t="s">
        <v>101</v>
      </c>
      <c r="J78" s="27" t="s">
        <v>100</v>
      </c>
      <c r="K78" s="27" t="s">
        <v>99</v>
      </c>
      <c r="L78" s="27" t="s">
        <v>45</v>
      </c>
    </row>
    <row r="79" spans="2:14" ht="15" customHeight="1" x14ac:dyDescent="0.3">
      <c r="B79" s="26" t="s">
        <v>8</v>
      </c>
      <c r="C79" s="25">
        <f>SUMIFS(AGREG_PQ[Ecart_YTD],AGREG_PQ[CodeEntite],"BU01",AGREG_PQ[PosteP&amp;L],"Chiffre d'affaires")</f>
        <v>-71.029999999995653</v>
      </c>
      <c r="D79" s="25">
        <f>SUMIFS(AGREG_PQ[Ecart_YTD],AGREG_PQ[CodeEntite],"BU01",AGREG_PQ[PosteP&amp;L],"Coût des matières")</f>
        <v>0</v>
      </c>
      <c r="E79" s="25">
        <f>SUMIFS(AGREG_PQ[Ecart_YTD],AGREG_PQ[CodeEntite],"BU01",AGREG_PQ[PosteP&amp;L],"Charges de personnel")</f>
        <v>0</v>
      </c>
      <c r="F79" s="25">
        <f>SUMIFS(AGREG_PQ[Ecart_YTD],AGREG_PQ[CodeEntite],"BU01",AGREG_PQ[PosteP&amp;L],"Charges externes")</f>
        <v>0</v>
      </c>
      <c r="G79" s="25">
        <f>SUMIFS(AGREG_PQ[Ecart_YTD],AGREG_PQ[CodeEntite],"BU01",AGREG_PQ[PosteP&amp;L],"Transport &amp; logistique")</f>
        <v>0</v>
      </c>
      <c r="H79" s="25">
        <f>SUMIFS(AGREG_PQ[Ecart_YTD],AGREG_PQ[CodeEntite],"BU01",AGREG_PQ[PosteP&amp;L],"Marketing &amp; publicité")</f>
        <v>0</v>
      </c>
      <c r="I79" s="25">
        <f>SUMIFS(AGREG_PQ[Ecart_YTD],AGREG_PQ[CodeEntite],"BU01",AGREG_PQ[PosteP&amp;L],"Autres charges")</f>
        <v>0</v>
      </c>
      <c r="J79" s="25">
        <f>SUMIFS(AGREG_PQ[Ecart_YTD],AGREG_PQ[CodeEntite],"BU01",AGREG_PQ[PosteP&amp;L],"Amortissements")</f>
        <v>0</v>
      </c>
      <c r="K79" s="25">
        <f>SUMIFS(AGREG_PQ[Ecart_YTD],AGREG_PQ[CodeEntite],"BU01",AGREG_PQ[PosteP&amp;L],"Charges financières")</f>
        <v>0</v>
      </c>
      <c r="L79" s="25">
        <f>SUMIFS(AGREG_PQ[Ecart_YTD],AGREG_PQ[CodeEntite],"BU01",AGREG_PQ[PosteP&amp;L],"Impôt")</f>
        <v>0</v>
      </c>
    </row>
    <row r="80" spans="2:14" ht="15" customHeight="1" x14ac:dyDescent="0.3">
      <c r="B80" s="26" t="s">
        <v>10</v>
      </c>
      <c r="C80" s="25">
        <f>SUMIFS(AGREG_PQ[Ecart_YTD],AGREG_PQ[CodeEntite],"BU02",AGREG_PQ[PosteP&amp;L],"Chiffre d'affaires")</f>
        <v>0</v>
      </c>
      <c r="D80" s="25">
        <f>SUMIFS(AGREG_PQ[Ecart_YTD],AGREG_PQ[CodeEntite],"BU02",AGREG_PQ[PosteP&amp;L],"Coût des matières")</f>
        <v>0</v>
      </c>
      <c r="E80" s="25">
        <f>SUMIFS(AGREG_PQ[Ecart_YTD],AGREG_PQ[CodeEntite],"BU02",AGREG_PQ[PosteP&amp;L],"Charges de personnel")</f>
        <v>0</v>
      </c>
      <c r="F80" s="25">
        <f>SUMIFS(AGREG_PQ[Ecart_YTD],AGREG_PQ[CodeEntite],"BU02",AGREG_PQ[PosteP&amp;L],"Charges externes")</f>
        <v>0</v>
      </c>
      <c r="G80" s="25">
        <f>SUMIFS(AGREG_PQ[Ecart_YTD],AGREG_PQ[CodeEntite],"BU02",AGREG_PQ[PosteP&amp;L],"Transport &amp; logistique")</f>
        <v>0</v>
      </c>
      <c r="H80" s="25">
        <f>SUMIFS(AGREG_PQ[Ecart_YTD],AGREG_PQ[CodeEntite],"BU02",AGREG_PQ[PosteP&amp;L],"Marketing &amp; publicité")</f>
        <v>0</v>
      </c>
      <c r="I80" s="25">
        <f>SUMIFS(AGREG_PQ[Ecart_YTD],AGREG_PQ[CodeEntite],"BU02",AGREG_PQ[PosteP&amp;L],"Autres charges")</f>
        <v>0</v>
      </c>
      <c r="J80" s="25">
        <f>SUMIFS(AGREG_PQ[Ecart_YTD],AGREG_PQ[CodeEntite],"BU02",AGREG_PQ[PosteP&amp;L],"Amortissements")</f>
        <v>0</v>
      </c>
      <c r="K80" s="25">
        <f>SUMIFS(AGREG_PQ[Ecart_YTD],AGREG_PQ[CodeEntite],"BU02",AGREG_PQ[PosteP&amp;L],"Charges financières")</f>
        <v>0</v>
      </c>
      <c r="L80" s="25">
        <f>SUMIFS(AGREG_PQ[Ecart_YTD],AGREG_PQ[CodeEntite],"BU02",AGREG_PQ[PosteP&amp;L],"Impôt")</f>
        <v>0</v>
      </c>
    </row>
    <row r="81" spans="2:14" ht="15" customHeight="1" x14ac:dyDescent="0.3">
      <c r="B81" s="26" t="s">
        <v>12</v>
      </c>
      <c r="C81" s="25">
        <f>SUMIFS(AGREG_PQ[Ecart_YTD],AGREG_PQ[CodeEntite],"BU03",AGREG_PQ[PosteP&amp;L],"Chiffre d'affaires")</f>
        <v>0</v>
      </c>
      <c r="D81" s="25">
        <f>SUMIFS(AGREG_PQ[Ecart_YTD],AGREG_PQ[CodeEntite],"BU03",AGREG_PQ[PosteP&amp;L],"Coût des matières")</f>
        <v>0</v>
      </c>
      <c r="E81" s="25">
        <f>SUMIFS(AGREG_PQ[Ecart_YTD],AGREG_PQ[CodeEntite],"BU03",AGREG_PQ[PosteP&amp;L],"Charges de personnel")</f>
        <v>0</v>
      </c>
      <c r="F81" s="25">
        <f>SUMIFS(AGREG_PQ[Ecart_YTD],AGREG_PQ[CodeEntite],"BU03",AGREG_PQ[PosteP&amp;L],"Charges externes")</f>
        <v>0</v>
      </c>
      <c r="G81" s="25">
        <f>SUMIFS(AGREG_PQ[Ecart_YTD],AGREG_PQ[CodeEntite],"BU03",AGREG_PQ[PosteP&amp;L],"Transport &amp; logistique")</f>
        <v>0</v>
      </c>
      <c r="H81" s="25">
        <f>SUMIFS(AGREG_PQ[Ecart_YTD],AGREG_PQ[CodeEntite],"BU03",AGREG_PQ[PosteP&amp;L],"Marketing &amp; publicité")</f>
        <v>0</v>
      </c>
      <c r="I81" s="25">
        <f>SUMIFS(AGREG_PQ[Ecart_YTD],AGREG_PQ[CodeEntite],"BU03",AGREG_PQ[PosteP&amp;L],"Autres charges")</f>
        <v>0</v>
      </c>
      <c r="J81" s="25">
        <f>SUMIFS(AGREG_PQ[Ecart_YTD],AGREG_PQ[CodeEntite],"BU03",AGREG_PQ[PosteP&amp;L],"Amortissements")</f>
        <v>0</v>
      </c>
      <c r="K81" s="25">
        <f>SUMIFS(AGREG_PQ[Ecart_YTD],AGREG_PQ[CodeEntite],"BU03",AGREG_PQ[PosteP&amp;L],"Charges financières")</f>
        <v>0</v>
      </c>
      <c r="L81" s="25">
        <f>SUMIFS(AGREG_PQ[Ecart_YTD],AGREG_PQ[CodeEntite],"BU03",AGREG_PQ[PosteP&amp;L],"Impôt")</f>
        <v>0</v>
      </c>
    </row>
    <row r="82" spans="2:14" ht="15" customHeight="1" x14ac:dyDescent="0.3">
      <c r="B82" s="26" t="s">
        <v>14</v>
      </c>
      <c r="C82" s="25">
        <f>SUMIFS(AGREG_PQ[Ecart_YTD],AGREG_PQ[CodeEntite],"BU04",AGREG_PQ[PosteP&amp;L],"Chiffre d'affaires")</f>
        <v>0</v>
      </c>
      <c r="D82" s="25">
        <f>SUMIFS(AGREG_PQ[Ecart_YTD],AGREG_PQ[CodeEntite],"BU04",AGREG_PQ[PosteP&amp;L],"Coût des matières")</f>
        <v>0</v>
      </c>
      <c r="E82" s="25">
        <f>SUMIFS(AGREG_PQ[Ecart_YTD],AGREG_PQ[CodeEntite],"BU04",AGREG_PQ[PosteP&amp;L],"Charges de personnel")</f>
        <v>0</v>
      </c>
      <c r="F82" s="25">
        <f>SUMIFS(AGREG_PQ[Ecart_YTD],AGREG_PQ[CodeEntite],"BU04",AGREG_PQ[PosteP&amp;L],"Charges externes")</f>
        <v>0</v>
      </c>
      <c r="G82" s="25">
        <f>SUMIFS(AGREG_PQ[Ecart_YTD],AGREG_PQ[CodeEntite],"BU04",AGREG_PQ[PosteP&amp;L],"Transport &amp; logistique")</f>
        <v>0</v>
      </c>
      <c r="H82" s="25">
        <f>SUMIFS(AGREG_PQ[Ecart_YTD],AGREG_PQ[CodeEntite],"BU04",AGREG_PQ[PosteP&amp;L],"Marketing &amp; publicité")</f>
        <v>0</v>
      </c>
      <c r="I82" s="25">
        <f>SUMIFS(AGREG_PQ[Ecart_YTD],AGREG_PQ[CodeEntite],"BU04",AGREG_PQ[PosteP&amp;L],"Autres charges")</f>
        <v>0</v>
      </c>
      <c r="J82" s="25">
        <f>SUMIFS(AGREG_PQ[Ecart_YTD],AGREG_PQ[CodeEntite],"BU04",AGREG_PQ[PosteP&amp;L],"Amortissements")</f>
        <v>0</v>
      </c>
      <c r="K82" s="25">
        <f>SUMIFS(AGREG_PQ[Ecart_YTD],AGREG_PQ[CodeEntite],"BU04",AGREG_PQ[PosteP&amp;L],"Charges financières")</f>
        <v>0</v>
      </c>
      <c r="L82" s="25">
        <f>SUMIFS(AGREG_PQ[Ecart_YTD],AGREG_PQ[CodeEntite],"BU04",AGREG_PQ[PosteP&amp;L],"Impôt")</f>
        <v>0</v>
      </c>
    </row>
    <row r="83" spans="2:14" ht="15" customHeight="1" x14ac:dyDescent="0.3">
      <c r="B83" s="26" t="s">
        <v>16</v>
      </c>
      <c r="C83" s="25">
        <f>SUMIFS(AGREG_PQ[Ecart_YTD],AGREG_PQ[CodeEntite],"BU05",AGREG_PQ[PosteP&amp;L],"Chiffre d'affaires")</f>
        <v>0</v>
      </c>
      <c r="D83" s="25">
        <f>SUMIFS(AGREG_PQ[Ecart_YTD],AGREG_PQ[CodeEntite],"BU05",AGREG_PQ[PosteP&amp;L],"Coût des matières")</f>
        <v>0</v>
      </c>
      <c r="E83" s="25">
        <f>SUMIFS(AGREG_PQ[Ecart_YTD],AGREG_PQ[CodeEntite],"BU05",AGREG_PQ[PosteP&amp;L],"Charges de personnel")</f>
        <v>0</v>
      </c>
      <c r="F83" s="25">
        <f>SUMIFS(AGREG_PQ[Ecart_YTD],AGREG_PQ[CodeEntite],"BU05",AGREG_PQ[PosteP&amp;L],"Charges externes")</f>
        <v>0</v>
      </c>
      <c r="G83" s="25">
        <f>SUMIFS(AGREG_PQ[Ecart_YTD],AGREG_PQ[CodeEntite],"BU05",AGREG_PQ[PosteP&amp;L],"Transport &amp; logistique")</f>
        <v>0</v>
      </c>
      <c r="H83" s="25">
        <f>SUMIFS(AGREG_PQ[Ecart_YTD],AGREG_PQ[CodeEntite],"BU05",AGREG_PQ[PosteP&amp;L],"Marketing &amp; publicité")</f>
        <v>0</v>
      </c>
      <c r="I83" s="25">
        <f>SUMIFS(AGREG_PQ[Ecart_YTD],AGREG_PQ[CodeEntite],"BU05",AGREG_PQ[PosteP&amp;L],"Autres charges")</f>
        <v>0</v>
      </c>
      <c r="J83" s="25">
        <f>SUMIFS(AGREG_PQ[Ecart_YTD],AGREG_PQ[CodeEntite],"BU05",AGREG_PQ[PosteP&amp;L],"Amortissements")</f>
        <v>0</v>
      </c>
      <c r="K83" s="25">
        <f>SUMIFS(AGREG_PQ[Ecart_YTD],AGREG_PQ[CodeEntite],"BU05",AGREG_PQ[PosteP&amp;L],"Charges financières")</f>
        <v>0</v>
      </c>
      <c r="L83" s="25">
        <f>SUMIFS(AGREG_PQ[Ecart_YTD],AGREG_PQ[CodeEntite],"BU05",AGREG_PQ[PosteP&amp;L],"Impôt")</f>
        <v>0</v>
      </c>
    </row>
    <row r="84" spans="2:14" ht="15" customHeight="1" x14ac:dyDescent="0.3">
      <c r="B84" s="91" t="s">
        <v>98</v>
      </c>
      <c r="C84" s="91"/>
      <c r="D84" s="91"/>
      <c r="E84" s="91"/>
      <c r="F84" s="91"/>
      <c r="G84" s="91"/>
      <c r="H84" s="91"/>
      <c r="I84" s="91"/>
      <c r="J84" s="91"/>
      <c r="K84" s="91"/>
      <c r="L84" s="91"/>
    </row>
    <row r="86" spans="2:14" ht="15" customHeight="1" x14ac:dyDescent="0.3">
      <c r="B86" s="87" t="s">
        <v>97</v>
      </c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</row>
    <row r="87" spans="2:14" ht="15" customHeight="1" x14ac:dyDescent="0.3">
      <c r="B87" s="92" t="s">
        <v>96</v>
      </c>
      <c r="C87" s="92"/>
      <c r="D87" s="92"/>
      <c r="F87" s="93" t="s">
        <v>95</v>
      </c>
      <c r="G87" s="93"/>
      <c r="H87" s="93"/>
    </row>
    <row r="88" spans="2:14" ht="15" customHeight="1" x14ac:dyDescent="0.3">
      <c r="B88" s="24" t="s">
        <v>6</v>
      </c>
      <c r="C88" s="24" t="s">
        <v>94</v>
      </c>
      <c r="D88" s="23" t="s">
        <v>29</v>
      </c>
      <c r="F88" s="24" t="s">
        <v>6</v>
      </c>
      <c r="G88" s="24" t="s">
        <v>94</v>
      </c>
      <c r="H88" s="23" t="s">
        <v>29</v>
      </c>
    </row>
    <row r="89" spans="2:14" ht="15" customHeight="1" x14ac:dyDescent="0.3">
      <c r="B89" s="21" t="str">
        <f>INDEX(AGREG_PQ[Entite],MATCH(LARGE(AGREG_PQ[Ecart_YTD],1),AGREG_PQ[Ecart_YTD],0))</f>
        <v>Céréales &amp; Meunerie</v>
      </c>
      <c r="C89" s="21" t="str">
        <f>INDEX(AGREG_PQ[PosteP&amp;L],MATCH(LARGE(AGREG_PQ[Ecart_YTD],1),AGREG_PQ[Ecart_YTD],0))</f>
        <v>Chiffre d'affaires</v>
      </c>
      <c r="D89" s="22">
        <f>LARGE(AGREG_PQ[Ecart_YTD],1)</f>
        <v>-71.029999999995653</v>
      </c>
      <c r="F89" s="21" t="str">
        <f>INDEX(AGREG_PQ[Entite],MATCH(SMALL(AGREG_PQ[Ecart_YTD],1),AGREG_PQ[Ecart_YTD],0))</f>
        <v>Céréales &amp; Meunerie</v>
      </c>
      <c r="G89" s="21" t="str">
        <f>INDEX(AGREG_PQ[PosteP&amp;L],MATCH(SMALL(AGREG_PQ[Ecart_YTD],1),AGREG_PQ[Ecart_YTD],0))</f>
        <v>Chiffre d'affaires</v>
      </c>
      <c r="H89" s="20">
        <f>SMALL(AGREG_PQ[Ecart_YTD],1)</f>
        <v>-71.029999999995653</v>
      </c>
    </row>
    <row r="90" spans="2:14" ht="15" customHeight="1" x14ac:dyDescent="0.3">
      <c r="B90" s="21" t="e">
        <f>INDEX(AGREG_PQ[Entite],MATCH(LARGE(AGREG_PQ[Ecart_YTD],2),AGREG_PQ[Ecart_YTD],0))</f>
        <v>#NUM!</v>
      </c>
      <c r="C90" s="21" t="e">
        <f>INDEX(AGREG_PQ[PosteP&amp;L],MATCH(LARGE(AGREG_PQ[Ecart_YTD],2),AGREG_PQ[Ecart_YTD],0))</f>
        <v>#NUM!</v>
      </c>
      <c r="D90" s="22" t="e">
        <f>LARGE(AGREG_PQ[Ecart_YTD],2)</f>
        <v>#NUM!</v>
      </c>
      <c r="F90" s="21" t="e">
        <f>INDEX(AGREG_PQ[Entite],MATCH(SMALL(AGREG_PQ[Ecart_YTD],2),AGREG_PQ[Ecart_YTD],0))</f>
        <v>#NUM!</v>
      </c>
      <c r="G90" s="21" t="e">
        <f>INDEX(AGREG_PQ[PosteP&amp;L],MATCH(SMALL(AGREG_PQ[Ecart_YTD],2),AGREG_PQ[Ecart_YTD],0))</f>
        <v>#NUM!</v>
      </c>
      <c r="H90" s="20" t="e">
        <f>SMALL(AGREG_PQ[Ecart_YTD],2)</f>
        <v>#NUM!</v>
      </c>
    </row>
    <row r="91" spans="2:14" ht="15" customHeight="1" x14ac:dyDescent="0.3">
      <c r="B91" s="21" t="e">
        <f>INDEX(AGREG_PQ[Entite],MATCH(LARGE(AGREG_PQ[Ecart_YTD],3),AGREG_PQ[Ecart_YTD],0))</f>
        <v>#NUM!</v>
      </c>
      <c r="C91" s="21" t="e">
        <f>INDEX(AGREG_PQ[PosteP&amp;L],MATCH(LARGE(AGREG_PQ[Ecart_YTD],3),AGREG_PQ[Ecart_YTD],0))</f>
        <v>#NUM!</v>
      </c>
      <c r="D91" s="22" t="e">
        <f>LARGE(AGREG_PQ[Ecart_YTD],3)</f>
        <v>#NUM!</v>
      </c>
      <c r="F91" s="21" t="e">
        <f>INDEX(AGREG_PQ[Entite],MATCH(SMALL(AGREG_PQ[Ecart_YTD],3),AGREG_PQ[Ecart_YTD],0))</f>
        <v>#NUM!</v>
      </c>
      <c r="G91" s="21" t="e">
        <f>INDEX(AGREG_PQ[PosteP&amp;L],MATCH(SMALL(AGREG_PQ[Ecart_YTD],3),AGREG_PQ[Ecart_YTD],0))</f>
        <v>#NUM!</v>
      </c>
      <c r="H91" s="20" t="e">
        <f>SMALL(AGREG_PQ[Ecart_YTD],3)</f>
        <v>#NUM!</v>
      </c>
    </row>
    <row r="93" spans="2:14" ht="15" customHeight="1" x14ac:dyDescent="0.3"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</row>
    <row r="94" spans="2:14" ht="15" customHeight="1" x14ac:dyDescent="0.3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</row>
    <row r="95" spans="2:14" ht="15" customHeight="1" x14ac:dyDescent="0.3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</row>
    <row r="96" spans="2:14" ht="15" customHeight="1" x14ac:dyDescent="0.3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</row>
    <row r="97" spans="2:14" ht="15" customHeight="1" x14ac:dyDescent="0.3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</row>
  </sheetData>
  <mergeCells count="15">
    <mergeCell ref="B2:N2"/>
    <mergeCell ref="B3:N3"/>
    <mergeCell ref="B5:N5"/>
    <mergeCell ref="B14:H14"/>
    <mergeCell ref="B23:E23"/>
    <mergeCell ref="B86:N86"/>
    <mergeCell ref="B87:D87"/>
    <mergeCell ref="F87:H87"/>
    <mergeCell ref="B93:N93"/>
    <mergeCell ref="B94:N97"/>
    <mergeCell ref="B31:H31"/>
    <mergeCell ref="B39:N39"/>
    <mergeCell ref="B57:N57"/>
    <mergeCell ref="B77:N77"/>
    <mergeCell ref="B84:L84"/>
  </mergeCells>
  <conditionalFormatting sqref="C7:C11">
    <cfRule type="dataBar" priority="1">
      <dataBar>
        <cfvo type="min"/>
        <cfvo type="max"/>
        <color rgb="FF2E5496"/>
      </dataBar>
      <extLst>
        <ext xmlns:x14="http://schemas.microsoft.com/office/spreadsheetml/2009/9/main" uri="{B025F937-C7B1-47D3-B67F-A62EFF666E3E}">
          <x14:id>{74FCCC97-FF40-4712-94F0-51905FDF3CCD}</x14:id>
        </ext>
      </extLst>
    </cfRule>
  </conditionalFormatting>
  <conditionalFormatting sqref="C25">
    <cfRule type="dataBar" priority="6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{B00176E4-4F19-4AF1-94BF-08164EAEF691}</x14:id>
        </ext>
      </extLst>
    </cfRule>
  </conditionalFormatting>
  <conditionalFormatting sqref="C26">
    <cfRule type="dataBar" priority="7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{886EA654-4A79-4035-895B-D2725D33C877}</x14:id>
        </ext>
      </extLst>
    </cfRule>
  </conditionalFormatting>
  <conditionalFormatting sqref="C27">
    <cfRule type="dataBar" priority="8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{B82C999E-A39E-440D-95B5-48F824C7A2A8}</x14:id>
        </ext>
      </extLst>
    </cfRule>
  </conditionalFormatting>
  <conditionalFormatting sqref="C28">
    <cfRule type="dataBar" priority="9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{8A5B662F-019E-4ECC-81E9-9A229EEE0315}</x14:id>
        </ext>
      </extLst>
    </cfRule>
  </conditionalFormatting>
  <conditionalFormatting sqref="C29">
    <cfRule type="dataBar" priority="10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{19854012-71AB-4340-B8D5-0B9F833BF415}</x14:id>
        </ext>
      </extLst>
    </cfRule>
  </conditionalFormatting>
  <conditionalFormatting sqref="C33:C37">
    <cfRule type="colorScale" priority="11">
      <colorScale>
        <cfvo type="min"/>
        <cfvo type="max"/>
        <color rgb="FFC6EFCE"/>
        <color rgb="FFFFC7CE"/>
      </colorScale>
    </cfRule>
  </conditionalFormatting>
  <conditionalFormatting sqref="C79:L83">
    <cfRule type="colorScale" priority="17">
      <colorScale>
        <cfvo type="num" val="-150"/>
        <cfvo type="num" val="0"/>
        <cfvo type="num" val="150"/>
        <color rgb="FFE06666"/>
        <color rgb="FFFFFFFF"/>
        <color rgb="FF93C47D"/>
      </colorScale>
    </cfRule>
  </conditionalFormatting>
  <conditionalFormatting sqref="D33:D37">
    <cfRule type="colorScale" priority="12">
      <colorScale>
        <cfvo type="min"/>
        <cfvo type="max"/>
        <color rgb="FFC6EFCE"/>
        <color rgb="FFFFC7CE"/>
      </colorScale>
    </cfRule>
  </conditionalFormatting>
  <conditionalFormatting sqref="E33:E37">
    <cfRule type="colorScale" priority="13">
      <colorScale>
        <cfvo type="min"/>
        <cfvo type="max"/>
        <color rgb="FFC6EFCE"/>
        <color rgb="FFFFC7CE"/>
      </colorScale>
    </cfRule>
  </conditionalFormatting>
  <conditionalFormatting sqref="F7:F11">
    <cfRule type="cellIs" dxfId="16" priority="2" operator="greaterThan">
      <formula>0</formula>
    </cfRule>
    <cfRule type="cellIs" dxfId="15" priority="3" operator="lessThan">
      <formula>0</formula>
    </cfRule>
  </conditionalFormatting>
  <conditionalFormatting sqref="F33:F37">
    <cfRule type="colorScale" priority="14">
      <colorScale>
        <cfvo type="min"/>
        <cfvo type="max"/>
        <color rgb="FFC6EFCE"/>
        <color rgb="FFFFC7CE"/>
      </colorScale>
    </cfRule>
  </conditionalFormatting>
  <conditionalFormatting sqref="G33:G37">
    <cfRule type="colorScale" priority="15">
      <colorScale>
        <cfvo type="min"/>
        <cfvo type="max"/>
        <color rgb="FFC6EFCE"/>
        <color rgb="FFFFC7CE"/>
      </colorScale>
    </cfRule>
  </conditionalFormatting>
  <conditionalFormatting sqref="H7:H11">
    <cfRule type="cellIs" dxfId="14" priority="4" operator="greaterThan">
      <formula>0</formula>
    </cfRule>
    <cfRule type="cellIs" dxfId="13" priority="5" operator="lessThan">
      <formula>0</formula>
    </cfRule>
  </conditionalFormatting>
  <conditionalFormatting sqref="H33:H37">
    <cfRule type="colorScale" priority="16">
      <colorScale>
        <cfvo type="min"/>
        <cfvo type="max"/>
        <color rgb="FFFFC7CE"/>
        <color rgb="FFC6EFCE"/>
      </colorScale>
    </cfRule>
  </conditionalFormatting>
  <printOptions horizontalCentered="1"/>
  <pageMargins left="0.3" right="0.3" top="0.5" bottom="0.4" header="0.511811023622047" footer="0.511811023622047"/>
  <pageSetup paperSize="9" scale="96" fitToHeight="0" orientation="landscape" r:id="rId1"/>
  <headerFooter>
    <oddHeader>&amp;C&amp;"Arial,Bold"&amp;12 Atlas Agro Holding - Package de cloture</oddHeader>
    <oddFooter>&amp;L&amp;"Arial"&amp;8 SYNTHESE_BU&amp;C&amp;"Arial"&amp;8 Page &amp;P / &amp;N&amp;R&amp;"Arial"&amp;8 &amp;D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FCCC97-FF40-4712-94F0-51905FDF3CCD}">
            <x14:dataBar axisPosition="none">
              <x14:cfvo type="min"/>
              <x14:cfvo type="max"/>
              <x14:negativeFillColor rgb="FF2E5496"/>
            </x14:dataBar>
          </x14:cfRule>
          <xm:sqref>C7:C11</xm:sqref>
        </x14:conditionalFormatting>
        <x14:conditionalFormatting xmlns:xm="http://schemas.microsoft.com/office/excel/2006/main">
          <x14:cfRule type="dataBar" id="{B00176E4-4F19-4AF1-94BF-08164EAEF691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C25</xm:sqref>
        </x14:conditionalFormatting>
        <x14:conditionalFormatting xmlns:xm="http://schemas.microsoft.com/office/excel/2006/main">
          <x14:cfRule type="dataBar" id="{886EA654-4A79-4035-895B-D2725D33C877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C26</xm:sqref>
        </x14:conditionalFormatting>
        <x14:conditionalFormatting xmlns:xm="http://schemas.microsoft.com/office/excel/2006/main">
          <x14:cfRule type="dataBar" id="{B82C999E-A39E-440D-95B5-48F824C7A2A8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C27</xm:sqref>
        </x14:conditionalFormatting>
        <x14:conditionalFormatting xmlns:xm="http://schemas.microsoft.com/office/excel/2006/main">
          <x14:cfRule type="dataBar" id="{8A5B662F-019E-4ECC-81E9-9A229EEE0315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C28</xm:sqref>
        </x14:conditionalFormatting>
        <x14:conditionalFormatting xmlns:xm="http://schemas.microsoft.com/office/excel/2006/main">
          <x14:cfRule type="dataBar" id="{19854012-71AB-4340-B8D5-0B9F833BF415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B7431-F72B-4806-8D2A-A02D0E1267AF}">
  <sheetPr codeName="Feuil5"/>
  <dimension ref="A1:R92"/>
  <sheetViews>
    <sheetView zoomScaleNormal="100" workbookViewId="0">
      <selection activeCell="C85" sqref="C85:G91"/>
    </sheetView>
  </sheetViews>
  <sheetFormatPr baseColWidth="10" defaultColWidth="8.6640625" defaultRowHeight="14.4" x14ac:dyDescent="0.3"/>
  <cols>
    <col min="1" max="1" width="12.33203125" bestFit="1" customWidth="1"/>
    <col min="2" max="2" width="9.88671875" bestFit="1" customWidth="1"/>
    <col min="3" max="3" width="9.6640625" customWidth="1"/>
    <col min="6" max="6" width="12.77734375" bestFit="1" customWidth="1"/>
    <col min="7" max="7" width="20.33203125" bestFit="1" customWidth="1"/>
    <col min="8" max="8" width="10.109375" bestFit="1" customWidth="1"/>
    <col min="9" max="9" width="12.77734375" bestFit="1" customWidth="1"/>
    <col min="10" max="10" width="19.44140625" bestFit="1" customWidth="1"/>
    <col min="11" max="11" width="10.109375" bestFit="1" customWidth="1"/>
    <col min="12" max="12" width="15.109375" bestFit="1" customWidth="1"/>
    <col min="13" max="13" width="12.77734375" bestFit="1" customWidth="1"/>
    <col min="14" max="14" width="12.109375" bestFit="1" customWidth="1"/>
  </cols>
  <sheetData>
    <row r="1" spans="3:9" ht="15" customHeight="1" x14ac:dyDescent="0.3">
      <c r="C1" t="s">
        <v>187</v>
      </c>
      <c r="D1" t="s">
        <v>186</v>
      </c>
      <c r="E1" t="s">
        <v>185</v>
      </c>
      <c r="F1" t="s">
        <v>184</v>
      </c>
      <c r="G1" t="s">
        <v>183</v>
      </c>
      <c r="H1" t="s">
        <v>182</v>
      </c>
      <c r="I1" t="s">
        <v>192</v>
      </c>
    </row>
    <row r="2" spans="3:9" ht="15" customHeight="1" x14ac:dyDescent="0.3">
      <c r="C2" t="s">
        <v>191</v>
      </c>
      <c r="D2">
        <f>SUM(I3:I7)</f>
        <v>2708.6199999999976</v>
      </c>
      <c r="E2">
        <v>0</v>
      </c>
      <c r="F2">
        <v>0</v>
      </c>
      <c r="G2">
        <v>0</v>
      </c>
      <c r="H2">
        <f>D2</f>
        <v>2708.6199999999976</v>
      </c>
    </row>
    <row r="3" spans="3:9" ht="15" customHeight="1" x14ac:dyDescent="0.3">
      <c r="C3" t="s">
        <v>8</v>
      </c>
      <c r="D3">
        <v>0</v>
      </c>
      <c r="E3">
        <f>IF(SYNTHESE_BU!K7-I3&gt;=0,H2,H2+(SYNTHESE_BU!K7-I3))</f>
        <v>2637.590000000002</v>
      </c>
      <c r="F3">
        <f>IF(SYNTHESE_BU!K7-I3&gt;=0,SYNTHESE_BU!K7-I3,0)</f>
        <v>0</v>
      </c>
      <c r="G3">
        <f>IF(SYNTHESE_BU!K7-I3&lt;0,-(SYNTHESE_BU!K7-I3),0)</f>
        <v>71.029999999995653</v>
      </c>
      <c r="H3">
        <f>H2+(SYNTHESE_BU!K7-I3)</f>
        <v>2637.590000000002</v>
      </c>
      <c r="I3">
        <f>SUMIFS(AGREG_PQ[Budget_YTD],AGREG_PQ[CodeEntite],"BU01",AGREG_PQ[PosteP&amp;L],"Chiffre d'affaires")+SUMIFS(AGREG_PQ[Budget_YTD],AGREG_PQ[CodeEntite],"BU01",AGREG_PQ[PosteP&amp;L],"Coût des matières")+SUMIFS(AGREG_PQ[Budget_YTD],AGREG_PQ[CodeEntite],"BU01",AGREG_PQ[PosteP&amp;L],"Charges de personnel")+SUMIFS(AGREG_PQ[Budget_YTD],AGREG_PQ[CodeEntite],"BU01",AGREG_PQ[PosteP&amp;L],"Charges externes")+SUMIFS(AGREG_PQ[Budget_YTD],AGREG_PQ[CodeEntite],"BU01",AGREG_PQ[PosteP&amp;L],"Transport &amp; logistique")+SUMIFS(AGREG_PQ[Budget_YTD],AGREG_PQ[CodeEntite],"BU01",AGREG_PQ[PosteP&amp;L],"Marketing &amp; publicité")+SUMIFS(AGREG_PQ[Budget_YTD],AGREG_PQ[CodeEntite],"BU01",AGREG_PQ[PosteP&amp;L],"Autres charges")</f>
        <v>2708.6199999999976</v>
      </c>
    </row>
    <row r="4" spans="3:9" ht="15" customHeight="1" x14ac:dyDescent="0.3">
      <c r="C4" t="s">
        <v>10</v>
      </c>
      <c r="D4">
        <v>0</v>
      </c>
      <c r="E4">
        <f>IF(SYNTHESE_BU!K8-I4&gt;=0,H3,H3+(SYNTHESE_BU!K8-I4))</f>
        <v>2637.590000000002</v>
      </c>
      <c r="F4">
        <f>IF(SYNTHESE_BU!K8-I4&gt;=0,SYNTHESE_BU!K8-I4,0)</f>
        <v>0</v>
      </c>
      <c r="G4">
        <f>IF(SYNTHESE_BU!K8-I4&lt;0,-(SYNTHESE_BU!K8-I4),0)</f>
        <v>0</v>
      </c>
      <c r="H4">
        <f>H3+(SYNTHESE_BU!K8-I4)</f>
        <v>2637.590000000002</v>
      </c>
      <c r="I4">
        <f>SUMIFS(AGREG_PQ[Budget_YTD],AGREG_PQ[CodeEntite],"BU02",AGREG_PQ[PosteP&amp;L],"Chiffre d'affaires")+SUMIFS(AGREG_PQ[Budget_YTD],AGREG_PQ[CodeEntite],"BU02",AGREG_PQ[PosteP&amp;L],"Coût des matières")+SUMIFS(AGREG_PQ[Budget_YTD],AGREG_PQ[CodeEntite],"BU02",AGREG_PQ[PosteP&amp;L],"Charges de personnel")+SUMIFS(AGREG_PQ[Budget_YTD],AGREG_PQ[CodeEntite],"BU02",AGREG_PQ[PosteP&amp;L],"Charges externes")+SUMIFS(AGREG_PQ[Budget_YTD],AGREG_PQ[CodeEntite],"BU02",AGREG_PQ[PosteP&amp;L],"Transport &amp; logistique")+SUMIFS(AGREG_PQ[Budget_YTD],AGREG_PQ[CodeEntite],"BU02",AGREG_PQ[PosteP&amp;L],"Marketing &amp; publicité")+SUMIFS(AGREG_PQ[Budget_YTD],AGREG_PQ[CodeEntite],"BU02",AGREG_PQ[PosteP&amp;L],"Autres charges")</f>
        <v>0</v>
      </c>
    </row>
    <row r="5" spans="3:9" ht="15" customHeight="1" x14ac:dyDescent="0.3">
      <c r="C5" t="s">
        <v>12</v>
      </c>
      <c r="D5">
        <v>0</v>
      </c>
      <c r="E5">
        <f>IF(SYNTHESE_BU!K9-I5&gt;=0,H4,H4+(SYNTHESE_BU!K9-I5))</f>
        <v>2637.590000000002</v>
      </c>
      <c r="F5">
        <f>IF(SYNTHESE_BU!K9-I5&gt;=0,SYNTHESE_BU!K9-I5,0)</f>
        <v>0</v>
      </c>
      <c r="G5">
        <f>IF(SYNTHESE_BU!K9-I5&lt;0,-(SYNTHESE_BU!K9-I5),0)</f>
        <v>0</v>
      </c>
      <c r="H5">
        <f>H4+(SYNTHESE_BU!K9-I5)</f>
        <v>2637.590000000002</v>
      </c>
      <c r="I5">
        <f>SUMIFS(AGREG_PQ[Budget_YTD],AGREG_PQ[CodeEntite],"BU03",AGREG_PQ[PosteP&amp;L],"Chiffre d'affaires")+SUMIFS(AGREG_PQ[Budget_YTD],AGREG_PQ[CodeEntite],"BU03",AGREG_PQ[PosteP&amp;L],"Coût des matières")+SUMIFS(AGREG_PQ[Budget_YTD],AGREG_PQ[CodeEntite],"BU03",AGREG_PQ[PosteP&amp;L],"Charges de personnel")+SUMIFS(AGREG_PQ[Budget_YTD],AGREG_PQ[CodeEntite],"BU03",AGREG_PQ[PosteP&amp;L],"Charges externes")+SUMIFS(AGREG_PQ[Budget_YTD],AGREG_PQ[CodeEntite],"BU03",AGREG_PQ[PosteP&amp;L],"Transport &amp; logistique")+SUMIFS(AGREG_PQ[Budget_YTD],AGREG_PQ[CodeEntite],"BU03",AGREG_PQ[PosteP&amp;L],"Marketing &amp; publicité")+SUMIFS(AGREG_PQ[Budget_YTD],AGREG_PQ[CodeEntite],"BU03",AGREG_PQ[PosteP&amp;L],"Autres charges")</f>
        <v>0</v>
      </c>
    </row>
    <row r="6" spans="3:9" ht="15" customHeight="1" x14ac:dyDescent="0.3">
      <c r="C6" t="s">
        <v>14</v>
      </c>
      <c r="D6">
        <v>0</v>
      </c>
      <c r="E6">
        <f>IF(SYNTHESE_BU!K10-I6&gt;=0,H5,H5+(SYNTHESE_BU!K10-I6))</f>
        <v>2637.590000000002</v>
      </c>
      <c r="F6">
        <f>IF(SYNTHESE_BU!K10-I6&gt;=0,SYNTHESE_BU!K10-I6,0)</f>
        <v>0</v>
      </c>
      <c r="G6">
        <f>IF(SYNTHESE_BU!K10-I6&lt;0,-(SYNTHESE_BU!K10-I6),0)</f>
        <v>0</v>
      </c>
      <c r="H6">
        <f>H5+(SYNTHESE_BU!K10-I6)</f>
        <v>2637.590000000002</v>
      </c>
      <c r="I6">
        <f>SUMIFS(AGREG_PQ[Budget_YTD],AGREG_PQ[CodeEntite],"BU04",AGREG_PQ[PosteP&amp;L],"Chiffre d'affaires")+SUMIFS(AGREG_PQ[Budget_YTD],AGREG_PQ[CodeEntite],"BU04",AGREG_PQ[PosteP&amp;L],"Coût des matières")+SUMIFS(AGREG_PQ[Budget_YTD],AGREG_PQ[CodeEntite],"BU04",AGREG_PQ[PosteP&amp;L],"Charges de personnel")+SUMIFS(AGREG_PQ[Budget_YTD],AGREG_PQ[CodeEntite],"BU04",AGREG_PQ[PosteP&amp;L],"Charges externes")+SUMIFS(AGREG_PQ[Budget_YTD],AGREG_PQ[CodeEntite],"BU04",AGREG_PQ[PosteP&amp;L],"Transport &amp; logistique")+SUMIFS(AGREG_PQ[Budget_YTD],AGREG_PQ[CodeEntite],"BU04",AGREG_PQ[PosteP&amp;L],"Marketing &amp; publicité")+SUMIFS(AGREG_PQ[Budget_YTD],AGREG_PQ[CodeEntite],"BU04",AGREG_PQ[PosteP&amp;L],"Autres charges")</f>
        <v>0</v>
      </c>
    </row>
    <row r="7" spans="3:9" ht="15" customHeight="1" x14ac:dyDescent="0.3">
      <c r="C7" t="s">
        <v>16</v>
      </c>
      <c r="D7">
        <v>0</v>
      </c>
      <c r="E7">
        <f>IF(SYNTHESE_BU!K11-I7&gt;=0,H6,H6+(SYNTHESE_BU!K11-I7))</f>
        <v>2637.590000000002</v>
      </c>
      <c r="F7">
        <f>IF(SYNTHESE_BU!K11-I7&gt;=0,SYNTHESE_BU!K11-I7,0)</f>
        <v>0</v>
      </c>
      <c r="G7">
        <f>IF(SYNTHESE_BU!K11-I7&lt;0,-(SYNTHESE_BU!K11-I7),0)</f>
        <v>0</v>
      </c>
      <c r="H7">
        <f>H6+(SYNTHESE_BU!K11-I7)</f>
        <v>2637.590000000002</v>
      </c>
      <c r="I7">
        <f>SUMIFS(AGREG_PQ[Budget_YTD],AGREG_PQ[CodeEntite],"BU05",AGREG_PQ[PosteP&amp;L],"Chiffre d'affaires")+SUMIFS(AGREG_PQ[Budget_YTD],AGREG_PQ[CodeEntite],"BU05",AGREG_PQ[PosteP&amp;L],"Coût des matières")+SUMIFS(AGREG_PQ[Budget_YTD],AGREG_PQ[CodeEntite],"BU05",AGREG_PQ[PosteP&amp;L],"Charges de personnel")+SUMIFS(AGREG_PQ[Budget_YTD],AGREG_PQ[CodeEntite],"BU05",AGREG_PQ[PosteP&amp;L],"Charges externes")+SUMIFS(AGREG_PQ[Budget_YTD],AGREG_PQ[CodeEntite],"BU05",AGREG_PQ[PosteP&amp;L],"Transport &amp; logistique")+SUMIFS(AGREG_PQ[Budget_YTD],AGREG_PQ[CodeEntite],"BU05",AGREG_PQ[PosteP&amp;L],"Marketing &amp; publicité")+SUMIFS(AGREG_PQ[Budget_YTD],AGREG_PQ[CodeEntite],"BU05",AGREG_PQ[PosteP&amp;L],"Autres charges")</f>
        <v>0</v>
      </c>
    </row>
    <row r="8" spans="3:9" ht="15" customHeight="1" x14ac:dyDescent="0.3">
      <c r="C8" t="s">
        <v>190</v>
      </c>
      <c r="D8" s="11">
        <f>SYNTHESE_BU!K12</f>
        <v>2637.590000000002</v>
      </c>
      <c r="E8">
        <v>0</v>
      </c>
      <c r="F8">
        <v>0</v>
      </c>
      <c r="G8">
        <v>0</v>
      </c>
      <c r="H8" s="11">
        <f>D8</f>
        <v>2637.590000000002</v>
      </c>
    </row>
    <row r="11" spans="3:9" ht="15" customHeight="1" x14ac:dyDescent="0.3">
      <c r="C11" t="s">
        <v>179</v>
      </c>
      <c r="D11" t="s">
        <v>189</v>
      </c>
      <c r="E11" t="s">
        <v>188</v>
      </c>
      <c r="F11" t="s">
        <v>107</v>
      </c>
    </row>
    <row r="12" spans="3:9" ht="15" customHeight="1" x14ac:dyDescent="0.3">
      <c r="C12" t="s">
        <v>8</v>
      </c>
      <c r="D12" s="12">
        <f>SYNTHESE_BU!H7</f>
        <v>0.11415295583669847</v>
      </c>
      <c r="E12" s="12">
        <f>SYNTHESE_BU!L7</f>
        <v>1</v>
      </c>
      <c r="F12" s="11">
        <f>SYNTHESE_BU!C7</f>
        <v>2637.590000000002</v>
      </c>
    </row>
    <row r="13" spans="3:9" ht="15" customHeight="1" x14ac:dyDescent="0.3">
      <c r="C13" t="s">
        <v>10</v>
      </c>
      <c r="D13" s="12" t="str">
        <f>SYNTHESE_BU!H8</f>
        <v>-</v>
      </c>
      <c r="E13" s="12" t="str">
        <f>SYNTHESE_BU!L8</f>
        <v>-</v>
      </c>
      <c r="F13" s="11">
        <f>SYNTHESE_BU!C8</f>
        <v>0</v>
      </c>
    </row>
    <row r="14" spans="3:9" ht="15" customHeight="1" x14ac:dyDescent="0.3">
      <c r="C14" t="s">
        <v>12</v>
      </c>
      <c r="D14" s="12" t="str">
        <f>SYNTHESE_BU!H9</f>
        <v>-</v>
      </c>
      <c r="E14" s="12" t="str">
        <f>SYNTHESE_BU!L9</f>
        <v>-</v>
      </c>
      <c r="F14" s="11">
        <f>SYNTHESE_BU!C9</f>
        <v>0</v>
      </c>
    </row>
    <row r="15" spans="3:9" ht="15" customHeight="1" x14ac:dyDescent="0.3">
      <c r="C15" t="s">
        <v>14</v>
      </c>
      <c r="D15" s="12" t="str">
        <f>SYNTHESE_BU!H10</f>
        <v>-</v>
      </c>
      <c r="E15" s="12" t="str">
        <f>SYNTHESE_BU!L10</f>
        <v>-</v>
      </c>
      <c r="F15" s="11">
        <f>SYNTHESE_BU!C10</f>
        <v>0</v>
      </c>
    </row>
    <row r="16" spans="3:9" ht="15" customHeight="1" x14ac:dyDescent="0.3">
      <c r="C16" t="s">
        <v>16</v>
      </c>
      <c r="D16" s="12" t="str">
        <f>SYNTHESE_BU!H11</f>
        <v>-</v>
      </c>
      <c r="E16" s="12" t="str">
        <f>SYNTHESE_BU!L11</f>
        <v>-</v>
      </c>
      <c r="F16" s="11">
        <f>SYNTHESE_BU!C11</f>
        <v>0</v>
      </c>
    </row>
    <row r="20" spans="3:8" ht="15" customHeight="1" x14ac:dyDescent="0.3">
      <c r="C20" t="s">
        <v>187</v>
      </c>
      <c r="D20" t="s">
        <v>186</v>
      </c>
      <c r="E20" t="s">
        <v>185</v>
      </c>
      <c r="F20" t="s">
        <v>184</v>
      </c>
      <c r="G20" t="s">
        <v>183</v>
      </c>
      <c r="H20" t="s">
        <v>182</v>
      </c>
    </row>
    <row r="21" spans="3:8" ht="15" customHeight="1" x14ac:dyDescent="0.3">
      <c r="C21" t="s">
        <v>181</v>
      </c>
      <c r="D21" s="11">
        <f>PACKAGE_PnL!H21</f>
        <v>2708.6199999999976</v>
      </c>
      <c r="E21" s="11">
        <v>0</v>
      </c>
      <c r="F21" s="11">
        <v>0</v>
      </c>
      <c r="G21" s="11">
        <v>0</v>
      </c>
      <c r="H21" s="11">
        <f>D21</f>
        <v>2708.6199999999976</v>
      </c>
    </row>
    <row r="22" spans="3:8" ht="15" customHeight="1" x14ac:dyDescent="0.3">
      <c r="C22" t="s">
        <v>107</v>
      </c>
      <c r="D22" s="11">
        <v>0</v>
      </c>
      <c r="E22" s="11">
        <f>IF(PACKAGE_PnL!I7&gt;=0,H21,H21+(PACKAGE_PnL!I7))</f>
        <v>2637.590000000002</v>
      </c>
      <c r="F22" s="11">
        <f>IF(PACKAGE_PnL!I7&gt;=0,PACKAGE_PnL!I7,0)</f>
        <v>0</v>
      </c>
      <c r="G22" s="11">
        <f>IF(PACKAGE_PnL!I7&lt;0,-(PACKAGE_PnL!I7),0)</f>
        <v>71.029999999995653</v>
      </c>
      <c r="H22" s="11">
        <f>H21+(PACKAGE_PnL!I7)</f>
        <v>2637.590000000002</v>
      </c>
    </row>
    <row r="23" spans="3:8" ht="15" customHeight="1" x14ac:dyDescent="0.3">
      <c r="C23" t="s">
        <v>106</v>
      </c>
      <c r="D23" s="11">
        <v>0</v>
      </c>
      <c r="E23" s="11">
        <f>IF(PACKAGE_PnL!I8&gt;=0,H22,H22+(PACKAGE_PnL!I8))</f>
        <v>2637.590000000002</v>
      </c>
      <c r="F23" s="11">
        <f>IF(PACKAGE_PnL!I8&gt;=0,PACKAGE_PnL!I8,0)</f>
        <v>0</v>
      </c>
      <c r="G23" s="11">
        <f>IF(PACKAGE_PnL!I8&lt;0,-(PACKAGE_PnL!I8),0)</f>
        <v>0</v>
      </c>
      <c r="H23" s="11">
        <f>H22+(PACKAGE_PnL!I8)</f>
        <v>2637.590000000002</v>
      </c>
    </row>
    <row r="24" spans="3:8" ht="15" customHeight="1" x14ac:dyDescent="0.3">
      <c r="C24" t="s">
        <v>105</v>
      </c>
      <c r="D24" s="11">
        <v>0</v>
      </c>
      <c r="E24" s="11">
        <f>IF(PACKAGE_PnL!I10&gt;=0,H23,H23+(PACKAGE_PnL!I10))</f>
        <v>2637.590000000002</v>
      </c>
      <c r="F24" s="11">
        <f>IF(PACKAGE_PnL!I10&gt;=0,PACKAGE_PnL!I10,0)</f>
        <v>0</v>
      </c>
      <c r="G24" s="11">
        <f>IF(PACKAGE_PnL!I10&lt;0,-(PACKAGE_PnL!I10),0)</f>
        <v>0</v>
      </c>
      <c r="H24" s="11">
        <f>H23+(PACKAGE_PnL!I10)</f>
        <v>2637.590000000002</v>
      </c>
    </row>
    <row r="25" spans="3:8" ht="15" customHeight="1" x14ac:dyDescent="0.3">
      <c r="C25" t="s">
        <v>104</v>
      </c>
      <c r="D25" s="11">
        <v>0</v>
      </c>
      <c r="E25" s="11">
        <f>IF(PACKAGE_PnL!I11&gt;=0,H24,H24+(PACKAGE_PnL!I11))</f>
        <v>2637.590000000002</v>
      </c>
      <c r="F25" s="11">
        <f>IF(PACKAGE_PnL!I11&gt;=0,PACKAGE_PnL!I11,0)</f>
        <v>0</v>
      </c>
      <c r="G25" s="11">
        <f>IF(PACKAGE_PnL!I11&lt;0,-(PACKAGE_PnL!I11),0)</f>
        <v>0</v>
      </c>
      <c r="H25" s="11">
        <f>H24+(PACKAGE_PnL!I11)</f>
        <v>2637.590000000002</v>
      </c>
    </row>
    <row r="26" spans="3:8" ht="15" customHeight="1" x14ac:dyDescent="0.3">
      <c r="C26" t="s">
        <v>103</v>
      </c>
      <c r="D26" s="11">
        <v>0</v>
      </c>
      <c r="E26" s="11">
        <f>IF(PACKAGE_PnL!I12&gt;=0,H25,H25+(PACKAGE_PnL!I12))</f>
        <v>2637.590000000002</v>
      </c>
      <c r="F26" s="11">
        <f>IF(PACKAGE_PnL!I12&gt;=0,PACKAGE_PnL!I12,0)</f>
        <v>0</v>
      </c>
      <c r="G26" s="11">
        <f>IF(PACKAGE_PnL!I12&lt;0,-(PACKAGE_PnL!I12),0)</f>
        <v>0</v>
      </c>
      <c r="H26" s="11">
        <f>H25+(PACKAGE_PnL!I12)</f>
        <v>2637.590000000002</v>
      </c>
    </row>
    <row r="27" spans="3:8" ht="15" customHeight="1" x14ac:dyDescent="0.3">
      <c r="C27" t="s">
        <v>102</v>
      </c>
      <c r="D27" s="11">
        <v>0</v>
      </c>
      <c r="E27" s="11">
        <f>IF(PACKAGE_PnL!I13&gt;=0,H26,H26+(PACKAGE_PnL!I13))</f>
        <v>2637.590000000002</v>
      </c>
      <c r="F27" s="11">
        <f>IF(PACKAGE_PnL!I13&gt;=0,PACKAGE_PnL!I13,0)</f>
        <v>0</v>
      </c>
      <c r="G27" s="11">
        <f>IF(PACKAGE_PnL!I13&lt;0,-(PACKAGE_PnL!I13),0)</f>
        <v>0</v>
      </c>
      <c r="H27" s="11">
        <f>H26+(PACKAGE_PnL!I13)</f>
        <v>2637.590000000002</v>
      </c>
    </row>
    <row r="28" spans="3:8" ht="15" customHeight="1" x14ac:dyDescent="0.3">
      <c r="C28" t="s">
        <v>101</v>
      </c>
      <c r="D28" s="11">
        <v>0</v>
      </c>
      <c r="E28" s="11">
        <f>IF(PACKAGE_PnL!I14&gt;=0,H27,H27+(PACKAGE_PnL!I14))</f>
        <v>2637.590000000002</v>
      </c>
      <c r="F28" s="11">
        <f>IF(PACKAGE_PnL!I14&gt;=0,PACKAGE_PnL!I14,0)</f>
        <v>0</v>
      </c>
      <c r="G28" s="11">
        <f>IF(PACKAGE_PnL!I14&lt;0,-(PACKAGE_PnL!I14),0)</f>
        <v>0</v>
      </c>
      <c r="H28" s="11">
        <f>H27+(PACKAGE_PnL!I14)</f>
        <v>2637.590000000002</v>
      </c>
    </row>
    <row r="29" spans="3:8" ht="15" customHeight="1" x14ac:dyDescent="0.3">
      <c r="C29" t="s">
        <v>100</v>
      </c>
      <c r="D29" s="11">
        <v>0</v>
      </c>
      <c r="E29" s="11">
        <f>IF(PACKAGE_PnL!I16&gt;=0,H28,H28+(PACKAGE_PnL!I16))</f>
        <v>2637.590000000002</v>
      </c>
      <c r="F29" s="11">
        <f>IF(PACKAGE_PnL!I16&gt;=0,PACKAGE_PnL!I16,0)</f>
        <v>0</v>
      </c>
      <c r="G29" s="11">
        <f>IF(PACKAGE_PnL!I16&lt;0,-(PACKAGE_PnL!I16),0)</f>
        <v>0</v>
      </c>
      <c r="H29" s="11">
        <f>H28+(PACKAGE_PnL!I16)</f>
        <v>2637.590000000002</v>
      </c>
    </row>
    <row r="30" spans="3:8" ht="15" customHeight="1" x14ac:dyDescent="0.3">
      <c r="C30" t="s">
        <v>99</v>
      </c>
      <c r="D30" s="11">
        <v>0</v>
      </c>
      <c r="E30" s="11">
        <f>IF(PACKAGE_PnL!I18&gt;=0,H29,H29+(PACKAGE_PnL!I18))</f>
        <v>2637.590000000002</v>
      </c>
      <c r="F30" s="11">
        <f>IF(PACKAGE_PnL!I18&gt;=0,PACKAGE_PnL!I18,0)</f>
        <v>0</v>
      </c>
      <c r="G30" s="11">
        <f>IF(PACKAGE_PnL!I18&lt;0,-(PACKAGE_PnL!I18),0)</f>
        <v>0</v>
      </c>
      <c r="H30" s="11">
        <f>H29+(PACKAGE_PnL!I18)</f>
        <v>2637.590000000002</v>
      </c>
    </row>
    <row r="31" spans="3:8" ht="15" customHeight="1" x14ac:dyDescent="0.3">
      <c r="C31" t="s">
        <v>45</v>
      </c>
      <c r="D31" s="11">
        <v>0</v>
      </c>
      <c r="E31" s="11">
        <f>IF(PACKAGE_PnL!I20&gt;=0,H30,H30+(PACKAGE_PnL!I20))</f>
        <v>2637.590000000002</v>
      </c>
      <c r="F31" s="11">
        <f>IF(PACKAGE_PnL!I20&gt;=0,PACKAGE_PnL!I20,0)</f>
        <v>0</v>
      </c>
      <c r="G31" s="11">
        <f>IF(PACKAGE_PnL!I20&lt;0,-(PACKAGE_PnL!I20),0)</f>
        <v>0</v>
      </c>
      <c r="H31" s="11">
        <f>H30+(PACKAGE_PnL!I20)</f>
        <v>2637.590000000002</v>
      </c>
    </row>
    <row r="32" spans="3:8" ht="15" customHeight="1" x14ac:dyDescent="0.3">
      <c r="C32" t="s">
        <v>180</v>
      </c>
      <c r="D32" s="11">
        <f>PACKAGE_PnL!G21</f>
        <v>2637.590000000002</v>
      </c>
      <c r="E32" s="11">
        <v>0</v>
      </c>
      <c r="F32" s="11">
        <v>0</v>
      </c>
      <c r="G32" s="11">
        <v>0</v>
      </c>
      <c r="H32" s="11">
        <f>D32</f>
        <v>2637.590000000002</v>
      </c>
    </row>
    <row r="40" spans="3:5" ht="15" customHeight="1" x14ac:dyDescent="0.3">
      <c r="C40" t="s">
        <v>179</v>
      </c>
      <c r="D40" t="s">
        <v>107</v>
      </c>
      <c r="E40" t="s">
        <v>24</v>
      </c>
    </row>
    <row r="41" spans="3:5" ht="15" customHeight="1" x14ac:dyDescent="0.3">
      <c r="C41" t="s">
        <v>8</v>
      </c>
      <c r="D41" s="11">
        <f>SYNTHESE_BU!C7</f>
        <v>2637.590000000002</v>
      </c>
      <c r="E41" s="11">
        <f>SYNTHESE_BU!K7</f>
        <v>2637.590000000002</v>
      </c>
    </row>
    <row r="42" spans="3:5" ht="15" customHeight="1" x14ac:dyDescent="0.3">
      <c r="C42" t="s">
        <v>10</v>
      </c>
      <c r="D42" s="11">
        <f>SYNTHESE_BU!C8</f>
        <v>0</v>
      </c>
      <c r="E42" s="11">
        <f>SYNTHESE_BU!K8</f>
        <v>0</v>
      </c>
    </row>
    <row r="43" spans="3:5" ht="15" customHeight="1" x14ac:dyDescent="0.3">
      <c r="C43" t="s">
        <v>12</v>
      </c>
      <c r="D43" s="11">
        <f>SYNTHESE_BU!C9</f>
        <v>0</v>
      </c>
      <c r="E43" s="11">
        <f>SYNTHESE_BU!K9</f>
        <v>0</v>
      </c>
    </row>
    <row r="44" spans="3:5" ht="15" customHeight="1" x14ac:dyDescent="0.3">
      <c r="C44" t="s">
        <v>14</v>
      </c>
      <c r="D44" s="11">
        <f>SYNTHESE_BU!C10</f>
        <v>0</v>
      </c>
      <c r="E44" s="11">
        <f>SYNTHESE_BU!K10</f>
        <v>0</v>
      </c>
    </row>
    <row r="45" spans="3:5" ht="15" customHeight="1" x14ac:dyDescent="0.3">
      <c r="C45" t="s">
        <v>16</v>
      </c>
      <c r="D45" s="11">
        <f>SYNTHESE_BU!C11</f>
        <v>0</v>
      </c>
      <c r="E45" s="11">
        <f>SYNTHESE_BU!K11</f>
        <v>0</v>
      </c>
    </row>
    <row r="50" spans="1:7" ht="15" customHeight="1" x14ac:dyDescent="0.3">
      <c r="F50" t="s">
        <v>1206</v>
      </c>
      <c r="G50" s="11">
        <f>PACKAGE_PnL!G7</f>
        <v>2637.590000000002</v>
      </c>
    </row>
    <row r="51" spans="1:7" ht="15" customHeight="1" x14ac:dyDescent="0.3">
      <c r="F51" t="s">
        <v>1207</v>
      </c>
      <c r="G51" t="e">
        <f>MAX(0,SUM(#REF!)-PACKAGE_PnL!G7)</f>
        <v>#REF!</v>
      </c>
    </row>
    <row r="55" spans="1:7" x14ac:dyDescent="0.3">
      <c r="A55" t="s">
        <v>1195</v>
      </c>
      <c r="B55" t="s">
        <v>1208</v>
      </c>
    </row>
    <row r="56" spans="1:7" x14ac:dyDescent="0.3">
      <c r="A56" s="97" t="s">
        <v>1200</v>
      </c>
      <c r="B56">
        <v>312.85999999999996</v>
      </c>
      <c r="D56" s="13"/>
    </row>
    <row r="57" spans="1:7" x14ac:dyDescent="0.3">
      <c r="A57" s="97" t="s">
        <v>1198</v>
      </c>
      <c r="B57">
        <v>309.33</v>
      </c>
      <c r="D57" s="13"/>
    </row>
    <row r="58" spans="1:7" x14ac:dyDescent="0.3">
      <c r="A58" s="97" t="s">
        <v>1197</v>
      </c>
      <c r="B58">
        <v>309.05000000000007</v>
      </c>
      <c r="D58" s="13"/>
    </row>
    <row r="59" spans="1:7" x14ac:dyDescent="0.3">
      <c r="A59" s="97" t="s">
        <v>1202</v>
      </c>
      <c r="B59">
        <v>308</v>
      </c>
      <c r="D59" s="13"/>
    </row>
    <row r="60" spans="1:7" x14ac:dyDescent="0.3">
      <c r="A60" s="97" t="s">
        <v>1204</v>
      </c>
      <c r="B60">
        <v>296.0900000000002</v>
      </c>
      <c r="D60" s="13"/>
    </row>
    <row r="61" spans="1:7" x14ac:dyDescent="0.3">
      <c r="A61" s="97" t="s">
        <v>1199</v>
      </c>
      <c r="B61">
        <v>292.68000000000006</v>
      </c>
      <c r="D61" s="13"/>
    </row>
    <row r="62" spans="1:7" x14ac:dyDescent="0.3">
      <c r="A62" s="97" t="s">
        <v>1205</v>
      </c>
      <c r="B62">
        <v>273.95999999999992</v>
      </c>
      <c r="D62" s="13"/>
    </row>
    <row r="63" spans="1:7" x14ac:dyDescent="0.3">
      <c r="A63" s="97" t="s">
        <v>1203</v>
      </c>
      <c r="B63">
        <v>273.85999999999996</v>
      </c>
      <c r="D63" s="13"/>
    </row>
    <row r="64" spans="1:7" x14ac:dyDescent="0.3">
      <c r="A64" s="97" t="s">
        <v>1201</v>
      </c>
      <c r="B64">
        <v>261.75999999999988</v>
      </c>
      <c r="D64" s="13"/>
    </row>
    <row r="65" spans="1:4" x14ac:dyDescent="0.3">
      <c r="D65" s="13"/>
    </row>
    <row r="69" spans="1:4" x14ac:dyDescent="0.3">
      <c r="A69" t="s">
        <v>1196</v>
      </c>
      <c r="B69" t="s">
        <v>1209</v>
      </c>
    </row>
    <row r="71" spans="1:4" x14ac:dyDescent="0.3">
      <c r="D71" s="13"/>
    </row>
    <row r="72" spans="1:4" x14ac:dyDescent="0.3">
      <c r="D72" s="13"/>
    </row>
    <row r="73" spans="1:4" x14ac:dyDescent="0.3">
      <c r="D73" s="13"/>
    </row>
    <row r="74" spans="1:4" x14ac:dyDescent="0.3">
      <c r="D74" s="13"/>
    </row>
    <row r="75" spans="1:4" x14ac:dyDescent="0.3">
      <c r="D75" s="13"/>
    </row>
    <row r="76" spans="1:4" x14ac:dyDescent="0.3">
      <c r="D76" s="13"/>
    </row>
    <row r="77" spans="1:4" x14ac:dyDescent="0.3">
      <c r="D77" s="13"/>
    </row>
    <row r="78" spans="1:4" x14ac:dyDescent="0.3">
      <c r="D78" s="13"/>
    </row>
    <row r="85" spans="4:18" x14ac:dyDescent="0.3">
      <c r="I85" t="s">
        <v>56</v>
      </c>
      <c r="J85" t="s">
        <v>57</v>
      </c>
      <c r="K85" t="s">
        <v>1210</v>
      </c>
      <c r="L85" t="s">
        <v>1211</v>
      </c>
      <c r="M85" t="s">
        <v>1212</v>
      </c>
      <c r="N85" t="s">
        <v>1213</v>
      </c>
    </row>
    <row r="86" spans="4:18" x14ac:dyDescent="0.3">
      <c r="D86" s="13"/>
      <c r="E86" s="13"/>
      <c r="F86" s="13"/>
      <c r="G86" s="13"/>
      <c r="I86" s="97" t="s">
        <v>7</v>
      </c>
      <c r="J86" s="97" t="s">
        <v>8</v>
      </c>
      <c r="K86">
        <v>-71.029999999995823</v>
      </c>
      <c r="L86">
        <v>-40.742758745402497</v>
      </c>
      <c r="M86">
        <v>-30.74977594112913</v>
      </c>
      <c r="N86">
        <v>0.46253468653580321</v>
      </c>
    </row>
    <row r="87" spans="4:18" x14ac:dyDescent="0.3">
      <c r="D87" s="13"/>
      <c r="E87" s="13"/>
      <c r="F87" s="13"/>
      <c r="G87" s="13"/>
    </row>
    <row r="88" spans="4:18" x14ac:dyDescent="0.3">
      <c r="D88" s="13"/>
      <c r="E88" s="13"/>
      <c r="F88" s="13"/>
      <c r="G88" s="13"/>
    </row>
    <row r="89" spans="4:18" x14ac:dyDescent="0.3">
      <c r="D89" s="13"/>
      <c r="E89" s="13"/>
      <c r="F89" s="13"/>
      <c r="G89" s="13"/>
    </row>
    <row r="90" spans="4:18" x14ac:dyDescent="0.3">
      <c r="D90" s="13"/>
      <c r="E90" s="13"/>
      <c r="F90" s="13"/>
      <c r="G90" s="13"/>
    </row>
    <row r="92" spans="4:18" x14ac:dyDescent="0.3">
      <c r="R92" t="s">
        <v>1226</v>
      </c>
    </row>
  </sheetData>
  <pageMargins left="0.75" right="0.75" top="1" bottom="1" header="0.511811023622047" footer="0.511811023622047"/>
  <pageSetup paperSize="9" orientation="portrait" horizontalDpi="300" verticalDpi="30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2E98-783C-4390-8102-DE0B505F7D34}">
  <sheetPr codeName="Feuil6"/>
  <dimension ref="A1:L13"/>
  <sheetViews>
    <sheetView showGridLines="0" zoomScaleNormal="100" workbookViewId="0">
      <selection activeCell="J44" sqref="J44"/>
    </sheetView>
  </sheetViews>
  <sheetFormatPr baseColWidth="10" defaultColWidth="8.6640625" defaultRowHeight="14.4" x14ac:dyDescent="0.3"/>
  <cols>
    <col min="1" max="1" width="7.44140625" bestFit="1" customWidth="1"/>
    <col min="2" max="2" width="12.109375" bestFit="1" customWidth="1"/>
    <col min="3" max="5" width="9.6640625" bestFit="1" customWidth="1"/>
    <col min="6" max="8" width="13.44140625" bestFit="1" customWidth="1"/>
    <col min="9" max="11" width="9.77734375" bestFit="1" customWidth="1"/>
    <col min="12" max="12" width="16.21875" bestFit="1" customWidth="1"/>
  </cols>
  <sheetData>
    <row r="1" spans="1:12" x14ac:dyDescent="0.3">
      <c r="A1" t="s">
        <v>54</v>
      </c>
      <c r="B1" t="s">
        <v>178</v>
      </c>
      <c r="C1" t="s">
        <v>177</v>
      </c>
      <c r="D1" t="s">
        <v>176</v>
      </c>
      <c r="E1" t="s">
        <v>175</v>
      </c>
      <c r="F1" t="s">
        <v>174</v>
      </c>
      <c r="G1" t="s">
        <v>173</v>
      </c>
      <c r="H1" t="s">
        <v>172</v>
      </c>
      <c r="I1" t="s">
        <v>171</v>
      </c>
      <c r="J1" t="s">
        <v>170</v>
      </c>
      <c r="K1" t="s">
        <v>169</v>
      </c>
      <c r="L1" t="s">
        <v>168</v>
      </c>
    </row>
    <row r="2" spans="1:12" x14ac:dyDescent="0.3">
      <c r="A2">
        <v>1</v>
      </c>
      <c r="B2" t="s">
        <v>167</v>
      </c>
      <c r="C2">
        <v>1772.7099999999978</v>
      </c>
      <c r="D2">
        <v>2033.3299999999965</v>
      </c>
      <c r="E2">
        <v>1874.2900000000009</v>
      </c>
      <c r="F2">
        <v>1772.7099999999978</v>
      </c>
      <c r="G2">
        <v>2033.3299999999965</v>
      </c>
      <c r="H2">
        <v>1874.2900000000009</v>
      </c>
      <c r="I2">
        <v>1772.7099999999978</v>
      </c>
      <c r="J2">
        <v>2033.3299999999965</v>
      </c>
      <c r="K2">
        <v>1874.2900000000009</v>
      </c>
      <c r="L2">
        <v>1</v>
      </c>
    </row>
    <row r="3" spans="1:12" x14ac:dyDescent="0.3">
      <c r="A3">
        <v>2</v>
      </c>
      <c r="B3" t="s">
        <v>166</v>
      </c>
      <c r="C3">
        <v>594.63999999999965</v>
      </c>
      <c r="D3">
        <v>675.28999999999985</v>
      </c>
      <c r="E3">
        <v>763.30000000000018</v>
      </c>
      <c r="F3">
        <v>594.63999999999965</v>
      </c>
      <c r="G3">
        <v>675.28999999999985</v>
      </c>
      <c r="H3">
        <v>763.30000000000018</v>
      </c>
      <c r="I3">
        <v>594.63999999999965</v>
      </c>
      <c r="J3">
        <v>675.28999999999985</v>
      </c>
      <c r="K3">
        <v>763.30000000000018</v>
      </c>
      <c r="L3">
        <v>1</v>
      </c>
    </row>
    <row r="4" spans="1:12" x14ac:dyDescent="0.3">
      <c r="A4">
        <v>3</v>
      </c>
      <c r="B4" t="s">
        <v>165</v>
      </c>
    </row>
    <row r="5" spans="1:12" x14ac:dyDescent="0.3">
      <c r="A5">
        <v>4</v>
      </c>
      <c r="B5" t="s">
        <v>164</v>
      </c>
    </row>
    <row r="6" spans="1:12" x14ac:dyDescent="0.3">
      <c r="A6">
        <v>5</v>
      </c>
      <c r="B6" t="s">
        <v>163</v>
      </c>
    </row>
    <row r="7" spans="1:12" x14ac:dyDescent="0.3">
      <c r="A7">
        <v>6</v>
      </c>
      <c r="B7" t="s">
        <v>162</v>
      </c>
    </row>
    <row r="8" spans="1:12" x14ac:dyDescent="0.3">
      <c r="A8">
        <v>7</v>
      </c>
      <c r="B8" t="s">
        <v>161</v>
      </c>
    </row>
    <row r="9" spans="1:12" x14ac:dyDescent="0.3">
      <c r="A9">
        <v>8</v>
      </c>
      <c r="B9" t="s">
        <v>160</v>
      </c>
    </row>
    <row r="10" spans="1:12" x14ac:dyDescent="0.3">
      <c r="A10">
        <v>9</v>
      </c>
      <c r="B10" t="s">
        <v>159</v>
      </c>
    </row>
    <row r="11" spans="1:12" x14ac:dyDescent="0.3">
      <c r="A11">
        <v>10</v>
      </c>
      <c r="B11" t="s">
        <v>158</v>
      </c>
    </row>
    <row r="12" spans="1:12" x14ac:dyDescent="0.3">
      <c r="A12">
        <v>11</v>
      </c>
      <c r="B12" t="s">
        <v>157</v>
      </c>
    </row>
    <row r="13" spans="1:12" x14ac:dyDescent="0.3">
      <c r="A13">
        <v>12</v>
      </c>
      <c r="B13" t="s">
        <v>156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7B3CE-DEA0-4986-8A05-CBFE7524C0BC}">
  <sheetPr codeName="Feuil7"/>
  <dimension ref="A1:J2"/>
  <sheetViews>
    <sheetView workbookViewId="0">
      <selection sqref="A1:J51"/>
    </sheetView>
  </sheetViews>
  <sheetFormatPr baseColWidth="10" defaultRowHeight="14.4" x14ac:dyDescent="0.3"/>
  <cols>
    <col min="1" max="1" width="12.77734375" bestFit="1" customWidth="1"/>
    <col min="2" max="2" width="19.33203125" bestFit="1" customWidth="1"/>
    <col min="3" max="3" width="15.44140625" bestFit="1" customWidth="1"/>
    <col min="4" max="4" width="9.88671875" bestFit="1" customWidth="1"/>
    <col min="5" max="5" width="12.109375" bestFit="1" customWidth="1"/>
    <col min="6" max="6" width="11.33203125" bestFit="1" customWidth="1"/>
    <col min="7" max="7" width="13.5546875" bestFit="1" customWidth="1"/>
    <col min="8" max="8" width="14.6640625" bestFit="1" customWidth="1"/>
    <col min="9" max="9" width="10.21875" bestFit="1" customWidth="1"/>
    <col min="10" max="10" width="11.6640625" bestFit="1" customWidth="1"/>
  </cols>
  <sheetData>
    <row r="1" spans="1:10" x14ac:dyDescent="0.3">
      <c r="A1" t="s">
        <v>56</v>
      </c>
      <c r="B1" t="s">
        <v>57</v>
      </c>
      <c r="C1" t="s">
        <v>60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</row>
    <row r="2" spans="1:10" x14ac:dyDescent="0.3">
      <c r="A2" s="97" t="s">
        <v>7</v>
      </c>
      <c r="B2" s="97" t="s">
        <v>8</v>
      </c>
      <c r="C2" s="97" t="s">
        <v>33</v>
      </c>
      <c r="D2">
        <v>763.30000000000018</v>
      </c>
      <c r="E2">
        <v>675.28999999999985</v>
      </c>
      <c r="F2">
        <v>2637.590000000002</v>
      </c>
      <c r="G2">
        <v>2708.6199999999976</v>
      </c>
      <c r="H2">
        <v>2367.3499999999945</v>
      </c>
      <c r="I2">
        <v>88.010000000000332</v>
      </c>
      <c r="J2">
        <v>-71.029999999995653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F3315-4992-4678-BF5B-3BB5ED131FD1}">
  <sheetPr codeName="Feuil8"/>
  <dimension ref="A1:S1001"/>
  <sheetViews>
    <sheetView tabSelected="1" topLeftCell="C63234" workbookViewId="0">
      <selection activeCell="T63381" sqref="T63381"/>
    </sheetView>
  </sheetViews>
  <sheetFormatPr baseColWidth="10" defaultRowHeight="14.4" x14ac:dyDescent="0.3"/>
  <cols>
    <col min="1" max="1" width="11.6640625" bestFit="1" customWidth="1"/>
    <col min="2" max="2" width="10.5546875" bestFit="1" customWidth="1"/>
    <col min="3" max="3" width="8.88671875" bestFit="1" customWidth="1"/>
    <col min="4" max="4" width="7.44140625" bestFit="1" customWidth="1"/>
    <col min="5" max="5" width="10.5546875" bestFit="1" customWidth="1"/>
    <col min="6" max="6" width="12.77734375" bestFit="1" customWidth="1"/>
    <col min="7" max="7" width="19.33203125" bestFit="1" customWidth="1"/>
    <col min="8" max="8" width="7.88671875" bestFit="1" customWidth="1"/>
    <col min="9" max="9" width="14" bestFit="1" customWidth="1"/>
    <col min="10" max="10" width="21.109375" bestFit="1" customWidth="1"/>
    <col min="11" max="11" width="7.88671875" bestFit="1" customWidth="1"/>
    <col min="12" max="12" width="10" bestFit="1" customWidth="1"/>
    <col min="13" max="13" width="22.21875" bestFit="1" customWidth="1"/>
    <col min="14" max="14" width="15.44140625" bestFit="1" customWidth="1"/>
    <col min="15" max="15" width="10.77734375" bestFit="1" customWidth="1"/>
    <col min="16" max="16" width="18.21875" bestFit="1" customWidth="1"/>
    <col min="17" max="17" width="16.109375" bestFit="1" customWidth="1"/>
    <col min="18" max="18" width="12.21875" bestFit="1" customWidth="1"/>
    <col min="19" max="19" width="13" bestFit="1" customWidth="1"/>
  </cols>
  <sheetData>
    <row r="1" spans="1:19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64</v>
      </c>
      <c r="I1" t="s">
        <v>65</v>
      </c>
      <c r="J1" t="s">
        <v>66</v>
      </c>
      <c r="K1" t="s">
        <v>67</v>
      </c>
      <c r="L1" t="s">
        <v>58</v>
      </c>
      <c r="M1" t="s">
        <v>59</v>
      </c>
      <c r="N1" t="s">
        <v>60</v>
      </c>
      <c r="O1" t="s">
        <v>68</v>
      </c>
      <c r="P1" t="s">
        <v>69</v>
      </c>
      <c r="Q1" t="s">
        <v>61</v>
      </c>
      <c r="R1" t="s">
        <v>1195</v>
      </c>
      <c r="S1" t="s">
        <v>1196</v>
      </c>
    </row>
    <row r="2" spans="1:19" x14ac:dyDescent="0.3">
      <c r="A2" s="97" t="s">
        <v>194</v>
      </c>
      <c r="B2" s="97" t="s">
        <v>22</v>
      </c>
      <c r="C2">
        <v>2026</v>
      </c>
      <c r="D2">
        <v>1</v>
      </c>
      <c r="E2" s="2">
        <v>46023</v>
      </c>
      <c r="F2" s="97" t="s">
        <v>7</v>
      </c>
      <c r="G2" s="97" t="s">
        <v>8</v>
      </c>
      <c r="H2" s="97" t="s">
        <v>74</v>
      </c>
      <c r="I2" s="97" t="s">
        <v>84</v>
      </c>
      <c r="J2" s="97" t="s">
        <v>85</v>
      </c>
      <c r="K2" s="97" t="s">
        <v>73</v>
      </c>
      <c r="L2">
        <v>701000</v>
      </c>
      <c r="M2" s="97" t="s">
        <v>62</v>
      </c>
      <c r="N2" s="97" t="s">
        <v>33</v>
      </c>
      <c r="O2">
        <v>1267</v>
      </c>
      <c r="P2">
        <v>0.95</v>
      </c>
      <c r="Q2">
        <v>1.2</v>
      </c>
      <c r="R2" s="97" t="s">
        <v>1197</v>
      </c>
      <c r="S2" s="97" t="s">
        <v>195</v>
      </c>
    </row>
    <row r="3" spans="1:19" x14ac:dyDescent="0.3">
      <c r="A3" s="97" t="s">
        <v>196</v>
      </c>
      <c r="B3" s="97" t="s">
        <v>22</v>
      </c>
      <c r="C3">
        <v>2026</v>
      </c>
      <c r="D3">
        <v>1</v>
      </c>
      <c r="E3" s="2">
        <v>46023</v>
      </c>
      <c r="F3" s="97" t="s">
        <v>7</v>
      </c>
      <c r="G3" s="97" t="s">
        <v>8</v>
      </c>
      <c r="H3" s="97" t="s">
        <v>74</v>
      </c>
      <c r="I3" s="97" t="s">
        <v>84</v>
      </c>
      <c r="J3" s="97" t="s">
        <v>85</v>
      </c>
      <c r="K3" s="97" t="s">
        <v>73</v>
      </c>
      <c r="L3">
        <v>701000</v>
      </c>
      <c r="M3" s="97" t="s">
        <v>62</v>
      </c>
      <c r="N3" s="97" t="s">
        <v>33</v>
      </c>
      <c r="O3">
        <v>5143</v>
      </c>
      <c r="P3">
        <v>0.95</v>
      </c>
      <c r="Q3">
        <v>4.8899999999999997</v>
      </c>
      <c r="R3" s="97" t="s">
        <v>1198</v>
      </c>
      <c r="S3" s="97" t="s">
        <v>195</v>
      </c>
    </row>
    <row r="4" spans="1:19" x14ac:dyDescent="0.3">
      <c r="A4" s="97" t="s">
        <v>197</v>
      </c>
      <c r="B4" s="97" t="s">
        <v>22</v>
      </c>
      <c r="C4">
        <v>2026</v>
      </c>
      <c r="D4">
        <v>1</v>
      </c>
      <c r="E4" s="2">
        <v>46023</v>
      </c>
      <c r="F4" s="97" t="s">
        <v>7</v>
      </c>
      <c r="G4" s="97" t="s">
        <v>8</v>
      </c>
      <c r="H4" s="97" t="s">
        <v>74</v>
      </c>
      <c r="I4" s="97" t="s">
        <v>84</v>
      </c>
      <c r="J4" s="97" t="s">
        <v>85</v>
      </c>
      <c r="K4" s="97" t="s">
        <v>73</v>
      </c>
      <c r="L4">
        <v>701000</v>
      </c>
      <c r="M4" s="97" t="s">
        <v>62</v>
      </c>
      <c r="N4" s="97" t="s">
        <v>33</v>
      </c>
      <c r="O4">
        <v>252</v>
      </c>
      <c r="P4">
        <v>0.95</v>
      </c>
      <c r="Q4">
        <v>0.24</v>
      </c>
      <c r="R4" s="97" t="s">
        <v>1199</v>
      </c>
      <c r="S4" s="97" t="s">
        <v>195</v>
      </c>
    </row>
    <row r="5" spans="1:19" x14ac:dyDescent="0.3">
      <c r="A5" s="97" t="s">
        <v>198</v>
      </c>
      <c r="B5" s="97" t="s">
        <v>22</v>
      </c>
      <c r="C5">
        <v>2026</v>
      </c>
      <c r="D5">
        <v>1</v>
      </c>
      <c r="E5" s="2">
        <v>46023</v>
      </c>
      <c r="F5" s="97" t="s">
        <v>7</v>
      </c>
      <c r="G5" s="97" t="s">
        <v>8</v>
      </c>
      <c r="H5" s="97" t="s">
        <v>74</v>
      </c>
      <c r="I5" s="97" t="s">
        <v>84</v>
      </c>
      <c r="J5" s="97" t="s">
        <v>85</v>
      </c>
      <c r="K5" s="97" t="s">
        <v>73</v>
      </c>
      <c r="L5">
        <v>701000</v>
      </c>
      <c r="M5" s="97" t="s">
        <v>62</v>
      </c>
      <c r="N5" s="97" t="s">
        <v>33</v>
      </c>
      <c r="O5">
        <v>1519</v>
      </c>
      <c r="P5">
        <v>0.95</v>
      </c>
      <c r="Q5">
        <v>1.44</v>
      </c>
      <c r="R5" s="97" t="s">
        <v>1200</v>
      </c>
      <c r="S5" s="97" t="s">
        <v>195</v>
      </c>
    </row>
    <row r="6" spans="1:19" x14ac:dyDescent="0.3">
      <c r="A6" s="97" t="s">
        <v>199</v>
      </c>
      <c r="B6" s="97" t="s">
        <v>22</v>
      </c>
      <c r="C6">
        <v>2026</v>
      </c>
      <c r="D6">
        <v>1</v>
      </c>
      <c r="E6" s="2">
        <v>46023</v>
      </c>
      <c r="F6" s="97" t="s">
        <v>7</v>
      </c>
      <c r="G6" s="97" t="s">
        <v>8</v>
      </c>
      <c r="H6" s="97" t="s">
        <v>74</v>
      </c>
      <c r="I6" s="97" t="s">
        <v>84</v>
      </c>
      <c r="J6" s="97" t="s">
        <v>85</v>
      </c>
      <c r="K6" s="97" t="s">
        <v>73</v>
      </c>
      <c r="L6">
        <v>701000</v>
      </c>
      <c r="M6" s="97" t="s">
        <v>62</v>
      </c>
      <c r="N6" s="97" t="s">
        <v>33</v>
      </c>
      <c r="O6">
        <v>7580</v>
      </c>
      <c r="P6">
        <v>0.95</v>
      </c>
      <c r="Q6">
        <v>7.2</v>
      </c>
      <c r="R6" s="97" t="s">
        <v>1201</v>
      </c>
      <c r="S6" s="97" t="s">
        <v>195</v>
      </c>
    </row>
    <row r="7" spans="1:19" x14ac:dyDescent="0.3">
      <c r="A7" s="97" t="s">
        <v>590</v>
      </c>
      <c r="B7" s="97" t="s">
        <v>22</v>
      </c>
      <c r="C7">
        <v>2026</v>
      </c>
      <c r="D7">
        <v>1</v>
      </c>
      <c r="E7" s="2">
        <v>46023</v>
      </c>
      <c r="F7" s="97" t="s">
        <v>7</v>
      </c>
      <c r="G7" s="97" t="s">
        <v>8</v>
      </c>
      <c r="H7" s="97" t="s">
        <v>70</v>
      </c>
      <c r="I7" s="97" t="s">
        <v>77</v>
      </c>
      <c r="J7" s="97" t="s">
        <v>78</v>
      </c>
      <c r="K7" s="97" t="s">
        <v>73</v>
      </c>
      <c r="L7">
        <v>701000</v>
      </c>
      <c r="M7" s="97" t="s">
        <v>62</v>
      </c>
      <c r="N7" s="97" t="s">
        <v>33</v>
      </c>
      <c r="O7">
        <v>703</v>
      </c>
      <c r="P7">
        <v>1.79</v>
      </c>
      <c r="Q7">
        <v>1.26</v>
      </c>
      <c r="R7" s="97" t="s">
        <v>1203</v>
      </c>
      <c r="S7" s="97" t="s">
        <v>195</v>
      </c>
    </row>
    <row r="8" spans="1:19" x14ac:dyDescent="0.3">
      <c r="A8" s="97" t="s">
        <v>591</v>
      </c>
      <c r="B8" s="97" t="s">
        <v>22</v>
      </c>
      <c r="C8">
        <v>2026</v>
      </c>
      <c r="D8">
        <v>1</v>
      </c>
      <c r="E8" s="2">
        <v>46023</v>
      </c>
      <c r="F8" s="97" t="s">
        <v>7</v>
      </c>
      <c r="G8" s="97" t="s">
        <v>8</v>
      </c>
      <c r="H8" s="97" t="s">
        <v>70</v>
      </c>
      <c r="I8" s="97" t="s">
        <v>77</v>
      </c>
      <c r="J8" s="97" t="s">
        <v>78</v>
      </c>
      <c r="K8" s="97" t="s">
        <v>73</v>
      </c>
      <c r="L8">
        <v>701000</v>
      </c>
      <c r="M8" s="97" t="s">
        <v>62</v>
      </c>
      <c r="N8" s="97" t="s">
        <v>33</v>
      </c>
      <c r="O8">
        <v>675</v>
      </c>
      <c r="P8">
        <v>1.79</v>
      </c>
      <c r="Q8">
        <v>1.21</v>
      </c>
      <c r="R8" s="97" t="s">
        <v>1201</v>
      </c>
      <c r="S8" s="97" t="s">
        <v>195</v>
      </c>
    </row>
    <row r="9" spans="1:19" x14ac:dyDescent="0.3">
      <c r="A9" s="97" t="s">
        <v>592</v>
      </c>
      <c r="B9" s="97" t="s">
        <v>22</v>
      </c>
      <c r="C9">
        <v>2026</v>
      </c>
      <c r="D9">
        <v>1</v>
      </c>
      <c r="E9" s="2">
        <v>46023</v>
      </c>
      <c r="F9" s="97" t="s">
        <v>7</v>
      </c>
      <c r="G9" s="97" t="s">
        <v>8</v>
      </c>
      <c r="H9" s="97" t="s">
        <v>70</v>
      </c>
      <c r="I9" s="97" t="s">
        <v>77</v>
      </c>
      <c r="J9" s="97" t="s">
        <v>78</v>
      </c>
      <c r="K9" s="97" t="s">
        <v>73</v>
      </c>
      <c r="L9">
        <v>701000</v>
      </c>
      <c r="M9" s="97" t="s">
        <v>62</v>
      </c>
      <c r="N9" s="97" t="s">
        <v>33</v>
      </c>
      <c r="O9">
        <v>947</v>
      </c>
      <c r="P9">
        <v>1.8</v>
      </c>
      <c r="Q9">
        <v>1.7</v>
      </c>
      <c r="R9" s="97" t="s">
        <v>1205</v>
      </c>
      <c r="S9" s="97" t="s">
        <v>195</v>
      </c>
    </row>
    <row r="10" spans="1:19" x14ac:dyDescent="0.3">
      <c r="A10" s="97" t="s">
        <v>593</v>
      </c>
      <c r="B10" s="97" t="s">
        <v>22</v>
      </c>
      <c r="C10">
        <v>2026</v>
      </c>
      <c r="D10">
        <v>1</v>
      </c>
      <c r="E10" s="2">
        <v>46023</v>
      </c>
      <c r="F10" s="97" t="s">
        <v>7</v>
      </c>
      <c r="G10" s="97" t="s">
        <v>8</v>
      </c>
      <c r="H10" s="97" t="s">
        <v>70</v>
      </c>
      <c r="I10" s="97" t="s">
        <v>77</v>
      </c>
      <c r="J10" s="97" t="s">
        <v>78</v>
      </c>
      <c r="K10" s="97" t="s">
        <v>73</v>
      </c>
      <c r="L10">
        <v>701000</v>
      </c>
      <c r="M10" s="97" t="s">
        <v>62</v>
      </c>
      <c r="N10" s="97" t="s">
        <v>33</v>
      </c>
      <c r="O10">
        <v>1413</v>
      </c>
      <c r="P10">
        <v>1.8</v>
      </c>
      <c r="Q10">
        <v>2.54</v>
      </c>
      <c r="R10" s="97" t="s">
        <v>1202</v>
      </c>
      <c r="S10" s="97" t="s">
        <v>195</v>
      </c>
    </row>
    <row r="11" spans="1:19" x14ac:dyDescent="0.3">
      <c r="A11" s="97" t="s">
        <v>594</v>
      </c>
      <c r="B11" s="97" t="s">
        <v>22</v>
      </c>
      <c r="C11">
        <v>2026</v>
      </c>
      <c r="D11">
        <v>1</v>
      </c>
      <c r="E11" s="2">
        <v>46023</v>
      </c>
      <c r="F11" s="97" t="s">
        <v>7</v>
      </c>
      <c r="G11" s="97" t="s">
        <v>8</v>
      </c>
      <c r="H11" s="97" t="s">
        <v>70</v>
      </c>
      <c r="I11" s="97" t="s">
        <v>77</v>
      </c>
      <c r="J11" s="97" t="s">
        <v>78</v>
      </c>
      <c r="K11" s="97" t="s">
        <v>73</v>
      </c>
      <c r="L11">
        <v>701000</v>
      </c>
      <c r="M11" s="97" t="s">
        <v>62</v>
      </c>
      <c r="N11" s="97" t="s">
        <v>33</v>
      </c>
      <c r="O11">
        <v>708</v>
      </c>
      <c r="P11">
        <v>1.82</v>
      </c>
      <c r="Q11">
        <v>1.29</v>
      </c>
      <c r="R11" s="97" t="s">
        <v>1200</v>
      </c>
      <c r="S11" s="97" t="s">
        <v>195</v>
      </c>
    </row>
    <row r="12" spans="1:19" x14ac:dyDescent="0.3">
      <c r="A12" s="97" t="s">
        <v>820</v>
      </c>
      <c r="B12" s="97" t="s">
        <v>22</v>
      </c>
      <c r="C12">
        <v>2026</v>
      </c>
      <c r="D12">
        <v>1</v>
      </c>
      <c r="E12" s="2">
        <v>46023</v>
      </c>
      <c r="F12" s="97" t="s">
        <v>7</v>
      </c>
      <c r="G12" s="97" t="s">
        <v>8</v>
      </c>
      <c r="H12" s="97" t="s">
        <v>74</v>
      </c>
      <c r="I12" s="97" t="s">
        <v>82</v>
      </c>
      <c r="J12" s="97" t="s">
        <v>83</v>
      </c>
      <c r="K12" s="97" t="s">
        <v>73</v>
      </c>
      <c r="L12">
        <v>701000</v>
      </c>
      <c r="M12" s="97" t="s">
        <v>62</v>
      </c>
      <c r="N12" s="97" t="s">
        <v>33</v>
      </c>
      <c r="O12">
        <v>77</v>
      </c>
      <c r="P12">
        <v>18.57</v>
      </c>
      <c r="Q12">
        <v>1.43</v>
      </c>
      <c r="R12" s="97" t="s">
        <v>1203</v>
      </c>
      <c r="S12" s="97" t="s">
        <v>195</v>
      </c>
    </row>
    <row r="13" spans="1:19" x14ac:dyDescent="0.3">
      <c r="A13" s="97" t="s">
        <v>821</v>
      </c>
      <c r="B13" s="97" t="s">
        <v>22</v>
      </c>
      <c r="C13">
        <v>2026</v>
      </c>
      <c r="D13">
        <v>1</v>
      </c>
      <c r="E13" s="2">
        <v>46023</v>
      </c>
      <c r="F13" s="97" t="s">
        <v>7</v>
      </c>
      <c r="G13" s="97" t="s">
        <v>8</v>
      </c>
      <c r="H13" s="97" t="s">
        <v>74</v>
      </c>
      <c r="I13" s="97" t="s">
        <v>82</v>
      </c>
      <c r="J13" s="97" t="s">
        <v>83</v>
      </c>
      <c r="K13" s="97" t="s">
        <v>73</v>
      </c>
      <c r="L13">
        <v>701000</v>
      </c>
      <c r="M13" s="97" t="s">
        <v>62</v>
      </c>
      <c r="N13" s="97" t="s">
        <v>33</v>
      </c>
      <c r="O13">
        <v>78</v>
      </c>
      <c r="P13">
        <v>18.46</v>
      </c>
      <c r="Q13">
        <v>1.44</v>
      </c>
      <c r="R13" s="97" t="s">
        <v>1202</v>
      </c>
      <c r="S13" s="97" t="s">
        <v>195</v>
      </c>
    </row>
    <row r="14" spans="1:19" x14ac:dyDescent="0.3">
      <c r="A14" s="97" t="s">
        <v>822</v>
      </c>
      <c r="B14" s="97" t="s">
        <v>22</v>
      </c>
      <c r="C14">
        <v>2026</v>
      </c>
      <c r="D14">
        <v>1</v>
      </c>
      <c r="E14" s="2">
        <v>46023</v>
      </c>
      <c r="F14" s="97" t="s">
        <v>7</v>
      </c>
      <c r="G14" s="97" t="s">
        <v>8</v>
      </c>
      <c r="H14" s="97" t="s">
        <v>74</v>
      </c>
      <c r="I14" s="97" t="s">
        <v>82</v>
      </c>
      <c r="J14" s="97" t="s">
        <v>83</v>
      </c>
      <c r="K14" s="97" t="s">
        <v>73</v>
      </c>
      <c r="L14">
        <v>701000</v>
      </c>
      <c r="M14" s="97" t="s">
        <v>62</v>
      </c>
      <c r="N14" s="97" t="s">
        <v>33</v>
      </c>
      <c r="O14">
        <v>97</v>
      </c>
      <c r="P14">
        <v>18.559999999999999</v>
      </c>
      <c r="Q14">
        <v>1.8</v>
      </c>
      <c r="R14" s="97" t="s">
        <v>1204</v>
      </c>
      <c r="S14" s="97" t="s">
        <v>195</v>
      </c>
    </row>
    <row r="15" spans="1:19" x14ac:dyDescent="0.3">
      <c r="A15" s="97" t="s">
        <v>823</v>
      </c>
      <c r="B15" s="97" t="s">
        <v>22</v>
      </c>
      <c r="C15">
        <v>2026</v>
      </c>
      <c r="D15">
        <v>1</v>
      </c>
      <c r="E15" s="2">
        <v>46023</v>
      </c>
      <c r="F15" s="97" t="s">
        <v>7</v>
      </c>
      <c r="G15" s="97" t="s">
        <v>8</v>
      </c>
      <c r="H15" s="97" t="s">
        <v>74</v>
      </c>
      <c r="I15" s="97" t="s">
        <v>82</v>
      </c>
      <c r="J15" s="97" t="s">
        <v>83</v>
      </c>
      <c r="K15" s="97" t="s">
        <v>73</v>
      </c>
      <c r="L15">
        <v>701000</v>
      </c>
      <c r="M15" s="97" t="s">
        <v>62</v>
      </c>
      <c r="N15" s="97" t="s">
        <v>33</v>
      </c>
      <c r="O15">
        <v>110</v>
      </c>
      <c r="P15">
        <v>18.45</v>
      </c>
      <c r="Q15">
        <v>2.0299999999999998</v>
      </c>
      <c r="R15" s="97" t="s">
        <v>1199</v>
      </c>
      <c r="S15" s="97" t="s">
        <v>195</v>
      </c>
    </row>
    <row r="16" spans="1:19" x14ac:dyDescent="0.3">
      <c r="A16" s="97" t="s">
        <v>824</v>
      </c>
      <c r="B16" s="97" t="s">
        <v>22</v>
      </c>
      <c r="C16">
        <v>2026</v>
      </c>
      <c r="D16">
        <v>1</v>
      </c>
      <c r="E16" s="2">
        <v>46023</v>
      </c>
      <c r="F16" s="97" t="s">
        <v>7</v>
      </c>
      <c r="G16" s="97" t="s">
        <v>8</v>
      </c>
      <c r="H16" s="97" t="s">
        <v>74</v>
      </c>
      <c r="I16" s="97" t="s">
        <v>82</v>
      </c>
      <c r="J16" s="97" t="s">
        <v>83</v>
      </c>
      <c r="K16" s="97" t="s">
        <v>73</v>
      </c>
      <c r="L16">
        <v>701000</v>
      </c>
      <c r="M16" s="97" t="s">
        <v>62</v>
      </c>
      <c r="N16" s="97" t="s">
        <v>33</v>
      </c>
      <c r="O16">
        <v>157</v>
      </c>
      <c r="P16">
        <v>18.41</v>
      </c>
      <c r="Q16">
        <v>2.89</v>
      </c>
      <c r="R16" s="97" t="s">
        <v>1201</v>
      </c>
      <c r="S16" s="97" t="s">
        <v>195</v>
      </c>
    </row>
    <row r="17" spans="1:19" x14ac:dyDescent="0.3">
      <c r="A17" s="97" t="s">
        <v>855</v>
      </c>
      <c r="B17" s="97" t="s">
        <v>22</v>
      </c>
      <c r="C17">
        <v>2026</v>
      </c>
      <c r="D17">
        <v>1</v>
      </c>
      <c r="E17" s="2">
        <v>46023</v>
      </c>
      <c r="F17" s="97" t="s">
        <v>7</v>
      </c>
      <c r="G17" s="97" t="s">
        <v>8</v>
      </c>
      <c r="H17" s="97" t="s">
        <v>74</v>
      </c>
      <c r="I17" s="97" t="s">
        <v>82</v>
      </c>
      <c r="J17" s="97" t="s">
        <v>83</v>
      </c>
      <c r="K17" s="97" t="s">
        <v>73</v>
      </c>
      <c r="L17">
        <v>701000</v>
      </c>
      <c r="M17" s="97" t="s">
        <v>62</v>
      </c>
      <c r="N17" s="97" t="s">
        <v>33</v>
      </c>
      <c r="O17">
        <v>183</v>
      </c>
      <c r="P17">
        <v>18.52</v>
      </c>
      <c r="Q17">
        <v>3.39</v>
      </c>
      <c r="R17" s="97" t="s">
        <v>1197</v>
      </c>
      <c r="S17" s="97" t="s">
        <v>195</v>
      </c>
    </row>
    <row r="18" spans="1:19" x14ac:dyDescent="0.3">
      <c r="A18" s="97" t="s">
        <v>856</v>
      </c>
      <c r="B18" s="97" t="s">
        <v>22</v>
      </c>
      <c r="C18">
        <v>2026</v>
      </c>
      <c r="D18">
        <v>1</v>
      </c>
      <c r="E18" s="2">
        <v>46023</v>
      </c>
      <c r="F18" s="97" t="s">
        <v>7</v>
      </c>
      <c r="G18" s="97" t="s">
        <v>8</v>
      </c>
      <c r="H18" s="97" t="s">
        <v>74</v>
      </c>
      <c r="I18" s="97" t="s">
        <v>82</v>
      </c>
      <c r="J18" s="97" t="s">
        <v>83</v>
      </c>
      <c r="K18" s="97" t="s">
        <v>73</v>
      </c>
      <c r="L18">
        <v>701000</v>
      </c>
      <c r="M18" s="97" t="s">
        <v>62</v>
      </c>
      <c r="N18" s="97" t="s">
        <v>33</v>
      </c>
      <c r="O18">
        <v>158</v>
      </c>
      <c r="P18">
        <v>18.54</v>
      </c>
      <c r="Q18">
        <v>2.93</v>
      </c>
      <c r="R18" s="97" t="s">
        <v>1205</v>
      </c>
      <c r="S18" s="97" t="s">
        <v>195</v>
      </c>
    </row>
    <row r="19" spans="1:19" x14ac:dyDescent="0.3">
      <c r="A19" s="97" t="s">
        <v>857</v>
      </c>
      <c r="B19" s="97" t="s">
        <v>22</v>
      </c>
      <c r="C19">
        <v>2026</v>
      </c>
      <c r="D19">
        <v>1</v>
      </c>
      <c r="E19" s="2">
        <v>46023</v>
      </c>
      <c r="F19" s="97" t="s">
        <v>7</v>
      </c>
      <c r="G19" s="97" t="s">
        <v>8</v>
      </c>
      <c r="H19" s="97" t="s">
        <v>74</v>
      </c>
      <c r="I19" s="97" t="s">
        <v>82</v>
      </c>
      <c r="J19" s="97" t="s">
        <v>83</v>
      </c>
      <c r="K19" s="97" t="s">
        <v>73</v>
      </c>
      <c r="L19">
        <v>701000</v>
      </c>
      <c r="M19" s="97" t="s">
        <v>62</v>
      </c>
      <c r="N19" s="97" t="s">
        <v>33</v>
      </c>
      <c r="O19">
        <v>109</v>
      </c>
      <c r="P19">
        <v>18.53</v>
      </c>
      <c r="Q19">
        <v>2.02</v>
      </c>
      <c r="R19" s="97" t="s">
        <v>1200</v>
      </c>
      <c r="S19" s="97" t="s">
        <v>195</v>
      </c>
    </row>
    <row r="20" spans="1:19" x14ac:dyDescent="0.3">
      <c r="A20" s="97" t="s">
        <v>858</v>
      </c>
      <c r="B20" s="97" t="s">
        <v>22</v>
      </c>
      <c r="C20">
        <v>2026</v>
      </c>
      <c r="D20">
        <v>1</v>
      </c>
      <c r="E20" s="2">
        <v>46023</v>
      </c>
      <c r="F20" s="97" t="s">
        <v>7</v>
      </c>
      <c r="G20" s="97" t="s">
        <v>8</v>
      </c>
      <c r="H20" s="97" t="s">
        <v>74</v>
      </c>
      <c r="I20" s="97" t="s">
        <v>82</v>
      </c>
      <c r="J20" s="97" t="s">
        <v>83</v>
      </c>
      <c r="K20" s="97" t="s">
        <v>73</v>
      </c>
      <c r="L20">
        <v>701000</v>
      </c>
      <c r="M20" s="97" t="s">
        <v>62</v>
      </c>
      <c r="N20" s="97" t="s">
        <v>33</v>
      </c>
      <c r="O20">
        <v>111</v>
      </c>
      <c r="P20">
        <v>18.47</v>
      </c>
      <c r="Q20">
        <v>2.0499999999999998</v>
      </c>
      <c r="R20" s="97" t="s">
        <v>1199</v>
      </c>
      <c r="S20" s="97" t="s">
        <v>195</v>
      </c>
    </row>
    <row r="21" spans="1:19" x14ac:dyDescent="0.3">
      <c r="A21" s="97" t="s">
        <v>859</v>
      </c>
      <c r="B21" s="97" t="s">
        <v>22</v>
      </c>
      <c r="C21">
        <v>2026</v>
      </c>
      <c r="D21">
        <v>1</v>
      </c>
      <c r="E21" s="2">
        <v>46023</v>
      </c>
      <c r="F21" s="97" t="s">
        <v>7</v>
      </c>
      <c r="G21" s="97" t="s">
        <v>8</v>
      </c>
      <c r="H21" s="97" t="s">
        <v>74</v>
      </c>
      <c r="I21" s="97" t="s">
        <v>82</v>
      </c>
      <c r="J21" s="97" t="s">
        <v>83</v>
      </c>
      <c r="K21" s="97" t="s">
        <v>73</v>
      </c>
      <c r="L21">
        <v>701000</v>
      </c>
      <c r="M21" s="97" t="s">
        <v>62</v>
      </c>
      <c r="N21" s="97" t="s">
        <v>33</v>
      </c>
      <c r="O21">
        <v>116</v>
      </c>
      <c r="P21">
        <v>18.45</v>
      </c>
      <c r="Q21">
        <v>2.14</v>
      </c>
      <c r="R21" s="97" t="s">
        <v>1201</v>
      </c>
      <c r="S21" s="97" t="s">
        <v>195</v>
      </c>
    </row>
    <row r="22" spans="1:19" x14ac:dyDescent="0.3">
      <c r="A22" s="97" t="s">
        <v>275</v>
      </c>
      <c r="B22" s="97" t="s">
        <v>22</v>
      </c>
      <c r="C22">
        <v>2026</v>
      </c>
      <c r="D22">
        <v>1</v>
      </c>
      <c r="E22" s="2">
        <v>46024</v>
      </c>
      <c r="F22" s="97" t="s">
        <v>7</v>
      </c>
      <c r="G22" s="97" t="s">
        <v>8</v>
      </c>
      <c r="H22" s="97" t="s">
        <v>70</v>
      </c>
      <c r="I22" s="97" t="s">
        <v>84</v>
      </c>
      <c r="J22" s="97" t="s">
        <v>85</v>
      </c>
      <c r="K22" s="97" t="s">
        <v>73</v>
      </c>
      <c r="L22">
        <v>701000</v>
      </c>
      <c r="M22" s="97" t="s">
        <v>62</v>
      </c>
      <c r="N22" s="97" t="s">
        <v>33</v>
      </c>
      <c r="O22">
        <v>1792</v>
      </c>
      <c r="P22">
        <v>0.95</v>
      </c>
      <c r="Q22">
        <v>1.7</v>
      </c>
      <c r="R22" s="97" t="s">
        <v>1202</v>
      </c>
      <c r="S22" s="97" t="s">
        <v>195</v>
      </c>
    </row>
    <row r="23" spans="1:19" x14ac:dyDescent="0.3">
      <c r="A23" s="97" t="s">
        <v>276</v>
      </c>
      <c r="B23" s="97" t="s">
        <v>22</v>
      </c>
      <c r="C23">
        <v>2026</v>
      </c>
      <c r="D23">
        <v>1</v>
      </c>
      <c r="E23" s="2">
        <v>46024</v>
      </c>
      <c r="F23" s="97" t="s">
        <v>7</v>
      </c>
      <c r="G23" s="97" t="s">
        <v>8</v>
      </c>
      <c r="H23" s="97" t="s">
        <v>70</v>
      </c>
      <c r="I23" s="97" t="s">
        <v>84</v>
      </c>
      <c r="J23" s="97" t="s">
        <v>85</v>
      </c>
      <c r="K23" s="97" t="s">
        <v>73</v>
      </c>
      <c r="L23">
        <v>701000</v>
      </c>
      <c r="M23" s="97" t="s">
        <v>62</v>
      </c>
      <c r="N23" s="97" t="s">
        <v>33</v>
      </c>
      <c r="O23">
        <v>2171</v>
      </c>
      <c r="P23">
        <v>0.95</v>
      </c>
      <c r="Q23">
        <v>2.06</v>
      </c>
      <c r="R23" s="97" t="s">
        <v>1199</v>
      </c>
      <c r="S23" s="97" t="s">
        <v>195</v>
      </c>
    </row>
    <row r="24" spans="1:19" x14ac:dyDescent="0.3">
      <c r="A24" s="97" t="s">
        <v>277</v>
      </c>
      <c r="B24" s="97" t="s">
        <v>22</v>
      </c>
      <c r="C24">
        <v>2026</v>
      </c>
      <c r="D24">
        <v>1</v>
      </c>
      <c r="E24" s="2">
        <v>46024</v>
      </c>
      <c r="F24" s="97" t="s">
        <v>7</v>
      </c>
      <c r="G24" s="97" t="s">
        <v>8</v>
      </c>
      <c r="H24" s="97" t="s">
        <v>70</v>
      </c>
      <c r="I24" s="97" t="s">
        <v>84</v>
      </c>
      <c r="J24" s="97" t="s">
        <v>85</v>
      </c>
      <c r="K24" s="97" t="s">
        <v>73</v>
      </c>
      <c r="L24">
        <v>701000</v>
      </c>
      <c r="M24" s="97" t="s">
        <v>62</v>
      </c>
      <c r="N24" s="97" t="s">
        <v>33</v>
      </c>
      <c r="O24">
        <v>6016</v>
      </c>
      <c r="P24">
        <v>0.95</v>
      </c>
      <c r="Q24">
        <v>5.71</v>
      </c>
      <c r="R24" s="97" t="s">
        <v>1204</v>
      </c>
      <c r="S24" s="97" t="s">
        <v>195</v>
      </c>
    </row>
    <row r="25" spans="1:19" x14ac:dyDescent="0.3">
      <c r="A25" s="97" t="s">
        <v>278</v>
      </c>
      <c r="B25" s="97" t="s">
        <v>22</v>
      </c>
      <c r="C25">
        <v>2026</v>
      </c>
      <c r="D25">
        <v>1</v>
      </c>
      <c r="E25" s="2">
        <v>46024</v>
      </c>
      <c r="F25" s="97" t="s">
        <v>7</v>
      </c>
      <c r="G25" s="97" t="s">
        <v>8</v>
      </c>
      <c r="H25" s="97" t="s">
        <v>70</v>
      </c>
      <c r="I25" s="97" t="s">
        <v>84</v>
      </c>
      <c r="J25" s="97" t="s">
        <v>85</v>
      </c>
      <c r="K25" s="97" t="s">
        <v>73</v>
      </c>
      <c r="L25">
        <v>701000</v>
      </c>
      <c r="M25" s="97" t="s">
        <v>62</v>
      </c>
      <c r="N25" s="97" t="s">
        <v>33</v>
      </c>
      <c r="O25">
        <v>3136</v>
      </c>
      <c r="P25">
        <v>0.95</v>
      </c>
      <c r="Q25">
        <v>2.98</v>
      </c>
      <c r="R25" s="97" t="s">
        <v>1203</v>
      </c>
      <c r="S25" s="97" t="s">
        <v>195</v>
      </c>
    </row>
    <row r="26" spans="1:19" x14ac:dyDescent="0.3">
      <c r="A26" s="97" t="s">
        <v>279</v>
      </c>
      <c r="B26" s="97" t="s">
        <v>22</v>
      </c>
      <c r="C26">
        <v>2026</v>
      </c>
      <c r="D26">
        <v>1</v>
      </c>
      <c r="E26" s="2">
        <v>46024</v>
      </c>
      <c r="F26" s="97" t="s">
        <v>7</v>
      </c>
      <c r="G26" s="97" t="s">
        <v>8</v>
      </c>
      <c r="H26" s="97" t="s">
        <v>70</v>
      </c>
      <c r="I26" s="97" t="s">
        <v>84</v>
      </c>
      <c r="J26" s="97" t="s">
        <v>85</v>
      </c>
      <c r="K26" s="97" t="s">
        <v>73</v>
      </c>
      <c r="L26">
        <v>701000</v>
      </c>
      <c r="M26" s="97" t="s">
        <v>62</v>
      </c>
      <c r="N26" s="97" t="s">
        <v>33</v>
      </c>
      <c r="O26">
        <v>6267</v>
      </c>
      <c r="P26">
        <v>0.95</v>
      </c>
      <c r="Q26">
        <v>5.96</v>
      </c>
      <c r="R26" s="97" t="s">
        <v>1198</v>
      </c>
      <c r="S26" s="97" t="s">
        <v>195</v>
      </c>
    </row>
    <row r="27" spans="1:19" x14ac:dyDescent="0.3">
      <c r="A27" s="97" t="s">
        <v>315</v>
      </c>
      <c r="B27" s="97" t="s">
        <v>22</v>
      </c>
      <c r="C27">
        <v>2026</v>
      </c>
      <c r="D27">
        <v>1</v>
      </c>
      <c r="E27" s="2">
        <v>46024</v>
      </c>
      <c r="F27" s="97" t="s">
        <v>7</v>
      </c>
      <c r="G27" s="97" t="s">
        <v>8</v>
      </c>
      <c r="H27" s="97" t="s">
        <v>70</v>
      </c>
      <c r="I27" s="97" t="s">
        <v>71</v>
      </c>
      <c r="J27" s="97" t="s">
        <v>72</v>
      </c>
      <c r="K27" s="97" t="s">
        <v>73</v>
      </c>
      <c r="L27">
        <v>701000</v>
      </c>
      <c r="M27" s="97" t="s">
        <v>62</v>
      </c>
      <c r="N27" s="97" t="s">
        <v>33</v>
      </c>
      <c r="O27">
        <v>5157</v>
      </c>
      <c r="P27">
        <v>1.05</v>
      </c>
      <c r="Q27">
        <v>5.41</v>
      </c>
      <c r="R27" s="97" t="s">
        <v>1197</v>
      </c>
      <c r="S27" s="97" t="s">
        <v>195</v>
      </c>
    </row>
    <row r="28" spans="1:19" x14ac:dyDescent="0.3">
      <c r="A28" s="97" t="s">
        <v>316</v>
      </c>
      <c r="B28" s="97" t="s">
        <v>22</v>
      </c>
      <c r="C28">
        <v>2026</v>
      </c>
      <c r="D28">
        <v>1</v>
      </c>
      <c r="E28" s="2">
        <v>46024</v>
      </c>
      <c r="F28" s="97" t="s">
        <v>7</v>
      </c>
      <c r="G28" s="97" t="s">
        <v>8</v>
      </c>
      <c r="H28" s="97" t="s">
        <v>70</v>
      </c>
      <c r="I28" s="97" t="s">
        <v>71</v>
      </c>
      <c r="J28" s="97" t="s">
        <v>72</v>
      </c>
      <c r="K28" s="97" t="s">
        <v>73</v>
      </c>
      <c r="L28">
        <v>701000</v>
      </c>
      <c r="M28" s="97" t="s">
        <v>62</v>
      </c>
      <c r="N28" s="97" t="s">
        <v>33</v>
      </c>
      <c r="O28">
        <v>4371</v>
      </c>
      <c r="P28">
        <v>1.05</v>
      </c>
      <c r="Q28">
        <v>4.59</v>
      </c>
      <c r="R28" s="97" t="s">
        <v>1204</v>
      </c>
      <c r="S28" s="97" t="s">
        <v>195</v>
      </c>
    </row>
    <row r="29" spans="1:19" x14ac:dyDescent="0.3">
      <c r="A29" s="97" t="s">
        <v>317</v>
      </c>
      <c r="B29" s="97" t="s">
        <v>22</v>
      </c>
      <c r="C29">
        <v>2026</v>
      </c>
      <c r="D29">
        <v>1</v>
      </c>
      <c r="E29" s="2">
        <v>46024</v>
      </c>
      <c r="F29" s="97" t="s">
        <v>7</v>
      </c>
      <c r="G29" s="97" t="s">
        <v>8</v>
      </c>
      <c r="H29" s="97" t="s">
        <v>70</v>
      </c>
      <c r="I29" s="97" t="s">
        <v>71</v>
      </c>
      <c r="J29" s="97" t="s">
        <v>72</v>
      </c>
      <c r="K29" s="97" t="s">
        <v>73</v>
      </c>
      <c r="L29">
        <v>701000</v>
      </c>
      <c r="M29" s="97" t="s">
        <v>62</v>
      </c>
      <c r="N29" s="97" t="s">
        <v>33</v>
      </c>
      <c r="O29">
        <v>1603</v>
      </c>
      <c r="P29">
        <v>1.05</v>
      </c>
      <c r="Q29">
        <v>1.68</v>
      </c>
      <c r="R29" s="97" t="s">
        <v>1200</v>
      </c>
      <c r="S29" s="97" t="s">
        <v>195</v>
      </c>
    </row>
    <row r="30" spans="1:19" x14ac:dyDescent="0.3">
      <c r="A30" s="97" t="s">
        <v>318</v>
      </c>
      <c r="B30" s="97" t="s">
        <v>22</v>
      </c>
      <c r="C30">
        <v>2026</v>
      </c>
      <c r="D30">
        <v>1</v>
      </c>
      <c r="E30" s="2">
        <v>46024</v>
      </c>
      <c r="F30" s="97" t="s">
        <v>7</v>
      </c>
      <c r="G30" s="97" t="s">
        <v>8</v>
      </c>
      <c r="H30" s="97" t="s">
        <v>70</v>
      </c>
      <c r="I30" s="97" t="s">
        <v>71</v>
      </c>
      <c r="J30" s="97" t="s">
        <v>72</v>
      </c>
      <c r="K30" s="97" t="s">
        <v>73</v>
      </c>
      <c r="L30">
        <v>701000</v>
      </c>
      <c r="M30" s="97" t="s">
        <v>62</v>
      </c>
      <c r="N30" s="97" t="s">
        <v>33</v>
      </c>
      <c r="O30">
        <v>1063</v>
      </c>
      <c r="P30">
        <v>1.05</v>
      </c>
      <c r="Q30">
        <v>1.1200000000000001</v>
      </c>
      <c r="R30" s="97" t="s">
        <v>1203</v>
      </c>
      <c r="S30" s="97" t="s">
        <v>195</v>
      </c>
    </row>
    <row r="31" spans="1:19" x14ac:dyDescent="0.3">
      <c r="A31" s="97" t="s">
        <v>319</v>
      </c>
      <c r="B31" s="97" t="s">
        <v>22</v>
      </c>
      <c r="C31">
        <v>2026</v>
      </c>
      <c r="D31">
        <v>1</v>
      </c>
      <c r="E31" s="2">
        <v>46024</v>
      </c>
      <c r="F31" s="97" t="s">
        <v>7</v>
      </c>
      <c r="G31" s="97" t="s">
        <v>8</v>
      </c>
      <c r="H31" s="97" t="s">
        <v>70</v>
      </c>
      <c r="I31" s="97" t="s">
        <v>71</v>
      </c>
      <c r="J31" s="97" t="s">
        <v>72</v>
      </c>
      <c r="K31" s="97" t="s">
        <v>73</v>
      </c>
      <c r="L31">
        <v>701000</v>
      </c>
      <c r="M31" s="97" t="s">
        <v>62</v>
      </c>
      <c r="N31" s="97" t="s">
        <v>33</v>
      </c>
      <c r="O31">
        <v>4696</v>
      </c>
      <c r="P31">
        <v>1.05</v>
      </c>
      <c r="Q31">
        <v>4.93</v>
      </c>
      <c r="R31" s="97" t="s">
        <v>1198</v>
      </c>
      <c r="S31" s="97" t="s">
        <v>195</v>
      </c>
    </row>
    <row r="32" spans="1:19" x14ac:dyDescent="0.3">
      <c r="A32" s="97" t="s">
        <v>320</v>
      </c>
      <c r="B32" s="97" t="s">
        <v>22</v>
      </c>
      <c r="C32">
        <v>2026</v>
      </c>
      <c r="D32">
        <v>1</v>
      </c>
      <c r="E32" s="2">
        <v>46024</v>
      </c>
      <c r="F32" s="97" t="s">
        <v>7</v>
      </c>
      <c r="G32" s="97" t="s">
        <v>8</v>
      </c>
      <c r="H32" s="97" t="s">
        <v>70</v>
      </c>
      <c r="I32" s="97" t="s">
        <v>71</v>
      </c>
      <c r="J32" s="97" t="s">
        <v>72</v>
      </c>
      <c r="K32" s="97" t="s">
        <v>73</v>
      </c>
      <c r="L32">
        <v>707000</v>
      </c>
      <c r="M32" s="97" t="s">
        <v>81</v>
      </c>
      <c r="N32" s="97" t="s">
        <v>33</v>
      </c>
      <c r="O32">
        <v>4277</v>
      </c>
      <c r="P32">
        <v>1.05</v>
      </c>
      <c r="Q32">
        <v>4.49</v>
      </c>
      <c r="R32" s="97" t="s">
        <v>1200</v>
      </c>
      <c r="S32" s="97" t="s">
        <v>195</v>
      </c>
    </row>
    <row r="33" spans="1:19" x14ac:dyDescent="0.3">
      <c r="A33" s="97" t="s">
        <v>321</v>
      </c>
      <c r="B33" s="97" t="s">
        <v>22</v>
      </c>
      <c r="C33">
        <v>2026</v>
      </c>
      <c r="D33">
        <v>1</v>
      </c>
      <c r="E33" s="2">
        <v>46024</v>
      </c>
      <c r="F33" s="97" t="s">
        <v>7</v>
      </c>
      <c r="G33" s="97" t="s">
        <v>8</v>
      </c>
      <c r="H33" s="97" t="s">
        <v>70</v>
      </c>
      <c r="I33" s="97" t="s">
        <v>71</v>
      </c>
      <c r="J33" s="97" t="s">
        <v>72</v>
      </c>
      <c r="K33" s="97" t="s">
        <v>73</v>
      </c>
      <c r="L33">
        <v>707000</v>
      </c>
      <c r="M33" s="97" t="s">
        <v>81</v>
      </c>
      <c r="N33" s="97" t="s">
        <v>33</v>
      </c>
      <c r="O33">
        <v>4839</v>
      </c>
      <c r="P33">
        <v>1.05</v>
      </c>
      <c r="Q33">
        <v>5.08</v>
      </c>
      <c r="R33" s="97" t="s">
        <v>1205</v>
      </c>
      <c r="S33" s="97" t="s">
        <v>195</v>
      </c>
    </row>
    <row r="34" spans="1:19" x14ac:dyDescent="0.3">
      <c r="A34" s="97" t="s">
        <v>322</v>
      </c>
      <c r="B34" s="97" t="s">
        <v>22</v>
      </c>
      <c r="C34">
        <v>2026</v>
      </c>
      <c r="D34">
        <v>1</v>
      </c>
      <c r="E34" s="2">
        <v>46024</v>
      </c>
      <c r="F34" s="97" t="s">
        <v>7</v>
      </c>
      <c r="G34" s="97" t="s">
        <v>8</v>
      </c>
      <c r="H34" s="97" t="s">
        <v>70</v>
      </c>
      <c r="I34" s="97" t="s">
        <v>71</v>
      </c>
      <c r="J34" s="97" t="s">
        <v>72</v>
      </c>
      <c r="K34" s="97" t="s">
        <v>73</v>
      </c>
      <c r="L34">
        <v>707000</v>
      </c>
      <c r="M34" s="97" t="s">
        <v>81</v>
      </c>
      <c r="N34" s="97" t="s">
        <v>33</v>
      </c>
      <c r="O34">
        <v>948</v>
      </c>
      <c r="P34">
        <v>1.05</v>
      </c>
      <c r="Q34">
        <v>1</v>
      </c>
      <c r="R34" s="97" t="s">
        <v>1204</v>
      </c>
      <c r="S34" s="97" t="s">
        <v>195</v>
      </c>
    </row>
    <row r="35" spans="1:19" x14ac:dyDescent="0.3">
      <c r="A35" s="97" t="s">
        <v>323</v>
      </c>
      <c r="B35" s="97" t="s">
        <v>22</v>
      </c>
      <c r="C35">
        <v>2026</v>
      </c>
      <c r="D35">
        <v>1</v>
      </c>
      <c r="E35" s="2">
        <v>46024</v>
      </c>
      <c r="F35" s="97" t="s">
        <v>7</v>
      </c>
      <c r="G35" s="97" t="s">
        <v>8</v>
      </c>
      <c r="H35" s="97" t="s">
        <v>70</v>
      </c>
      <c r="I35" s="97" t="s">
        <v>71</v>
      </c>
      <c r="J35" s="97" t="s">
        <v>72</v>
      </c>
      <c r="K35" s="97" t="s">
        <v>73</v>
      </c>
      <c r="L35">
        <v>707000</v>
      </c>
      <c r="M35" s="97" t="s">
        <v>81</v>
      </c>
      <c r="N35" s="97" t="s">
        <v>33</v>
      </c>
      <c r="O35">
        <v>7943</v>
      </c>
      <c r="P35">
        <v>1.05</v>
      </c>
      <c r="Q35">
        <v>8.34</v>
      </c>
      <c r="R35" s="97" t="s">
        <v>1197</v>
      </c>
      <c r="S35" s="97" t="s">
        <v>195</v>
      </c>
    </row>
    <row r="36" spans="1:19" x14ac:dyDescent="0.3">
      <c r="A36" s="97" t="s">
        <v>324</v>
      </c>
      <c r="B36" s="97" t="s">
        <v>22</v>
      </c>
      <c r="C36">
        <v>2026</v>
      </c>
      <c r="D36">
        <v>1</v>
      </c>
      <c r="E36" s="2">
        <v>46024</v>
      </c>
      <c r="F36" s="97" t="s">
        <v>7</v>
      </c>
      <c r="G36" s="97" t="s">
        <v>8</v>
      </c>
      <c r="H36" s="97" t="s">
        <v>70</v>
      </c>
      <c r="I36" s="97" t="s">
        <v>71</v>
      </c>
      <c r="J36" s="97" t="s">
        <v>72</v>
      </c>
      <c r="K36" s="97" t="s">
        <v>73</v>
      </c>
      <c r="L36">
        <v>707000</v>
      </c>
      <c r="M36" s="97" t="s">
        <v>81</v>
      </c>
      <c r="N36" s="97" t="s">
        <v>33</v>
      </c>
      <c r="O36">
        <v>3646</v>
      </c>
      <c r="P36">
        <v>1.05</v>
      </c>
      <c r="Q36">
        <v>3.83</v>
      </c>
      <c r="R36" s="97" t="s">
        <v>1203</v>
      </c>
      <c r="S36" s="97" t="s">
        <v>195</v>
      </c>
    </row>
    <row r="37" spans="1:19" x14ac:dyDescent="0.3">
      <c r="A37" s="97" t="s">
        <v>515</v>
      </c>
      <c r="B37" s="97" t="s">
        <v>22</v>
      </c>
      <c r="C37">
        <v>2026</v>
      </c>
      <c r="D37">
        <v>1</v>
      </c>
      <c r="E37" s="2">
        <v>46024</v>
      </c>
      <c r="F37" s="97" t="s">
        <v>7</v>
      </c>
      <c r="G37" s="97" t="s">
        <v>8</v>
      </c>
      <c r="H37" s="97" t="s">
        <v>74</v>
      </c>
      <c r="I37" s="97" t="s">
        <v>77</v>
      </c>
      <c r="J37" s="97" t="s">
        <v>78</v>
      </c>
      <c r="K37" s="97" t="s">
        <v>73</v>
      </c>
      <c r="L37">
        <v>701000</v>
      </c>
      <c r="M37" s="97" t="s">
        <v>62</v>
      </c>
      <c r="N37" s="97" t="s">
        <v>33</v>
      </c>
      <c r="O37">
        <v>1073</v>
      </c>
      <c r="P37">
        <v>1.8</v>
      </c>
      <c r="Q37">
        <v>1.93</v>
      </c>
      <c r="R37" s="97" t="s">
        <v>1200</v>
      </c>
      <c r="S37" s="97" t="s">
        <v>195</v>
      </c>
    </row>
    <row r="38" spans="1:19" x14ac:dyDescent="0.3">
      <c r="A38" s="97" t="s">
        <v>516</v>
      </c>
      <c r="B38" s="97" t="s">
        <v>22</v>
      </c>
      <c r="C38">
        <v>2026</v>
      </c>
      <c r="D38">
        <v>1</v>
      </c>
      <c r="E38" s="2">
        <v>46024</v>
      </c>
      <c r="F38" s="97" t="s">
        <v>7</v>
      </c>
      <c r="G38" s="97" t="s">
        <v>8</v>
      </c>
      <c r="H38" s="97" t="s">
        <v>74</v>
      </c>
      <c r="I38" s="97" t="s">
        <v>77</v>
      </c>
      <c r="J38" s="97" t="s">
        <v>78</v>
      </c>
      <c r="K38" s="97" t="s">
        <v>73</v>
      </c>
      <c r="L38">
        <v>701000</v>
      </c>
      <c r="M38" s="97" t="s">
        <v>62</v>
      </c>
      <c r="N38" s="97" t="s">
        <v>33</v>
      </c>
      <c r="O38">
        <v>338</v>
      </c>
      <c r="P38">
        <v>1.8</v>
      </c>
      <c r="Q38">
        <v>0.61</v>
      </c>
      <c r="R38" s="97" t="s">
        <v>1201</v>
      </c>
      <c r="S38" s="97" t="s">
        <v>195</v>
      </c>
    </row>
    <row r="39" spans="1:19" x14ac:dyDescent="0.3">
      <c r="A39" s="97" t="s">
        <v>517</v>
      </c>
      <c r="B39" s="97" t="s">
        <v>22</v>
      </c>
      <c r="C39">
        <v>2026</v>
      </c>
      <c r="D39">
        <v>1</v>
      </c>
      <c r="E39" s="2">
        <v>46024</v>
      </c>
      <c r="F39" s="97" t="s">
        <v>7</v>
      </c>
      <c r="G39" s="97" t="s">
        <v>8</v>
      </c>
      <c r="H39" s="97" t="s">
        <v>74</v>
      </c>
      <c r="I39" s="97" t="s">
        <v>77</v>
      </c>
      <c r="J39" s="97" t="s">
        <v>78</v>
      </c>
      <c r="K39" s="97" t="s">
        <v>73</v>
      </c>
      <c r="L39">
        <v>701000</v>
      </c>
      <c r="M39" s="97" t="s">
        <v>62</v>
      </c>
      <c r="N39" s="97" t="s">
        <v>33</v>
      </c>
      <c r="O39">
        <v>780</v>
      </c>
      <c r="P39">
        <v>1.79</v>
      </c>
      <c r="Q39">
        <v>1.4</v>
      </c>
      <c r="R39" s="97" t="s">
        <v>1203</v>
      </c>
      <c r="S39" s="97" t="s">
        <v>195</v>
      </c>
    </row>
    <row r="40" spans="1:19" x14ac:dyDescent="0.3">
      <c r="A40" s="97" t="s">
        <v>518</v>
      </c>
      <c r="B40" s="97" t="s">
        <v>22</v>
      </c>
      <c r="C40">
        <v>2026</v>
      </c>
      <c r="D40">
        <v>1</v>
      </c>
      <c r="E40" s="2">
        <v>46024</v>
      </c>
      <c r="F40" s="97" t="s">
        <v>7</v>
      </c>
      <c r="G40" s="97" t="s">
        <v>8</v>
      </c>
      <c r="H40" s="97" t="s">
        <v>74</v>
      </c>
      <c r="I40" s="97" t="s">
        <v>77</v>
      </c>
      <c r="J40" s="97" t="s">
        <v>78</v>
      </c>
      <c r="K40" s="97" t="s">
        <v>73</v>
      </c>
      <c r="L40">
        <v>701000</v>
      </c>
      <c r="M40" s="97" t="s">
        <v>62</v>
      </c>
      <c r="N40" s="97" t="s">
        <v>33</v>
      </c>
      <c r="O40">
        <v>790</v>
      </c>
      <c r="P40">
        <v>1.8</v>
      </c>
      <c r="Q40">
        <v>1.42</v>
      </c>
      <c r="R40" s="97" t="s">
        <v>1199</v>
      </c>
      <c r="S40" s="97" t="s">
        <v>195</v>
      </c>
    </row>
    <row r="41" spans="1:19" x14ac:dyDescent="0.3">
      <c r="A41" s="97" t="s">
        <v>519</v>
      </c>
      <c r="B41" s="97" t="s">
        <v>22</v>
      </c>
      <c r="C41">
        <v>2026</v>
      </c>
      <c r="D41">
        <v>1</v>
      </c>
      <c r="E41" s="2">
        <v>46024</v>
      </c>
      <c r="F41" s="97" t="s">
        <v>7</v>
      </c>
      <c r="G41" s="97" t="s">
        <v>8</v>
      </c>
      <c r="H41" s="97" t="s">
        <v>74</v>
      </c>
      <c r="I41" s="97" t="s">
        <v>77</v>
      </c>
      <c r="J41" s="97" t="s">
        <v>78</v>
      </c>
      <c r="K41" s="97" t="s">
        <v>73</v>
      </c>
      <c r="L41">
        <v>701000</v>
      </c>
      <c r="M41" s="97" t="s">
        <v>62</v>
      </c>
      <c r="N41" s="97" t="s">
        <v>33</v>
      </c>
      <c r="O41">
        <v>880</v>
      </c>
      <c r="P41">
        <v>1.81</v>
      </c>
      <c r="Q41">
        <v>1.59</v>
      </c>
      <c r="R41" s="97" t="s">
        <v>1205</v>
      </c>
      <c r="S41" s="97" t="s">
        <v>195</v>
      </c>
    </row>
    <row r="42" spans="1:19" x14ac:dyDescent="0.3">
      <c r="A42" s="97" t="s">
        <v>635</v>
      </c>
      <c r="B42" s="97" t="s">
        <v>22</v>
      </c>
      <c r="C42">
        <v>2026</v>
      </c>
      <c r="D42">
        <v>1</v>
      </c>
      <c r="E42" s="2">
        <v>46024</v>
      </c>
      <c r="F42" s="97" t="s">
        <v>7</v>
      </c>
      <c r="G42" s="97" t="s">
        <v>8</v>
      </c>
      <c r="H42" s="97" t="s">
        <v>70</v>
      </c>
      <c r="I42" s="97" t="s">
        <v>77</v>
      </c>
      <c r="J42" s="97" t="s">
        <v>78</v>
      </c>
      <c r="K42" s="97" t="s">
        <v>73</v>
      </c>
      <c r="L42">
        <v>701000</v>
      </c>
      <c r="M42" s="97" t="s">
        <v>62</v>
      </c>
      <c r="N42" s="97" t="s">
        <v>33</v>
      </c>
      <c r="O42">
        <v>685</v>
      </c>
      <c r="P42">
        <v>1.8</v>
      </c>
      <c r="Q42">
        <v>1.23</v>
      </c>
      <c r="R42" s="97" t="s">
        <v>1205</v>
      </c>
      <c r="S42" s="97" t="s">
        <v>195</v>
      </c>
    </row>
    <row r="43" spans="1:19" x14ac:dyDescent="0.3">
      <c r="A43" s="97" t="s">
        <v>636</v>
      </c>
      <c r="B43" s="97" t="s">
        <v>22</v>
      </c>
      <c r="C43">
        <v>2026</v>
      </c>
      <c r="D43">
        <v>1</v>
      </c>
      <c r="E43" s="2">
        <v>46024</v>
      </c>
      <c r="F43" s="97" t="s">
        <v>7</v>
      </c>
      <c r="G43" s="97" t="s">
        <v>8</v>
      </c>
      <c r="H43" s="97" t="s">
        <v>70</v>
      </c>
      <c r="I43" s="97" t="s">
        <v>77</v>
      </c>
      <c r="J43" s="97" t="s">
        <v>78</v>
      </c>
      <c r="K43" s="97" t="s">
        <v>73</v>
      </c>
      <c r="L43">
        <v>701000</v>
      </c>
      <c r="M43" s="97" t="s">
        <v>62</v>
      </c>
      <c r="N43" s="97" t="s">
        <v>33</v>
      </c>
      <c r="O43">
        <v>608</v>
      </c>
      <c r="P43">
        <v>1.79</v>
      </c>
      <c r="Q43">
        <v>1.0900000000000001</v>
      </c>
      <c r="R43" s="97" t="s">
        <v>1200</v>
      </c>
      <c r="S43" s="97" t="s">
        <v>195</v>
      </c>
    </row>
    <row r="44" spans="1:19" x14ac:dyDescent="0.3">
      <c r="A44" s="97" t="s">
        <v>637</v>
      </c>
      <c r="B44" s="97" t="s">
        <v>22</v>
      </c>
      <c r="C44">
        <v>2026</v>
      </c>
      <c r="D44">
        <v>1</v>
      </c>
      <c r="E44" s="2">
        <v>46024</v>
      </c>
      <c r="F44" s="97" t="s">
        <v>7</v>
      </c>
      <c r="G44" s="97" t="s">
        <v>8</v>
      </c>
      <c r="H44" s="97" t="s">
        <v>70</v>
      </c>
      <c r="I44" s="97" t="s">
        <v>77</v>
      </c>
      <c r="J44" s="97" t="s">
        <v>78</v>
      </c>
      <c r="K44" s="97" t="s">
        <v>73</v>
      </c>
      <c r="L44">
        <v>701000</v>
      </c>
      <c r="M44" s="97" t="s">
        <v>62</v>
      </c>
      <c r="N44" s="97" t="s">
        <v>33</v>
      </c>
      <c r="O44">
        <v>1057</v>
      </c>
      <c r="P44">
        <v>1.8</v>
      </c>
      <c r="Q44">
        <v>1.9</v>
      </c>
      <c r="R44" s="97" t="s">
        <v>1198</v>
      </c>
      <c r="S44" s="97" t="s">
        <v>195</v>
      </c>
    </row>
    <row r="45" spans="1:19" x14ac:dyDescent="0.3">
      <c r="A45" s="97" t="s">
        <v>638</v>
      </c>
      <c r="B45" s="97" t="s">
        <v>22</v>
      </c>
      <c r="C45">
        <v>2026</v>
      </c>
      <c r="D45">
        <v>1</v>
      </c>
      <c r="E45" s="2">
        <v>46024</v>
      </c>
      <c r="F45" s="97" t="s">
        <v>7</v>
      </c>
      <c r="G45" s="97" t="s">
        <v>8</v>
      </c>
      <c r="H45" s="97" t="s">
        <v>70</v>
      </c>
      <c r="I45" s="97" t="s">
        <v>77</v>
      </c>
      <c r="J45" s="97" t="s">
        <v>78</v>
      </c>
      <c r="K45" s="97" t="s">
        <v>73</v>
      </c>
      <c r="L45">
        <v>701000</v>
      </c>
      <c r="M45" s="97" t="s">
        <v>62</v>
      </c>
      <c r="N45" s="97" t="s">
        <v>33</v>
      </c>
      <c r="O45">
        <v>810</v>
      </c>
      <c r="P45">
        <v>1.8</v>
      </c>
      <c r="Q45">
        <v>1.46</v>
      </c>
      <c r="R45" s="97" t="s">
        <v>1202</v>
      </c>
      <c r="S45" s="97" t="s">
        <v>195</v>
      </c>
    </row>
    <row r="46" spans="1:19" x14ac:dyDescent="0.3">
      <c r="A46" s="97" t="s">
        <v>639</v>
      </c>
      <c r="B46" s="97" t="s">
        <v>22</v>
      </c>
      <c r="C46">
        <v>2026</v>
      </c>
      <c r="D46">
        <v>1</v>
      </c>
      <c r="E46" s="2">
        <v>46024</v>
      </c>
      <c r="F46" s="97" t="s">
        <v>7</v>
      </c>
      <c r="G46" s="97" t="s">
        <v>8</v>
      </c>
      <c r="H46" s="97" t="s">
        <v>70</v>
      </c>
      <c r="I46" s="97" t="s">
        <v>77</v>
      </c>
      <c r="J46" s="97" t="s">
        <v>78</v>
      </c>
      <c r="K46" s="97" t="s">
        <v>73</v>
      </c>
      <c r="L46">
        <v>701000</v>
      </c>
      <c r="M46" s="97" t="s">
        <v>62</v>
      </c>
      <c r="N46" s="97" t="s">
        <v>33</v>
      </c>
      <c r="O46">
        <v>516</v>
      </c>
      <c r="P46">
        <v>1.82</v>
      </c>
      <c r="Q46">
        <v>0.94</v>
      </c>
      <c r="R46" s="97" t="s">
        <v>1197</v>
      </c>
      <c r="S46" s="97" t="s">
        <v>195</v>
      </c>
    </row>
    <row r="47" spans="1:19" x14ac:dyDescent="0.3">
      <c r="A47" s="97" t="s">
        <v>815</v>
      </c>
      <c r="B47" s="97" t="s">
        <v>22</v>
      </c>
      <c r="C47">
        <v>2026</v>
      </c>
      <c r="D47">
        <v>1</v>
      </c>
      <c r="E47" s="2">
        <v>46024</v>
      </c>
      <c r="F47" s="97" t="s">
        <v>7</v>
      </c>
      <c r="G47" s="97" t="s">
        <v>8</v>
      </c>
      <c r="H47" s="97" t="s">
        <v>70</v>
      </c>
      <c r="I47" s="97" t="s">
        <v>82</v>
      </c>
      <c r="J47" s="97" t="s">
        <v>83</v>
      </c>
      <c r="K47" s="97" t="s">
        <v>73</v>
      </c>
      <c r="L47">
        <v>701000</v>
      </c>
      <c r="M47" s="97" t="s">
        <v>62</v>
      </c>
      <c r="N47" s="97" t="s">
        <v>33</v>
      </c>
      <c r="O47">
        <v>163</v>
      </c>
      <c r="P47">
        <v>18.53</v>
      </c>
      <c r="Q47">
        <v>3.02</v>
      </c>
      <c r="R47" s="97" t="s">
        <v>1200</v>
      </c>
      <c r="S47" s="97" t="s">
        <v>195</v>
      </c>
    </row>
    <row r="48" spans="1:19" x14ac:dyDescent="0.3">
      <c r="A48" s="97" t="s">
        <v>816</v>
      </c>
      <c r="B48" s="97" t="s">
        <v>22</v>
      </c>
      <c r="C48">
        <v>2026</v>
      </c>
      <c r="D48">
        <v>1</v>
      </c>
      <c r="E48" s="2">
        <v>46024</v>
      </c>
      <c r="F48" s="97" t="s">
        <v>7</v>
      </c>
      <c r="G48" s="97" t="s">
        <v>8</v>
      </c>
      <c r="H48" s="97" t="s">
        <v>70</v>
      </c>
      <c r="I48" s="97" t="s">
        <v>82</v>
      </c>
      <c r="J48" s="97" t="s">
        <v>83</v>
      </c>
      <c r="K48" s="97" t="s">
        <v>73</v>
      </c>
      <c r="L48">
        <v>701000</v>
      </c>
      <c r="M48" s="97" t="s">
        <v>62</v>
      </c>
      <c r="N48" s="97" t="s">
        <v>33</v>
      </c>
      <c r="O48">
        <v>212</v>
      </c>
      <c r="P48">
        <v>18.489999999999998</v>
      </c>
      <c r="Q48">
        <v>3.92</v>
      </c>
      <c r="R48" s="97" t="s">
        <v>1201</v>
      </c>
      <c r="S48" s="97" t="s">
        <v>195</v>
      </c>
    </row>
    <row r="49" spans="1:19" x14ac:dyDescent="0.3">
      <c r="A49" s="97" t="s">
        <v>817</v>
      </c>
      <c r="B49" s="97" t="s">
        <v>22</v>
      </c>
      <c r="C49">
        <v>2026</v>
      </c>
      <c r="D49">
        <v>1</v>
      </c>
      <c r="E49" s="2">
        <v>46024</v>
      </c>
      <c r="F49" s="97" t="s">
        <v>7</v>
      </c>
      <c r="G49" s="97" t="s">
        <v>8</v>
      </c>
      <c r="H49" s="97" t="s">
        <v>70</v>
      </c>
      <c r="I49" s="97" t="s">
        <v>82</v>
      </c>
      <c r="J49" s="97" t="s">
        <v>83</v>
      </c>
      <c r="K49" s="97" t="s">
        <v>73</v>
      </c>
      <c r="L49">
        <v>701000</v>
      </c>
      <c r="M49" s="97" t="s">
        <v>62</v>
      </c>
      <c r="N49" s="97" t="s">
        <v>33</v>
      </c>
      <c r="O49">
        <v>68</v>
      </c>
      <c r="P49">
        <v>18.53</v>
      </c>
      <c r="Q49">
        <v>1.26</v>
      </c>
      <c r="R49" s="97" t="s">
        <v>1205</v>
      </c>
      <c r="S49" s="97" t="s">
        <v>195</v>
      </c>
    </row>
    <row r="50" spans="1:19" x14ac:dyDescent="0.3">
      <c r="A50" s="97" t="s">
        <v>818</v>
      </c>
      <c r="B50" s="97" t="s">
        <v>22</v>
      </c>
      <c r="C50">
        <v>2026</v>
      </c>
      <c r="D50">
        <v>1</v>
      </c>
      <c r="E50" s="2">
        <v>46024</v>
      </c>
      <c r="F50" s="97" t="s">
        <v>7</v>
      </c>
      <c r="G50" s="97" t="s">
        <v>8</v>
      </c>
      <c r="H50" s="97" t="s">
        <v>70</v>
      </c>
      <c r="I50" s="97" t="s">
        <v>82</v>
      </c>
      <c r="J50" s="97" t="s">
        <v>83</v>
      </c>
      <c r="K50" s="97" t="s">
        <v>73</v>
      </c>
      <c r="L50">
        <v>701000</v>
      </c>
      <c r="M50" s="97" t="s">
        <v>62</v>
      </c>
      <c r="N50" s="97" t="s">
        <v>33</v>
      </c>
      <c r="O50">
        <v>32</v>
      </c>
      <c r="P50">
        <v>18.75</v>
      </c>
      <c r="Q50">
        <v>0.6</v>
      </c>
      <c r="R50" s="97" t="s">
        <v>1204</v>
      </c>
      <c r="S50" s="97" t="s">
        <v>195</v>
      </c>
    </row>
    <row r="51" spans="1:19" x14ac:dyDescent="0.3">
      <c r="A51" s="97" t="s">
        <v>819</v>
      </c>
      <c r="B51" s="97" t="s">
        <v>22</v>
      </c>
      <c r="C51">
        <v>2026</v>
      </c>
      <c r="D51">
        <v>1</v>
      </c>
      <c r="E51" s="2">
        <v>46024</v>
      </c>
      <c r="F51" s="97" t="s">
        <v>7</v>
      </c>
      <c r="G51" s="97" t="s">
        <v>8</v>
      </c>
      <c r="H51" s="97" t="s">
        <v>70</v>
      </c>
      <c r="I51" s="97" t="s">
        <v>82</v>
      </c>
      <c r="J51" s="97" t="s">
        <v>83</v>
      </c>
      <c r="K51" s="97" t="s">
        <v>73</v>
      </c>
      <c r="L51">
        <v>701000</v>
      </c>
      <c r="M51" s="97" t="s">
        <v>62</v>
      </c>
      <c r="N51" s="97" t="s">
        <v>33</v>
      </c>
      <c r="O51">
        <v>67</v>
      </c>
      <c r="P51">
        <v>18.21</v>
      </c>
      <c r="Q51">
        <v>1.22</v>
      </c>
      <c r="R51" s="97" t="s">
        <v>1203</v>
      </c>
      <c r="S51" s="97" t="s">
        <v>195</v>
      </c>
    </row>
    <row r="52" spans="1:19" x14ac:dyDescent="0.3">
      <c r="A52" s="97" t="s">
        <v>875</v>
      </c>
      <c r="B52" s="97" t="s">
        <v>22</v>
      </c>
      <c r="C52">
        <v>2026</v>
      </c>
      <c r="D52">
        <v>1</v>
      </c>
      <c r="E52" s="2">
        <v>46024</v>
      </c>
      <c r="F52" s="97" t="s">
        <v>7</v>
      </c>
      <c r="G52" s="97" t="s">
        <v>8</v>
      </c>
      <c r="H52" s="97" t="s">
        <v>70</v>
      </c>
      <c r="I52" s="97" t="s">
        <v>82</v>
      </c>
      <c r="J52" s="97" t="s">
        <v>83</v>
      </c>
      <c r="K52" s="97" t="s">
        <v>73</v>
      </c>
      <c r="L52">
        <v>701000</v>
      </c>
      <c r="M52" s="97" t="s">
        <v>62</v>
      </c>
      <c r="N52" s="97" t="s">
        <v>33</v>
      </c>
      <c r="O52">
        <v>191</v>
      </c>
      <c r="P52">
        <v>18.53</v>
      </c>
      <c r="Q52">
        <v>3.54</v>
      </c>
      <c r="R52" s="97" t="s">
        <v>1204</v>
      </c>
      <c r="S52" s="97" t="s">
        <v>195</v>
      </c>
    </row>
    <row r="53" spans="1:19" x14ac:dyDescent="0.3">
      <c r="A53" s="97" t="s">
        <v>876</v>
      </c>
      <c r="B53" s="97" t="s">
        <v>22</v>
      </c>
      <c r="C53">
        <v>2026</v>
      </c>
      <c r="D53">
        <v>1</v>
      </c>
      <c r="E53" s="2">
        <v>46024</v>
      </c>
      <c r="F53" s="97" t="s">
        <v>7</v>
      </c>
      <c r="G53" s="97" t="s">
        <v>8</v>
      </c>
      <c r="H53" s="97" t="s">
        <v>70</v>
      </c>
      <c r="I53" s="97" t="s">
        <v>82</v>
      </c>
      <c r="J53" s="97" t="s">
        <v>83</v>
      </c>
      <c r="K53" s="97" t="s">
        <v>73</v>
      </c>
      <c r="L53">
        <v>701000</v>
      </c>
      <c r="M53" s="97" t="s">
        <v>62</v>
      </c>
      <c r="N53" s="97" t="s">
        <v>33</v>
      </c>
      <c r="O53">
        <v>127</v>
      </c>
      <c r="P53">
        <v>18.43</v>
      </c>
      <c r="Q53">
        <v>2.34</v>
      </c>
      <c r="R53" s="97" t="s">
        <v>1203</v>
      </c>
      <c r="S53" s="97" t="s">
        <v>195</v>
      </c>
    </row>
    <row r="54" spans="1:19" x14ac:dyDescent="0.3">
      <c r="A54" s="97" t="s">
        <v>877</v>
      </c>
      <c r="B54" s="97" t="s">
        <v>22</v>
      </c>
      <c r="C54">
        <v>2026</v>
      </c>
      <c r="D54">
        <v>1</v>
      </c>
      <c r="E54" s="2">
        <v>46024</v>
      </c>
      <c r="F54" s="97" t="s">
        <v>7</v>
      </c>
      <c r="G54" s="97" t="s">
        <v>8</v>
      </c>
      <c r="H54" s="97" t="s">
        <v>70</v>
      </c>
      <c r="I54" s="97" t="s">
        <v>82</v>
      </c>
      <c r="J54" s="97" t="s">
        <v>83</v>
      </c>
      <c r="K54" s="97" t="s">
        <v>73</v>
      </c>
      <c r="L54">
        <v>701000</v>
      </c>
      <c r="M54" s="97" t="s">
        <v>62</v>
      </c>
      <c r="N54" s="97" t="s">
        <v>33</v>
      </c>
      <c r="O54">
        <v>23</v>
      </c>
      <c r="P54">
        <v>18.7</v>
      </c>
      <c r="Q54">
        <v>0.43</v>
      </c>
      <c r="R54" s="97" t="s">
        <v>1201</v>
      </c>
      <c r="S54" s="97" t="s">
        <v>195</v>
      </c>
    </row>
    <row r="55" spans="1:19" x14ac:dyDescent="0.3">
      <c r="A55" s="97" t="s">
        <v>878</v>
      </c>
      <c r="B55" s="97" t="s">
        <v>22</v>
      </c>
      <c r="C55">
        <v>2026</v>
      </c>
      <c r="D55">
        <v>1</v>
      </c>
      <c r="E55" s="2">
        <v>46024</v>
      </c>
      <c r="F55" s="97" t="s">
        <v>7</v>
      </c>
      <c r="G55" s="97" t="s">
        <v>8</v>
      </c>
      <c r="H55" s="97" t="s">
        <v>70</v>
      </c>
      <c r="I55" s="97" t="s">
        <v>82</v>
      </c>
      <c r="J55" s="97" t="s">
        <v>83</v>
      </c>
      <c r="K55" s="97" t="s">
        <v>73</v>
      </c>
      <c r="L55">
        <v>701000</v>
      </c>
      <c r="M55" s="97" t="s">
        <v>62</v>
      </c>
      <c r="N55" s="97" t="s">
        <v>33</v>
      </c>
      <c r="O55">
        <v>122</v>
      </c>
      <c r="P55">
        <v>18.52</v>
      </c>
      <c r="Q55">
        <v>2.2599999999999998</v>
      </c>
      <c r="R55" s="97" t="s">
        <v>1205</v>
      </c>
      <c r="S55" s="97" t="s">
        <v>195</v>
      </c>
    </row>
    <row r="56" spans="1:19" x14ac:dyDescent="0.3">
      <c r="A56" s="97" t="s">
        <v>879</v>
      </c>
      <c r="B56" s="97" t="s">
        <v>22</v>
      </c>
      <c r="C56">
        <v>2026</v>
      </c>
      <c r="D56">
        <v>1</v>
      </c>
      <c r="E56" s="2">
        <v>46024</v>
      </c>
      <c r="F56" s="97" t="s">
        <v>7</v>
      </c>
      <c r="G56" s="97" t="s">
        <v>8</v>
      </c>
      <c r="H56" s="97" t="s">
        <v>70</v>
      </c>
      <c r="I56" s="97" t="s">
        <v>82</v>
      </c>
      <c r="J56" s="97" t="s">
        <v>83</v>
      </c>
      <c r="K56" s="97" t="s">
        <v>73</v>
      </c>
      <c r="L56">
        <v>701000</v>
      </c>
      <c r="M56" s="97" t="s">
        <v>62</v>
      </c>
      <c r="N56" s="97" t="s">
        <v>33</v>
      </c>
      <c r="O56">
        <v>74</v>
      </c>
      <c r="P56">
        <v>18.510000000000002</v>
      </c>
      <c r="Q56">
        <v>1.37</v>
      </c>
      <c r="R56" s="97" t="s">
        <v>1198</v>
      </c>
      <c r="S56" s="97" t="s">
        <v>195</v>
      </c>
    </row>
    <row r="57" spans="1:19" x14ac:dyDescent="0.3">
      <c r="A57" s="97" t="s">
        <v>410</v>
      </c>
      <c r="B57" s="97" t="s">
        <v>22</v>
      </c>
      <c r="C57">
        <v>2026</v>
      </c>
      <c r="D57">
        <v>1</v>
      </c>
      <c r="E57" s="2">
        <v>46025</v>
      </c>
      <c r="F57" s="97" t="s">
        <v>7</v>
      </c>
      <c r="G57" s="97" t="s">
        <v>8</v>
      </c>
      <c r="H57" s="97" t="s">
        <v>70</v>
      </c>
      <c r="I57" s="97" t="s">
        <v>75</v>
      </c>
      <c r="J57" s="97" t="s">
        <v>76</v>
      </c>
      <c r="K57" s="97" t="s">
        <v>73</v>
      </c>
      <c r="L57">
        <v>701000</v>
      </c>
      <c r="M57" s="97" t="s">
        <v>62</v>
      </c>
      <c r="N57" s="97" t="s">
        <v>33</v>
      </c>
      <c r="O57">
        <v>1492</v>
      </c>
      <c r="P57">
        <v>1.4</v>
      </c>
      <c r="Q57">
        <v>2.09</v>
      </c>
      <c r="R57" s="97" t="s">
        <v>1200</v>
      </c>
      <c r="S57" s="97" t="s">
        <v>195</v>
      </c>
    </row>
    <row r="58" spans="1:19" x14ac:dyDescent="0.3">
      <c r="A58" s="97" t="s">
        <v>411</v>
      </c>
      <c r="B58" s="97" t="s">
        <v>22</v>
      </c>
      <c r="C58">
        <v>2026</v>
      </c>
      <c r="D58">
        <v>1</v>
      </c>
      <c r="E58" s="2">
        <v>46025</v>
      </c>
      <c r="F58" s="97" t="s">
        <v>7</v>
      </c>
      <c r="G58" s="97" t="s">
        <v>8</v>
      </c>
      <c r="H58" s="97" t="s">
        <v>70</v>
      </c>
      <c r="I58" s="97" t="s">
        <v>75</v>
      </c>
      <c r="J58" s="97" t="s">
        <v>76</v>
      </c>
      <c r="K58" s="97" t="s">
        <v>73</v>
      </c>
      <c r="L58">
        <v>701000</v>
      </c>
      <c r="M58" s="97" t="s">
        <v>62</v>
      </c>
      <c r="N58" s="97" t="s">
        <v>33</v>
      </c>
      <c r="O58">
        <v>3186</v>
      </c>
      <c r="P58">
        <v>1.4</v>
      </c>
      <c r="Q58">
        <v>4.46</v>
      </c>
      <c r="R58" s="97" t="s">
        <v>1203</v>
      </c>
      <c r="S58" s="97" t="s">
        <v>195</v>
      </c>
    </row>
    <row r="59" spans="1:19" x14ac:dyDescent="0.3">
      <c r="A59" s="97" t="s">
        <v>412</v>
      </c>
      <c r="B59" s="97" t="s">
        <v>22</v>
      </c>
      <c r="C59">
        <v>2026</v>
      </c>
      <c r="D59">
        <v>1</v>
      </c>
      <c r="E59" s="2">
        <v>46025</v>
      </c>
      <c r="F59" s="97" t="s">
        <v>7</v>
      </c>
      <c r="G59" s="97" t="s">
        <v>8</v>
      </c>
      <c r="H59" s="97" t="s">
        <v>70</v>
      </c>
      <c r="I59" s="97" t="s">
        <v>75</v>
      </c>
      <c r="J59" s="97" t="s">
        <v>76</v>
      </c>
      <c r="K59" s="97" t="s">
        <v>73</v>
      </c>
      <c r="L59">
        <v>701000</v>
      </c>
      <c r="M59" s="97" t="s">
        <v>62</v>
      </c>
      <c r="N59" s="97" t="s">
        <v>33</v>
      </c>
      <c r="O59">
        <v>1136</v>
      </c>
      <c r="P59">
        <v>1.4</v>
      </c>
      <c r="Q59">
        <v>1.59</v>
      </c>
      <c r="R59" s="97" t="s">
        <v>1198</v>
      </c>
      <c r="S59" s="97" t="s">
        <v>195</v>
      </c>
    </row>
    <row r="60" spans="1:19" x14ac:dyDescent="0.3">
      <c r="A60" s="97" t="s">
        <v>413</v>
      </c>
      <c r="B60" s="97" t="s">
        <v>22</v>
      </c>
      <c r="C60">
        <v>2026</v>
      </c>
      <c r="D60">
        <v>1</v>
      </c>
      <c r="E60" s="2">
        <v>46025</v>
      </c>
      <c r="F60" s="97" t="s">
        <v>7</v>
      </c>
      <c r="G60" s="97" t="s">
        <v>8</v>
      </c>
      <c r="H60" s="97" t="s">
        <v>70</v>
      </c>
      <c r="I60" s="97" t="s">
        <v>75</v>
      </c>
      <c r="J60" s="97" t="s">
        <v>76</v>
      </c>
      <c r="K60" s="97" t="s">
        <v>73</v>
      </c>
      <c r="L60">
        <v>701000</v>
      </c>
      <c r="M60" s="97" t="s">
        <v>62</v>
      </c>
      <c r="N60" s="97" t="s">
        <v>33</v>
      </c>
      <c r="O60">
        <v>1019</v>
      </c>
      <c r="P60">
        <v>1.4</v>
      </c>
      <c r="Q60">
        <v>1.43</v>
      </c>
      <c r="R60" s="97" t="s">
        <v>1199</v>
      </c>
      <c r="S60" s="97" t="s">
        <v>195</v>
      </c>
    </row>
    <row r="61" spans="1:19" x14ac:dyDescent="0.3">
      <c r="A61" s="97" t="s">
        <v>414</v>
      </c>
      <c r="B61" s="97" t="s">
        <v>22</v>
      </c>
      <c r="C61">
        <v>2026</v>
      </c>
      <c r="D61">
        <v>1</v>
      </c>
      <c r="E61" s="2">
        <v>46025</v>
      </c>
      <c r="F61" s="97" t="s">
        <v>7</v>
      </c>
      <c r="G61" s="97" t="s">
        <v>8</v>
      </c>
      <c r="H61" s="97" t="s">
        <v>70</v>
      </c>
      <c r="I61" s="97" t="s">
        <v>75</v>
      </c>
      <c r="J61" s="97" t="s">
        <v>76</v>
      </c>
      <c r="K61" s="97" t="s">
        <v>73</v>
      </c>
      <c r="L61">
        <v>701000</v>
      </c>
      <c r="M61" s="97" t="s">
        <v>62</v>
      </c>
      <c r="N61" s="97" t="s">
        <v>33</v>
      </c>
      <c r="O61">
        <v>884</v>
      </c>
      <c r="P61">
        <v>1.39</v>
      </c>
      <c r="Q61">
        <v>1.23</v>
      </c>
      <c r="R61" s="97" t="s">
        <v>1202</v>
      </c>
      <c r="S61" s="97" t="s">
        <v>195</v>
      </c>
    </row>
    <row r="62" spans="1:19" x14ac:dyDescent="0.3">
      <c r="A62" s="97" t="s">
        <v>575</v>
      </c>
      <c r="B62" s="97" t="s">
        <v>22</v>
      </c>
      <c r="C62">
        <v>2026</v>
      </c>
      <c r="D62">
        <v>1</v>
      </c>
      <c r="E62" s="2">
        <v>46025</v>
      </c>
      <c r="F62" s="97" t="s">
        <v>7</v>
      </c>
      <c r="G62" s="97" t="s">
        <v>8</v>
      </c>
      <c r="H62" s="97" t="s">
        <v>74</v>
      </c>
      <c r="I62" s="97" t="s">
        <v>77</v>
      </c>
      <c r="J62" s="97" t="s">
        <v>78</v>
      </c>
      <c r="K62" s="97" t="s">
        <v>73</v>
      </c>
      <c r="L62">
        <v>707000</v>
      </c>
      <c r="M62" s="97" t="s">
        <v>81</v>
      </c>
      <c r="N62" s="97" t="s">
        <v>33</v>
      </c>
      <c r="O62">
        <v>619</v>
      </c>
      <c r="P62">
        <v>1.79</v>
      </c>
      <c r="Q62">
        <v>1.1100000000000001</v>
      </c>
      <c r="R62" s="97" t="s">
        <v>1198</v>
      </c>
      <c r="S62" s="97" t="s">
        <v>195</v>
      </c>
    </row>
    <row r="63" spans="1:19" x14ac:dyDescent="0.3">
      <c r="A63" s="97" t="s">
        <v>576</v>
      </c>
      <c r="B63" s="97" t="s">
        <v>22</v>
      </c>
      <c r="C63">
        <v>2026</v>
      </c>
      <c r="D63">
        <v>1</v>
      </c>
      <c r="E63" s="2">
        <v>46025</v>
      </c>
      <c r="F63" s="97" t="s">
        <v>7</v>
      </c>
      <c r="G63" s="97" t="s">
        <v>8</v>
      </c>
      <c r="H63" s="97" t="s">
        <v>74</v>
      </c>
      <c r="I63" s="97" t="s">
        <v>77</v>
      </c>
      <c r="J63" s="97" t="s">
        <v>78</v>
      </c>
      <c r="K63" s="97" t="s">
        <v>73</v>
      </c>
      <c r="L63">
        <v>707000</v>
      </c>
      <c r="M63" s="97" t="s">
        <v>81</v>
      </c>
      <c r="N63" s="97" t="s">
        <v>33</v>
      </c>
      <c r="O63">
        <v>1465</v>
      </c>
      <c r="P63">
        <v>1.8</v>
      </c>
      <c r="Q63">
        <v>2.64</v>
      </c>
      <c r="R63" s="97" t="s">
        <v>1201</v>
      </c>
      <c r="S63" s="97" t="s">
        <v>195</v>
      </c>
    </row>
    <row r="64" spans="1:19" x14ac:dyDescent="0.3">
      <c r="A64" s="97" t="s">
        <v>577</v>
      </c>
      <c r="B64" s="97" t="s">
        <v>22</v>
      </c>
      <c r="C64">
        <v>2026</v>
      </c>
      <c r="D64">
        <v>1</v>
      </c>
      <c r="E64" s="2">
        <v>46025</v>
      </c>
      <c r="F64" s="97" t="s">
        <v>7</v>
      </c>
      <c r="G64" s="97" t="s">
        <v>8</v>
      </c>
      <c r="H64" s="97" t="s">
        <v>74</v>
      </c>
      <c r="I64" s="97" t="s">
        <v>77</v>
      </c>
      <c r="J64" s="97" t="s">
        <v>78</v>
      </c>
      <c r="K64" s="97" t="s">
        <v>73</v>
      </c>
      <c r="L64">
        <v>707000</v>
      </c>
      <c r="M64" s="97" t="s">
        <v>81</v>
      </c>
      <c r="N64" s="97" t="s">
        <v>33</v>
      </c>
      <c r="O64">
        <v>141</v>
      </c>
      <c r="P64">
        <v>1.77</v>
      </c>
      <c r="Q64">
        <v>0.25</v>
      </c>
      <c r="R64" s="97" t="s">
        <v>1197</v>
      </c>
      <c r="S64" s="97" t="s">
        <v>195</v>
      </c>
    </row>
    <row r="65" spans="1:19" x14ac:dyDescent="0.3">
      <c r="A65" s="97" t="s">
        <v>578</v>
      </c>
      <c r="B65" s="97" t="s">
        <v>22</v>
      </c>
      <c r="C65">
        <v>2026</v>
      </c>
      <c r="D65">
        <v>1</v>
      </c>
      <c r="E65" s="2">
        <v>46025</v>
      </c>
      <c r="F65" s="97" t="s">
        <v>7</v>
      </c>
      <c r="G65" s="97" t="s">
        <v>8</v>
      </c>
      <c r="H65" s="97" t="s">
        <v>74</v>
      </c>
      <c r="I65" s="97" t="s">
        <v>77</v>
      </c>
      <c r="J65" s="97" t="s">
        <v>78</v>
      </c>
      <c r="K65" s="97" t="s">
        <v>73</v>
      </c>
      <c r="L65">
        <v>707000</v>
      </c>
      <c r="M65" s="97" t="s">
        <v>81</v>
      </c>
      <c r="N65" s="97" t="s">
        <v>33</v>
      </c>
      <c r="O65">
        <v>35</v>
      </c>
      <c r="P65">
        <v>1.71</v>
      </c>
      <c r="Q65">
        <v>0.06</v>
      </c>
      <c r="R65" s="97" t="s">
        <v>1203</v>
      </c>
      <c r="S65" s="97" t="s">
        <v>195</v>
      </c>
    </row>
    <row r="66" spans="1:19" x14ac:dyDescent="0.3">
      <c r="A66" s="97" t="s">
        <v>579</v>
      </c>
      <c r="B66" s="97" t="s">
        <v>22</v>
      </c>
      <c r="C66">
        <v>2026</v>
      </c>
      <c r="D66">
        <v>1</v>
      </c>
      <c r="E66" s="2">
        <v>46025</v>
      </c>
      <c r="F66" s="97" t="s">
        <v>7</v>
      </c>
      <c r="G66" s="97" t="s">
        <v>8</v>
      </c>
      <c r="H66" s="97" t="s">
        <v>74</v>
      </c>
      <c r="I66" s="97" t="s">
        <v>77</v>
      </c>
      <c r="J66" s="97" t="s">
        <v>78</v>
      </c>
      <c r="K66" s="97" t="s">
        <v>73</v>
      </c>
      <c r="L66">
        <v>707000</v>
      </c>
      <c r="M66" s="97" t="s">
        <v>81</v>
      </c>
      <c r="N66" s="97" t="s">
        <v>33</v>
      </c>
      <c r="O66">
        <v>1985</v>
      </c>
      <c r="P66">
        <v>1.8</v>
      </c>
      <c r="Q66">
        <v>3.58</v>
      </c>
      <c r="R66" s="97" t="s">
        <v>1204</v>
      </c>
      <c r="S66" s="97" t="s">
        <v>195</v>
      </c>
    </row>
    <row r="67" spans="1:19" x14ac:dyDescent="0.3">
      <c r="A67" s="97" t="s">
        <v>830</v>
      </c>
      <c r="B67" s="97" t="s">
        <v>22</v>
      </c>
      <c r="C67">
        <v>2026</v>
      </c>
      <c r="D67">
        <v>1</v>
      </c>
      <c r="E67" s="2">
        <v>46025</v>
      </c>
      <c r="F67" s="97" t="s">
        <v>7</v>
      </c>
      <c r="G67" s="97" t="s">
        <v>8</v>
      </c>
      <c r="H67" s="97" t="s">
        <v>74</v>
      </c>
      <c r="I67" s="97" t="s">
        <v>82</v>
      </c>
      <c r="J67" s="97" t="s">
        <v>83</v>
      </c>
      <c r="K67" s="97" t="s">
        <v>73</v>
      </c>
      <c r="L67">
        <v>701000</v>
      </c>
      <c r="M67" s="97" t="s">
        <v>62</v>
      </c>
      <c r="N67" s="97" t="s">
        <v>33</v>
      </c>
      <c r="O67">
        <v>140</v>
      </c>
      <c r="P67">
        <v>18.5</v>
      </c>
      <c r="Q67">
        <v>2.59</v>
      </c>
      <c r="R67" s="97" t="s">
        <v>1202</v>
      </c>
      <c r="S67" s="97" t="s">
        <v>195</v>
      </c>
    </row>
    <row r="68" spans="1:19" x14ac:dyDescent="0.3">
      <c r="A68" s="97" t="s">
        <v>831</v>
      </c>
      <c r="B68" s="97" t="s">
        <v>22</v>
      </c>
      <c r="C68">
        <v>2026</v>
      </c>
      <c r="D68">
        <v>1</v>
      </c>
      <c r="E68" s="2">
        <v>46025</v>
      </c>
      <c r="F68" s="97" t="s">
        <v>7</v>
      </c>
      <c r="G68" s="97" t="s">
        <v>8</v>
      </c>
      <c r="H68" s="97" t="s">
        <v>74</v>
      </c>
      <c r="I68" s="97" t="s">
        <v>82</v>
      </c>
      <c r="J68" s="97" t="s">
        <v>83</v>
      </c>
      <c r="K68" s="97" t="s">
        <v>73</v>
      </c>
      <c r="L68">
        <v>701000</v>
      </c>
      <c r="M68" s="97" t="s">
        <v>62</v>
      </c>
      <c r="N68" s="97" t="s">
        <v>33</v>
      </c>
      <c r="O68">
        <v>163</v>
      </c>
      <c r="P68">
        <v>18.47</v>
      </c>
      <c r="Q68">
        <v>3.01</v>
      </c>
      <c r="R68" s="97" t="s">
        <v>1200</v>
      </c>
      <c r="S68" s="97" t="s">
        <v>195</v>
      </c>
    </row>
    <row r="69" spans="1:19" x14ac:dyDescent="0.3">
      <c r="A69" s="97" t="s">
        <v>832</v>
      </c>
      <c r="B69" s="97" t="s">
        <v>22</v>
      </c>
      <c r="C69">
        <v>2026</v>
      </c>
      <c r="D69">
        <v>1</v>
      </c>
      <c r="E69" s="2">
        <v>46025</v>
      </c>
      <c r="F69" s="97" t="s">
        <v>7</v>
      </c>
      <c r="G69" s="97" t="s">
        <v>8</v>
      </c>
      <c r="H69" s="97" t="s">
        <v>74</v>
      </c>
      <c r="I69" s="97" t="s">
        <v>82</v>
      </c>
      <c r="J69" s="97" t="s">
        <v>83</v>
      </c>
      <c r="K69" s="97" t="s">
        <v>73</v>
      </c>
      <c r="L69">
        <v>701000</v>
      </c>
      <c r="M69" s="97" t="s">
        <v>62</v>
      </c>
      <c r="N69" s="97" t="s">
        <v>33</v>
      </c>
      <c r="O69">
        <v>48</v>
      </c>
      <c r="P69">
        <v>18.329999999999998</v>
      </c>
      <c r="Q69">
        <v>0.88</v>
      </c>
      <c r="R69" s="97" t="s">
        <v>1199</v>
      </c>
      <c r="S69" s="97" t="s">
        <v>195</v>
      </c>
    </row>
    <row r="70" spans="1:19" x14ac:dyDescent="0.3">
      <c r="A70" s="97" t="s">
        <v>833</v>
      </c>
      <c r="B70" s="97" t="s">
        <v>22</v>
      </c>
      <c r="C70">
        <v>2026</v>
      </c>
      <c r="D70">
        <v>1</v>
      </c>
      <c r="E70" s="2">
        <v>46025</v>
      </c>
      <c r="F70" s="97" t="s">
        <v>7</v>
      </c>
      <c r="G70" s="97" t="s">
        <v>8</v>
      </c>
      <c r="H70" s="97" t="s">
        <v>74</v>
      </c>
      <c r="I70" s="97" t="s">
        <v>82</v>
      </c>
      <c r="J70" s="97" t="s">
        <v>83</v>
      </c>
      <c r="K70" s="97" t="s">
        <v>73</v>
      </c>
      <c r="L70">
        <v>701000</v>
      </c>
      <c r="M70" s="97" t="s">
        <v>62</v>
      </c>
      <c r="N70" s="97" t="s">
        <v>33</v>
      </c>
      <c r="O70">
        <v>194</v>
      </c>
      <c r="P70">
        <v>18.510000000000002</v>
      </c>
      <c r="Q70">
        <v>3.59</v>
      </c>
      <c r="R70" s="97" t="s">
        <v>1203</v>
      </c>
      <c r="S70" s="97" t="s">
        <v>195</v>
      </c>
    </row>
    <row r="71" spans="1:19" x14ac:dyDescent="0.3">
      <c r="A71" s="97" t="s">
        <v>834</v>
      </c>
      <c r="B71" s="97" t="s">
        <v>22</v>
      </c>
      <c r="C71">
        <v>2026</v>
      </c>
      <c r="D71">
        <v>1</v>
      </c>
      <c r="E71" s="2">
        <v>46025</v>
      </c>
      <c r="F71" s="97" t="s">
        <v>7</v>
      </c>
      <c r="G71" s="97" t="s">
        <v>8</v>
      </c>
      <c r="H71" s="97" t="s">
        <v>74</v>
      </c>
      <c r="I71" s="97" t="s">
        <v>82</v>
      </c>
      <c r="J71" s="97" t="s">
        <v>83</v>
      </c>
      <c r="K71" s="97" t="s">
        <v>73</v>
      </c>
      <c r="L71">
        <v>701000</v>
      </c>
      <c r="M71" s="97" t="s">
        <v>62</v>
      </c>
      <c r="N71" s="97" t="s">
        <v>33</v>
      </c>
      <c r="O71">
        <v>118</v>
      </c>
      <c r="P71">
        <v>18.559999999999999</v>
      </c>
      <c r="Q71">
        <v>2.19</v>
      </c>
      <c r="R71" s="97" t="s">
        <v>1201</v>
      </c>
      <c r="S71" s="97" t="s">
        <v>195</v>
      </c>
    </row>
    <row r="72" spans="1:19" x14ac:dyDescent="0.3">
      <c r="A72" s="97" t="s">
        <v>535</v>
      </c>
      <c r="B72" s="97" t="s">
        <v>22</v>
      </c>
      <c r="C72">
        <v>2026</v>
      </c>
      <c r="D72">
        <v>1</v>
      </c>
      <c r="E72" s="2">
        <v>46026</v>
      </c>
      <c r="F72" s="97" t="s">
        <v>7</v>
      </c>
      <c r="G72" s="97" t="s">
        <v>8</v>
      </c>
      <c r="H72" s="97" t="s">
        <v>74</v>
      </c>
      <c r="I72" s="97" t="s">
        <v>77</v>
      </c>
      <c r="J72" s="97" t="s">
        <v>78</v>
      </c>
      <c r="K72" s="97" t="s">
        <v>73</v>
      </c>
      <c r="L72">
        <v>707000</v>
      </c>
      <c r="M72" s="97" t="s">
        <v>81</v>
      </c>
      <c r="N72" s="97" t="s">
        <v>33</v>
      </c>
      <c r="O72">
        <v>302</v>
      </c>
      <c r="P72">
        <v>1.79</v>
      </c>
      <c r="Q72">
        <v>0.54</v>
      </c>
      <c r="R72" s="97" t="s">
        <v>1199</v>
      </c>
      <c r="S72" s="97" t="s">
        <v>195</v>
      </c>
    </row>
    <row r="73" spans="1:19" x14ac:dyDescent="0.3">
      <c r="A73" s="97" t="s">
        <v>536</v>
      </c>
      <c r="B73" s="97" t="s">
        <v>22</v>
      </c>
      <c r="C73">
        <v>2026</v>
      </c>
      <c r="D73">
        <v>1</v>
      </c>
      <c r="E73" s="2">
        <v>46026</v>
      </c>
      <c r="F73" s="97" t="s">
        <v>7</v>
      </c>
      <c r="G73" s="97" t="s">
        <v>8</v>
      </c>
      <c r="H73" s="97" t="s">
        <v>74</v>
      </c>
      <c r="I73" s="97" t="s">
        <v>77</v>
      </c>
      <c r="J73" s="97" t="s">
        <v>78</v>
      </c>
      <c r="K73" s="97" t="s">
        <v>73</v>
      </c>
      <c r="L73">
        <v>707000</v>
      </c>
      <c r="M73" s="97" t="s">
        <v>81</v>
      </c>
      <c r="N73" s="97" t="s">
        <v>33</v>
      </c>
      <c r="O73">
        <v>261</v>
      </c>
      <c r="P73">
        <v>1.8</v>
      </c>
      <c r="Q73">
        <v>0.47</v>
      </c>
      <c r="R73" s="97" t="s">
        <v>1202</v>
      </c>
      <c r="S73" s="97" t="s">
        <v>195</v>
      </c>
    </row>
    <row r="74" spans="1:19" x14ac:dyDescent="0.3">
      <c r="A74" s="97" t="s">
        <v>537</v>
      </c>
      <c r="B74" s="97" t="s">
        <v>22</v>
      </c>
      <c r="C74">
        <v>2026</v>
      </c>
      <c r="D74">
        <v>1</v>
      </c>
      <c r="E74" s="2">
        <v>46026</v>
      </c>
      <c r="F74" s="97" t="s">
        <v>7</v>
      </c>
      <c r="G74" s="97" t="s">
        <v>8</v>
      </c>
      <c r="H74" s="97" t="s">
        <v>74</v>
      </c>
      <c r="I74" s="97" t="s">
        <v>77</v>
      </c>
      <c r="J74" s="97" t="s">
        <v>78</v>
      </c>
      <c r="K74" s="97" t="s">
        <v>73</v>
      </c>
      <c r="L74">
        <v>707000</v>
      </c>
      <c r="M74" s="97" t="s">
        <v>81</v>
      </c>
      <c r="N74" s="97" t="s">
        <v>33</v>
      </c>
      <c r="O74">
        <v>1593</v>
      </c>
      <c r="P74">
        <v>1.8</v>
      </c>
      <c r="Q74">
        <v>2.87</v>
      </c>
      <c r="R74" s="97" t="s">
        <v>1204</v>
      </c>
      <c r="S74" s="97" t="s">
        <v>195</v>
      </c>
    </row>
    <row r="75" spans="1:19" x14ac:dyDescent="0.3">
      <c r="A75" s="97" t="s">
        <v>538</v>
      </c>
      <c r="B75" s="97" t="s">
        <v>22</v>
      </c>
      <c r="C75">
        <v>2026</v>
      </c>
      <c r="D75">
        <v>1</v>
      </c>
      <c r="E75" s="2">
        <v>46026</v>
      </c>
      <c r="F75" s="97" t="s">
        <v>7</v>
      </c>
      <c r="G75" s="97" t="s">
        <v>8</v>
      </c>
      <c r="H75" s="97" t="s">
        <v>74</v>
      </c>
      <c r="I75" s="97" t="s">
        <v>77</v>
      </c>
      <c r="J75" s="97" t="s">
        <v>78</v>
      </c>
      <c r="K75" s="97" t="s">
        <v>73</v>
      </c>
      <c r="L75">
        <v>707000</v>
      </c>
      <c r="M75" s="97" t="s">
        <v>81</v>
      </c>
      <c r="N75" s="97" t="s">
        <v>33</v>
      </c>
      <c r="O75">
        <v>1334</v>
      </c>
      <c r="P75">
        <v>1.8</v>
      </c>
      <c r="Q75">
        <v>2.4</v>
      </c>
      <c r="R75" s="97" t="s">
        <v>1198</v>
      </c>
      <c r="S75" s="97" t="s">
        <v>195</v>
      </c>
    </row>
    <row r="76" spans="1:19" x14ac:dyDescent="0.3">
      <c r="A76" s="97" t="s">
        <v>539</v>
      </c>
      <c r="B76" s="97" t="s">
        <v>22</v>
      </c>
      <c r="C76">
        <v>2026</v>
      </c>
      <c r="D76">
        <v>1</v>
      </c>
      <c r="E76" s="2">
        <v>46026</v>
      </c>
      <c r="F76" s="97" t="s">
        <v>7</v>
      </c>
      <c r="G76" s="97" t="s">
        <v>8</v>
      </c>
      <c r="H76" s="97" t="s">
        <v>74</v>
      </c>
      <c r="I76" s="97" t="s">
        <v>77</v>
      </c>
      <c r="J76" s="97" t="s">
        <v>78</v>
      </c>
      <c r="K76" s="97" t="s">
        <v>73</v>
      </c>
      <c r="L76">
        <v>707000</v>
      </c>
      <c r="M76" s="97" t="s">
        <v>81</v>
      </c>
      <c r="N76" s="97" t="s">
        <v>33</v>
      </c>
      <c r="O76">
        <v>838</v>
      </c>
      <c r="P76">
        <v>1.8</v>
      </c>
      <c r="Q76">
        <v>1.51</v>
      </c>
      <c r="R76" s="97" t="s">
        <v>1200</v>
      </c>
      <c r="S76" s="97" t="s">
        <v>195</v>
      </c>
    </row>
    <row r="77" spans="1:19" x14ac:dyDescent="0.3">
      <c r="A77" s="97" t="s">
        <v>580</v>
      </c>
      <c r="B77" s="97" t="s">
        <v>22</v>
      </c>
      <c r="C77">
        <v>2026</v>
      </c>
      <c r="D77">
        <v>1</v>
      </c>
      <c r="E77" s="2">
        <v>46026</v>
      </c>
      <c r="F77" s="97" t="s">
        <v>7</v>
      </c>
      <c r="G77" s="97" t="s">
        <v>8</v>
      </c>
      <c r="H77" s="97" t="s">
        <v>70</v>
      </c>
      <c r="I77" s="97" t="s">
        <v>77</v>
      </c>
      <c r="J77" s="97" t="s">
        <v>78</v>
      </c>
      <c r="K77" s="97" t="s">
        <v>73</v>
      </c>
      <c r="L77">
        <v>701000</v>
      </c>
      <c r="M77" s="97" t="s">
        <v>62</v>
      </c>
      <c r="N77" s="97" t="s">
        <v>33</v>
      </c>
      <c r="O77">
        <v>466</v>
      </c>
      <c r="P77">
        <v>1.8</v>
      </c>
      <c r="Q77">
        <v>0.84</v>
      </c>
      <c r="R77" s="97" t="s">
        <v>1204</v>
      </c>
      <c r="S77" s="97" t="s">
        <v>195</v>
      </c>
    </row>
    <row r="78" spans="1:19" x14ac:dyDescent="0.3">
      <c r="A78" s="97" t="s">
        <v>581</v>
      </c>
      <c r="B78" s="97" t="s">
        <v>22</v>
      </c>
      <c r="C78">
        <v>2026</v>
      </c>
      <c r="D78">
        <v>1</v>
      </c>
      <c r="E78" s="2">
        <v>46026</v>
      </c>
      <c r="F78" s="97" t="s">
        <v>7</v>
      </c>
      <c r="G78" s="97" t="s">
        <v>8</v>
      </c>
      <c r="H78" s="97" t="s">
        <v>70</v>
      </c>
      <c r="I78" s="97" t="s">
        <v>77</v>
      </c>
      <c r="J78" s="97" t="s">
        <v>78</v>
      </c>
      <c r="K78" s="97" t="s">
        <v>73</v>
      </c>
      <c r="L78">
        <v>701000</v>
      </c>
      <c r="M78" s="97" t="s">
        <v>62</v>
      </c>
      <c r="N78" s="97" t="s">
        <v>33</v>
      </c>
      <c r="O78">
        <v>637</v>
      </c>
      <c r="P78">
        <v>1.81</v>
      </c>
      <c r="Q78">
        <v>1.1499999999999999</v>
      </c>
      <c r="R78" s="97" t="s">
        <v>1202</v>
      </c>
      <c r="S78" s="97" t="s">
        <v>195</v>
      </c>
    </row>
    <row r="79" spans="1:19" x14ac:dyDescent="0.3">
      <c r="A79" s="97" t="s">
        <v>582</v>
      </c>
      <c r="B79" s="97" t="s">
        <v>22</v>
      </c>
      <c r="C79">
        <v>2026</v>
      </c>
      <c r="D79">
        <v>1</v>
      </c>
      <c r="E79" s="2">
        <v>46026</v>
      </c>
      <c r="F79" s="97" t="s">
        <v>7</v>
      </c>
      <c r="G79" s="97" t="s">
        <v>8</v>
      </c>
      <c r="H79" s="97" t="s">
        <v>70</v>
      </c>
      <c r="I79" s="97" t="s">
        <v>77</v>
      </c>
      <c r="J79" s="97" t="s">
        <v>78</v>
      </c>
      <c r="K79" s="97" t="s">
        <v>73</v>
      </c>
      <c r="L79">
        <v>701000</v>
      </c>
      <c r="M79" s="97" t="s">
        <v>62</v>
      </c>
      <c r="N79" s="97" t="s">
        <v>33</v>
      </c>
      <c r="O79">
        <v>868</v>
      </c>
      <c r="P79">
        <v>1.8</v>
      </c>
      <c r="Q79">
        <v>1.56</v>
      </c>
      <c r="R79" s="97" t="s">
        <v>1198</v>
      </c>
      <c r="S79" s="97" t="s">
        <v>195</v>
      </c>
    </row>
    <row r="80" spans="1:19" x14ac:dyDescent="0.3">
      <c r="A80" s="97" t="s">
        <v>583</v>
      </c>
      <c r="B80" s="97" t="s">
        <v>22</v>
      </c>
      <c r="C80">
        <v>2026</v>
      </c>
      <c r="D80">
        <v>1</v>
      </c>
      <c r="E80" s="2">
        <v>46026</v>
      </c>
      <c r="F80" s="97" t="s">
        <v>7</v>
      </c>
      <c r="G80" s="97" t="s">
        <v>8</v>
      </c>
      <c r="H80" s="97" t="s">
        <v>70</v>
      </c>
      <c r="I80" s="97" t="s">
        <v>77</v>
      </c>
      <c r="J80" s="97" t="s">
        <v>78</v>
      </c>
      <c r="K80" s="97" t="s">
        <v>73</v>
      </c>
      <c r="L80">
        <v>701000</v>
      </c>
      <c r="M80" s="97" t="s">
        <v>62</v>
      </c>
      <c r="N80" s="97" t="s">
        <v>33</v>
      </c>
      <c r="O80">
        <v>2095</v>
      </c>
      <c r="P80">
        <v>1.8</v>
      </c>
      <c r="Q80">
        <v>3.77</v>
      </c>
      <c r="R80" s="97" t="s">
        <v>1200</v>
      </c>
      <c r="S80" s="97" t="s">
        <v>195</v>
      </c>
    </row>
    <row r="81" spans="1:19" x14ac:dyDescent="0.3">
      <c r="A81" s="97" t="s">
        <v>584</v>
      </c>
      <c r="B81" s="97" t="s">
        <v>22</v>
      </c>
      <c r="C81">
        <v>2026</v>
      </c>
      <c r="D81">
        <v>1</v>
      </c>
      <c r="E81" s="2">
        <v>46026</v>
      </c>
      <c r="F81" s="97" t="s">
        <v>7</v>
      </c>
      <c r="G81" s="97" t="s">
        <v>8</v>
      </c>
      <c r="H81" s="97" t="s">
        <v>70</v>
      </c>
      <c r="I81" s="97" t="s">
        <v>77</v>
      </c>
      <c r="J81" s="97" t="s">
        <v>78</v>
      </c>
      <c r="K81" s="97" t="s">
        <v>73</v>
      </c>
      <c r="L81">
        <v>701000</v>
      </c>
      <c r="M81" s="97" t="s">
        <v>62</v>
      </c>
      <c r="N81" s="97" t="s">
        <v>33</v>
      </c>
      <c r="O81">
        <v>320</v>
      </c>
      <c r="P81">
        <v>1.78</v>
      </c>
      <c r="Q81">
        <v>0.56999999999999995</v>
      </c>
      <c r="R81" s="97" t="s">
        <v>1201</v>
      </c>
      <c r="S81" s="97" t="s">
        <v>195</v>
      </c>
    </row>
    <row r="82" spans="1:19" x14ac:dyDescent="0.3">
      <c r="A82" s="97" t="s">
        <v>620</v>
      </c>
      <c r="B82" s="97" t="s">
        <v>22</v>
      </c>
      <c r="C82">
        <v>2026</v>
      </c>
      <c r="D82">
        <v>1</v>
      </c>
      <c r="E82" s="2">
        <v>46026</v>
      </c>
      <c r="F82" s="97" t="s">
        <v>7</v>
      </c>
      <c r="G82" s="97" t="s">
        <v>8</v>
      </c>
      <c r="H82" s="97" t="s">
        <v>70</v>
      </c>
      <c r="I82" s="97" t="s">
        <v>77</v>
      </c>
      <c r="J82" s="97" t="s">
        <v>78</v>
      </c>
      <c r="K82" s="97" t="s">
        <v>73</v>
      </c>
      <c r="L82">
        <v>701000</v>
      </c>
      <c r="M82" s="97" t="s">
        <v>62</v>
      </c>
      <c r="N82" s="97" t="s">
        <v>33</v>
      </c>
      <c r="O82">
        <v>994</v>
      </c>
      <c r="P82">
        <v>1.8</v>
      </c>
      <c r="Q82">
        <v>1.79</v>
      </c>
      <c r="R82" s="97" t="s">
        <v>1198</v>
      </c>
      <c r="S82" s="97" t="s">
        <v>195</v>
      </c>
    </row>
    <row r="83" spans="1:19" x14ac:dyDescent="0.3">
      <c r="A83" s="97" t="s">
        <v>621</v>
      </c>
      <c r="B83" s="97" t="s">
        <v>22</v>
      </c>
      <c r="C83">
        <v>2026</v>
      </c>
      <c r="D83">
        <v>1</v>
      </c>
      <c r="E83" s="2">
        <v>46026</v>
      </c>
      <c r="F83" s="97" t="s">
        <v>7</v>
      </c>
      <c r="G83" s="97" t="s">
        <v>8</v>
      </c>
      <c r="H83" s="97" t="s">
        <v>70</v>
      </c>
      <c r="I83" s="97" t="s">
        <v>77</v>
      </c>
      <c r="J83" s="97" t="s">
        <v>78</v>
      </c>
      <c r="K83" s="97" t="s">
        <v>73</v>
      </c>
      <c r="L83">
        <v>701000</v>
      </c>
      <c r="M83" s="97" t="s">
        <v>62</v>
      </c>
      <c r="N83" s="97" t="s">
        <v>33</v>
      </c>
      <c r="O83">
        <v>1298</v>
      </c>
      <c r="P83">
        <v>1.8</v>
      </c>
      <c r="Q83">
        <v>2.34</v>
      </c>
      <c r="R83" s="97" t="s">
        <v>1203</v>
      </c>
      <c r="S83" s="97" t="s">
        <v>195</v>
      </c>
    </row>
    <row r="84" spans="1:19" x14ac:dyDescent="0.3">
      <c r="A84" s="97" t="s">
        <v>622</v>
      </c>
      <c r="B84" s="97" t="s">
        <v>22</v>
      </c>
      <c r="C84">
        <v>2026</v>
      </c>
      <c r="D84">
        <v>1</v>
      </c>
      <c r="E84" s="2">
        <v>46026</v>
      </c>
      <c r="F84" s="97" t="s">
        <v>7</v>
      </c>
      <c r="G84" s="97" t="s">
        <v>8</v>
      </c>
      <c r="H84" s="97" t="s">
        <v>70</v>
      </c>
      <c r="I84" s="97" t="s">
        <v>77</v>
      </c>
      <c r="J84" s="97" t="s">
        <v>78</v>
      </c>
      <c r="K84" s="97" t="s">
        <v>73</v>
      </c>
      <c r="L84">
        <v>701000</v>
      </c>
      <c r="M84" s="97" t="s">
        <v>62</v>
      </c>
      <c r="N84" s="97" t="s">
        <v>33</v>
      </c>
      <c r="O84">
        <v>270</v>
      </c>
      <c r="P84">
        <v>1.81</v>
      </c>
      <c r="Q84">
        <v>0.49</v>
      </c>
      <c r="R84" s="97" t="s">
        <v>1201</v>
      </c>
      <c r="S84" s="97" t="s">
        <v>195</v>
      </c>
    </row>
    <row r="85" spans="1:19" x14ac:dyDescent="0.3">
      <c r="A85" s="97" t="s">
        <v>623</v>
      </c>
      <c r="B85" s="97" t="s">
        <v>22</v>
      </c>
      <c r="C85">
        <v>2026</v>
      </c>
      <c r="D85">
        <v>1</v>
      </c>
      <c r="E85" s="2">
        <v>46026</v>
      </c>
      <c r="F85" s="97" t="s">
        <v>7</v>
      </c>
      <c r="G85" s="97" t="s">
        <v>8</v>
      </c>
      <c r="H85" s="97" t="s">
        <v>70</v>
      </c>
      <c r="I85" s="97" t="s">
        <v>77</v>
      </c>
      <c r="J85" s="97" t="s">
        <v>78</v>
      </c>
      <c r="K85" s="97" t="s">
        <v>73</v>
      </c>
      <c r="L85">
        <v>701000</v>
      </c>
      <c r="M85" s="97" t="s">
        <v>62</v>
      </c>
      <c r="N85" s="97" t="s">
        <v>33</v>
      </c>
      <c r="O85">
        <v>695</v>
      </c>
      <c r="P85">
        <v>1.8</v>
      </c>
      <c r="Q85">
        <v>1.25</v>
      </c>
      <c r="R85" s="97" t="s">
        <v>1204</v>
      </c>
      <c r="S85" s="97" t="s">
        <v>195</v>
      </c>
    </row>
    <row r="86" spans="1:19" x14ac:dyDescent="0.3">
      <c r="A86" s="97" t="s">
        <v>624</v>
      </c>
      <c r="B86" s="97" t="s">
        <v>22</v>
      </c>
      <c r="C86">
        <v>2026</v>
      </c>
      <c r="D86">
        <v>1</v>
      </c>
      <c r="E86" s="2">
        <v>46026</v>
      </c>
      <c r="F86" s="97" t="s">
        <v>7</v>
      </c>
      <c r="G86" s="97" t="s">
        <v>8</v>
      </c>
      <c r="H86" s="97" t="s">
        <v>70</v>
      </c>
      <c r="I86" s="97" t="s">
        <v>77</v>
      </c>
      <c r="J86" s="97" t="s">
        <v>78</v>
      </c>
      <c r="K86" s="97" t="s">
        <v>73</v>
      </c>
      <c r="L86">
        <v>701000</v>
      </c>
      <c r="M86" s="97" t="s">
        <v>62</v>
      </c>
      <c r="N86" s="97" t="s">
        <v>33</v>
      </c>
      <c r="O86">
        <v>1318</v>
      </c>
      <c r="P86">
        <v>1.8</v>
      </c>
      <c r="Q86">
        <v>2.37</v>
      </c>
      <c r="R86" s="97" t="s">
        <v>1200</v>
      </c>
      <c r="S86" s="97" t="s">
        <v>195</v>
      </c>
    </row>
    <row r="87" spans="1:19" x14ac:dyDescent="0.3">
      <c r="A87" s="97" t="s">
        <v>630</v>
      </c>
      <c r="B87" s="97" t="s">
        <v>22</v>
      </c>
      <c r="C87">
        <v>2026</v>
      </c>
      <c r="D87">
        <v>1</v>
      </c>
      <c r="E87" s="2">
        <v>46026</v>
      </c>
      <c r="F87" s="97" t="s">
        <v>7</v>
      </c>
      <c r="G87" s="97" t="s">
        <v>8</v>
      </c>
      <c r="H87" s="97" t="s">
        <v>70</v>
      </c>
      <c r="I87" s="97" t="s">
        <v>77</v>
      </c>
      <c r="J87" s="97" t="s">
        <v>78</v>
      </c>
      <c r="K87" s="97" t="s">
        <v>73</v>
      </c>
      <c r="L87">
        <v>701000</v>
      </c>
      <c r="M87" s="97" t="s">
        <v>62</v>
      </c>
      <c r="N87" s="97" t="s">
        <v>33</v>
      </c>
      <c r="O87">
        <v>465</v>
      </c>
      <c r="P87">
        <v>1.81</v>
      </c>
      <c r="Q87">
        <v>0.84</v>
      </c>
      <c r="R87" s="97" t="s">
        <v>1203</v>
      </c>
      <c r="S87" s="97" t="s">
        <v>195</v>
      </c>
    </row>
    <row r="88" spans="1:19" x14ac:dyDescent="0.3">
      <c r="A88" s="97" t="s">
        <v>631</v>
      </c>
      <c r="B88" s="97" t="s">
        <v>22</v>
      </c>
      <c r="C88">
        <v>2026</v>
      </c>
      <c r="D88">
        <v>1</v>
      </c>
      <c r="E88" s="2">
        <v>46026</v>
      </c>
      <c r="F88" s="97" t="s">
        <v>7</v>
      </c>
      <c r="G88" s="97" t="s">
        <v>8</v>
      </c>
      <c r="H88" s="97" t="s">
        <v>70</v>
      </c>
      <c r="I88" s="97" t="s">
        <v>77</v>
      </c>
      <c r="J88" s="97" t="s">
        <v>78</v>
      </c>
      <c r="K88" s="97" t="s">
        <v>73</v>
      </c>
      <c r="L88">
        <v>701000</v>
      </c>
      <c r="M88" s="97" t="s">
        <v>62</v>
      </c>
      <c r="N88" s="97" t="s">
        <v>33</v>
      </c>
      <c r="O88">
        <v>145</v>
      </c>
      <c r="P88">
        <v>1.79</v>
      </c>
      <c r="Q88">
        <v>0.26</v>
      </c>
      <c r="R88" s="97" t="s">
        <v>1202</v>
      </c>
      <c r="S88" s="97" t="s">
        <v>195</v>
      </c>
    </row>
    <row r="89" spans="1:19" x14ac:dyDescent="0.3">
      <c r="A89" s="97" t="s">
        <v>632</v>
      </c>
      <c r="B89" s="97" t="s">
        <v>22</v>
      </c>
      <c r="C89">
        <v>2026</v>
      </c>
      <c r="D89">
        <v>1</v>
      </c>
      <c r="E89" s="2">
        <v>46026</v>
      </c>
      <c r="F89" s="97" t="s">
        <v>7</v>
      </c>
      <c r="G89" s="97" t="s">
        <v>8</v>
      </c>
      <c r="H89" s="97" t="s">
        <v>70</v>
      </c>
      <c r="I89" s="97" t="s">
        <v>77</v>
      </c>
      <c r="J89" s="97" t="s">
        <v>78</v>
      </c>
      <c r="K89" s="97" t="s">
        <v>73</v>
      </c>
      <c r="L89">
        <v>701000</v>
      </c>
      <c r="M89" s="97" t="s">
        <v>62</v>
      </c>
      <c r="N89" s="97" t="s">
        <v>33</v>
      </c>
      <c r="O89">
        <v>1525</v>
      </c>
      <c r="P89">
        <v>1.8</v>
      </c>
      <c r="Q89">
        <v>2.75</v>
      </c>
      <c r="R89" s="97" t="s">
        <v>1200</v>
      </c>
      <c r="S89" s="97" t="s">
        <v>195</v>
      </c>
    </row>
    <row r="90" spans="1:19" x14ac:dyDescent="0.3">
      <c r="A90" s="97" t="s">
        <v>633</v>
      </c>
      <c r="B90" s="97" t="s">
        <v>22</v>
      </c>
      <c r="C90">
        <v>2026</v>
      </c>
      <c r="D90">
        <v>1</v>
      </c>
      <c r="E90" s="2">
        <v>46026</v>
      </c>
      <c r="F90" s="97" t="s">
        <v>7</v>
      </c>
      <c r="G90" s="97" t="s">
        <v>8</v>
      </c>
      <c r="H90" s="97" t="s">
        <v>70</v>
      </c>
      <c r="I90" s="97" t="s">
        <v>77</v>
      </c>
      <c r="J90" s="97" t="s">
        <v>78</v>
      </c>
      <c r="K90" s="97" t="s">
        <v>73</v>
      </c>
      <c r="L90">
        <v>701000</v>
      </c>
      <c r="M90" s="97" t="s">
        <v>62</v>
      </c>
      <c r="N90" s="97" t="s">
        <v>33</v>
      </c>
      <c r="O90">
        <v>1083</v>
      </c>
      <c r="P90">
        <v>1.8</v>
      </c>
      <c r="Q90">
        <v>1.95</v>
      </c>
      <c r="R90" s="97" t="s">
        <v>1199</v>
      </c>
      <c r="S90" s="97" t="s">
        <v>195</v>
      </c>
    </row>
    <row r="91" spans="1:19" x14ac:dyDescent="0.3">
      <c r="A91" s="97" t="s">
        <v>634</v>
      </c>
      <c r="B91" s="97" t="s">
        <v>22</v>
      </c>
      <c r="C91">
        <v>2026</v>
      </c>
      <c r="D91">
        <v>1</v>
      </c>
      <c r="E91" s="2">
        <v>46026</v>
      </c>
      <c r="F91" s="97" t="s">
        <v>7</v>
      </c>
      <c r="G91" s="97" t="s">
        <v>8</v>
      </c>
      <c r="H91" s="97" t="s">
        <v>70</v>
      </c>
      <c r="I91" s="97" t="s">
        <v>77</v>
      </c>
      <c r="J91" s="97" t="s">
        <v>78</v>
      </c>
      <c r="K91" s="97" t="s">
        <v>73</v>
      </c>
      <c r="L91">
        <v>701000</v>
      </c>
      <c r="M91" s="97" t="s">
        <v>62</v>
      </c>
      <c r="N91" s="97" t="s">
        <v>33</v>
      </c>
      <c r="O91">
        <v>1052</v>
      </c>
      <c r="P91">
        <v>1.8</v>
      </c>
      <c r="Q91">
        <v>1.89</v>
      </c>
      <c r="R91" s="97" t="s">
        <v>1198</v>
      </c>
      <c r="S91" s="97" t="s">
        <v>195</v>
      </c>
    </row>
    <row r="92" spans="1:19" x14ac:dyDescent="0.3">
      <c r="A92" s="97" t="s">
        <v>655</v>
      </c>
      <c r="B92" s="97" t="s">
        <v>22</v>
      </c>
      <c r="C92">
        <v>2026</v>
      </c>
      <c r="D92">
        <v>1</v>
      </c>
      <c r="E92" s="2">
        <v>46026</v>
      </c>
      <c r="F92" s="97" t="s">
        <v>7</v>
      </c>
      <c r="G92" s="97" t="s">
        <v>8</v>
      </c>
      <c r="H92" s="97" t="s">
        <v>74</v>
      </c>
      <c r="I92" s="97" t="s">
        <v>79</v>
      </c>
      <c r="J92" s="97" t="s">
        <v>80</v>
      </c>
      <c r="K92" s="97" t="s">
        <v>73</v>
      </c>
      <c r="L92">
        <v>701000</v>
      </c>
      <c r="M92" s="97" t="s">
        <v>62</v>
      </c>
      <c r="N92" s="97" t="s">
        <v>33</v>
      </c>
      <c r="O92">
        <v>3900</v>
      </c>
      <c r="P92">
        <v>2.6</v>
      </c>
      <c r="Q92">
        <v>10.14</v>
      </c>
      <c r="R92" s="97" t="s">
        <v>1199</v>
      </c>
      <c r="S92" s="97" t="s">
        <v>195</v>
      </c>
    </row>
    <row r="93" spans="1:19" x14ac:dyDescent="0.3">
      <c r="A93" s="97" t="s">
        <v>656</v>
      </c>
      <c r="B93" s="97" t="s">
        <v>22</v>
      </c>
      <c r="C93">
        <v>2026</v>
      </c>
      <c r="D93">
        <v>1</v>
      </c>
      <c r="E93" s="2">
        <v>46026</v>
      </c>
      <c r="F93" s="97" t="s">
        <v>7</v>
      </c>
      <c r="G93" s="97" t="s">
        <v>8</v>
      </c>
      <c r="H93" s="97" t="s">
        <v>74</v>
      </c>
      <c r="I93" s="97" t="s">
        <v>79</v>
      </c>
      <c r="J93" s="97" t="s">
        <v>80</v>
      </c>
      <c r="K93" s="97" t="s">
        <v>73</v>
      </c>
      <c r="L93">
        <v>701000</v>
      </c>
      <c r="M93" s="97" t="s">
        <v>62</v>
      </c>
      <c r="N93" s="97" t="s">
        <v>33</v>
      </c>
      <c r="O93">
        <v>1468</v>
      </c>
      <c r="P93">
        <v>2.6</v>
      </c>
      <c r="Q93">
        <v>3.82</v>
      </c>
      <c r="R93" s="97" t="s">
        <v>1198</v>
      </c>
      <c r="S93" s="97" t="s">
        <v>195</v>
      </c>
    </row>
    <row r="94" spans="1:19" x14ac:dyDescent="0.3">
      <c r="A94" s="97" t="s">
        <v>657</v>
      </c>
      <c r="B94" s="97" t="s">
        <v>22</v>
      </c>
      <c r="C94">
        <v>2026</v>
      </c>
      <c r="D94">
        <v>1</v>
      </c>
      <c r="E94" s="2">
        <v>46026</v>
      </c>
      <c r="F94" s="97" t="s">
        <v>7</v>
      </c>
      <c r="G94" s="97" t="s">
        <v>8</v>
      </c>
      <c r="H94" s="97" t="s">
        <v>74</v>
      </c>
      <c r="I94" s="97" t="s">
        <v>79</v>
      </c>
      <c r="J94" s="97" t="s">
        <v>80</v>
      </c>
      <c r="K94" s="97" t="s">
        <v>73</v>
      </c>
      <c r="L94">
        <v>701000</v>
      </c>
      <c r="M94" s="97" t="s">
        <v>62</v>
      </c>
      <c r="N94" s="97" t="s">
        <v>33</v>
      </c>
      <c r="O94">
        <v>1167</v>
      </c>
      <c r="P94">
        <v>2.6</v>
      </c>
      <c r="Q94">
        <v>3.03</v>
      </c>
      <c r="R94" s="97" t="s">
        <v>1205</v>
      </c>
      <c r="S94" s="97" t="s">
        <v>195</v>
      </c>
    </row>
    <row r="95" spans="1:19" x14ac:dyDescent="0.3">
      <c r="A95" s="97" t="s">
        <v>658</v>
      </c>
      <c r="B95" s="97" t="s">
        <v>22</v>
      </c>
      <c r="C95">
        <v>2026</v>
      </c>
      <c r="D95">
        <v>1</v>
      </c>
      <c r="E95" s="2">
        <v>46026</v>
      </c>
      <c r="F95" s="97" t="s">
        <v>7</v>
      </c>
      <c r="G95" s="97" t="s">
        <v>8</v>
      </c>
      <c r="H95" s="97" t="s">
        <v>74</v>
      </c>
      <c r="I95" s="97" t="s">
        <v>79</v>
      </c>
      <c r="J95" s="97" t="s">
        <v>80</v>
      </c>
      <c r="K95" s="97" t="s">
        <v>73</v>
      </c>
      <c r="L95">
        <v>701000</v>
      </c>
      <c r="M95" s="97" t="s">
        <v>62</v>
      </c>
      <c r="N95" s="97" t="s">
        <v>33</v>
      </c>
      <c r="O95">
        <v>348</v>
      </c>
      <c r="P95">
        <v>2.61</v>
      </c>
      <c r="Q95">
        <v>0.91</v>
      </c>
      <c r="R95" s="97" t="s">
        <v>1203</v>
      </c>
      <c r="S95" s="97" t="s">
        <v>195</v>
      </c>
    </row>
    <row r="96" spans="1:19" x14ac:dyDescent="0.3">
      <c r="A96" s="97" t="s">
        <v>659</v>
      </c>
      <c r="B96" s="97" t="s">
        <v>22</v>
      </c>
      <c r="C96">
        <v>2026</v>
      </c>
      <c r="D96">
        <v>1</v>
      </c>
      <c r="E96" s="2">
        <v>46026</v>
      </c>
      <c r="F96" s="97" t="s">
        <v>7</v>
      </c>
      <c r="G96" s="97" t="s">
        <v>8</v>
      </c>
      <c r="H96" s="97" t="s">
        <v>74</v>
      </c>
      <c r="I96" s="97" t="s">
        <v>79</v>
      </c>
      <c r="J96" s="97" t="s">
        <v>80</v>
      </c>
      <c r="K96" s="97" t="s">
        <v>73</v>
      </c>
      <c r="L96">
        <v>701000</v>
      </c>
      <c r="M96" s="97" t="s">
        <v>62</v>
      </c>
      <c r="N96" s="97" t="s">
        <v>33</v>
      </c>
      <c r="O96">
        <v>2301</v>
      </c>
      <c r="P96">
        <v>2.6</v>
      </c>
      <c r="Q96">
        <v>5.98</v>
      </c>
      <c r="R96" s="97" t="s">
        <v>1202</v>
      </c>
      <c r="S96" s="97" t="s">
        <v>195</v>
      </c>
    </row>
    <row r="97" spans="1:19" x14ac:dyDescent="0.3">
      <c r="A97" s="97" t="s">
        <v>690</v>
      </c>
      <c r="B97" s="97" t="s">
        <v>22</v>
      </c>
      <c r="C97">
        <v>2026</v>
      </c>
      <c r="D97">
        <v>1</v>
      </c>
      <c r="E97" s="2">
        <v>46026</v>
      </c>
      <c r="F97" s="97" t="s">
        <v>7</v>
      </c>
      <c r="G97" s="97" t="s">
        <v>8</v>
      </c>
      <c r="H97" s="97" t="s">
        <v>70</v>
      </c>
      <c r="I97" s="97" t="s">
        <v>79</v>
      </c>
      <c r="J97" s="97" t="s">
        <v>80</v>
      </c>
      <c r="K97" s="97" t="s">
        <v>73</v>
      </c>
      <c r="L97">
        <v>707000</v>
      </c>
      <c r="M97" s="97" t="s">
        <v>81</v>
      </c>
      <c r="N97" s="97" t="s">
        <v>33</v>
      </c>
      <c r="O97">
        <v>953</v>
      </c>
      <c r="P97">
        <v>2.6</v>
      </c>
      <c r="Q97">
        <v>2.48</v>
      </c>
      <c r="R97" s="97" t="s">
        <v>1203</v>
      </c>
      <c r="S97" s="97" t="s">
        <v>195</v>
      </c>
    </row>
    <row r="98" spans="1:19" x14ac:dyDescent="0.3">
      <c r="A98" s="97" t="s">
        <v>691</v>
      </c>
      <c r="B98" s="97" t="s">
        <v>22</v>
      </c>
      <c r="C98">
        <v>2026</v>
      </c>
      <c r="D98">
        <v>1</v>
      </c>
      <c r="E98" s="2">
        <v>46026</v>
      </c>
      <c r="F98" s="97" t="s">
        <v>7</v>
      </c>
      <c r="G98" s="97" t="s">
        <v>8</v>
      </c>
      <c r="H98" s="97" t="s">
        <v>70</v>
      </c>
      <c r="I98" s="97" t="s">
        <v>79</v>
      </c>
      <c r="J98" s="97" t="s">
        <v>80</v>
      </c>
      <c r="K98" s="97" t="s">
        <v>73</v>
      </c>
      <c r="L98">
        <v>707000</v>
      </c>
      <c r="M98" s="97" t="s">
        <v>81</v>
      </c>
      <c r="N98" s="97" t="s">
        <v>33</v>
      </c>
      <c r="O98">
        <v>2182</v>
      </c>
      <c r="P98">
        <v>2.6</v>
      </c>
      <c r="Q98">
        <v>5.67</v>
      </c>
      <c r="R98" s="97" t="s">
        <v>1204</v>
      </c>
      <c r="S98" s="97" t="s">
        <v>195</v>
      </c>
    </row>
    <row r="99" spans="1:19" x14ac:dyDescent="0.3">
      <c r="A99" s="97" t="s">
        <v>692</v>
      </c>
      <c r="B99" s="97" t="s">
        <v>22</v>
      </c>
      <c r="C99">
        <v>2026</v>
      </c>
      <c r="D99">
        <v>1</v>
      </c>
      <c r="E99" s="2">
        <v>46026</v>
      </c>
      <c r="F99" s="97" t="s">
        <v>7</v>
      </c>
      <c r="G99" s="97" t="s">
        <v>8</v>
      </c>
      <c r="H99" s="97" t="s">
        <v>70</v>
      </c>
      <c r="I99" s="97" t="s">
        <v>79</v>
      </c>
      <c r="J99" s="97" t="s">
        <v>80</v>
      </c>
      <c r="K99" s="97" t="s">
        <v>73</v>
      </c>
      <c r="L99">
        <v>707000</v>
      </c>
      <c r="M99" s="97" t="s">
        <v>81</v>
      </c>
      <c r="N99" s="97" t="s">
        <v>33</v>
      </c>
      <c r="O99">
        <v>577</v>
      </c>
      <c r="P99">
        <v>2.6</v>
      </c>
      <c r="Q99">
        <v>1.5</v>
      </c>
      <c r="R99" s="97" t="s">
        <v>1199</v>
      </c>
      <c r="S99" s="97" t="s">
        <v>195</v>
      </c>
    </row>
    <row r="100" spans="1:19" x14ac:dyDescent="0.3">
      <c r="A100" s="97" t="s">
        <v>693</v>
      </c>
      <c r="B100" s="97" t="s">
        <v>22</v>
      </c>
      <c r="C100">
        <v>2026</v>
      </c>
      <c r="D100">
        <v>1</v>
      </c>
      <c r="E100" s="2">
        <v>46026</v>
      </c>
      <c r="F100" s="97" t="s">
        <v>7</v>
      </c>
      <c r="G100" s="97" t="s">
        <v>8</v>
      </c>
      <c r="H100" s="97" t="s">
        <v>70</v>
      </c>
      <c r="I100" s="97" t="s">
        <v>79</v>
      </c>
      <c r="J100" s="97" t="s">
        <v>80</v>
      </c>
      <c r="K100" s="97" t="s">
        <v>73</v>
      </c>
      <c r="L100">
        <v>707000</v>
      </c>
      <c r="M100" s="97" t="s">
        <v>81</v>
      </c>
      <c r="N100" s="97" t="s">
        <v>33</v>
      </c>
      <c r="O100">
        <v>3198</v>
      </c>
      <c r="P100">
        <v>2.6</v>
      </c>
      <c r="Q100">
        <v>8.31</v>
      </c>
      <c r="R100" s="97" t="s">
        <v>1198</v>
      </c>
      <c r="S100" s="97" t="s">
        <v>195</v>
      </c>
    </row>
    <row r="101" spans="1:19" x14ac:dyDescent="0.3">
      <c r="A101" s="97" t="s">
        <v>694</v>
      </c>
      <c r="B101" s="97" t="s">
        <v>22</v>
      </c>
      <c r="C101">
        <v>2026</v>
      </c>
      <c r="D101">
        <v>1</v>
      </c>
      <c r="E101" s="2">
        <v>46026</v>
      </c>
      <c r="F101" s="97" t="s">
        <v>7</v>
      </c>
      <c r="G101" s="97" t="s">
        <v>8</v>
      </c>
      <c r="H101" s="97" t="s">
        <v>70</v>
      </c>
      <c r="I101" s="97" t="s">
        <v>79</v>
      </c>
      <c r="J101" s="97" t="s">
        <v>80</v>
      </c>
      <c r="K101" s="97" t="s">
        <v>73</v>
      </c>
      <c r="L101">
        <v>707000</v>
      </c>
      <c r="M101" s="97" t="s">
        <v>81</v>
      </c>
      <c r="N101" s="97" t="s">
        <v>33</v>
      </c>
      <c r="O101">
        <v>815</v>
      </c>
      <c r="P101">
        <v>2.6</v>
      </c>
      <c r="Q101">
        <v>2.12</v>
      </c>
      <c r="R101" s="97" t="s">
        <v>1205</v>
      </c>
      <c r="S101" s="97" t="s">
        <v>195</v>
      </c>
    </row>
    <row r="102" spans="1:19" x14ac:dyDescent="0.3">
      <c r="A102" s="97" t="s">
        <v>715</v>
      </c>
      <c r="B102" s="97" t="s">
        <v>22</v>
      </c>
      <c r="C102">
        <v>2026</v>
      </c>
      <c r="D102">
        <v>1</v>
      </c>
      <c r="E102" s="2">
        <v>46026</v>
      </c>
      <c r="F102" s="97" t="s">
        <v>7</v>
      </c>
      <c r="G102" s="97" t="s">
        <v>8</v>
      </c>
      <c r="H102" s="97" t="s">
        <v>70</v>
      </c>
      <c r="I102" s="97" t="s">
        <v>79</v>
      </c>
      <c r="J102" s="97" t="s">
        <v>80</v>
      </c>
      <c r="K102" s="97" t="s">
        <v>73</v>
      </c>
      <c r="L102">
        <v>701000</v>
      </c>
      <c r="M102" s="97" t="s">
        <v>62</v>
      </c>
      <c r="N102" s="97" t="s">
        <v>33</v>
      </c>
      <c r="O102">
        <v>1752</v>
      </c>
      <c r="P102">
        <v>2.6</v>
      </c>
      <c r="Q102">
        <v>4.55</v>
      </c>
      <c r="R102" s="97" t="s">
        <v>1200</v>
      </c>
      <c r="S102" s="97" t="s">
        <v>195</v>
      </c>
    </row>
    <row r="103" spans="1:19" x14ac:dyDescent="0.3">
      <c r="A103" s="97" t="s">
        <v>716</v>
      </c>
      <c r="B103" s="97" t="s">
        <v>22</v>
      </c>
      <c r="C103">
        <v>2026</v>
      </c>
      <c r="D103">
        <v>1</v>
      </c>
      <c r="E103" s="2">
        <v>46026</v>
      </c>
      <c r="F103" s="97" t="s">
        <v>7</v>
      </c>
      <c r="G103" s="97" t="s">
        <v>8</v>
      </c>
      <c r="H103" s="97" t="s">
        <v>70</v>
      </c>
      <c r="I103" s="97" t="s">
        <v>79</v>
      </c>
      <c r="J103" s="97" t="s">
        <v>80</v>
      </c>
      <c r="K103" s="97" t="s">
        <v>73</v>
      </c>
      <c r="L103">
        <v>701000</v>
      </c>
      <c r="M103" s="97" t="s">
        <v>62</v>
      </c>
      <c r="N103" s="97" t="s">
        <v>33</v>
      </c>
      <c r="O103">
        <v>2680</v>
      </c>
      <c r="P103">
        <v>2.6</v>
      </c>
      <c r="Q103">
        <v>6.97</v>
      </c>
      <c r="R103" s="97" t="s">
        <v>1205</v>
      </c>
      <c r="S103" s="97" t="s">
        <v>195</v>
      </c>
    </row>
    <row r="104" spans="1:19" x14ac:dyDescent="0.3">
      <c r="A104" s="97" t="s">
        <v>717</v>
      </c>
      <c r="B104" s="97" t="s">
        <v>22</v>
      </c>
      <c r="C104">
        <v>2026</v>
      </c>
      <c r="D104">
        <v>1</v>
      </c>
      <c r="E104" s="2">
        <v>46026</v>
      </c>
      <c r="F104" s="97" t="s">
        <v>7</v>
      </c>
      <c r="G104" s="97" t="s">
        <v>8</v>
      </c>
      <c r="H104" s="97" t="s">
        <v>70</v>
      </c>
      <c r="I104" s="97" t="s">
        <v>79</v>
      </c>
      <c r="J104" s="97" t="s">
        <v>80</v>
      </c>
      <c r="K104" s="97" t="s">
        <v>73</v>
      </c>
      <c r="L104">
        <v>701000</v>
      </c>
      <c r="M104" s="97" t="s">
        <v>62</v>
      </c>
      <c r="N104" s="97" t="s">
        <v>33</v>
      </c>
      <c r="O104">
        <v>684</v>
      </c>
      <c r="P104">
        <v>2.6</v>
      </c>
      <c r="Q104">
        <v>1.78</v>
      </c>
      <c r="R104" s="97" t="s">
        <v>1204</v>
      </c>
      <c r="S104" s="97" t="s">
        <v>195</v>
      </c>
    </row>
    <row r="105" spans="1:19" x14ac:dyDescent="0.3">
      <c r="A105" s="97" t="s">
        <v>718</v>
      </c>
      <c r="B105" s="97" t="s">
        <v>22</v>
      </c>
      <c r="C105">
        <v>2026</v>
      </c>
      <c r="D105">
        <v>1</v>
      </c>
      <c r="E105" s="2">
        <v>46026</v>
      </c>
      <c r="F105" s="97" t="s">
        <v>7</v>
      </c>
      <c r="G105" s="97" t="s">
        <v>8</v>
      </c>
      <c r="H105" s="97" t="s">
        <v>70</v>
      </c>
      <c r="I105" s="97" t="s">
        <v>79</v>
      </c>
      <c r="J105" s="97" t="s">
        <v>80</v>
      </c>
      <c r="K105" s="97" t="s">
        <v>73</v>
      </c>
      <c r="L105">
        <v>701000</v>
      </c>
      <c r="M105" s="97" t="s">
        <v>62</v>
      </c>
      <c r="N105" s="97" t="s">
        <v>33</v>
      </c>
      <c r="O105">
        <v>2297</v>
      </c>
      <c r="P105">
        <v>2.6</v>
      </c>
      <c r="Q105">
        <v>5.97</v>
      </c>
      <c r="R105" s="97" t="s">
        <v>1199</v>
      </c>
      <c r="S105" s="97" t="s">
        <v>195</v>
      </c>
    </row>
    <row r="106" spans="1:19" x14ac:dyDescent="0.3">
      <c r="A106" s="97" t="s">
        <v>719</v>
      </c>
      <c r="B106" s="97" t="s">
        <v>22</v>
      </c>
      <c r="C106">
        <v>2026</v>
      </c>
      <c r="D106">
        <v>1</v>
      </c>
      <c r="E106" s="2">
        <v>46026</v>
      </c>
      <c r="F106" s="97" t="s">
        <v>7</v>
      </c>
      <c r="G106" s="97" t="s">
        <v>8</v>
      </c>
      <c r="H106" s="97" t="s">
        <v>70</v>
      </c>
      <c r="I106" s="97" t="s">
        <v>79</v>
      </c>
      <c r="J106" s="97" t="s">
        <v>80</v>
      </c>
      <c r="K106" s="97" t="s">
        <v>73</v>
      </c>
      <c r="L106">
        <v>701000</v>
      </c>
      <c r="M106" s="97" t="s">
        <v>62</v>
      </c>
      <c r="N106" s="97" t="s">
        <v>33</v>
      </c>
      <c r="O106">
        <v>2493</v>
      </c>
      <c r="P106">
        <v>2.6</v>
      </c>
      <c r="Q106">
        <v>6.48</v>
      </c>
      <c r="R106" s="97" t="s">
        <v>1198</v>
      </c>
      <c r="S106" s="97" t="s">
        <v>195</v>
      </c>
    </row>
    <row r="107" spans="1:19" x14ac:dyDescent="0.3">
      <c r="A107" s="97" t="s">
        <v>760</v>
      </c>
      <c r="B107" s="97" t="s">
        <v>22</v>
      </c>
      <c r="C107">
        <v>2026</v>
      </c>
      <c r="D107">
        <v>1</v>
      </c>
      <c r="E107" s="2">
        <v>46026</v>
      </c>
      <c r="F107" s="97" t="s">
        <v>7</v>
      </c>
      <c r="G107" s="97" t="s">
        <v>8</v>
      </c>
      <c r="H107" s="97" t="s">
        <v>70</v>
      </c>
      <c r="I107" s="97" t="s">
        <v>82</v>
      </c>
      <c r="J107" s="97" t="s">
        <v>83</v>
      </c>
      <c r="K107" s="97" t="s">
        <v>73</v>
      </c>
      <c r="L107">
        <v>701000</v>
      </c>
      <c r="M107" s="97" t="s">
        <v>62</v>
      </c>
      <c r="N107" s="97" t="s">
        <v>33</v>
      </c>
      <c r="O107">
        <v>167</v>
      </c>
      <c r="P107">
        <v>18.5</v>
      </c>
      <c r="Q107">
        <v>3.09</v>
      </c>
      <c r="R107" s="97" t="s">
        <v>1205</v>
      </c>
      <c r="S107" s="97" t="s">
        <v>195</v>
      </c>
    </row>
    <row r="108" spans="1:19" x14ac:dyDescent="0.3">
      <c r="A108" s="97" t="s">
        <v>761</v>
      </c>
      <c r="B108" s="97" t="s">
        <v>22</v>
      </c>
      <c r="C108">
        <v>2026</v>
      </c>
      <c r="D108">
        <v>1</v>
      </c>
      <c r="E108" s="2">
        <v>46026</v>
      </c>
      <c r="F108" s="97" t="s">
        <v>7</v>
      </c>
      <c r="G108" s="97" t="s">
        <v>8</v>
      </c>
      <c r="H108" s="97" t="s">
        <v>70</v>
      </c>
      <c r="I108" s="97" t="s">
        <v>82</v>
      </c>
      <c r="J108" s="97" t="s">
        <v>83</v>
      </c>
      <c r="K108" s="97" t="s">
        <v>73</v>
      </c>
      <c r="L108">
        <v>701000</v>
      </c>
      <c r="M108" s="97" t="s">
        <v>62</v>
      </c>
      <c r="N108" s="97" t="s">
        <v>33</v>
      </c>
      <c r="O108">
        <v>69</v>
      </c>
      <c r="P108">
        <v>18.41</v>
      </c>
      <c r="Q108">
        <v>1.27</v>
      </c>
      <c r="R108" s="97" t="s">
        <v>1199</v>
      </c>
      <c r="S108" s="97" t="s">
        <v>195</v>
      </c>
    </row>
    <row r="109" spans="1:19" x14ac:dyDescent="0.3">
      <c r="A109" s="97" t="s">
        <v>762</v>
      </c>
      <c r="B109" s="97" t="s">
        <v>22</v>
      </c>
      <c r="C109">
        <v>2026</v>
      </c>
      <c r="D109">
        <v>1</v>
      </c>
      <c r="E109" s="2">
        <v>46026</v>
      </c>
      <c r="F109" s="97" t="s">
        <v>7</v>
      </c>
      <c r="G109" s="97" t="s">
        <v>8</v>
      </c>
      <c r="H109" s="97" t="s">
        <v>70</v>
      </c>
      <c r="I109" s="97" t="s">
        <v>82</v>
      </c>
      <c r="J109" s="97" t="s">
        <v>83</v>
      </c>
      <c r="K109" s="97" t="s">
        <v>73</v>
      </c>
      <c r="L109">
        <v>701000</v>
      </c>
      <c r="M109" s="97" t="s">
        <v>62</v>
      </c>
      <c r="N109" s="97" t="s">
        <v>33</v>
      </c>
      <c r="O109">
        <v>83</v>
      </c>
      <c r="P109">
        <v>18.43</v>
      </c>
      <c r="Q109">
        <v>1.53</v>
      </c>
      <c r="R109" s="97" t="s">
        <v>1204</v>
      </c>
      <c r="S109" s="97" t="s">
        <v>195</v>
      </c>
    </row>
    <row r="110" spans="1:19" x14ac:dyDescent="0.3">
      <c r="A110" s="97" t="s">
        <v>763</v>
      </c>
      <c r="B110" s="97" t="s">
        <v>22</v>
      </c>
      <c r="C110">
        <v>2026</v>
      </c>
      <c r="D110">
        <v>1</v>
      </c>
      <c r="E110" s="2">
        <v>46026</v>
      </c>
      <c r="F110" s="97" t="s">
        <v>7</v>
      </c>
      <c r="G110" s="97" t="s">
        <v>8</v>
      </c>
      <c r="H110" s="97" t="s">
        <v>70</v>
      </c>
      <c r="I110" s="97" t="s">
        <v>82</v>
      </c>
      <c r="J110" s="97" t="s">
        <v>83</v>
      </c>
      <c r="K110" s="97" t="s">
        <v>73</v>
      </c>
      <c r="L110">
        <v>701000</v>
      </c>
      <c r="M110" s="97" t="s">
        <v>62</v>
      </c>
      <c r="N110" s="97" t="s">
        <v>33</v>
      </c>
      <c r="O110">
        <v>45</v>
      </c>
      <c r="P110">
        <v>18.440000000000001</v>
      </c>
      <c r="Q110">
        <v>0.83</v>
      </c>
      <c r="R110" s="97" t="s">
        <v>1200</v>
      </c>
      <c r="S110" s="97" t="s">
        <v>195</v>
      </c>
    </row>
    <row r="111" spans="1:19" x14ac:dyDescent="0.3">
      <c r="A111" s="97" t="s">
        <v>764</v>
      </c>
      <c r="B111" s="97" t="s">
        <v>22</v>
      </c>
      <c r="C111">
        <v>2026</v>
      </c>
      <c r="D111">
        <v>1</v>
      </c>
      <c r="E111" s="2">
        <v>46026</v>
      </c>
      <c r="F111" s="97" t="s">
        <v>7</v>
      </c>
      <c r="G111" s="97" t="s">
        <v>8</v>
      </c>
      <c r="H111" s="97" t="s">
        <v>70</v>
      </c>
      <c r="I111" s="97" t="s">
        <v>82</v>
      </c>
      <c r="J111" s="97" t="s">
        <v>83</v>
      </c>
      <c r="K111" s="97" t="s">
        <v>73</v>
      </c>
      <c r="L111">
        <v>701000</v>
      </c>
      <c r="M111" s="97" t="s">
        <v>62</v>
      </c>
      <c r="N111" s="97" t="s">
        <v>33</v>
      </c>
      <c r="O111">
        <v>269</v>
      </c>
      <c r="P111">
        <v>18.59</v>
      </c>
      <c r="Q111">
        <v>5</v>
      </c>
      <c r="R111" s="97" t="s">
        <v>1201</v>
      </c>
      <c r="S111" s="97" t="s">
        <v>195</v>
      </c>
    </row>
    <row r="112" spans="1:19" x14ac:dyDescent="0.3">
      <c r="A112" s="97" t="s">
        <v>805</v>
      </c>
      <c r="B112" s="97" t="s">
        <v>22</v>
      </c>
      <c r="C112">
        <v>2026</v>
      </c>
      <c r="D112">
        <v>1</v>
      </c>
      <c r="E112" s="2">
        <v>46026</v>
      </c>
      <c r="F112" s="97" t="s">
        <v>7</v>
      </c>
      <c r="G112" s="97" t="s">
        <v>8</v>
      </c>
      <c r="H112" s="97" t="s">
        <v>70</v>
      </c>
      <c r="I112" s="97" t="s">
        <v>82</v>
      </c>
      <c r="J112" s="97" t="s">
        <v>83</v>
      </c>
      <c r="K112" s="97" t="s">
        <v>73</v>
      </c>
      <c r="L112">
        <v>701000</v>
      </c>
      <c r="M112" s="97" t="s">
        <v>62</v>
      </c>
      <c r="N112" s="97" t="s">
        <v>33</v>
      </c>
      <c r="O112">
        <v>204</v>
      </c>
      <c r="P112">
        <v>18.579999999999998</v>
      </c>
      <c r="Q112">
        <v>3.79</v>
      </c>
      <c r="R112" s="97" t="s">
        <v>1205</v>
      </c>
      <c r="S112" s="97" t="s">
        <v>195</v>
      </c>
    </row>
    <row r="113" spans="1:19" x14ac:dyDescent="0.3">
      <c r="A113" s="97" t="s">
        <v>806</v>
      </c>
      <c r="B113" s="97" t="s">
        <v>22</v>
      </c>
      <c r="C113">
        <v>2026</v>
      </c>
      <c r="D113">
        <v>1</v>
      </c>
      <c r="E113" s="2">
        <v>46026</v>
      </c>
      <c r="F113" s="97" t="s">
        <v>7</v>
      </c>
      <c r="G113" s="97" t="s">
        <v>8</v>
      </c>
      <c r="H113" s="97" t="s">
        <v>70</v>
      </c>
      <c r="I113" s="97" t="s">
        <v>82</v>
      </c>
      <c r="J113" s="97" t="s">
        <v>83</v>
      </c>
      <c r="K113" s="97" t="s">
        <v>73</v>
      </c>
      <c r="L113">
        <v>701000</v>
      </c>
      <c r="M113" s="97" t="s">
        <v>62</v>
      </c>
      <c r="N113" s="97" t="s">
        <v>33</v>
      </c>
      <c r="O113">
        <v>106</v>
      </c>
      <c r="P113">
        <v>18.489999999999998</v>
      </c>
      <c r="Q113">
        <v>1.96</v>
      </c>
      <c r="R113" s="97" t="s">
        <v>1203</v>
      </c>
      <c r="S113" s="97" t="s">
        <v>195</v>
      </c>
    </row>
    <row r="114" spans="1:19" x14ac:dyDescent="0.3">
      <c r="A114" s="97" t="s">
        <v>807</v>
      </c>
      <c r="B114" s="97" t="s">
        <v>22</v>
      </c>
      <c r="C114">
        <v>2026</v>
      </c>
      <c r="D114">
        <v>1</v>
      </c>
      <c r="E114" s="2">
        <v>46026</v>
      </c>
      <c r="F114" s="97" t="s">
        <v>7</v>
      </c>
      <c r="G114" s="97" t="s">
        <v>8</v>
      </c>
      <c r="H114" s="97" t="s">
        <v>70</v>
      </c>
      <c r="I114" s="97" t="s">
        <v>82</v>
      </c>
      <c r="J114" s="97" t="s">
        <v>83</v>
      </c>
      <c r="K114" s="97" t="s">
        <v>73</v>
      </c>
      <c r="L114">
        <v>701000</v>
      </c>
      <c r="M114" s="97" t="s">
        <v>62</v>
      </c>
      <c r="N114" s="97" t="s">
        <v>33</v>
      </c>
      <c r="O114">
        <v>90</v>
      </c>
      <c r="P114">
        <v>18.440000000000001</v>
      </c>
      <c r="Q114">
        <v>1.66</v>
      </c>
      <c r="R114" s="97" t="s">
        <v>1202</v>
      </c>
      <c r="S114" s="97" t="s">
        <v>195</v>
      </c>
    </row>
    <row r="115" spans="1:19" x14ac:dyDescent="0.3">
      <c r="A115" s="97" t="s">
        <v>808</v>
      </c>
      <c r="B115" s="97" t="s">
        <v>22</v>
      </c>
      <c r="C115">
        <v>2026</v>
      </c>
      <c r="D115">
        <v>1</v>
      </c>
      <c r="E115" s="2">
        <v>46026</v>
      </c>
      <c r="F115" s="97" t="s">
        <v>7</v>
      </c>
      <c r="G115" s="97" t="s">
        <v>8</v>
      </c>
      <c r="H115" s="97" t="s">
        <v>70</v>
      </c>
      <c r="I115" s="97" t="s">
        <v>82</v>
      </c>
      <c r="J115" s="97" t="s">
        <v>83</v>
      </c>
      <c r="K115" s="97" t="s">
        <v>73</v>
      </c>
      <c r="L115">
        <v>701000</v>
      </c>
      <c r="M115" s="97" t="s">
        <v>62</v>
      </c>
      <c r="N115" s="97" t="s">
        <v>33</v>
      </c>
      <c r="O115">
        <v>107</v>
      </c>
      <c r="P115">
        <v>18.5</v>
      </c>
      <c r="Q115">
        <v>1.98</v>
      </c>
      <c r="R115" s="97" t="s">
        <v>1204</v>
      </c>
      <c r="S115" s="97" t="s">
        <v>195</v>
      </c>
    </row>
    <row r="116" spans="1:19" x14ac:dyDescent="0.3">
      <c r="A116" s="97" t="s">
        <v>809</v>
      </c>
      <c r="B116" s="97" t="s">
        <v>22</v>
      </c>
      <c r="C116">
        <v>2026</v>
      </c>
      <c r="D116">
        <v>1</v>
      </c>
      <c r="E116" s="2">
        <v>46026</v>
      </c>
      <c r="F116" s="97" t="s">
        <v>7</v>
      </c>
      <c r="G116" s="97" t="s">
        <v>8</v>
      </c>
      <c r="H116" s="97" t="s">
        <v>70</v>
      </c>
      <c r="I116" s="97" t="s">
        <v>82</v>
      </c>
      <c r="J116" s="97" t="s">
        <v>83</v>
      </c>
      <c r="K116" s="97" t="s">
        <v>73</v>
      </c>
      <c r="L116">
        <v>701000</v>
      </c>
      <c r="M116" s="97" t="s">
        <v>62</v>
      </c>
      <c r="N116" s="97" t="s">
        <v>33</v>
      </c>
      <c r="O116">
        <v>164</v>
      </c>
      <c r="P116">
        <v>18.48</v>
      </c>
      <c r="Q116">
        <v>3.03</v>
      </c>
      <c r="R116" s="97" t="s">
        <v>1200</v>
      </c>
      <c r="S116" s="97" t="s">
        <v>195</v>
      </c>
    </row>
    <row r="117" spans="1:19" x14ac:dyDescent="0.3">
      <c r="A117" s="97" t="s">
        <v>825</v>
      </c>
      <c r="B117" s="97" t="s">
        <v>22</v>
      </c>
      <c r="C117">
        <v>2026</v>
      </c>
      <c r="D117">
        <v>1</v>
      </c>
      <c r="E117" s="2">
        <v>46026</v>
      </c>
      <c r="F117" s="97" t="s">
        <v>7</v>
      </c>
      <c r="G117" s="97" t="s">
        <v>8</v>
      </c>
      <c r="H117" s="97" t="s">
        <v>70</v>
      </c>
      <c r="I117" s="97" t="s">
        <v>82</v>
      </c>
      <c r="J117" s="97" t="s">
        <v>83</v>
      </c>
      <c r="K117" s="97" t="s">
        <v>73</v>
      </c>
      <c r="L117">
        <v>701000</v>
      </c>
      <c r="M117" s="97" t="s">
        <v>62</v>
      </c>
      <c r="N117" s="97" t="s">
        <v>33</v>
      </c>
      <c r="O117">
        <v>198</v>
      </c>
      <c r="P117">
        <v>18.48</v>
      </c>
      <c r="Q117">
        <v>3.66</v>
      </c>
      <c r="R117" s="97" t="s">
        <v>1202</v>
      </c>
      <c r="S117" s="97" t="s">
        <v>195</v>
      </c>
    </row>
    <row r="118" spans="1:19" x14ac:dyDescent="0.3">
      <c r="A118" s="97" t="s">
        <v>826</v>
      </c>
      <c r="B118" s="97" t="s">
        <v>22</v>
      </c>
      <c r="C118">
        <v>2026</v>
      </c>
      <c r="D118">
        <v>1</v>
      </c>
      <c r="E118" s="2">
        <v>46026</v>
      </c>
      <c r="F118" s="97" t="s">
        <v>7</v>
      </c>
      <c r="G118" s="97" t="s">
        <v>8</v>
      </c>
      <c r="H118" s="97" t="s">
        <v>70</v>
      </c>
      <c r="I118" s="97" t="s">
        <v>82</v>
      </c>
      <c r="J118" s="97" t="s">
        <v>83</v>
      </c>
      <c r="K118" s="97" t="s">
        <v>73</v>
      </c>
      <c r="L118">
        <v>701000</v>
      </c>
      <c r="M118" s="97" t="s">
        <v>62</v>
      </c>
      <c r="N118" s="97" t="s">
        <v>33</v>
      </c>
      <c r="O118">
        <v>194</v>
      </c>
      <c r="P118">
        <v>18.510000000000002</v>
      </c>
      <c r="Q118">
        <v>3.59</v>
      </c>
      <c r="R118" s="97" t="s">
        <v>1203</v>
      </c>
      <c r="S118" s="97" t="s">
        <v>195</v>
      </c>
    </row>
    <row r="119" spans="1:19" x14ac:dyDescent="0.3">
      <c r="A119" s="97" t="s">
        <v>827</v>
      </c>
      <c r="B119" s="97" t="s">
        <v>22</v>
      </c>
      <c r="C119">
        <v>2026</v>
      </c>
      <c r="D119">
        <v>1</v>
      </c>
      <c r="E119" s="2">
        <v>46026</v>
      </c>
      <c r="F119" s="97" t="s">
        <v>7</v>
      </c>
      <c r="G119" s="97" t="s">
        <v>8</v>
      </c>
      <c r="H119" s="97" t="s">
        <v>70</v>
      </c>
      <c r="I119" s="97" t="s">
        <v>82</v>
      </c>
      <c r="J119" s="97" t="s">
        <v>83</v>
      </c>
      <c r="K119" s="97" t="s">
        <v>73</v>
      </c>
      <c r="L119">
        <v>701000</v>
      </c>
      <c r="M119" s="97" t="s">
        <v>62</v>
      </c>
      <c r="N119" s="97" t="s">
        <v>33</v>
      </c>
      <c r="O119">
        <v>112</v>
      </c>
      <c r="P119">
        <v>18.48</v>
      </c>
      <c r="Q119">
        <v>2.0699999999999998</v>
      </c>
      <c r="R119" s="97" t="s">
        <v>1199</v>
      </c>
      <c r="S119" s="97" t="s">
        <v>195</v>
      </c>
    </row>
    <row r="120" spans="1:19" x14ac:dyDescent="0.3">
      <c r="A120" s="97" t="s">
        <v>828</v>
      </c>
      <c r="B120" s="97" t="s">
        <v>22</v>
      </c>
      <c r="C120">
        <v>2026</v>
      </c>
      <c r="D120">
        <v>1</v>
      </c>
      <c r="E120" s="2">
        <v>46026</v>
      </c>
      <c r="F120" s="97" t="s">
        <v>7</v>
      </c>
      <c r="G120" s="97" t="s">
        <v>8</v>
      </c>
      <c r="H120" s="97" t="s">
        <v>70</v>
      </c>
      <c r="I120" s="97" t="s">
        <v>82</v>
      </c>
      <c r="J120" s="97" t="s">
        <v>83</v>
      </c>
      <c r="K120" s="97" t="s">
        <v>73</v>
      </c>
      <c r="L120">
        <v>701000</v>
      </c>
      <c r="M120" s="97" t="s">
        <v>62</v>
      </c>
      <c r="N120" s="97" t="s">
        <v>33</v>
      </c>
      <c r="O120">
        <v>44</v>
      </c>
      <c r="P120">
        <v>18.41</v>
      </c>
      <c r="Q120">
        <v>0.81</v>
      </c>
      <c r="R120" s="97" t="s">
        <v>1201</v>
      </c>
      <c r="S120" s="97" t="s">
        <v>195</v>
      </c>
    </row>
    <row r="121" spans="1:19" x14ac:dyDescent="0.3">
      <c r="A121" s="97" t="s">
        <v>829</v>
      </c>
      <c r="B121" s="97" t="s">
        <v>22</v>
      </c>
      <c r="C121">
        <v>2026</v>
      </c>
      <c r="D121">
        <v>1</v>
      </c>
      <c r="E121" s="2">
        <v>46026</v>
      </c>
      <c r="F121" s="97" t="s">
        <v>7</v>
      </c>
      <c r="G121" s="97" t="s">
        <v>8</v>
      </c>
      <c r="H121" s="97" t="s">
        <v>70</v>
      </c>
      <c r="I121" s="97" t="s">
        <v>82</v>
      </c>
      <c r="J121" s="97" t="s">
        <v>83</v>
      </c>
      <c r="K121" s="97" t="s">
        <v>73</v>
      </c>
      <c r="L121">
        <v>701000</v>
      </c>
      <c r="M121" s="97" t="s">
        <v>62</v>
      </c>
      <c r="N121" s="97" t="s">
        <v>33</v>
      </c>
      <c r="O121">
        <v>153</v>
      </c>
      <c r="P121">
        <v>18.559999999999999</v>
      </c>
      <c r="Q121">
        <v>2.84</v>
      </c>
      <c r="R121" s="97" t="s">
        <v>1198</v>
      </c>
      <c r="S121" s="97" t="s">
        <v>195</v>
      </c>
    </row>
    <row r="122" spans="1:19" x14ac:dyDescent="0.3">
      <c r="A122" s="97" t="s">
        <v>210</v>
      </c>
      <c r="B122" s="97" t="s">
        <v>22</v>
      </c>
      <c r="C122">
        <v>2026</v>
      </c>
      <c r="D122">
        <v>1</v>
      </c>
      <c r="E122" s="2">
        <v>46027</v>
      </c>
      <c r="F122" s="97" t="s">
        <v>7</v>
      </c>
      <c r="G122" s="97" t="s">
        <v>8</v>
      </c>
      <c r="H122" s="97" t="s">
        <v>70</v>
      </c>
      <c r="I122" s="97" t="s">
        <v>84</v>
      </c>
      <c r="J122" s="97" t="s">
        <v>85</v>
      </c>
      <c r="K122" s="97" t="s">
        <v>73</v>
      </c>
      <c r="L122">
        <v>701000</v>
      </c>
      <c r="M122" s="97" t="s">
        <v>62</v>
      </c>
      <c r="N122" s="97" t="s">
        <v>33</v>
      </c>
      <c r="O122">
        <v>2597</v>
      </c>
      <c r="P122">
        <v>0.95</v>
      </c>
      <c r="Q122">
        <v>2.4700000000000002</v>
      </c>
      <c r="R122" s="97" t="s">
        <v>1205</v>
      </c>
      <c r="S122" s="97" t="s">
        <v>195</v>
      </c>
    </row>
    <row r="123" spans="1:19" x14ac:dyDescent="0.3">
      <c r="A123" s="97" t="s">
        <v>211</v>
      </c>
      <c r="B123" s="97" t="s">
        <v>22</v>
      </c>
      <c r="C123">
        <v>2026</v>
      </c>
      <c r="D123">
        <v>1</v>
      </c>
      <c r="E123" s="2">
        <v>46027</v>
      </c>
      <c r="F123" s="97" t="s">
        <v>7</v>
      </c>
      <c r="G123" s="97" t="s">
        <v>8</v>
      </c>
      <c r="H123" s="97" t="s">
        <v>70</v>
      </c>
      <c r="I123" s="97" t="s">
        <v>84</v>
      </c>
      <c r="J123" s="97" t="s">
        <v>85</v>
      </c>
      <c r="K123" s="97" t="s">
        <v>73</v>
      </c>
      <c r="L123">
        <v>701000</v>
      </c>
      <c r="M123" s="97" t="s">
        <v>62</v>
      </c>
      <c r="N123" s="97" t="s">
        <v>33</v>
      </c>
      <c r="O123">
        <v>5320</v>
      </c>
      <c r="P123">
        <v>0.95</v>
      </c>
      <c r="Q123">
        <v>5.05</v>
      </c>
      <c r="R123" s="97" t="s">
        <v>1198</v>
      </c>
      <c r="S123" s="97" t="s">
        <v>195</v>
      </c>
    </row>
    <row r="124" spans="1:19" x14ac:dyDescent="0.3">
      <c r="A124" s="97" t="s">
        <v>212</v>
      </c>
      <c r="B124" s="97" t="s">
        <v>22</v>
      </c>
      <c r="C124">
        <v>2026</v>
      </c>
      <c r="D124">
        <v>1</v>
      </c>
      <c r="E124" s="2">
        <v>46027</v>
      </c>
      <c r="F124" s="97" t="s">
        <v>7</v>
      </c>
      <c r="G124" s="97" t="s">
        <v>8</v>
      </c>
      <c r="H124" s="97" t="s">
        <v>70</v>
      </c>
      <c r="I124" s="97" t="s">
        <v>84</v>
      </c>
      <c r="J124" s="97" t="s">
        <v>85</v>
      </c>
      <c r="K124" s="97" t="s">
        <v>73</v>
      </c>
      <c r="L124">
        <v>701000</v>
      </c>
      <c r="M124" s="97" t="s">
        <v>62</v>
      </c>
      <c r="N124" s="97" t="s">
        <v>33</v>
      </c>
      <c r="O124">
        <v>900</v>
      </c>
      <c r="P124">
        <v>0.96</v>
      </c>
      <c r="Q124">
        <v>0.86</v>
      </c>
      <c r="R124" s="97" t="s">
        <v>1199</v>
      </c>
      <c r="S124" s="97" t="s">
        <v>195</v>
      </c>
    </row>
    <row r="125" spans="1:19" x14ac:dyDescent="0.3">
      <c r="A125" s="97" t="s">
        <v>213</v>
      </c>
      <c r="B125" s="97" t="s">
        <v>22</v>
      </c>
      <c r="C125">
        <v>2026</v>
      </c>
      <c r="D125">
        <v>1</v>
      </c>
      <c r="E125" s="2">
        <v>46027</v>
      </c>
      <c r="F125" s="97" t="s">
        <v>7</v>
      </c>
      <c r="G125" s="97" t="s">
        <v>8</v>
      </c>
      <c r="H125" s="97" t="s">
        <v>70</v>
      </c>
      <c r="I125" s="97" t="s">
        <v>84</v>
      </c>
      <c r="J125" s="97" t="s">
        <v>85</v>
      </c>
      <c r="K125" s="97" t="s">
        <v>73</v>
      </c>
      <c r="L125">
        <v>701000</v>
      </c>
      <c r="M125" s="97" t="s">
        <v>62</v>
      </c>
      <c r="N125" s="97" t="s">
        <v>33</v>
      </c>
      <c r="O125">
        <v>8815</v>
      </c>
      <c r="P125">
        <v>0.95</v>
      </c>
      <c r="Q125">
        <v>8.3699999999999992</v>
      </c>
      <c r="R125" s="97" t="s">
        <v>1200</v>
      </c>
      <c r="S125" s="97" t="s">
        <v>195</v>
      </c>
    </row>
    <row r="126" spans="1:19" x14ac:dyDescent="0.3">
      <c r="A126" s="97" t="s">
        <v>214</v>
      </c>
      <c r="B126" s="97" t="s">
        <v>22</v>
      </c>
      <c r="C126">
        <v>2026</v>
      </c>
      <c r="D126">
        <v>1</v>
      </c>
      <c r="E126" s="2">
        <v>46027</v>
      </c>
      <c r="F126" s="97" t="s">
        <v>7</v>
      </c>
      <c r="G126" s="97" t="s">
        <v>8</v>
      </c>
      <c r="H126" s="97" t="s">
        <v>70</v>
      </c>
      <c r="I126" s="97" t="s">
        <v>84</v>
      </c>
      <c r="J126" s="97" t="s">
        <v>85</v>
      </c>
      <c r="K126" s="97" t="s">
        <v>73</v>
      </c>
      <c r="L126">
        <v>701000</v>
      </c>
      <c r="M126" s="97" t="s">
        <v>62</v>
      </c>
      <c r="N126" s="97" t="s">
        <v>33</v>
      </c>
      <c r="O126">
        <v>2410</v>
      </c>
      <c r="P126">
        <v>0.95</v>
      </c>
      <c r="Q126">
        <v>2.29</v>
      </c>
      <c r="R126" s="97" t="s">
        <v>1202</v>
      </c>
      <c r="S126" s="97" t="s">
        <v>195</v>
      </c>
    </row>
    <row r="127" spans="1:19" x14ac:dyDescent="0.3">
      <c r="A127" s="97" t="s">
        <v>270</v>
      </c>
      <c r="B127" s="97" t="s">
        <v>22</v>
      </c>
      <c r="C127">
        <v>2026</v>
      </c>
      <c r="D127">
        <v>1</v>
      </c>
      <c r="E127" s="2">
        <v>46027</v>
      </c>
      <c r="F127" s="97" t="s">
        <v>7</v>
      </c>
      <c r="G127" s="97" t="s">
        <v>8</v>
      </c>
      <c r="H127" s="97" t="s">
        <v>74</v>
      </c>
      <c r="I127" s="97" t="s">
        <v>84</v>
      </c>
      <c r="J127" s="97" t="s">
        <v>85</v>
      </c>
      <c r="K127" s="97" t="s">
        <v>73</v>
      </c>
      <c r="L127">
        <v>701000</v>
      </c>
      <c r="M127" s="97" t="s">
        <v>62</v>
      </c>
      <c r="N127" s="97" t="s">
        <v>33</v>
      </c>
      <c r="O127">
        <v>6129</v>
      </c>
      <c r="P127">
        <v>0.95</v>
      </c>
      <c r="Q127">
        <v>5.82</v>
      </c>
      <c r="R127" s="97" t="s">
        <v>1197</v>
      </c>
      <c r="S127" s="97" t="s">
        <v>195</v>
      </c>
    </row>
    <row r="128" spans="1:19" x14ac:dyDescent="0.3">
      <c r="A128" s="97" t="s">
        <v>271</v>
      </c>
      <c r="B128" s="97" t="s">
        <v>22</v>
      </c>
      <c r="C128">
        <v>2026</v>
      </c>
      <c r="D128">
        <v>1</v>
      </c>
      <c r="E128" s="2">
        <v>46027</v>
      </c>
      <c r="F128" s="97" t="s">
        <v>7</v>
      </c>
      <c r="G128" s="97" t="s">
        <v>8</v>
      </c>
      <c r="H128" s="97" t="s">
        <v>74</v>
      </c>
      <c r="I128" s="97" t="s">
        <v>84</v>
      </c>
      <c r="J128" s="97" t="s">
        <v>85</v>
      </c>
      <c r="K128" s="97" t="s">
        <v>73</v>
      </c>
      <c r="L128">
        <v>701000</v>
      </c>
      <c r="M128" s="97" t="s">
        <v>62</v>
      </c>
      <c r="N128" s="97" t="s">
        <v>33</v>
      </c>
      <c r="O128">
        <v>1874</v>
      </c>
      <c r="P128">
        <v>0.95</v>
      </c>
      <c r="Q128">
        <v>1.78</v>
      </c>
      <c r="R128" s="97" t="s">
        <v>1204</v>
      </c>
      <c r="S128" s="97" t="s">
        <v>195</v>
      </c>
    </row>
    <row r="129" spans="1:19" x14ac:dyDescent="0.3">
      <c r="A129" s="97" t="s">
        <v>272</v>
      </c>
      <c r="B129" s="97" t="s">
        <v>22</v>
      </c>
      <c r="C129">
        <v>2026</v>
      </c>
      <c r="D129">
        <v>1</v>
      </c>
      <c r="E129" s="2">
        <v>46027</v>
      </c>
      <c r="F129" s="97" t="s">
        <v>7</v>
      </c>
      <c r="G129" s="97" t="s">
        <v>8</v>
      </c>
      <c r="H129" s="97" t="s">
        <v>74</v>
      </c>
      <c r="I129" s="97" t="s">
        <v>84</v>
      </c>
      <c r="J129" s="97" t="s">
        <v>85</v>
      </c>
      <c r="K129" s="97" t="s">
        <v>73</v>
      </c>
      <c r="L129">
        <v>701000</v>
      </c>
      <c r="M129" s="97" t="s">
        <v>62</v>
      </c>
      <c r="N129" s="97" t="s">
        <v>33</v>
      </c>
      <c r="O129">
        <v>1620</v>
      </c>
      <c r="P129">
        <v>0.95</v>
      </c>
      <c r="Q129">
        <v>1.54</v>
      </c>
      <c r="R129" s="97" t="s">
        <v>1200</v>
      </c>
      <c r="S129" s="97" t="s">
        <v>195</v>
      </c>
    </row>
    <row r="130" spans="1:19" x14ac:dyDescent="0.3">
      <c r="A130" s="97" t="s">
        <v>273</v>
      </c>
      <c r="B130" s="97" t="s">
        <v>22</v>
      </c>
      <c r="C130">
        <v>2026</v>
      </c>
      <c r="D130">
        <v>1</v>
      </c>
      <c r="E130" s="2">
        <v>46027</v>
      </c>
      <c r="F130" s="97" t="s">
        <v>7</v>
      </c>
      <c r="G130" s="97" t="s">
        <v>8</v>
      </c>
      <c r="H130" s="97" t="s">
        <v>74</v>
      </c>
      <c r="I130" s="97" t="s">
        <v>84</v>
      </c>
      <c r="J130" s="97" t="s">
        <v>85</v>
      </c>
      <c r="K130" s="97" t="s">
        <v>73</v>
      </c>
      <c r="L130">
        <v>701000</v>
      </c>
      <c r="M130" s="97" t="s">
        <v>62</v>
      </c>
      <c r="N130" s="97" t="s">
        <v>33</v>
      </c>
      <c r="O130">
        <v>1144</v>
      </c>
      <c r="P130">
        <v>0.95</v>
      </c>
      <c r="Q130">
        <v>1.0900000000000001</v>
      </c>
      <c r="R130" s="97" t="s">
        <v>1201</v>
      </c>
      <c r="S130" s="97" t="s">
        <v>195</v>
      </c>
    </row>
    <row r="131" spans="1:19" x14ac:dyDescent="0.3">
      <c r="A131" s="97" t="s">
        <v>274</v>
      </c>
      <c r="B131" s="97" t="s">
        <v>22</v>
      </c>
      <c r="C131">
        <v>2026</v>
      </c>
      <c r="D131">
        <v>1</v>
      </c>
      <c r="E131" s="2">
        <v>46027</v>
      </c>
      <c r="F131" s="97" t="s">
        <v>7</v>
      </c>
      <c r="G131" s="97" t="s">
        <v>8</v>
      </c>
      <c r="H131" s="97" t="s">
        <v>74</v>
      </c>
      <c r="I131" s="97" t="s">
        <v>84</v>
      </c>
      <c r="J131" s="97" t="s">
        <v>85</v>
      </c>
      <c r="K131" s="97" t="s">
        <v>73</v>
      </c>
      <c r="L131">
        <v>701000</v>
      </c>
      <c r="M131" s="97" t="s">
        <v>62</v>
      </c>
      <c r="N131" s="97" t="s">
        <v>33</v>
      </c>
      <c r="O131">
        <v>4388</v>
      </c>
      <c r="P131">
        <v>0.95</v>
      </c>
      <c r="Q131">
        <v>4.17</v>
      </c>
      <c r="R131" s="97" t="s">
        <v>1203</v>
      </c>
      <c r="S131" s="97" t="s">
        <v>195</v>
      </c>
    </row>
    <row r="132" spans="1:19" x14ac:dyDescent="0.3">
      <c r="A132" s="97" t="s">
        <v>340</v>
      </c>
      <c r="B132" s="97" t="s">
        <v>22</v>
      </c>
      <c r="C132">
        <v>2026</v>
      </c>
      <c r="D132">
        <v>1</v>
      </c>
      <c r="E132" s="2">
        <v>46027</v>
      </c>
      <c r="F132" s="97" t="s">
        <v>7</v>
      </c>
      <c r="G132" s="97" t="s">
        <v>8</v>
      </c>
      <c r="H132" s="97" t="s">
        <v>74</v>
      </c>
      <c r="I132" s="97" t="s">
        <v>71</v>
      </c>
      <c r="J132" s="97" t="s">
        <v>72</v>
      </c>
      <c r="K132" s="97" t="s">
        <v>73</v>
      </c>
      <c r="L132">
        <v>701000</v>
      </c>
      <c r="M132" s="97" t="s">
        <v>62</v>
      </c>
      <c r="N132" s="97" t="s">
        <v>33</v>
      </c>
      <c r="O132">
        <v>3610</v>
      </c>
      <c r="P132">
        <v>1.05</v>
      </c>
      <c r="Q132">
        <v>3.79</v>
      </c>
      <c r="R132" s="97" t="s">
        <v>1202</v>
      </c>
      <c r="S132" s="97" t="s">
        <v>195</v>
      </c>
    </row>
    <row r="133" spans="1:19" x14ac:dyDescent="0.3">
      <c r="A133" s="97" t="s">
        <v>341</v>
      </c>
      <c r="B133" s="97" t="s">
        <v>22</v>
      </c>
      <c r="C133">
        <v>2026</v>
      </c>
      <c r="D133">
        <v>1</v>
      </c>
      <c r="E133" s="2">
        <v>46027</v>
      </c>
      <c r="F133" s="97" t="s">
        <v>7</v>
      </c>
      <c r="G133" s="97" t="s">
        <v>8</v>
      </c>
      <c r="H133" s="97" t="s">
        <v>74</v>
      </c>
      <c r="I133" s="97" t="s">
        <v>71</v>
      </c>
      <c r="J133" s="97" t="s">
        <v>72</v>
      </c>
      <c r="K133" s="97" t="s">
        <v>73</v>
      </c>
      <c r="L133">
        <v>701000</v>
      </c>
      <c r="M133" s="97" t="s">
        <v>62</v>
      </c>
      <c r="N133" s="97" t="s">
        <v>33</v>
      </c>
      <c r="O133">
        <v>4608</v>
      </c>
      <c r="P133">
        <v>1.05</v>
      </c>
      <c r="Q133">
        <v>4.84</v>
      </c>
      <c r="R133" s="97" t="s">
        <v>1204</v>
      </c>
      <c r="S133" s="97" t="s">
        <v>195</v>
      </c>
    </row>
    <row r="134" spans="1:19" x14ac:dyDescent="0.3">
      <c r="A134" s="97" t="s">
        <v>342</v>
      </c>
      <c r="B134" s="97" t="s">
        <v>22</v>
      </c>
      <c r="C134">
        <v>2026</v>
      </c>
      <c r="D134">
        <v>1</v>
      </c>
      <c r="E134" s="2">
        <v>46027</v>
      </c>
      <c r="F134" s="97" t="s">
        <v>7</v>
      </c>
      <c r="G134" s="97" t="s">
        <v>8</v>
      </c>
      <c r="H134" s="97" t="s">
        <v>74</v>
      </c>
      <c r="I134" s="97" t="s">
        <v>71</v>
      </c>
      <c r="J134" s="97" t="s">
        <v>72</v>
      </c>
      <c r="K134" s="97" t="s">
        <v>73</v>
      </c>
      <c r="L134">
        <v>701000</v>
      </c>
      <c r="M134" s="97" t="s">
        <v>62</v>
      </c>
      <c r="N134" s="97" t="s">
        <v>33</v>
      </c>
      <c r="O134">
        <v>3617</v>
      </c>
      <c r="P134">
        <v>1.05</v>
      </c>
      <c r="Q134">
        <v>3.8</v>
      </c>
      <c r="R134" s="97" t="s">
        <v>1203</v>
      </c>
      <c r="S134" s="97" t="s">
        <v>195</v>
      </c>
    </row>
    <row r="135" spans="1:19" x14ac:dyDescent="0.3">
      <c r="A135" s="97" t="s">
        <v>343</v>
      </c>
      <c r="B135" s="97" t="s">
        <v>22</v>
      </c>
      <c r="C135">
        <v>2026</v>
      </c>
      <c r="D135">
        <v>1</v>
      </c>
      <c r="E135" s="2">
        <v>46027</v>
      </c>
      <c r="F135" s="97" t="s">
        <v>7</v>
      </c>
      <c r="G135" s="97" t="s">
        <v>8</v>
      </c>
      <c r="H135" s="97" t="s">
        <v>74</v>
      </c>
      <c r="I135" s="97" t="s">
        <v>71</v>
      </c>
      <c r="J135" s="97" t="s">
        <v>72</v>
      </c>
      <c r="K135" s="97" t="s">
        <v>73</v>
      </c>
      <c r="L135">
        <v>701000</v>
      </c>
      <c r="M135" s="97" t="s">
        <v>62</v>
      </c>
      <c r="N135" s="97" t="s">
        <v>33</v>
      </c>
      <c r="O135">
        <v>4481</v>
      </c>
      <c r="P135">
        <v>1.05</v>
      </c>
      <c r="Q135">
        <v>4.7</v>
      </c>
      <c r="R135" s="97" t="s">
        <v>1205</v>
      </c>
      <c r="S135" s="97" t="s">
        <v>195</v>
      </c>
    </row>
    <row r="136" spans="1:19" x14ac:dyDescent="0.3">
      <c r="A136" s="97" t="s">
        <v>344</v>
      </c>
      <c r="B136" s="97" t="s">
        <v>22</v>
      </c>
      <c r="C136">
        <v>2026</v>
      </c>
      <c r="D136">
        <v>1</v>
      </c>
      <c r="E136" s="2">
        <v>46027</v>
      </c>
      <c r="F136" s="97" t="s">
        <v>7</v>
      </c>
      <c r="G136" s="97" t="s">
        <v>8</v>
      </c>
      <c r="H136" s="97" t="s">
        <v>74</v>
      </c>
      <c r="I136" s="97" t="s">
        <v>71</v>
      </c>
      <c r="J136" s="97" t="s">
        <v>72</v>
      </c>
      <c r="K136" s="97" t="s">
        <v>73</v>
      </c>
      <c r="L136">
        <v>701000</v>
      </c>
      <c r="M136" s="97" t="s">
        <v>62</v>
      </c>
      <c r="N136" s="97" t="s">
        <v>33</v>
      </c>
      <c r="O136">
        <v>772</v>
      </c>
      <c r="P136">
        <v>1.05</v>
      </c>
      <c r="Q136">
        <v>0.81</v>
      </c>
      <c r="R136" s="97" t="s">
        <v>1198</v>
      </c>
      <c r="S136" s="97" t="s">
        <v>195</v>
      </c>
    </row>
    <row r="137" spans="1:19" x14ac:dyDescent="0.3">
      <c r="A137" s="97" t="s">
        <v>395</v>
      </c>
      <c r="B137" s="97" t="s">
        <v>22</v>
      </c>
      <c r="C137">
        <v>2026</v>
      </c>
      <c r="D137">
        <v>1</v>
      </c>
      <c r="E137" s="2">
        <v>46027</v>
      </c>
      <c r="F137" s="97" t="s">
        <v>7</v>
      </c>
      <c r="G137" s="97" t="s">
        <v>8</v>
      </c>
      <c r="H137" s="97" t="s">
        <v>70</v>
      </c>
      <c r="I137" s="97" t="s">
        <v>75</v>
      </c>
      <c r="J137" s="97" t="s">
        <v>76</v>
      </c>
      <c r="K137" s="97" t="s">
        <v>73</v>
      </c>
      <c r="L137">
        <v>701000</v>
      </c>
      <c r="M137" s="97" t="s">
        <v>62</v>
      </c>
      <c r="N137" s="97" t="s">
        <v>33</v>
      </c>
      <c r="O137">
        <v>1806</v>
      </c>
      <c r="P137">
        <v>1.4</v>
      </c>
      <c r="Q137">
        <v>2.5299999999999998</v>
      </c>
      <c r="R137" s="97" t="s">
        <v>1204</v>
      </c>
      <c r="S137" s="97" t="s">
        <v>195</v>
      </c>
    </row>
    <row r="138" spans="1:19" x14ac:dyDescent="0.3">
      <c r="A138" s="97" t="s">
        <v>396</v>
      </c>
      <c r="B138" s="97" t="s">
        <v>22</v>
      </c>
      <c r="C138">
        <v>2026</v>
      </c>
      <c r="D138">
        <v>1</v>
      </c>
      <c r="E138" s="2">
        <v>46027</v>
      </c>
      <c r="F138" s="97" t="s">
        <v>7</v>
      </c>
      <c r="G138" s="97" t="s">
        <v>8</v>
      </c>
      <c r="H138" s="97" t="s">
        <v>70</v>
      </c>
      <c r="I138" s="97" t="s">
        <v>75</v>
      </c>
      <c r="J138" s="97" t="s">
        <v>76</v>
      </c>
      <c r="K138" s="97" t="s">
        <v>73</v>
      </c>
      <c r="L138">
        <v>701000</v>
      </c>
      <c r="M138" s="97" t="s">
        <v>62</v>
      </c>
      <c r="N138" s="97" t="s">
        <v>33</v>
      </c>
      <c r="O138">
        <v>1484</v>
      </c>
      <c r="P138">
        <v>1.4</v>
      </c>
      <c r="Q138">
        <v>2.08</v>
      </c>
      <c r="R138" s="97" t="s">
        <v>1198</v>
      </c>
      <c r="S138" s="97" t="s">
        <v>195</v>
      </c>
    </row>
    <row r="139" spans="1:19" x14ac:dyDescent="0.3">
      <c r="A139" s="97" t="s">
        <v>397</v>
      </c>
      <c r="B139" s="97" t="s">
        <v>22</v>
      </c>
      <c r="C139">
        <v>2026</v>
      </c>
      <c r="D139">
        <v>1</v>
      </c>
      <c r="E139" s="2">
        <v>46027</v>
      </c>
      <c r="F139" s="97" t="s">
        <v>7</v>
      </c>
      <c r="G139" s="97" t="s">
        <v>8</v>
      </c>
      <c r="H139" s="97" t="s">
        <v>70</v>
      </c>
      <c r="I139" s="97" t="s">
        <v>75</v>
      </c>
      <c r="J139" s="97" t="s">
        <v>76</v>
      </c>
      <c r="K139" s="97" t="s">
        <v>73</v>
      </c>
      <c r="L139">
        <v>701000</v>
      </c>
      <c r="M139" s="97" t="s">
        <v>62</v>
      </c>
      <c r="N139" s="97" t="s">
        <v>33</v>
      </c>
      <c r="O139">
        <v>1678</v>
      </c>
      <c r="P139">
        <v>1.4</v>
      </c>
      <c r="Q139">
        <v>2.35</v>
      </c>
      <c r="R139" s="97" t="s">
        <v>1200</v>
      </c>
      <c r="S139" s="97" t="s">
        <v>195</v>
      </c>
    </row>
    <row r="140" spans="1:19" x14ac:dyDescent="0.3">
      <c r="A140" s="97" t="s">
        <v>398</v>
      </c>
      <c r="B140" s="97" t="s">
        <v>22</v>
      </c>
      <c r="C140">
        <v>2026</v>
      </c>
      <c r="D140">
        <v>1</v>
      </c>
      <c r="E140" s="2">
        <v>46027</v>
      </c>
      <c r="F140" s="97" t="s">
        <v>7</v>
      </c>
      <c r="G140" s="97" t="s">
        <v>8</v>
      </c>
      <c r="H140" s="97" t="s">
        <v>70</v>
      </c>
      <c r="I140" s="97" t="s">
        <v>75</v>
      </c>
      <c r="J140" s="97" t="s">
        <v>76</v>
      </c>
      <c r="K140" s="97" t="s">
        <v>73</v>
      </c>
      <c r="L140">
        <v>701000</v>
      </c>
      <c r="M140" s="97" t="s">
        <v>62</v>
      </c>
      <c r="N140" s="97" t="s">
        <v>33</v>
      </c>
      <c r="O140">
        <v>1265</v>
      </c>
      <c r="P140">
        <v>1.4</v>
      </c>
      <c r="Q140">
        <v>1.77</v>
      </c>
      <c r="R140" s="97" t="s">
        <v>1205</v>
      </c>
      <c r="S140" s="97" t="s">
        <v>195</v>
      </c>
    </row>
    <row r="141" spans="1:19" x14ac:dyDescent="0.3">
      <c r="A141" s="97" t="s">
        <v>399</v>
      </c>
      <c r="B141" s="97" t="s">
        <v>22</v>
      </c>
      <c r="C141">
        <v>2026</v>
      </c>
      <c r="D141">
        <v>1</v>
      </c>
      <c r="E141" s="2">
        <v>46027</v>
      </c>
      <c r="F141" s="97" t="s">
        <v>7</v>
      </c>
      <c r="G141" s="97" t="s">
        <v>8</v>
      </c>
      <c r="H141" s="97" t="s">
        <v>70</v>
      </c>
      <c r="I141" s="97" t="s">
        <v>75</v>
      </c>
      <c r="J141" s="97" t="s">
        <v>76</v>
      </c>
      <c r="K141" s="97" t="s">
        <v>73</v>
      </c>
      <c r="L141">
        <v>701000</v>
      </c>
      <c r="M141" s="97" t="s">
        <v>62</v>
      </c>
      <c r="N141" s="97" t="s">
        <v>33</v>
      </c>
      <c r="O141">
        <v>2057</v>
      </c>
      <c r="P141">
        <v>1.4</v>
      </c>
      <c r="Q141">
        <v>2.88</v>
      </c>
      <c r="R141" s="97" t="s">
        <v>1201</v>
      </c>
      <c r="S141" s="97" t="s">
        <v>195</v>
      </c>
    </row>
    <row r="142" spans="1:19" x14ac:dyDescent="0.3">
      <c r="A142" s="97" t="s">
        <v>785</v>
      </c>
      <c r="B142" s="97" t="s">
        <v>22</v>
      </c>
      <c r="C142">
        <v>2026</v>
      </c>
      <c r="D142">
        <v>1</v>
      </c>
      <c r="E142" s="2">
        <v>46027</v>
      </c>
      <c r="F142" s="97" t="s">
        <v>7</v>
      </c>
      <c r="G142" s="97" t="s">
        <v>8</v>
      </c>
      <c r="H142" s="97" t="s">
        <v>74</v>
      </c>
      <c r="I142" s="97" t="s">
        <v>82</v>
      </c>
      <c r="J142" s="97" t="s">
        <v>83</v>
      </c>
      <c r="K142" s="97" t="s">
        <v>73</v>
      </c>
      <c r="L142">
        <v>707000</v>
      </c>
      <c r="M142" s="97" t="s">
        <v>81</v>
      </c>
      <c r="N142" s="97" t="s">
        <v>33</v>
      </c>
      <c r="O142">
        <v>120</v>
      </c>
      <c r="P142">
        <v>18.5</v>
      </c>
      <c r="Q142">
        <v>2.2200000000000002</v>
      </c>
      <c r="R142" s="97" t="s">
        <v>1198</v>
      </c>
      <c r="S142" s="97" t="s">
        <v>195</v>
      </c>
    </row>
    <row r="143" spans="1:19" x14ac:dyDescent="0.3">
      <c r="A143" s="97" t="s">
        <v>786</v>
      </c>
      <c r="B143" s="97" t="s">
        <v>22</v>
      </c>
      <c r="C143">
        <v>2026</v>
      </c>
      <c r="D143">
        <v>1</v>
      </c>
      <c r="E143" s="2">
        <v>46027</v>
      </c>
      <c r="F143" s="97" t="s">
        <v>7</v>
      </c>
      <c r="G143" s="97" t="s">
        <v>8</v>
      </c>
      <c r="H143" s="97" t="s">
        <v>74</v>
      </c>
      <c r="I143" s="97" t="s">
        <v>82</v>
      </c>
      <c r="J143" s="97" t="s">
        <v>83</v>
      </c>
      <c r="K143" s="97" t="s">
        <v>73</v>
      </c>
      <c r="L143">
        <v>707000</v>
      </c>
      <c r="M143" s="97" t="s">
        <v>81</v>
      </c>
      <c r="N143" s="97" t="s">
        <v>33</v>
      </c>
      <c r="O143">
        <v>115</v>
      </c>
      <c r="P143">
        <v>18.52</v>
      </c>
      <c r="Q143">
        <v>2.13</v>
      </c>
      <c r="R143" s="97" t="s">
        <v>1199</v>
      </c>
      <c r="S143" s="97" t="s">
        <v>195</v>
      </c>
    </row>
    <row r="144" spans="1:19" x14ac:dyDescent="0.3">
      <c r="A144" s="97" t="s">
        <v>787</v>
      </c>
      <c r="B144" s="97" t="s">
        <v>22</v>
      </c>
      <c r="C144">
        <v>2026</v>
      </c>
      <c r="D144">
        <v>1</v>
      </c>
      <c r="E144" s="2">
        <v>46027</v>
      </c>
      <c r="F144" s="97" t="s">
        <v>7</v>
      </c>
      <c r="G144" s="97" t="s">
        <v>8</v>
      </c>
      <c r="H144" s="97" t="s">
        <v>74</v>
      </c>
      <c r="I144" s="97" t="s">
        <v>82</v>
      </c>
      <c r="J144" s="97" t="s">
        <v>83</v>
      </c>
      <c r="K144" s="97" t="s">
        <v>73</v>
      </c>
      <c r="L144">
        <v>707000</v>
      </c>
      <c r="M144" s="97" t="s">
        <v>81</v>
      </c>
      <c r="N144" s="97" t="s">
        <v>33</v>
      </c>
      <c r="O144">
        <v>164</v>
      </c>
      <c r="P144">
        <v>18.48</v>
      </c>
      <c r="Q144">
        <v>3.03</v>
      </c>
      <c r="R144" s="97" t="s">
        <v>1203</v>
      </c>
      <c r="S144" s="97" t="s">
        <v>195</v>
      </c>
    </row>
    <row r="145" spans="1:19" x14ac:dyDescent="0.3">
      <c r="A145" s="97" t="s">
        <v>788</v>
      </c>
      <c r="B145" s="97" t="s">
        <v>22</v>
      </c>
      <c r="C145">
        <v>2026</v>
      </c>
      <c r="D145">
        <v>1</v>
      </c>
      <c r="E145" s="2">
        <v>46027</v>
      </c>
      <c r="F145" s="97" t="s">
        <v>7</v>
      </c>
      <c r="G145" s="97" t="s">
        <v>8</v>
      </c>
      <c r="H145" s="97" t="s">
        <v>74</v>
      </c>
      <c r="I145" s="97" t="s">
        <v>82</v>
      </c>
      <c r="J145" s="97" t="s">
        <v>83</v>
      </c>
      <c r="K145" s="97" t="s">
        <v>73</v>
      </c>
      <c r="L145">
        <v>707000</v>
      </c>
      <c r="M145" s="97" t="s">
        <v>81</v>
      </c>
      <c r="N145" s="97" t="s">
        <v>33</v>
      </c>
      <c r="O145">
        <v>147</v>
      </c>
      <c r="P145">
        <v>18.5</v>
      </c>
      <c r="Q145">
        <v>2.72</v>
      </c>
      <c r="R145" s="97" t="s">
        <v>1204</v>
      </c>
      <c r="S145" s="97" t="s">
        <v>195</v>
      </c>
    </row>
    <row r="146" spans="1:19" x14ac:dyDescent="0.3">
      <c r="A146" s="97" t="s">
        <v>789</v>
      </c>
      <c r="B146" s="97" t="s">
        <v>22</v>
      </c>
      <c r="C146">
        <v>2026</v>
      </c>
      <c r="D146">
        <v>1</v>
      </c>
      <c r="E146" s="2">
        <v>46027</v>
      </c>
      <c r="F146" s="97" t="s">
        <v>7</v>
      </c>
      <c r="G146" s="97" t="s">
        <v>8</v>
      </c>
      <c r="H146" s="97" t="s">
        <v>74</v>
      </c>
      <c r="I146" s="97" t="s">
        <v>82</v>
      </c>
      <c r="J146" s="97" t="s">
        <v>83</v>
      </c>
      <c r="K146" s="97" t="s">
        <v>73</v>
      </c>
      <c r="L146">
        <v>707000</v>
      </c>
      <c r="M146" s="97" t="s">
        <v>81</v>
      </c>
      <c r="N146" s="97" t="s">
        <v>33</v>
      </c>
      <c r="O146">
        <v>141</v>
      </c>
      <c r="P146">
        <v>18.510000000000002</v>
      </c>
      <c r="Q146">
        <v>2.61</v>
      </c>
      <c r="R146" s="97" t="s">
        <v>1197</v>
      </c>
      <c r="S146" s="97" t="s">
        <v>195</v>
      </c>
    </row>
    <row r="147" spans="1:19" x14ac:dyDescent="0.3">
      <c r="A147" s="97" t="s">
        <v>790</v>
      </c>
      <c r="B147" s="97" t="s">
        <v>22</v>
      </c>
      <c r="C147">
        <v>2026</v>
      </c>
      <c r="D147">
        <v>1</v>
      </c>
      <c r="E147" s="2">
        <v>46027</v>
      </c>
      <c r="F147" s="97" t="s">
        <v>7</v>
      </c>
      <c r="G147" s="97" t="s">
        <v>8</v>
      </c>
      <c r="H147" s="97" t="s">
        <v>74</v>
      </c>
      <c r="I147" s="97" t="s">
        <v>82</v>
      </c>
      <c r="J147" s="97" t="s">
        <v>83</v>
      </c>
      <c r="K147" s="97" t="s">
        <v>73</v>
      </c>
      <c r="L147">
        <v>701000</v>
      </c>
      <c r="M147" s="97" t="s">
        <v>62</v>
      </c>
      <c r="N147" s="97" t="s">
        <v>33</v>
      </c>
      <c r="O147">
        <v>68</v>
      </c>
      <c r="P147">
        <v>18.68</v>
      </c>
      <c r="Q147">
        <v>1.27</v>
      </c>
      <c r="R147" s="97" t="s">
        <v>1205</v>
      </c>
      <c r="S147" s="97" t="s">
        <v>195</v>
      </c>
    </row>
    <row r="148" spans="1:19" x14ac:dyDescent="0.3">
      <c r="A148" s="97" t="s">
        <v>791</v>
      </c>
      <c r="B148" s="97" t="s">
        <v>22</v>
      </c>
      <c r="C148">
        <v>2026</v>
      </c>
      <c r="D148">
        <v>1</v>
      </c>
      <c r="E148" s="2">
        <v>46027</v>
      </c>
      <c r="F148" s="97" t="s">
        <v>7</v>
      </c>
      <c r="G148" s="97" t="s">
        <v>8</v>
      </c>
      <c r="H148" s="97" t="s">
        <v>74</v>
      </c>
      <c r="I148" s="97" t="s">
        <v>82</v>
      </c>
      <c r="J148" s="97" t="s">
        <v>83</v>
      </c>
      <c r="K148" s="97" t="s">
        <v>73</v>
      </c>
      <c r="L148">
        <v>701000</v>
      </c>
      <c r="M148" s="97" t="s">
        <v>62</v>
      </c>
      <c r="N148" s="97" t="s">
        <v>33</v>
      </c>
      <c r="O148">
        <v>228</v>
      </c>
      <c r="P148">
        <v>18.46</v>
      </c>
      <c r="Q148">
        <v>4.21</v>
      </c>
      <c r="R148" s="97" t="s">
        <v>1202</v>
      </c>
      <c r="S148" s="97" t="s">
        <v>195</v>
      </c>
    </row>
    <row r="149" spans="1:19" x14ac:dyDescent="0.3">
      <c r="A149" s="97" t="s">
        <v>792</v>
      </c>
      <c r="B149" s="97" t="s">
        <v>22</v>
      </c>
      <c r="C149">
        <v>2026</v>
      </c>
      <c r="D149">
        <v>1</v>
      </c>
      <c r="E149" s="2">
        <v>46027</v>
      </c>
      <c r="F149" s="97" t="s">
        <v>7</v>
      </c>
      <c r="G149" s="97" t="s">
        <v>8</v>
      </c>
      <c r="H149" s="97" t="s">
        <v>74</v>
      </c>
      <c r="I149" s="97" t="s">
        <v>82</v>
      </c>
      <c r="J149" s="97" t="s">
        <v>83</v>
      </c>
      <c r="K149" s="97" t="s">
        <v>73</v>
      </c>
      <c r="L149">
        <v>701000</v>
      </c>
      <c r="M149" s="97" t="s">
        <v>62</v>
      </c>
      <c r="N149" s="97" t="s">
        <v>33</v>
      </c>
      <c r="O149">
        <v>28</v>
      </c>
      <c r="P149">
        <v>18.93</v>
      </c>
      <c r="Q149">
        <v>0.53</v>
      </c>
      <c r="R149" s="97" t="s">
        <v>1203</v>
      </c>
      <c r="S149" s="97" t="s">
        <v>195</v>
      </c>
    </row>
    <row r="150" spans="1:19" x14ac:dyDescent="0.3">
      <c r="A150" s="97" t="s">
        <v>793</v>
      </c>
      <c r="B150" s="97" t="s">
        <v>22</v>
      </c>
      <c r="C150">
        <v>2026</v>
      </c>
      <c r="D150">
        <v>1</v>
      </c>
      <c r="E150" s="2">
        <v>46027</v>
      </c>
      <c r="F150" s="97" t="s">
        <v>7</v>
      </c>
      <c r="G150" s="97" t="s">
        <v>8</v>
      </c>
      <c r="H150" s="97" t="s">
        <v>74</v>
      </c>
      <c r="I150" s="97" t="s">
        <v>82</v>
      </c>
      <c r="J150" s="97" t="s">
        <v>83</v>
      </c>
      <c r="K150" s="97" t="s">
        <v>73</v>
      </c>
      <c r="L150">
        <v>701000</v>
      </c>
      <c r="M150" s="97" t="s">
        <v>62</v>
      </c>
      <c r="N150" s="97" t="s">
        <v>33</v>
      </c>
      <c r="O150">
        <v>286</v>
      </c>
      <c r="P150">
        <v>18.5</v>
      </c>
      <c r="Q150">
        <v>5.29</v>
      </c>
      <c r="R150" s="97" t="s">
        <v>1200</v>
      </c>
      <c r="S150" s="97" t="s">
        <v>195</v>
      </c>
    </row>
    <row r="151" spans="1:19" x14ac:dyDescent="0.3">
      <c r="A151" s="97" t="s">
        <v>794</v>
      </c>
      <c r="B151" s="97" t="s">
        <v>22</v>
      </c>
      <c r="C151">
        <v>2026</v>
      </c>
      <c r="D151">
        <v>1</v>
      </c>
      <c r="E151" s="2">
        <v>46027</v>
      </c>
      <c r="F151" s="97" t="s">
        <v>7</v>
      </c>
      <c r="G151" s="97" t="s">
        <v>8</v>
      </c>
      <c r="H151" s="97" t="s">
        <v>74</v>
      </c>
      <c r="I151" s="97" t="s">
        <v>82</v>
      </c>
      <c r="J151" s="97" t="s">
        <v>83</v>
      </c>
      <c r="K151" s="97" t="s">
        <v>73</v>
      </c>
      <c r="L151">
        <v>701000</v>
      </c>
      <c r="M151" s="97" t="s">
        <v>62</v>
      </c>
      <c r="N151" s="97" t="s">
        <v>33</v>
      </c>
      <c r="O151">
        <v>128</v>
      </c>
      <c r="P151">
        <v>18.36</v>
      </c>
      <c r="Q151">
        <v>2.35</v>
      </c>
      <c r="R151" s="97" t="s">
        <v>1198</v>
      </c>
      <c r="S151" s="97" t="s">
        <v>195</v>
      </c>
    </row>
    <row r="152" spans="1:19" x14ac:dyDescent="0.3">
      <c r="A152" s="97" t="s">
        <v>860</v>
      </c>
      <c r="B152" s="97" t="s">
        <v>22</v>
      </c>
      <c r="C152">
        <v>2026</v>
      </c>
      <c r="D152">
        <v>1</v>
      </c>
      <c r="E152" s="2">
        <v>46027</v>
      </c>
      <c r="F152" s="97" t="s">
        <v>7</v>
      </c>
      <c r="G152" s="97" t="s">
        <v>8</v>
      </c>
      <c r="H152" s="97" t="s">
        <v>70</v>
      </c>
      <c r="I152" s="97" t="s">
        <v>82</v>
      </c>
      <c r="J152" s="97" t="s">
        <v>83</v>
      </c>
      <c r="K152" s="97" t="s">
        <v>73</v>
      </c>
      <c r="L152">
        <v>701000</v>
      </c>
      <c r="M152" s="97" t="s">
        <v>62</v>
      </c>
      <c r="N152" s="97" t="s">
        <v>33</v>
      </c>
      <c r="O152">
        <v>143</v>
      </c>
      <c r="P152">
        <v>18.46</v>
      </c>
      <c r="Q152">
        <v>2.64</v>
      </c>
      <c r="R152" s="97" t="s">
        <v>1198</v>
      </c>
      <c r="S152" s="97" t="s">
        <v>195</v>
      </c>
    </row>
    <row r="153" spans="1:19" x14ac:dyDescent="0.3">
      <c r="A153" s="97" t="s">
        <v>861</v>
      </c>
      <c r="B153" s="97" t="s">
        <v>22</v>
      </c>
      <c r="C153">
        <v>2026</v>
      </c>
      <c r="D153">
        <v>1</v>
      </c>
      <c r="E153" s="2">
        <v>46027</v>
      </c>
      <c r="F153" s="97" t="s">
        <v>7</v>
      </c>
      <c r="G153" s="97" t="s">
        <v>8</v>
      </c>
      <c r="H153" s="97" t="s">
        <v>70</v>
      </c>
      <c r="I153" s="97" t="s">
        <v>82</v>
      </c>
      <c r="J153" s="97" t="s">
        <v>83</v>
      </c>
      <c r="K153" s="97" t="s">
        <v>73</v>
      </c>
      <c r="L153">
        <v>701000</v>
      </c>
      <c r="M153" s="97" t="s">
        <v>62</v>
      </c>
      <c r="N153" s="97" t="s">
        <v>33</v>
      </c>
      <c r="O153">
        <v>148</v>
      </c>
      <c r="P153">
        <v>18.510000000000002</v>
      </c>
      <c r="Q153">
        <v>2.74</v>
      </c>
      <c r="R153" s="97" t="s">
        <v>1199</v>
      </c>
      <c r="S153" s="97" t="s">
        <v>195</v>
      </c>
    </row>
    <row r="154" spans="1:19" x14ac:dyDescent="0.3">
      <c r="A154" s="97" t="s">
        <v>862</v>
      </c>
      <c r="B154" s="97" t="s">
        <v>22</v>
      </c>
      <c r="C154">
        <v>2026</v>
      </c>
      <c r="D154">
        <v>1</v>
      </c>
      <c r="E154" s="2">
        <v>46027</v>
      </c>
      <c r="F154" s="97" t="s">
        <v>7</v>
      </c>
      <c r="G154" s="97" t="s">
        <v>8</v>
      </c>
      <c r="H154" s="97" t="s">
        <v>70</v>
      </c>
      <c r="I154" s="97" t="s">
        <v>82</v>
      </c>
      <c r="J154" s="97" t="s">
        <v>83</v>
      </c>
      <c r="K154" s="97" t="s">
        <v>73</v>
      </c>
      <c r="L154">
        <v>701000</v>
      </c>
      <c r="M154" s="97" t="s">
        <v>62</v>
      </c>
      <c r="N154" s="97" t="s">
        <v>33</v>
      </c>
      <c r="O154">
        <v>19</v>
      </c>
      <c r="P154">
        <v>18.95</v>
      </c>
      <c r="Q154">
        <v>0.36</v>
      </c>
      <c r="R154" s="97" t="s">
        <v>1205</v>
      </c>
      <c r="S154" s="97" t="s">
        <v>195</v>
      </c>
    </row>
    <row r="155" spans="1:19" x14ac:dyDescent="0.3">
      <c r="A155" s="97" t="s">
        <v>863</v>
      </c>
      <c r="B155" s="97" t="s">
        <v>22</v>
      </c>
      <c r="C155">
        <v>2026</v>
      </c>
      <c r="D155">
        <v>1</v>
      </c>
      <c r="E155" s="2">
        <v>46027</v>
      </c>
      <c r="F155" s="97" t="s">
        <v>7</v>
      </c>
      <c r="G155" s="97" t="s">
        <v>8</v>
      </c>
      <c r="H155" s="97" t="s">
        <v>70</v>
      </c>
      <c r="I155" s="97" t="s">
        <v>82</v>
      </c>
      <c r="J155" s="97" t="s">
        <v>83</v>
      </c>
      <c r="K155" s="97" t="s">
        <v>73</v>
      </c>
      <c r="L155">
        <v>701000</v>
      </c>
      <c r="M155" s="97" t="s">
        <v>62</v>
      </c>
      <c r="N155" s="97" t="s">
        <v>33</v>
      </c>
      <c r="O155">
        <v>118</v>
      </c>
      <c r="P155">
        <v>18.47</v>
      </c>
      <c r="Q155">
        <v>2.1800000000000002</v>
      </c>
      <c r="R155" s="97" t="s">
        <v>1197</v>
      </c>
      <c r="S155" s="97" t="s">
        <v>195</v>
      </c>
    </row>
    <row r="156" spans="1:19" x14ac:dyDescent="0.3">
      <c r="A156" s="97" t="s">
        <v>864</v>
      </c>
      <c r="B156" s="97" t="s">
        <v>22</v>
      </c>
      <c r="C156">
        <v>2026</v>
      </c>
      <c r="D156">
        <v>1</v>
      </c>
      <c r="E156" s="2">
        <v>46027</v>
      </c>
      <c r="F156" s="97" t="s">
        <v>7</v>
      </c>
      <c r="G156" s="97" t="s">
        <v>8</v>
      </c>
      <c r="H156" s="97" t="s">
        <v>70</v>
      </c>
      <c r="I156" s="97" t="s">
        <v>82</v>
      </c>
      <c r="J156" s="97" t="s">
        <v>83</v>
      </c>
      <c r="K156" s="97" t="s">
        <v>73</v>
      </c>
      <c r="L156">
        <v>701000</v>
      </c>
      <c r="M156" s="97" t="s">
        <v>62</v>
      </c>
      <c r="N156" s="97" t="s">
        <v>33</v>
      </c>
      <c r="O156">
        <v>153</v>
      </c>
      <c r="P156">
        <v>18.43</v>
      </c>
      <c r="Q156">
        <v>2.82</v>
      </c>
      <c r="R156" s="97" t="s">
        <v>1203</v>
      </c>
      <c r="S156" s="97" t="s">
        <v>195</v>
      </c>
    </row>
    <row r="157" spans="1:19" x14ac:dyDescent="0.3">
      <c r="A157" s="97" t="s">
        <v>880</v>
      </c>
      <c r="B157" s="97" t="s">
        <v>22</v>
      </c>
      <c r="C157">
        <v>2026</v>
      </c>
      <c r="D157">
        <v>1</v>
      </c>
      <c r="E157" s="2">
        <v>46027</v>
      </c>
      <c r="F157" s="97" t="s">
        <v>7</v>
      </c>
      <c r="G157" s="97" t="s">
        <v>8</v>
      </c>
      <c r="H157" s="97" t="s">
        <v>74</v>
      </c>
      <c r="I157" s="97" t="s">
        <v>82</v>
      </c>
      <c r="J157" s="97" t="s">
        <v>83</v>
      </c>
      <c r="K157" s="97" t="s">
        <v>73</v>
      </c>
      <c r="L157">
        <v>701000</v>
      </c>
      <c r="M157" s="97" t="s">
        <v>62</v>
      </c>
      <c r="N157" s="97" t="s">
        <v>33</v>
      </c>
      <c r="O157">
        <v>35</v>
      </c>
      <c r="P157">
        <v>18.57</v>
      </c>
      <c r="Q157">
        <v>0.65</v>
      </c>
      <c r="R157" s="97" t="s">
        <v>1200</v>
      </c>
      <c r="S157" s="97" t="s">
        <v>195</v>
      </c>
    </row>
    <row r="158" spans="1:19" x14ac:dyDescent="0.3">
      <c r="A158" s="97" t="s">
        <v>881</v>
      </c>
      <c r="B158" s="97" t="s">
        <v>22</v>
      </c>
      <c r="C158">
        <v>2026</v>
      </c>
      <c r="D158">
        <v>1</v>
      </c>
      <c r="E158" s="2">
        <v>46027</v>
      </c>
      <c r="F158" s="97" t="s">
        <v>7</v>
      </c>
      <c r="G158" s="97" t="s">
        <v>8</v>
      </c>
      <c r="H158" s="97" t="s">
        <v>74</v>
      </c>
      <c r="I158" s="97" t="s">
        <v>82</v>
      </c>
      <c r="J158" s="97" t="s">
        <v>83</v>
      </c>
      <c r="K158" s="97" t="s">
        <v>73</v>
      </c>
      <c r="L158">
        <v>701000</v>
      </c>
      <c r="M158" s="97" t="s">
        <v>62</v>
      </c>
      <c r="N158" s="97" t="s">
        <v>33</v>
      </c>
      <c r="O158">
        <v>93</v>
      </c>
      <c r="P158">
        <v>18.489999999999998</v>
      </c>
      <c r="Q158">
        <v>1.72</v>
      </c>
      <c r="R158" s="97" t="s">
        <v>1197</v>
      </c>
      <c r="S158" s="97" t="s">
        <v>195</v>
      </c>
    </row>
    <row r="159" spans="1:19" x14ac:dyDescent="0.3">
      <c r="A159" s="97" t="s">
        <v>882</v>
      </c>
      <c r="B159" s="97" t="s">
        <v>22</v>
      </c>
      <c r="C159">
        <v>2026</v>
      </c>
      <c r="D159">
        <v>1</v>
      </c>
      <c r="E159" s="2">
        <v>46027</v>
      </c>
      <c r="F159" s="97" t="s">
        <v>7</v>
      </c>
      <c r="G159" s="97" t="s">
        <v>8</v>
      </c>
      <c r="H159" s="97" t="s">
        <v>74</v>
      </c>
      <c r="I159" s="97" t="s">
        <v>82</v>
      </c>
      <c r="J159" s="97" t="s">
        <v>83</v>
      </c>
      <c r="K159" s="97" t="s">
        <v>73</v>
      </c>
      <c r="L159">
        <v>701000</v>
      </c>
      <c r="M159" s="97" t="s">
        <v>62</v>
      </c>
      <c r="N159" s="97" t="s">
        <v>33</v>
      </c>
      <c r="O159">
        <v>201</v>
      </c>
      <c r="P159">
        <v>18.510000000000002</v>
      </c>
      <c r="Q159">
        <v>3.72</v>
      </c>
      <c r="R159" s="97" t="s">
        <v>1205</v>
      </c>
      <c r="S159" s="97" t="s">
        <v>195</v>
      </c>
    </row>
    <row r="160" spans="1:19" x14ac:dyDescent="0.3">
      <c r="A160" s="97" t="s">
        <v>883</v>
      </c>
      <c r="B160" s="97" t="s">
        <v>22</v>
      </c>
      <c r="C160">
        <v>2026</v>
      </c>
      <c r="D160">
        <v>1</v>
      </c>
      <c r="E160" s="2">
        <v>46027</v>
      </c>
      <c r="F160" s="97" t="s">
        <v>7</v>
      </c>
      <c r="G160" s="97" t="s">
        <v>8</v>
      </c>
      <c r="H160" s="97" t="s">
        <v>74</v>
      </c>
      <c r="I160" s="97" t="s">
        <v>82</v>
      </c>
      <c r="J160" s="97" t="s">
        <v>83</v>
      </c>
      <c r="K160" s="97" t="s">
        <v>73</v>
      </c>
      <c r="L160">
        <v>701000</v>
      </c>
      <c r="M160" s="97" t="s">
        <v>62</v>
      </c>
      <c r="N160" s="97" t="s">
        <v>33</v>
      </c>
      <c r="O160">
        <v>167</v>
      </c>
      <c r="P160">
        <v>18.5</v>
      </c>
      <c r="Q160">
        <v>3.09</v>
      </c>
      <c r="R160" s="97" t="s">
        <v>1199</v>
      </c>
      <c r="S160" s="97" t="s">
        <v>195</v>
      </c>
    </row>
    <row r="161" spans="1:19" x14ac:dyDescent="0.3">
      <c r="A161" s="97" t="s">
        <v>884</v>
      </c>
      <c r="B161" s="97" t="s">
        <v>22</v>
      </c>
      <c r="C161">
        <v>2026</v>
      </c>
      <c r="D161">
        <v>1</v>
      </c>
      <c r="E161" s="2">
        <v>46027</v>
      </c>
      <c r="F161" s="97" t="s">
        <v>7</v>
      </c>
      <c r="G161" s="97" t="s">
        <v>8</v>
      </c>
      <c r="H161" s="97" t="s">
        <v>74</v>
      </c>
      <c r="I161" s="97" t="s">
        <v>82</v>
      </c>
      <c r="J161" s="97" t="s">
        <v>83</v>
      </c>
      <c r="K161" s="97" t="s">
        <v>73</v>
      </c>
      <c r="L161">
        <v>701000</v>
      </c>
      <c r="M161" s="97" t="s">
        <v>62</v>
      </c>
      <c r="N161" s="97" t="s">
        <v>33</v>
      </c>
      <c r="O161">
        <v>143</v>
      </c>
      <c r="P161">
        <v>18.39</v>
      </c>
      <c r="Q161">
        <v>2.63</v>
      </c>
      <c r="R161" s="97" t="s">
        <v>1202</v>
      </c>
      <c r="S161" s="97" t="s">
        <v>195</v>
      </c>
    </row>
    <row r="162" spans="1:19" x14ac:dyDescent="0.3">
      <c r="A162" s="97" t="s">
        <v>310</v>
      </c>
      <c r="B162" s="97" t="s">
        <v>22</v>
      </c>
      <c r="C162">
        <v>2026</v>
      </c>
      <c r="D162">
        <v>1</v>
      </c>
      <c r="E162" s="2">
        <v>46028</v>
      </c>
      <c r="F162" s="97" t="s">
        <v>7</v>
      </c>
      <c r="G162" s="97" t="s">
        <v>8</v>
      </c>
      <c r="H162" s="97" t="s">
        <v>74</v>
      </c>
      <c r="I162" s="97" t="s">
        <v>84</v>
      </c>
      <c r="J162" s="97" t="s">
        <v>85</v>
      </c>
      <c r="K162" s="97" t="s">
        <v>73</v>
      </c>
      <c r="L162">
        <v>701000</v>
      </c>
      <c r="M162" s="97" t="s">
        <v>62</v>
      </c>
      <c r="N162" s="97" t="s">
        <v>33</v>
      </c>
      <c r="O162">
        <v>3043</v>
      </c>
      <c r="P162">
        <v>0.95</v>
      </c>
      <c r="Q162">
        <v>2.89</v>
      </c>
      <c r="R162" s="97" t="s">
        <v>1202</v>
      </c>
      <c r="S162" s="97" t="s">
        <v>195</v>
      </c>
    </row>
    <row r="163" spans="1:19" x14ac:dyDescent="0.3">
      <c r="A163" s="97" t="s">
        <v>311</v>
      </c>
      <c r="B163" s="97" t="s">
        <v>22</v>
      </c>
      <c r="C163">
        <v>2026</v>
      </c>
      <c r="D163">
        <v>1</v>
      </c>
      <c r="E163" s="2">
        <v>46028</v>
      </c>
      <c r="F163" s="97" t="s">
        <v>7</v>
      </c>
      <c r="G163" s="97" t="s">
        <v>8</v>
      </c>
      <c r="H163" s="97" t="s">
        <v>74</v>
      </c>
      <c r="I163" s="97" t="s">
        <v>84</v>
      </c>
      <c r="J163" s="97" t="s">
        <v>85</v>
      </c>
      <c r="K163" s="97" t="s">
        <v>73</v>
      </c>
      <c r="L163">
        <v>701000</v>
      </c>
      <c r="M163" s="97" t="s">
        <v>62</v>
      </c>
      <c r="N163" s="97" t="s">
        <v>33</v>
      </c>
      <c r="O163">
        <v>4588</v>
      </c>
      <c r="P163">
        <v>0.95</v>
      </c>
      <c r="Q163">
        <v>4.3600000000000003</v>
      </c>
      <c r="R163" s="97" t="s">
        <v>1205</v>
      </c>
      <c r="S163" s="97" t="s">
        <v>195</v>
      </c>
    </row>
    <row r="164" spans="1:19" x14ac:dyDescent="0.3">
      <c r="A164" s="97" t="s">
        <v>312</v>
      </c>
      <c r="B164" s="97" t="s">
        <v>22</v>
      </c>
      <c r="C164">
        <v>2026</v>
      </c>
      <c r="D164">
        <v>1</v>
      </c>
      <c r="E164" s="2">
        <v>46028</v>
      </c>
      <c r="F164" s="97" t="s">
        <v>7</v>
      </c>
      <c r="G164" s="97" t="s">
        <v>8</v>
      </c>
      <c r="H164" s="97" t="s">
        <v>74</v>
      </c>
      <c r="I164" s="97" t="s">
        <v>84</v>
      </c>
      <c r="J164" s="97" t="s">
        <v>85</v>
      </c>
      <c r="K164" s="97" t="s">
        <v>73</v>
      </c>
      <c r="L164">
        <v>701000</v>
      </c>
      <c r="M164" s="97" t="s">
        <v>62</v>
      </c>
      <c r="N164" s="97" t="s">
        <v>33</v>
      </c>
      <c r="O164">
        <v>1951</v>
      </c>
      <c r="P164">
        <v>0.95</v>
      </c>
      <c r="Q164">
        <v>1.85</v>
      </c>
      <c r="R164" s="97" t="s">
        <v>1197</v>
      </c>
      <c r="S164" s="97" t="s">
        <v>195</v>
      </c>
    </row>
    <row r="165" spans="1:19" x14ac:dyDescent="0.3">
      <c r="A165" s="97" t="s">
        <v>313</v>
      </c>
      <c r="B165" s="97" t="s">
        <v>22</v>
      </c>
      <c r="C165">
        <v>2026</v>
      </c>
      <c r="D165">
        <v>1</v>
      </c>
      <c r="E165" s="2">
        <v>46028</v>
      </c>
      <c r="F165" s="97" t="s">
        <v>7</v>
      </c>
      <c r="G165" s="97" t="s">
        <v>8</v>
      </c>
      <c r="H165" s="97" t="s">
        <v>74</v>
      </c>
      <c r="I165" s="97" t="s">
        <v>84</v>
      </c>
      <c r="J165" s="97" t="s">
        <v>85</v>
      </c>
      <c r="K165" s="97" t="s">
        <v>73</v>
      </c>
      <c r="L165">
        <v>701000</v>
      </c>
      <c r="M165" s="97" t="s">
        <v>62</v>
      </c>
      <c r="N165" s="97" t="s">
        <v>33</v>
      </c>
      <c r="O165">
        <v>5229</v>
      </c>
      <c r="P165">
        <v>0.95</v>
      </c>
      <c r="Q165">
        <v>4.97</v>
      </c>
      <c r="R165" s="97" t="s">
        <v>1204</v>
      </c>
      <c r="S165" s="97" t="s">
        <v>195</v>
      </c>
    </row>
    <row r="166" spans="1:19" x14ac:dyDescent="0.3">
      <c r="A166" s="97" t="s">
        <v>314</v>
      </c>
      <c r="B166" s="97" t="s">
        <v>22</v>
      </c>
      <c r="C166">
        <v>2026</v>
      </c>
      <c r="D166">
        <v>1</v>
      </c>
      <c r="E166" s="2">
        <v>46028</v>
      </c>
      <c r="F166" s="97" t="s">
        <v>7</v>
      </c>
      <c r="G166" s="97" t="s">
        <v>8</v>
      </c>
      <c r="H166" s="97" t="s">
        <v>74</v>
      </c>
      <c r="I166" s="97" t="s">
        <v>84</v>
      </c>
      <c r="J166" s="97" t="s">
        <v>85</v>
      </c>
      <c r="K166" s="97" t="s">
        <v>73</v>
      </c>
      <c r="L166">
        <v>701000</v>
      </c>
      <c r="M166" s="97" t="s">
        <v>62</v>
      </c>
      <c r="N166" s="97" t="s">
        <v>33</v>
      </c>
      <c r="O166">
        <v>2326</v>
      </c>
      <c r="P166">
        <v>0.95</v>
      </c>
      <c r="Q166">
        <v>2.21</v>
      </c>
      <c r="R166" s="97" t="s">
        <v>1201</v>
      </c>
      <c r="S166" s="97" t="s">
        <v>195</v>
      </c>
    </row>
    <row r="167" spans="1:19" x14ac:dyDescent="0.3">
      <c r="A167" s="97" t="s">
        <v>625</v>
      </c>
      <c r="B167" s="97" t="s">
        <v>22</v>
      </c>
      <c r="C167">
        <v>2026</v>
      </c>
      <c r="D167">
        <v>1</v>
      </c>
      <c r="E167" s="2">
        <v>46028</v>
      </c>
      <c r="F167" s="97" t="s">
        <v>7</v>
      </c>
      <c r="G167" s="97" t="s">
        <v>8</v>
      </c>
      <c r="H167" s="97" t="s">
        <v>70</v>
      </c>
      <c r="I167" s="97" t="s">
        <v>77</v>
      </c>
      <c r="J167" s="97" t="s">
        <v>78</v>
      </c>
      <c r="K167" s="97" t="s">
        <v>73</v>
      </c>
      <c r="L167">
        <v>701000</v>
      </c>
      <c r="M167" s="97" t="s">
        <v>62</v>
      </c>
      <c r="N167" s="97" t="s">
        <v>33</v>
      </c>
      <c r="O167">
        <v>1922</v>
      </c>
      <c r="P167">
        <v>1.8</v>
      </c>
      <c r="Q167">
        <v>3.46</v>
      </c>
      <c r="R167" s="97" t="s">
        <v>1202</v>
      </c>
      <c r="S167" s="97" t="s">
        <v>195</v>
      </c>
    </row>
    <row r="168" spans="1:19" x14ac:dyDescent="0.3">
      <c r="A168" s="97" t="s">
        <v>626</v>
      </c>
      <c r="B168" s="97" t="s">
        <v>22</v>
      </c>
      <c r="C168">
        <v>2026</v>
      </c>
      <c r="D168">
        <v>1</v>
      </c>
      <c r="E168" s="2">
        <v>46028</v>
      </c>
      <c r="F168" s="97" t="s">
        <v>7</v>
      </c>
      <c r="G168" s="97" t="s">
        <v>8</v>
      </c>
      <c r="H168" s="97" t="s">
        <v>70</v>
      </c>
      <c r="I168" s="97" t="s">
        <v>77</v>
      </c>
      <c r="J168" s="97" t="s">
        <v>78</v>
      </c>
      <c r="K168" s="97" t="s">
        <v>73</v>
      </c>
      <c r="L168">
        <v>701000</v>
      </c>
      <c r="M168" s="97" t="s">
        <v>62</v>
      </c>
      <c r="N168" s="97" t="s">
        <v>33</v>
      </c>
      <c r="O168">
        <v>940</v>
      </c>
      <c r="P168">
        <v>1.8</v>
      </c>
      <c r="Q168">
        <v>1.69</v>
      </c>
      <c r="R168" s="97" t="s">
        <v>1205</v>
      </c>
      <c r="S168" s="97" t="s">
        <v>195</v>
      </c>
    </row>
    <row r="169" spans="1:19" x14ac:dyDescent="0.3">
      <c r="A169" s="97" t="s">
        <v>627</v>
      </c>
      <c r="B169" s="97" t="s">
        <v>22</v>
      </c>
      <c r="C169">
        <v>2026</v>
      </c>
      <c r="D169">
        <v>1</v>
      </c>
      <c r="E169" s="2">
        <v>46028</v>
      </c>
      <c r="F169" s="97" t="s">
        <v>7</v>
      </c>
      <c r="G169" s="97" t="s">
        <v>8</v>
      </c>
      <c r="H169" s="97" t="s">
        <v>70</v>
      </c>
      <c r="I169" s="97" t="s">
        <v>77</v>
      </c>
      <c r="J169" s="97" t="s">
        <v>78</v>
      </c>
      <c r="K169" s="97" t="s">
        <v>73</v>
      </c>
      <c r="L169">
        <v>701000</v>
      </c>
      <c r="M169" s="97" t="s">
        <v>62</v>
      </c>
      <c r="N169" s="97" t="s">
        <v>33</v>
      </c>
      <c r="O169">
        <v>529</v>
      </c>
      <c r="P169">
        <v>1.8</v>
      </c>
      <c r="Q169">
        <v>0.95</v>
      </c>
      <c r="R169" s="97" t="s">
        <v>1204</v>
      </c>
      <c r="S169" s="97" t="s">
        <v>195</v>
      </c>
    </row>
    <row r="170" spans="1:19" x14ac:dyDescent="0.3">
      <c r="A170" s="97" t="s">
        <v>628</v>
      </c>
      <c r="B170" s="97" t="s">
        <v>22</v>
      </c>
      <c r="C170">
        <v>2026</v>
      </c>
      <c r="D170">
        <v>1</v>
      </c>
      <c r="E170" s="2">
        <v>46028</v>
      </c>
      <c r="F170" s="97" t="s">
        <v>7</v>
      </c>
      <c r="G170" s="97" t="s">
        <v>8</v>
      </c>
      <c r="H170" s="97" t="s">
        <v>70</v>
      </c>
      <c r="I170" s="97" t="s">
        <v>77</v>
      </c>
      <c r="J170" s="97" t="s">
        <v>78</v>
      </c>
      <c r="K170" s="97" t="s">
        <v>73</v>
      </c>
      <c r="L170">
        <v>701000</v>
      </c>
      <c r="M170" s="97" t="s">
        <v>62</v>
      </c>
      <c r="N170" s="97" t="s">
        <v>33</v>
      </c>
      <c r="O170">
        <v>757</v>
      </c>
      <c r="P170">
        <v>1.8</v>
      </c>
      <c r="Q170">
        <v>1.36</v>
      </c>
      <c r="R170" s="97" t="s">
        <v>1203</v>
      </c>
      <c r="S170" s="97" t="s">
        <v>195</v>
      </c>
    </row>
    <row r="171" spans="1:19" x14ac:dyDescent="0.3">
      <c r="A171" s="97" t="s">
        <v>629</v>
      </c>
      <c r="B171" s="97" t="s">
        <v>22</v>
      </c>
      <c r="C171">
        <v>2026</v>
      </c>
      <c r="D171">
        <v>1</v>
      </c>
      <c r="E171" s="2">
        <v>46028</v>
      </c>
      <c r="F171" s="97" t="s">
        <v>7</v>
      </c>
      <c r="G171" s="97" t="s">
        <v>8</v>
      </c>
      <c r="H171" s="97" t="s">
        <v>70</v>
      </c>
      <c r="I171" s="97" t="s">
        <v>77</v>
      </c>
      <c r="J171" s="97" t="s">
        <v>78</v>
      </c>
      <c r="K171" s="97" t="s">
        <v>73</v>
      </c>
      <c r="L171">
        <v>701000</v>
      </c>
      <c r="M171" s="97" t="s">
        <v>62</v>
      </c>
      <c r="N171" s="97" t="s">
        <v>33</v>
      </c>
      <c r="O171">
        <v>694</v>
      </c>
      <c r="P171">
        <v>1.82</v>
      </c>
      <c r="Q171">
        <v>1.26</v>
      </c>
      <c r="R171" s="97" t="s">
        <v>1198</v>
      </c>
      <c r="S171" s="97" t="s">
        <v>195</v>
      </c>
    </row>
    <row r="172" spans="1:19" x14ac:dyDescent="0.3">
      <c r="A172" s="97" t="s">
        <v>755</v>
      </c>
      <c r="B172" s="97" t="s">
        <v>22</v>
      </c>
      <c r="C172">
        <v>2026</v>
      </c>
      <c r="D172">
        <v>1</v>
      </c>
      <c r="E172" s="2">
        <v>46028</v>
      </c>
      <c r="F172" s="97" t="s">
        <v>7</v>
      </c>
      <c r="G172" s="97" t="s">
        <v>8</v>
      </c>
      <c r="H172" s="97" t="s">
        <v>74</v>
      </c>
      <c r="I172" s="97" t="s">
        <v>82</v>
      </c>
      <c r="J172" s="97" t="s">
        <v>83</v>
      </c>
      <c r="K172" s="97" t="s">
        <v>73</v>
      </c>
      <c r="L172">
        <v>707000</v>
      </c>
      <c r="M172" s="97" t="s">
        <v>81</v>
      </c>
      <c r="N172" s="97" t="s">
        <v>33</v>
      </c>
      <c r="O172">
        <v>46</v>
      </c>
      <c r="P172">
        <v>18.48</v>
      </c>
      <c r="Q172">
        <v>0.85</v>
      </c>
      <c r="R172" s="97" t="s">
        <v>1198</v>
      </c>
      <c r="S172" s="97" t="s">
        <v>195</v>
      </c>
    </row>
    <row r="173" spans="1:19" x14ac:dyDescent="0.3">
      <c r="A173" s="97" t="s">
        <v>756</v>
      </c>
      <c r="B173" s="97" t="s">
        <v>22</v>
      </c>
      <c r="C173">
        <v>2026</v>
      </c>
      <c r="D173">
        <v>1</v>
      </c>
      <c r="E173" s="2">
        <v>46028</v>
      </c>
      <c r="F173" s="97" t="s">
        <v>7</v>
      </c>
      <c r="G173" s="97" t="s">
        <v>8</v>
      </c>
      <c r="H173" s="97" t="s">
        <v>74</v>
      </c>
      <c r="I173" s="97" t="s">
        <v>82</v>
      </c>
      <c r="J173" s="97" t="s">
        <v>83</v>
      </c>
      <c r="K173" s="97" t="s">
        <v>73</v>
      </c>
      <c r="L173">
        <v>707000</v>
      </c>
      <c r="M173" s="97" t="s">
        <v>81</v>
      </c>
      <c r="N173" s="97" t="s">
        <v>33</v>
      </c>
      <c r="O173">
        <v>57</v>
      </c>
      <c r="P173">
        <v>18.420000000000002</v>
      </c>
      <c r="Q173">
        <v>1.05</v>
      </c>
      <c r="R173" s="97" t="s">
        <v>1204</v>
      </c>
      <c r="S173" s="97" t="s">
        <v>195</v>
      </c>
    </row>
    <row r="174" spans="1:19" x14ac:dyDescent="0.3">
      <c r="A174" s="97" t="s">
        <v>757</v>
      </c>
      <c r="B174" s="97" t="s">
        <v>22</v>
      </c>
      <c r="C174">
        <v>2026</v>
      </c>
      <c r="D174">
        <v>1</v>
      </c>
      <c r="E174" s="2">
        <v>46028</v>
      </c>
      <c r="F174" s="97" t="s">
        <v>7</v>
      </c>
      <c r="G174" s="97" t="s">
        <v>8</v>
      </c>
      <c r="H174" s="97" t="s">
        <v>74</v>
      </c>
      <c r="I174" s="97" t="s">
        <v>82</v>
      </c>
      <c r="J174" s="97" t="s">
        <v>83</v>
      </c>
      <c r="K174" s="97" t="s">
        <v>73</v>
      </c>
      <c r="L174">
        <v>707000</v>
      </c>
      <c r="M174" s="97" t="s">
        <v>81</v>
      </c>
      <c r="N174" s="97" t="s">
        <v>33</v>
      </c>
      <c r="O174">
        <v>188</v>
      </c>
      <c r="P174">
        <v>18.510000000000002</v>
      </c>
      <c r="Q174">
        <v>3.48</v>
      </c>
      <c r="R174" s="97" t="s">
        <v>1205</v>
      </c>
      <c r="S174" s="97" t="s">
        <v>195</v>
      </c>
    </row>
    <row r="175" spans="1:19" x14ac:dyDescent="0.3">
      <c r="A175" s="97" t="s">
        <v>758</v>
      </c>
      <c r="B175" s="97" t="s">
        <v>22</v>
      </c>
      <c r="C175">
        <v>2026</v>
      </c>
      <c r="D175">
        <v>1</v>
      </c>
      <c r="E175" s="2">
        <v>46028</v>
      </c>
      <c r="F175" s="97" t="s">
        <v>7</v>
      </c>
      <c r="G175" s="97" t="s">
        <v>8</v>
      </c>
      <c r="H175" s="97" t="s">
        <v>74</v>
      </c>
      <c r="I175" s="97" t="s">
        <v>82</v>
      </c>
      <c r="J175" s="97" t="s">
        <v>83</v>
      </c>
      <c r="K175" s="97" t="s">
        <v>73</v>
      </c>
      <c r="L175">
        <v>707000</v>
      </c>
      <c r="M175" s="97" t="s">
        <v>81</v>
      </c>
      <c r="N175" s="97" t="s">
        <v>33</v>
      </c>
      <c r="O175">
        <v>57</v>
      </c>
      <c r="P175">
        <v>18.600000000000001</v>
      </c>
      <c r="Q175">
        <v>1.06</v>
      </c>
      <c r="R175" s="97" t="s">
        <v>1200</v>
      </c>
      <c r="S175" s="97" t="s">
        <v>195</v>
      </c>
    </row>
    <row r="176" spans="1:19" x14ac:dyDescent="0.3">
      <c r="A176" s="97" t="s">
        <v>759</v>
      </c>
      <c r="B176" s="97" t="s">
        <v>22</v>
      </c>
      <c r="C176">
        <v>2026</v>
      </c>
      <c r="D176">
        <v>1</v>
      </c>
      <c r="E176" s="2">
        <v>46028</v>
      </c>
      <c r="F176" s="97" t="s">
        <v>7</v>
      </c>
      <c r="G176" s="97" t="s">
        <v>8</v>
      </c>
      <c r="H176" s="97" t="s">
        <v>74</v>
      </c>
      <c r="I176" s="97" t="s">
        <v>82</v>
      </c>
      <c r="J176" s="97" t="s">
        <v>83</v>
      </c>
      <c r="K176" s="97" t="s">
        <v>73</v>
      </c>
      <c r="L176">
        <v>707000</v>
      </c>
      <c r="M176" s="97" t="s">
        <v>81</v>
      </c>
      <c r="N176" s="97" t="s">
        <v>33</v>
      </c>
      <c r="O176">
        <v>252</v>
      </c>
      <c r="P176">
        <v>18.45</v>
      </c>
      <c r="Q176">
        <v>4.6500000000000004</v>
      </c>
      <c r="R176" s="97" t="s">
        <v>1202</v>
      </c>
      <c r="S176" s="97" t="s">
        <v>195</v>
      </c>
    </row>
    <row r="177" spans="1:19" x14ac:dyDescent="0.3">
      <c r="A177" s="97" t="s">
        <v>865</v>
      </c>
      <c r="B177" s="97" t="s">
        <v>22</v>
      </c>
      <c r="C177">
        <v>2026</v>
      </c>
      <c r="D177">
        <v>1</v>
      </c>
      <c r="E177" s="2">
        <v>46028</v>
      </c>
      <c r="F177" s="97" t="s">
        <v>7</v>
      </c>
      <c r="G177" s="97" t="s">
        <v>8</v>
      </c>
      <c r="H177" s="97" t="s">
        <v>70</v>
      </c>
      <c r="I177" s="97" t="s">
        <v>82</v>
      </c>
      <c r="J177" s="97" t="s">
        <v>83</v>
      </c>
      <c r="K177" s="97" t="s">
        <v>73</v>
      </c>
      <c r="L177">
        <v>701000</v>
      </c>
      <c r="M177" s="97" t="s">
        <v>62</v>
      </c>
      <c r="N177" s="97" t="s">
        <v>33</v>
      </c>
      <c r="O177">
        <v>168</v>
      </c>
      <c r="P177">
        <v>18.45</v>
      </c>
      <c r="Q177">
        <v>3.1</v>
      </c>
      <c r="R177" s="97" t="s">
        <v>1197</v>
      </c>
      <c r="S177" s="97" t="s">
        <v>195</v>
      </c>
    </row>
    <row r="178" spans="1:19" x14ac:dyDescent="0.3">
      <c r="A178" s="97" t="s">
        <v>866</v>
      </c>
      <c r="B178" s="97" t="s">
        <v>22</v>
      </c>
      <c r="C178">
        <v>2026</v>
      </c>
      <c r="D178">
        <v>1</v>
      </c>
      <c r="E178" s="2">
        <v>46028</v>
      </c>
      <c r="F178" s="97" t="s">
        <v>7</v>
      </c>
      <c r="G178" s="97" t="s">
        <v>8</v>
      </c>
      <c r="H178" s="97" t="s">
        <v>70</v>
      </c>
      <c r="I178" s="97" t="s">
        <v>82</v>
      </c>
      <c r="J178" s="97" t="s">
        <v>83</v>
      </c>
      <c r="K178" s="97" t="s">
        <v>73</v>
      </c>
      <c r="L178">
        <v>701000</v>
      </c>
      <c r="M178" s="97" t="s">
        <v>62</v>
      </c>
      <c r="N178" s="97" t="s">
        <v>33</v>
      </c>
      <c r="O178">
        <v>10</v>
      </c>
      <c r="P178">
        <v>18</v>
      </c>
      <c r="Q178">
        <v>0.18</v>
      </c>
      <c r="R178" s="97" t="s">
        <v>1205</v>
      </c>
      <c r="S178" s="97" t="s">
        <v>195</v>
      </c>
    </row>
    <row r="179" spans="1:19" x14ac:dyDescent="0.3">
      <c r="A179" s="97" t="s">
        <v>867</v>
      </c>
      <c r="B179" s="97" t="s">
        <v>22</v>
      </c>
      <c r="C179">
        <v>2026</v>
      </c>
      <c r="D179">
        <v>1</v>
      </c>
      <c r="E179" s="2">
        <v>46028</v>
      </c>
      <c r="F179" s="97" t="s">
        <v>7</v>
      </c>
      <c r="G179" s="97" t="s">
        <v>8</v>
      </c>
      <c r="H179" s="97" t="s">
        <v>70</v>
      </c>
      <c r="I179" s="97" t="s">
        <v>82</v>
      </c>
      <c r="J179" s="97" t="s">
        <v>83</v>
      </c>
      <c r="K179" s="97" t="s">
        <v>73</v>
      </c>
      <c r="L179">
        <v>701000</v>
      </c>
      <c r="M179" s="97" t="s">
        <v>62</v>
      </c>
      <c r="N179" s="97" t="s">
        <v>33</v>
      </c>
      <c r="O179">
        <v>180</v>
      </c>
      <c r="P179">
        <v>18.5</v>
      </c>
      <c r="Q179">
        <v>3.33</v>
      </c>
      <c r="R179" s="97" t="s">
        <v>1199</v>
      </c>
      <c r="S179" s="97" t="s">
        <v>195</v>
      </c>
    </row>
    <row r="180" spans="1:19" x14ac:dyDescent="0.3">
      <c r="A180" s="97" t="s">
        <v>868</v>
      </c>
      <c r="B180" s="97" t="s">
        <v>22</v>
      </c>
      <c r="C180">
        <v>2026</v>
      </c>
      <c r="D180">
        <v>1</v>
      </c>
      <c r="E180" s="2">
        <v>46028</v>
      </c>
      <c r="F180" s="97" t="s">
        <v>7</v>
      </c>
      <c r="G180" s="97" t="s">
        <v>8</v>
      </c>
      <c r="H180" s="97" t="s">
        <v>70</v>
      </c>
      <c r="I180" s="97" t="s">
        <v>82</v>
      </c>
      <c r="J180" s="97" t="s">
        <v>83</v>
      </c>
      <c r="K180" s="97" t="s">
        <v>73</v>
      </c>
      <c r="L180">
        <v>701000</v>
      </c>
      <c r="M180" s="97" t="s">
        <v>62</v>
      </c>
      <c r="N180" s="97" t="s">
        <v>33</v>
      </c>
      <c r="O180">
        <v>117</v>
      </c>
      <c r="P180">
        <v>18.46</v>
      </c>
      <c r="Q180">
        <v>2.16</v>
      </c>
      <c r="R180" s="97" t="s">
        <v>1202</v>
      </c>
      <c r="S180" s="97" t="s">
        <v>195</v>
      </c>
    </row>
    <row r="181" spans="1:19" x14ac:dyDescent="0.3">
      <c r="A181" s="97" t="s">
        <v>869</v>
      </c>
      <c r="B181" s="97" t="s">
        <v>22</v>
      </c>
      <c r="C181">
        <v>2026</v>
      </c>
      <c r="D181">
        <v>1</v>
      </c>
      <c r="E181" s="2">
        <v>46028</v>
      </c>
      <c r="F181" s="97" t="s">
        <v>7</v>
      </c>
      <c r="G181" s="97" t="s">
        <v>8</v>
      </c>
      <c r="H181" s="97" t="s">
        <v>70</v>
      </c>
      <c r="I181" s="97" t="s">
        <v>82</v>
      </c>
      <c r="J181" s="97" t="s">
        <v>83</v>
      </c>
      <c r="K181" s="97" t="s">
        <v>73</v>
      </c>
      <c r="L181">
        <v>701000</v>
      </c>
      <c r="M181" s="97" t="s">
        <v>62</v>
      </c>
      <c r="N181" s="97" t="s">
        <v>33</v>
      </c>
      <c r="O181">
        <v>185</v>
      </c>
      <c r="P181">
        <v>18.59</v>
      </c>
      <c r="Q181">
        <v>3.44</v>
      </c>
      <c r="R181" s="97" t="s">
        <v>1198</v>
      </c>
      <c r="S181" s="97" t="s">
        <v>195</v>
      </c>
    </row>
    <row r="182" spans="1:19" x14ac:dyDescent="0.3">
      <c r="A182" s="97" t="s">
        <v>285</v>
      </c>
      <c r="B182" s="97" t="s">
        <v>22</v>
      </c>
      <c r="C182">
        <v>2026</v>
      </c>
      <c r="D182">
        <v>1</v>
      </c>
      <c r="E182" s="2">
        <v>46029</v>
      </c>
      <c r="F182" s="97" t="s">
        <v>7</v>
      </c>
      <c r="G182" s="97" t="s">
        <v>8</v>
      </c>
      <c r="H182" s="97" t="s">
        <v>70</v>
      </c>
      <c r="I182" s="97" t="s">
        <v>84</v>
      </c>
      <c r="J182" s="97" t="s">
        <v>85</v>
      </c>
      <c r="K182" s="97" t="s">
        <v>73</v>
      </c>
      <c r="L182">
        <v>701000</v>
      </c>
      <c r="M182" s="97" t="s">
        <v>62</v>
      </c>
      <c r="N182" s="97" t="s">
        <v>33</v>
      </c>
      <c r="O182">
        <v>5273</v>
      </c>
      <c r="P182">
        <v>0.95</v>
      </c>
      <c r="Q182">
        <v>5.01</v>
      </c>
      <c r="R182" s="97" t="s">
        <v>1197</v>
      </c>
      <c r="S182" s="97" t="s">
        <v>195</v>
      </c>
    </row>
    <row r="183" spans="1:19" x14ac:dyDescent="0.3">
      <c r="A183" s="97" t="s">
        <v>286</v>
      </c>
      <c r="B183" s="97" t="s">
        <v>22</v>
      </c>
      <c r="C183">
        <v>2026</v>
      </c>
      <c r="D183">
        <v>1</v>
      </c>
      <c r="E183" s="2">
        <v>46029</v>
      </c>
      <c r="F183" s="97" t="s">
        <v>7</v>
      </c>
      <c r="G183" s="97" t="s">
        <v>8</v>
      </c>
      <c r="H183" s="97" t="s">
        <v>70</v>
      </c>
      <c r="I183" s="97" t="s">
        <v>84</v>
      </c>
      <c r="J183" s="97" t="s">
        <v>85</v>
      </c>
      <c r="K183" s="97" t="s">
        <v>73</v>
      </c>
      <c r="L183">
        <v>701000</v>
      </c>
      <c r="M183" s="97" t="s">
        <v>62</v>
      </c>
      <c r="N183" s="97" t="s">
        <v>33</v>
      </c>
      <c r="O183">
        <v>2955</v>
      </c>
      <c r="P183">
        <v>0.95</v>
      </c>
      <c r="Q183">
        <v>2.81</v>
      </c>
      <c r="R183" s="97" t="s">
        <v>1205</v>
      </c>
      <c r="S183" s="97" t="s">
        <v>195</v>
      </c>
    </row>
    <row r="184" spans="1:19" x14ac:dyDescent="0.3">
      <c r="A184" s="97" t="s">
        <v>287</v>
      </c>
      <c r="B184" s="97" t="s">
        <v>22</v>
      </c>
      <c r="C184">
        <v>2026</v>
      </c>
      <c r="D184">
        <v>1</v>
      </c>
      <c r="E184" s="2">
        <v>46029</v>
      </c>
      <c r="F184" s="97" t="s">
        <v>7</v>
      </c>
      <c r="G184" s="97" t="s">
        <v>8</v>
      </c>
      <c r="H184" s="97" t="s">
        <v>70</v>
      </c>
      <c r="I184" s="97" t="s">
        <v>84</v>
      </c>
      <c r="J184" s="97" t="s">
        <v>85</v>
      </c>
      <c r="K184" s="97" t="s">
        <v>73</v>
      </c>
      <c r="L184">
        <v>701000</v>
      </c>
      <c r="M184" s="97" t="s">
        <v>62</v>
      </c>
      <c r="N184" s="97" t="s">
        <v>33</v>
      </c>
      <c r="O184">
        <v>1185</v>
      </c>
      <c r="P184">
        <v>0.95</v>
      </c>
      <c r="Q184">
        <v>1.1299999999999999</v>
      </c>
      <c r="R184" s="97" t="s">
        <v>1198</v>
      </c>
      <c r="S184" s="97" t="s">
        <v>195</v>
      </c>
    </row>
    <row r="185" spans="1:19" x14ac:dyDescent="0.3">
      <c r="A185" s="97" t="s">
        <v>288</v>
      </c>
      <c r="B185" s="97" t="s">
        <v>22</v>
      </c>
      <c r="C185">
        <v>2026</v>
      </c>
      <c r="D185">
        <v>1</v>
      </c>
      <c r="E185" s="2">
        <v>46029</v>
      </c>
      <c r="F185" s="97" t="s">
        <v>7</v>
      </c>
      <c r="G185" s="97" t="s">
        <v>8</v>
      </c>
      <c r="H185" s="97" t="s">
        <v>70</v>
      </c>
      <c r="I185" s="97" t="s">
        <v>84</v>
      </c>
      <c r="J185" s="97" t="s">
        <v>85</v>
      </c>
      <c r="K185" s="97" t="s">
        <v>73</v>
      </c>
      <c r="L185">
        <v>701000</v>
      </c>
      <c r="M185" s="97" t="s">
        <v>62</v>
      </c>
      <c r="N185" s="97" t="s">
        <v>33</v>
      </c>
      <c r="O185">
        <v>3493</v>
      </c>
      <c r="P185">
        <v>0.95</v>
      </c>
      <c r="Q185">
        <v>3.32</v>
      </c>
      <c r="R185" s="97" t="s">
        <v>1199</v>
      </c>
      <c r="S185" s="97" t="s">
        <v>195</v>
      </c>
    </row>
    <row r="186" spans="1:19" x14ac:dyDescent="0.3">
      <c r="A186" s="97" t="s">
        <v>289</v>
      </c>
      <c r="B186" s="97" t="s">
        <v>22</v>
      </c>
      <c r="C186">
        <v>2026</v>
      </c>
      <c r="D186">
        <v>1</v>
      </c>
      <c r="E186" s="2">
        <v>46029</v>
      </c>
      <c r="F186" s="97" t="s">
        <v>7</v>
      </c>
      <c r="G186" s="97" t="s">
        <v>8</v>
      </c>
      <c r="H186" s="97" t="s">
        <v>70</v>
      </c>
      <c r="I186" s="97" t="s">
        <v>84</v>
      </c>
      <c r="J186" s="97" t="s">
        <v>85</v>
      </c>
      <c r="K186" s="97" t="s">
        <v>73</v>
      </c>
      <c r="L186">
        <v>701000</v>
      </c>
      <c r="M186" s="97" t="s">
        <v>62</v>
      </c>
      <c r="N186" s="97" t="s">
        <v>33</v>
      </c>
      <c r="O186">
        <v>3195</v>
      </c>
      <c r="P186">
        <v>0.95</v>
      </c>
      <c r="Q186">
        <v>3.03</v>
      </c>
      <c r="R186" s="97" t="s">
        <v>1202</v>
      </c>
      <c r="S186" s="97" t="s">
        <v>195</v>
      </c>
    </row>
    <row r="187" spans="1:19" x14ac:dyDescent="0.3">
      <c r="A187" s="97" t="s">
        <v>555</v>
      </c>
      <c r="B187" s="97" t="s">
        <v>22</v>
      </c>
      <c r="C187">
        <v>2026</v>
      </c>
      <c r="D187">
        <v>1</v>
      </c>
      <c r="E187" s="2">
        <v>46029</v>
      </c>
      <c r="F187" s="97" t="s">
        <v>7</v>
      </c>
      <c r="G187" s="97" t="s">
        <v>8</v>
      </c>
      <c r="H187" s="97" t="s">
        <v>74</v>
      </c>
      <c r="I187" s="97" t="s">
        <v>77</v>
      </c>
      <c r="J187" s="97" t="s">
        <v>78</v>
      </c>
      <c r="K187" s="97" t="s">
        <v>73</v>
      </c>
      <c r="L187">
        <v>701000</v>
      </c>
      <c r="M187" s="97" t="s">
        <v>62</v>
      </c>
      <c r="N187" s="97" t="s">
        <v>33</v>
      </c>
      <c r="O187">
        <v>167</v>
      </c>
      <c r="P187">
        <v>1.8</v>
      </c>
      <c r="Q187">
        <v>0.3</v>
      </c>
      <c r="R187" s="97" t="s">
        <v>1205</v>
      </c>
      <c r="S187" s="97" t="s">
        <v>195</v>
      </c>
    </row>
    <row r="188" spans="1:19" x14ac:dyDescent="0.3">
      <c r="A188" s="97" t="s">
        <v>556</v>
      </c>
      <c r="B188" s="97" t="s">
        <v>22</v>
      </c>
      <c r="C188">
        <v>2026</v>
      </c>
      <c r="D188">
        <v>1</v>
      </c>
      <c r="E188" s="2">
        <v>46029</v>
      </c>
      <c r="F188" s="97" t="s">
        <v>7</v>
      </c>
      <c r="G188" s="97" t="s">
        <v>8</v>
      </c>
      <c r="H188" s="97" t="s">
        <v>74</v>
      </c>
      <c r="I188" s="97" t="s">
        <v>77</v>
      </c>
      <c r="J188" s="97" t="s">
        <v>78</v>
      </c>
      <c r="K188" s="97" t="s">
        <v>73</v>
      </c>
      <c r="L188">
        <v>701000</v>
      </c>
      <c r="M188" s="97" t="s">
        <v>62</v>
      </c>
      <c r="N188" s="97" t="s">
        <v>33</v>
      </c>
      <c r="O188">
        <v>648</v>
      </c>
      <c r="P188">
        <v>1.81</v>
      </c>
      <c r="Q188">
        <v>1.17</v>
      </c>
      <c r="R188" s="97" t="s">
        <v>1203</v>
      </c>
      <c r="S188" s="97" t="s">
        <v>195</v>
      </c>
    </row>
    <row r="189" spans="1:19" x14ac:dyDescent="0.3">
      <c r="A189" s="97" t="s">
        <v>557</v>
      </c>
      <c r="B189" s="97" t="s">
        <v>22</v>
      </c>
      <c r="C189">
        <v>2026</v>
      </c>
      <c r="D189">
        <v>1</v>
      </c>
      <c r="E189" s="2">
        <v>46029</v>
      </c>
      <c r="F189" s="97" t="s">
        <v>7</v>
      </c>
      <c r="G189" s="97" t="s">
        <v>8</v>
      </c>
      <c r="H189" s="97" t="s">
        <v>74</v>
      </c>
      <c r="I189" s="97" t="s">
        <v>77</v>
      </c>
      <c r="J189" s="97" t="s">
        <v>78</v>
      </c>
      <c r="K189" s="97" t="s">
        <v>73</v>
      </c>
      <c r="L189">
        <v>701000</v>
      </c>
      <c r="M189" s="97" t="s">
        <v>62</v>
      </c>
      <c r="N189" s="97" t="s">
        <v>33</v>
      </c>
      <c r="O189">
        <v>293</v>
      </c>
      <c r="P189">
        <v>1.81</v>
      </c>
      <c r="Q189">
        <v>0.53</v>
      </c>
      <c r="R189" s="97" t="s">
        <v>1204</v>
      </c>
      <c r="S189" s="97" t="s">
        <v>195</v>
      </c>
    </row>
    <row r="190" spans="1:19" x14ac:dyDescent="0.3">
      <c r="A190" s="97" t="s">
        <v>558</v>
      </c>
      <c r="B190" s="97" t="s">
        <v>22</v>
      </c>
      <c r="C190">
        <v>2026</v>
      </c>
      <c r="D190">
        <v>1</v>
      </c>
      <c r="E190" s="2">
        <v>46029</v>
      </c>
      <c r="F190" s="97" t="s">
        <v>7</v>
      </c>
      <c r="G190" s="97" t="s">
        <v>8</v>
      </c>
      <c r="H190" s="97" t="s">
        <v>74</v>
      </c>
      <c r="I190" s="97" t="s">
        <v>77</v>
      </c>
      <c r="J190" s="97" t="s">
        <v>78</v>
      </c>
      <c r="K190" s="97" t="s">
        <v>73</v>
      </c>
      <c r="L190">
        <v>701000</v>
      </c>
      <c r="M190" s="97" t="s">
        <v>62</v>
      </c>
      <c r="N190" s="97" t="s">
        <v>33</v>
      </c>
      <c r="O190">
        <v>1436</v>
      </c>
      <c r="P190">
        <v>1.8</v>
      </c>
      <c r="Q190">
        <v>2.58</v>
      </c>
      <c r="R190" s="97" t="s">
        <v>1197</v>
      </c>
      <c r="S190" s="97" t="s">
        <v>195</v>
      </c>
    </row>
    <row r="191" spans="1:19" x14ac:dyDescent="0.3">
      <c r="A191" s="97" t="s">
        <v>559</v>
      </c>
      <c r="B191" s="97" t="s">
        <v>22</v>
      </c>
      <c r="C191">
        <v>2026</v>
      </c>
      <c r="D191">
        <v>1</v>
      </c>
      <c r="E191" s="2">
        <v>46029</v>
      </c>
      <c r="F191" s="97" t="s">
        <v>7</v>
      </c>
      <c r="G191" s="97" t="s">
        <v>8</v>
      </c>
      <c r="H191" s="97" t="s">
        <v>74</v>
      </c>
      <c r="I191" s="97" t="s">
        <v>77</v>
      </c>
      <c r="J191" s="97" t="s">
        <v>78</v>
      </c>
      <c r="K191" s="97" t="s">
        <v>73</v>
      </c>
      <c r="L191">
        <v>701000</v>
      </c>
      <c r="M191" s="97" t="s">
        <v>62</v>
      </c>
      <c r="N191" s="97" t="s">
        <v>33</v>
      </c>
      <c r="O191">
        <v>1044</v>
      </c>
      <c r="P191">
        <v>1.8</v>
      </c>
      <c r="Q191">
        <v>1.88</v>
      </c>
      <c r="R191" s="97" t="s">
        <v>1202</v>
      </c>
      <c r="S191" s="97" t="s">
        <v>195</v>
      </c>
    </row>
    <row r="192" spans="1:19" x14ac:dyDescent="0.3">
      <c r="A192" s="97" t="s">
        <v>700</v>
      </c>
      <c r="B192" s="97" t="s">
        <v>22</v>
      </c>
      <c r="C192">
        <v>2026</v>
      </c>
      <c r="D192">
        <v>1</v>
      </c>
      <c r="E192" s="2">
        <v>46029</v>
      </c>
      <c r="F192" s="97" t="s">
        <v>7</v>
      </c>
      <c r="G192" s="97" t="s">
        <v>8</v>
      </c>
      <c r="H192" s="97" t="s">
        <v>74</v>
      </c>
      <c r="I192" s="97" t="s">
        <v>79</v>
      </c>
      <c r="J192" s="97" t="s">
        <v>80</v>
      </c>
      <c r="K192" s="97" t="s">
        <v>73</v>
      </c>
      <c r="L192">
        <v>701000</v>
      </c>
      <c r="M192" s="97" t="s">
        <v>62</v>
      </c>
      <c r="N192" s="97" t="s">
        <v>33</v>
      </c>
      <c r="O192">
        <v>1863</v>
      </c>
      <c r="P192">
        <v>2.6</v>
      </c>
      <c r="Q192">
        <v>4.84</v>
      </c>
      <c r="R192" s="97" t="s">
        <v>1205</v>
      </c>
      <c r="S192" s="97" t="s">
        <v>195</v>
      </c>
    </row>
    <row r="193" spans="1:19" x14ac:dyDescent="0.3">
      <c r="A193" s="97" t="s">
        <v>701</v>
      </c>
      <c r="B193" s="97" t="s">
        <v>22</v>
      </c>
      <c r="C193">
        <v>2026</v>
      </c>
      <c r="D193">
        <v>1</v>
      </c>
      <c r="E193" s="2">
        <v>46029</v>
      </c>
      <c r="F193" s="97" t="s">
        <v>7</v>
      </c>
      <c r="G193" s="97" t="s">
        <v>8</v>
      </c>
      <c r="H193" s="97" t="s">
        <v>74</v>
      </c>
      <c r="I193" s="97" t="s">
        <v>79</v>
      </c>
      <c r="J193" s="97" t="s">
        <v>80</v>
      </c>
      <c r="K193" s="97" t="s">
        <v>73</v>
      </c>
      <c r="L193">
        <v>701000</v>
      </c>
      <c r="M193" s="97" t="s">
        <v>62</v>
      </c>
      <c r="N193" s="97" t="s">
        <v>33</v>
      </c>
      <c r="O193">
        <v>1240</v>
      </c>
      <c r="P193">
        <v>2.6</v>
      </c>
      <c r="Q193">
        <v>3.22</v>
      </c>
      <c r="R193" s="97" t="s">
        <v>1203</v>
      </c>
      <c r="S193" s="97" t="s">
        <v>195</v>
      </c>
    </row>
    <row r="194" spans="1:19" x14ac:dyDescent="0.3">
      <c r="A194" s="97" t="s">
        <v>702</v>
      </c>
      <c r="B194" s="97" t="s">
        <v>22</v>
      </c>
      <c r="C194">
        <v>2026</v>
      </c>
      <c r="D194">
        <v>1</v>
      </c>
      <c r="E194" s="2">
        <v>46029</v>
      </c>
      <c r="F194" s="97" t="s">
        <v>7</v>
      </c>
      <c r="G194" s="97" t="s">
        <v>8</v>
      </c>
      <c r="H194" s="97" t="s">
        <v>74</v>
      </c>
      <c r="I194" s="97" t="s">
        <v>79</v>
      </c>
      <c r="J194" s="97" t="s">
        <v>80</v>
      </c>
      <c r="K194" s="97" t="s">
        <v>73</v>
      </c>
      <c r="L194">
        <v>701000</v>
      </c>
      <c r="M194" s="97" t="s">
        <v>62</v>
      </c>
      <c r="N194" s="97" t="s">
        <v>33</v>
      </c>
      <c r="O194">
        <v>784</v>
      </c>
      <c r="P194">
        <v>2.6</v>
      </c>
      <c r="Q194">
        <v>2.04</v>
      </c>
      <c r="R194" s="97" t="s">
        <v>1200</v>
      </c>
      <c r="S194" s="97" t="s">
        <v>195</v>
      </c>
    </row>
    <row r="195" spans="1:19" x14ac:dyDescent="0.3">
      <c r="A195" s="97" t="s">
        <v>703</v>
      </c>
      <c r="B195" s="97" t="s">
        <v>22</v>
      </c>
      <c r="C195">
        <v>2026</v>
      </c>
      <c r="D195">
        <v>1</v>
      </c>
      <c r="E195" s="2">
        <v>46029</v>
      </c>
      <c r="F195" s="97" t="s">
        <v>7</v>
      </c>
      <c r="G195" s="97" t="s">
        <v>8</v>
      </c>
      <c r="H195" s="97" t="s">
        <v>74</v>
      </c>
      <c r="I195" s="97" t="s">
        <v>79</v>
      </c>
      <c r="J195" s="97" t="s">
        <v>80</v>
      </c>
      <c r="K195" s="97" t="s">
        <v>73</v>
      </c>
      <c r="L195">
        <v>701000</v>
      </c>
      <c r="M195" s="97" t="s">
        <v>62</v>
      </c>
      <c r="N195" s="97" t="s">
        <v>33</v>
      </c>
      <c r="O195">
        <v>2960</v>
      </c>
      <c r="P195">
        <v>2.6</v>
      </c>
      <c r="Q195">
        <v>7.7</v>
      </c>
      <c r="R195" s="97" t="s">
        <v>1199</v>
      </c>
      <c r="S195" s="97" t="s">
        <v>195</v>
      </c>
    </row>
    <row r="196" spans="1:19" x14ac:dyDescent="0.3">
      <c r="A196" s="97" t="s">
        <v>704</v>
      </c>
      <c r="B196" s="97" t="s">
        <v>22</v>
      </c>
      <c r="C196">
        <v>2026</v>
      </c>
      <c r="D196">
        <v>1</v>
      </c>
      <c r="E196" s="2">
        <v>46029</v>
      </c>
      <c r="F196" s="97" t="s">
        <v>7</v>
      </c>
      <c r="G196" s="97" t="s">
        <v>8</v>
      </c>
      <c r="H196" s="97" t="s">
        <v>74</v>
      </c>
      <c r="I196" s="97" t="s">
        <v>79</v>
      </c>
      <c r="J196" s="97" t="s">
        <v>80</v>
      </c>
      <c r="K196" s="97" t="s">
        <v>73</v>
      </c>
      <c r="L196">
        <v>701000</v>
      </c>
      <c r="M196" s="97" t="s">
        <v>62</v>
      </c>
      <c r="N196" s="97" t="s">
        <v>33</v>
      </c>
      <c r="O196">
        <v>1541</v>
      </c>
      <c r="P196">
        <v>2.6</v>
      </c>
      <c r="Q196">
        <v>4.01</v>
      </c>
      <c r="R196" s="97" t="s">
        <v>1197</v>
      </c>
      <c r="S196" s="97" t="s">
        <v>195</v>
      </c>
    </row>
    <row r="197" spans="1:19" x14ac:dyDescent="0.3">
      <c r="A197" s="97" t="s">
        <v>725</v>
      </c>
      <c r="B197" s="97" t="s">
        <v>22</v>
      </c>
      <c r="C197">
        <v>2026</v>
      </c>
      <c r="D197">
        <v>1</v>
      </c>
      <c r="E197" s="2">
        <v>46029</v>
      </c>
      <c r="F197" s="97" t="s">
        <v>7</v>
      </c>
      <c r="G197" s="97" t="s">
        <v>8</v>
      </c>
      <c r="H197" s="97" t="s">
        <v>74</v>
      </c>
      <c r="I197" s="97" t="s">
        <v>79</v>
      </c>
      <c r="J197" s="97" t="s">
        <v>80</v>
      </c>
      <c r="K197" s="97" t="s">
        <v>73</v>
      </c>
      <c r="L197">
        <v>701000</v>
      </c>
      <c r="M197" s="97" t="s">
        <v>62</v>
      </c>
      <c r="N197" s="97" t="s">
        <v>33</v>
      </c>
      <c r="O197">
        <v>2103</v>
      </c>
      <c r="P197">
        <v>2.6</v>
      </c>
      <c r="Q197">
        <v>5.47</v>
      </c>
      <c r="R197" s="97" t="s">
        <v>1201</v>
      </c>
      <c r="S197" s="97" t="s">
        <v>195</v>
      </c>
    </row>
    <row r="198" spans="1:19" x14ac:dyDescent="0.3">
      <c r="A198" s="97" t="s">
        <v>726</v>
      </c>
      <c r="B198" s="97" t="s">
        <v>22</v>
      </c>
      <c r="C198">
        <v>2026</v>
      </c>
      <c r="D198">
        <v>1</v>
      </c>
      <c r="E198" s="2">
        <v>46029</v>
      </c>
      <c r="F198" s="97" t="s">
        <v>7</v>
      </c>
      <c r="G198" s="97" t="s">
        <v>8</v>
      </c>
      <c r="H198" s="97" t="s">
        <v>74</v>
      </c>
      <c r="I198" s="97" t="s">
        <v>79</v>
      </c>
      <c r="J198" s="97" t="s">
        <v>80</v>
      </c>
      <c r="K198" s="97" t="s">
        <v>73</v>
      </c>
      <c r="L198">
        <v>701000</v>
      </c>
      <c r="M198" s="97" t="s">
        <v>62</v>
      </c>
      <c r="N198" s="97" t="s">
        <v>33</v>
      </c>
      <c r="O198">
        <v>1999</v>
      </c>
      <c r="P198">
        <v>2.6</v>
      </c>
      <c r="Q198">
        <v>5.2</v>
      </c>
      <c r="R198" s="97" t="s">
        <v>1197</v>
      </c>
      <c r="S198" s="97" t="s">
        <v>195</v>
      </c>
    </row>
    <row r="199" spans="1:19" x14ac:dyDescent="0.3">
      <c r="A199" s="97" t="s">
        <v>727</v>
      </c>
      <c r="B199" s="97" t="s">
        <v>22</v>
      </c>
      <c r="C199">
        <v>2026</v>
      </c>
      <c r="D199">
        <v>1</v>
      </c>
      <c r="E199" s="2">
        <v>46029</v>
      </c>
      <c r="F199" s="97" t="s">
        <v>7</v>
      </c>
      <c r="G199" s="97" t="s">
        <v>8</v>
      </c>
      <c r="H199" s="97" t="s">
        <v>74</v>
      </c>
      <c r="I199" s="97" t="s">
        <v>79</v>
      </c>
      <c r="J199" s="97" t="s">
        <v>80</v>
      </c>
      <c r="K199" s="97" t="s">
        <v>73</v>
      </c>
      <c r="L199">
        <v>701000</v>
      </c>
      <c r="M199" s="97" t="s">
        <v>62</v>
      </c>
      <c r="N199" s="97" t="s">
        <v>33</v>
      </c>
      <c r="O199">
        <v>1377</v>
      </c>
      <c r="P199">
        <v>2.6</v>
      </c>
      <c r="Q199">
        <v>3.58</v>
      </c>
      <c r="R199" s="97" t="s">
        <v>1199</v>
      </c>
      <c r="S199" s="97" t="s">
        <v>195</v>
      </c>
    </row>
    <row r="200" spans="1:19" x14ac:dyDescent="0.3">
      <c r="A200" s="97" t="s">
        <v>728</v>
      </c>
      <c r="B200" s="97" t="s">
        <v>22</v>
      </c>
      <c r="C200">
        <v>2026</v>
      </c>
      <c r="D200">
        <v>1</v>
      </c>
      <c r="E200" s="2">
        <v>46029</v>
      </c>
      <c r="F200" s="97" t="s">
        <v>7</v>
      </c>
      <c r="G200" s="97" t="s">
        <v>8</v>
      </c>
      <c r="H200" s="97" t="s">
        <v>74</v>
      </c>
      <c r="I200" s="97" t="s">
        <v>79</v>
      </c>
      <c r="J200" s="97" t="s">
        <v>80</v>
      </c>
      <c r="K200" s="97" t="s">
        <v>73</v>
      </c>
      <c r="L200">
        <v>701000</v>
      </c>
      <c r="M200" s="97" t="s">
        <v>62</v>
      </c>
      <c r="N200" s="97" t="s">
        <v>33</v>
      </c>
      <c r="O200">
        <v>1913</v>
      </c>
      <c r="P200">
        <v>2.6</v>
      </c>
      <c r="Q200">
        <v>4.97</v>
      </c>
      <c r="R200" s="97" t="s">
        <v>1204</v>
      </c>
      <c r="S200" s="97" t="s">
        <v>195</v>
      </c>
    </row>
    <row r="201" spans="1:19" x14ac:dyDescent="0.3">
      <c r="A201" s="97" t="s">
        <v>729</v>
      </c>
      <c r="B201" s="97" t="s">
        <v>22</v>
      </c>
      <c r="C201">
        <v>2026</v>
      </c>
      <c r="D201">
        <v>1</v>
      </c>
      <c r="E201" s="2">
        <v>46029</v>
      </c>
      <c r="F201" s="97" t="s">
        <v>7</v>
      </c>
      <c r="G201" s="97" t="s">
        <v>8</v>
      </c>
      <c r="H201" s="97" t="s">
        <v>74</v>
      </c>
      <c r="I201" s="97" t="s">
        <v>79</v>
      </c>
      <c r="J201" s="97" t="s">
        <v>80</v>
      </c>
      <c r="K201" s="97" t="s">
        <v>73</v>
      </c>
      <c r="L201">
        <v>701000</v>
      </c>
      <c r="M201" s="97" t="s">
        <v>62</v>
      </c>
      <c r="N201" s="97" t="s">
        <v>33</v>
      </c>
      <c r="O201">
        <v>2585</v>
      </c>
      <c r="P201">
        <v>2.6</v>
      </c>
      <c r="Q201">
        <v>6.72</v>
      </c>
      <c r="R201" s="97" t="s">
        <v>1202</v>
      </c>
      <c r="S201" s="97" t="s">
        <v>195</v>
      </c>
    </row>
    <row r="202" spans="1:19" x14ac:dyDescent="0.3">
      <c r="A202" s="97" t="s">
        <v>870</v>
      </c>
      <c r="B202" s="97" t="s">
        <v>22</v>
      </c>
      <c r="C202">
        <v>2026</v>
      </c>
      <c r="D202">
        <v>1</v>
      </c>
      <c r="E202" s="2">
        <v>46029</v>
      </c>
      <c r="F202" s="97" t="s">
        <v>7</v>
      </c>
      <c r="G202" s="97" t="s">
        <v>8</v>
      </c>
      <c r="H202" s="97" t="s">
        <v>74</v>
      </c>
      <c r="I202" s="97" t="s">
        <v>82</v>
      </c>
      <c r="J202" s="97" t="s">
        <v>83</v>
      </c>
      <c r="K202" s="97" t="s">
        <v>73</v>
      </c>
      <c r="L202">
        <v>707000</v>
      </c>
      <c r="M202" s="97" t="s">
        <v>81</v>
      </c>
      <c r="N202" s="97" t="s">
        <v>33</v>
      </c>
      <c r="O202">
        <v>153</v>
      </c>
      <c r="P202">
        <v>18.5</v>
      </c>
      <c r="Q202">
        <v>2.83</v>
      </c>
      <c r="R202" s="97" t="s">
        <v>1202</v>
      </c>
      <c r="S202" s="97" t="s">
        <v>195</v>
      </c>
    </row>
    <row r="203" spans="1:19" x14ac:dyDescent="0.3">
      <c r="A203" s="97" t="s">
        <v>871</v>
      </c>
      <c r="B203" s="97" t="s">
        <v>22</v>
      </c>
      <c r="C203">
        <v>2026</v>
      </c>
      <c r="D203">
        <v>1</v>
      </c>
      <c r="E203" s="2">
        <v>46029</v>
      </c>
      <c r="F203" s="97" t="s">
        <v>7</v>
      </c>
      <c r="G203" s="97" t="s">
        <v>8</v>
      </c>
      <c r="H203" s="97" t="s">
        <v>74</v>
      </c>
      <c r="I203" s="97" t="s">
        <v>82</v>
      </c>
      <c r="J203" s="97" t="s">
        <v>83</v>
      </c>
      <c r="K203" s="97" t="s">
        <v>73</v>
      </c>
      <c r="L203">
        <v>707000</v>
      </c>
      <c r="M203" s="97" t="s">
        <v>81</v>
      </c>
      <c r="N203" s="97" t="s">
        <v>33</v>
      </c>
      <c r="O203">
        <v>92</v>
      </c>
      <c r="P203">
        <v>18.48</v>
      </c>
      <c r="Q203">
        <v>1.7</v>
      </c>
      <c r="R203" s="97" t="s">
        <v>1197</v>
      </c>
      <c r="S203" s="97" t="s">
        <v>195</v>
      </c>
    </row>
    <row r="204" spans="1:19" x14ac:dyDescent="0.3">
      <c r="A204" s="97" t="s">
        <v>872</v>
      </c>
      <c r="B204" s="97" t="s">
        <v>22</v>
      </c>
      <c r="C204">
        <v>2026</v>
      </c>
      <c r="D204">
        <v>1</v>
      </c>
      <c r="E204" s="2">
        <v>46029</v>
      </c>
      <c r="F204" s="97" t="s">
        <v>7</v>
      </c>
      <c r="G204" s="97" t="s">
        <v>8</v>
      </c>
      <c r="H204" s="97" t="s">
        <v>74</v>
      </c>
      <c r="I204" s="97" t="s">
        <v>82</v>
      </c>
      <c r="J204" s="97" t="s">
        <v>83</v>
      </c>
      <c r="K204" s="97" t="s">
        <v>73</v>
      </c>
      <c r="L204">
        <v>707000</v>
      </c>
      <c r="M204" s="97" t="s">
        <v>81</v>
      </c>
      <c r="N204" s="97" t="s">
        <v>33</v>
      </c>
      <c r="O204">
        <v>158</v>
      </c>
      <c r="P204">
        <v>18.48</v>
      </c>
      <c r="Q204">
        <v>2.92</v>
      </c>
      <c r="R204" s="97" t="s">
        <v>1200</v>
      </c>
      <c r="S204" s="97" t="s">
        <v>195</v>
      </c>
    </row>
    <row r="205" spans="1:19" x14ac:dyDescent="0.3">
      <c r="A205" s="97" t="s">
        <v>873</v>
      </c>
      <c r="B205" s="97" t="s">
        <v>22</v>
      </c>
      <c r="C205">
        <v>2026</v>
      </c>
      <c r="D205">
        <v>1</v>
      </c>
      <c r="E205" s="2">
        <v>46029</v>
      </c>
      <c r="F205" s="97" t="s">
        <v>7</v>
      </c>
      <c r="G205" s="97" t="s">
        <v>8</v>
      </c>
      <c r="H205" s="97" t="s">
        <v>74</v>
      </c>
      <c r="I205" s="97" t="s">
        <v>82</v>
      </c>
      <c r="J205" s="97" t="s">
        <v>83</v>
      </c>
      <c r="K205" s="97" t="s">
        <v>73</v>
      </c>
      <c r="L205">
        <v>707000</v>
      </c>
      <c r="M205" s="97" t="s">
        <v>81</v>
      </c>
      <c r="N205" s="97" t="s">
        <v>33</v>
      </c>
      <c r="O205">
        <v>37</v>
      </c>
      <c r="P205">
        <v>18.649999999999999</v>
      </c>
      <c r="Q205">
        <v>0.69</v>
      </c>
      <c r="R205" s="97" t="s">
        <v>1199</v>
      </c>
      <c r="S205" s="97" t="s">
        <v>195</v>
      </c>
    </row>
    <row r="206" spans="1:19" x14ac:dyDescent="0.3">
      <c r="A206" s="97" t="s">
        <v>874</v>
      </c>
      <c r="B206" s="97" t="s">
        <v>22</v>
      </c>
      <c r="C206">
        <v>2026</v>
      </c>
      <c r="D206">
        <v>1</v>
      </c>
      <c r="E206" s="2">
        <v>46029</v>
      </c>
      <c r="F206" s="97" t="s">
        <v>7</v>
      </c>
      <c r="G206" s="97" t="s">
        <v>8</v>
      </c>
      <c r="H206" s="97" t="s">
        <v>74</v>
      </c>
      <c r="I206" s="97" t="s">
        <v>82</v>
      </c>
      <c r="J206" s="97" t="s">
        <v>83</v>
      </c>
      <c r="K206" s="97" t="s">
        <v>73</v>
      </c>
      <c r="L206">
        <v>707000</v>
      </c>
      <c r="M206" s="97" t="s">
        <v>81</v>
      </c>
      <c r="N206" s="97" t="s">
        <v>33</v>
      </c>
      <c r="O206">
        <v>123</v>
      </c>
      <c r="P206">
        <v>18.54</v>
      </c>
      <c r="Q206">
        <v>2.2799999999999998</v>
      </c>
      <c r="R206" s="97" t="s">
        <v>1203</v>
      </c>
      <c r="S206" s="97" t="s">
        <v>195</v>
      </c>
    </row>
    <row r="207" spans="1:19" x14ac:dyDescent="0.3">
      <c r="A207" s="97" t="s">
        <v>235</v>
      </c>
      <c r="B207" s="97" t="s">
        <v>22</v>
      </c>
      <c r="C207">
        <v>2026</v>
      </c>
      <c r="D207">
        <v>1</v>
      </c>
      <c r="E207" s="2">
        <v>46030</v>
      </c>
      <c r="F207" s="97" t="s">
        <v>7</v>
      </c>
      <c r="G207" s="97" t="s">
        <v>8</v>
      </c>
      <c r="H207" s="97" t="s">
        <v>74</v>
      </c>
      <c r="I207" s="97" t="s">
        <v>84</v>
      </c>
      <c r="J207" s="97" t="s">
        <v>85</v>
      </c>
      <c r="K207" s="97" t="s">
        <v>73</v>
      </c>
      <c r="L207">
        <v>701000</v>
      </c>
      <c r="M207" s="97" t="s">
        <v>62</v>
      </c>
      <c r="N207" s="97" t="s">
        <v>33</v>
      </c>
      <c r="O207">
        <v>3345</v>
      </c>
      <c r="P207">
        <v>0.95</v>
      </c>
      <c r="Q207">
        <v>3.18</v>
      </c>
      <c r="R207" s="97" t="s">
        <v>1200</v>
      </c>
      <c r="S207" s="97" t="s">
        <v>195</v>
      </c>
    </row>
    <row r="208" spans="1:19" x14ac:dyDescent="0.3">
      <c r="A208" s="97" t="s">
        <v>236</v>
      </c>
      <c r="B208" s="97" t="s">
        <v>22</v>
      </c>
      <c r="C208">
        <v>2026</v>
      </c>
      <c r="D208">
        <v>1</v>
      </c>
      <c r="E208" s="2">
        <v>46030</v>
      </c>
      <c r="F208" s="97" t="s">
        <v>7</v>
      </c>
      <c r="G208" s="97" t="s">
        <v>8</v>
      </c>
      <c r="H208" s="97" t="s">
        <v>74</v>
      </c>
      <c r="I208" s="97" t="s">
        <v>84</v>
      </c>
      <c r="J208" s="97" t="s">
        <v>85</v>
      </c>
      <c r="K208" s="97" t="s">
        <v>73</v>
      </c>
      <c r="L208">
        <v>701000</v>
      </c>
      <c r="M208" s="97" t="s">
        <v>62</v>
      </c>
      <c r="N208" s="97" t="s">
        <v>33</v>
      </c>
      <c r="O208">
        <v>4816</v>
      </c>
      <c r="P208">
        <v>0.95</v>
      </c>
      <c r="Q208">
        <v>4.57</v>
      </c>
      <c r="R208" s="97" t="s">
        <v>1198</v>
      </c>
      <c r="S208" s="97" t="s">
        <v>195</v>
      </c>
    </row>
    <row r="209" spans="1:19" x14ac:dyDescent="0.3">
      <c r="A209" s="97" t="s">
        <v>237</v>
      </c>
      <c r="B209" s="97" t="s">
        <v>22</v>
      </c>
      <c r="C209">
        <v>2026</v>
      </c>
      <c r="D209">
        <v>1</v>
      </c>
      <c r="E209" s="2">
        <v>46030</v>
      </c>
      <c r="F209" s="97" t="s">
        <v>7</v>
      </c>
      <c r="G209" s="97" t="s">
        <v>8</v>
      </c>
      <c r="H209" s="97" t="s">
        <v>74</v>
      </c>
      <c r="I209" s="97" t="s">
        <v>84</v>
      </c>
      <c r="J209" s="97" t="s">
        <v>85</v>
      </c>
      <c r="K209" s="97" t="s">
        <v>73</v>
      </c>
      <c r="L209">
        <v>701000</v>
      </c>
      <c r="M209" s="97" t="s">
        <v>62</v>
      </c>
      <c r="N209" s="97" t="s">
        <v>33</v>
      </c>
      <c r="O209">
        <v>2089</v>
      </c>
      <c r="P209">
        <v>0.95</v>
      </c>
      <c r="Q209">
        <v>1.98</v>
      </c>
      <c r="R209" s="97" t="s">
        <v>1203</v>
      </c>
      <c r="S209" s="97" t="s">
        <v>195</v>
      </c>
    </row>
    <row r="210" spans="1:19" x14ac:dyDescent="0.3">
      <c r="A210" s="97" t="s">
        <v>238</v>
      </c>
      <c r="B210" s="97" t="s">
        <v>22</v>
      </c>
      <c r="C210">
        <v>2026</v>
      </c>
      <c r="D210">
        <v>1</v>
      </c>
      <c r="E210" s="2">
        <v>46030</v>
      </c>
      <c r="F210" s="97" t="s">
        <v>7</v>
      </c>
      <c r="G210" s="97" t="s">
        <v>8</v>
      </c>
      <c r="H210" s="97" t="s">
        <v>74</v>
      </c>
      <c r="I210" s="97" t="s">
        <v>84</v>
      </c>
      <c r="J210" s="97" t="s">
        <v>85</v>
      </c>
      <c r="K210" s="97" t="s">
        <v>73</v>
      </c>
      <c r="L210">
        <v>701000</v>
      </c>
      <c r="M210" s="97" t="s">
        <v>62</v>
      </c>
      <c r="N210" s="97" t="s">
        <v>33</v>
      </c>
      <c r="O210">
        <v>4270</v>
      </c>
      <c r="P210">
        <v>0.95</v>
      </c>
      <c r="Q210">
        <v>4.05</v>
      </c>
      <c r="R210" s="97" t="s">
        <v>1197</v>
      </c>
      <c r="S210" s="97" t="s">
        <v>195</v>
      </c>
    </row>
    <row r="211" spans="1:19" x14ac:dyDescent="0.3">
      <c r="A211" s="97" t="s">
        <v>239</v>
      </c>
      <c r="B211" s="97" t="s">
        <v>22</v>
      </c>
      <c r="C211">
        <v>2026</v>
      </c>
      <c r="D211">
        <v>1</v>
      </c>
      <c r="E211" s="2">
        <v>46030</v>
      </c>
      <c r="F211" s="97" t="s">
        <v>7</v>
      </c>
      <c r="G211" s="97" t="s">
        <v>8</v>
      </c>
      <c r="H211" s="97" t="s">
        <v>74</v>
      </c>
      <c r="I211" s="97" t="s">
        <v>84</v>
      </c>
      <c r="J211" s="97" t="s">
        <v>85</v>
      </c>
      <c r="K211" s="97" t="s">
        <v>73</v>
      </c>
      <c r="L211">
        <v>701000</v>
      </c>
      <c r="M211" s="97" t="s">
        <v>62</v>
      </c>
      <c r="N211" s="97" t="s">
        <v>33</v>
      </c>
      <c r="O211">
        <v>4159</v>
      </c>
      <c r="P211">
        <v>0.95</v>
      </c>
      <c r="Q211">
        <v>3.96</v>
      </c>
      <c r="R211" s="97" t="s">
        <v>1205</v>
      </c>
      <c r="S211" s="97" t="s">
        <v>195</v>
      </c>
    </row>
    <row r="212" spans="1:19" x14ac:dyDescent="0.3">
      <c r="A212" s="97" t="s">
        <v>260</v>
      </c>
      <c r="B212" s="97" t="s">
        <v>22</v>
      </c>
      <c r="C212">
        <v>2026</v>
      </c>
      <c r="D212">
        <v>1</v>
      </c>
      <c r="E212" s="2">
        <v>46030</v>
      </c>
      <c r="F212" s="97" t="s">
        <v>7</v>
      </c>
      <c r="G212" s="97" t="s">
        <v>8</v>
      </c>
      <c r="H212" s="97" t="s">
        <v>74</v>
      </c>
      <c r="I212" s="97" t="s">
        <v>84</v>
      </c>
      <c r="J212" s="97" t="s">
        <v>85</v>
      </c>
      <c r="K212" s="97" t="s">
        <v>73</v>
      </c>
      <c r="L212">
        <v>701000</v>
      </c>
      <c r="M212" s="97" t="s">
        <v>62</v>
      </c>
      <c r="N212" s="97" t="s">
        <v>33</v>
      </c>
      <c r="O212">
        <v>1166</v>
      </c>
      <c r="P212">
        <v>0.95</v>
      </c>
      <c r="Q212">
        <v>1.1100000000000001</v>
      </c>
      <c r="R212" s="97" t="s">
        <v>1197</v>
      </c>
      <c r="S212" s="97" t="s">
        <v>195</v>
      </c>
    </row>
    <row r="213" spans="1:19" x14ac:dyDescent="0.3">
      <c r="A213" s="97" t="s">
        <v>261</v>
      </c>
      <c r="B213" s="97" t="s">
        <v>22</v>
      </c>
      <c r="C213">
        <v>2026</v>
      </c>
      <c r="D213">
        <v>1</v>
      </c>
      <c r="E213" s="2">
        <v>46030</v>
      </c>
      <c r="F213" s="97" t="s">
        <v>7</v>
      </c>
      <c r="G213" s="97" t="s">
        <v>8</v>
      </c>
      <c r="H213" s="97" t="s">
        <v>74</v>
      </c>
      <c r="I213" s="97" t="s">
        <v>84</v>
      </c>
      <c r="J213" s="97" t="s">
        <v>85</v>
      </c>
      <c r="K213" s="97" t="s">
        <v>73</v>
      </c>
      <c r="L213">
        <v>701000</v>
      </c>
      <c r="M213" s="97" t="s">
        <v>62</v>
      </c>
      <c r="N213" s="97" t="s">
        <v>33</v>
      </c>
      <c r="O213">
        <v>3229</v>
      </c>
      <c r="P213">
        <v>0.95</v>
      </c>
      <c r="Q213">
        <v>3.07</v>
      </c>
      <c r="R213" s="97" t="s">
        <v>1200</v>
      </c>
      <c r="S213" s="97" t="s">
        <v>195</v>
      </c>
    </row>
    <row r="214" spans="1:19" x14ac:dyDescent="0.3">
      <c r="A214" s="97" t="s">
        <v>262</v>
      </c>
      <c r="B214" s="97" t="s">
        <v>22</v>
      </c>
      <c r="C214">
        <v>2026</v>
      </c>
      <c r="D214">
        <v>1</v>
      </c>
      <c r="E214" s="2">
        <v>46030</v>
      </c>
      <c r="F214" s="97" t="s">
        <v>7</v>
      </c>
      <c r="G214" s="97" t="s">
        <v>8</v>
      </c>
      <c r="H214" s="97" t="s">
        <v>74</v>
      </c>
      <c r="I214" s="97" t="s">
        <v>84</v>
      </c>
      <c r="J214" s="97" t="s">
        <v>85</v>
      </c>
      <c r="K214" s="97" t="s">
        <v>73</v>
      </c>
      <c r="L214">
        <v>701000</v>
      </c>
      <c r="M214" s="97" t="s">
        <v>62</v>
      </c>
      <c r="N214" s="97" t="s">
        <v>33</v>
      </c>
      <c r="O214">
        <v>8392</v>
      </c>
      <c r="P214">
        <v>0.95</v>
      </c>
      <c r="Q214">
        <v>7.97</v>
      </c>
      <c r="R214" s="97" t="s">
        <v>1203</v>
      </c>
      <c r="S214" s="97" t="s">
        <v>195</v>
      </c>
    </row>
    <row r="215" spans="1:19" x14ac:dyDescent="0.3">
      <c r="A215" s="97" t="s">
        <v>263</v>
      </c>
      <c r="B215" s="97" t="s">
        <v>22</v>
      </c>
      <c r="C215">
        <v>2026</v>
      </c>
      <c r="D215">
        <v>1</v>
      </c>
      <c r="E215" s="2">
        <v>46030</v>
      </c>
      <c r="F215" s="97" t="s">
        <v>7</v>
      </c>
      <c r="G215" s="97" t="s">
        <v>8</v>
      </c>
      <c r="H215" s="97" t="s">
        <v>74</v>
      </c>
      <c r="I215" s="97" t="s">
        <v>84</v>
      </c>
      <c r="J215" s="97" t="s">
        <v>85</v>
      </c>
      <c r="K215" s="97" t="s">
        <v>73</v>
      </c>
      <c r="L215">
        <v>701000</v>
      </c>
      <c r="M215" s="97" t="s">
        <v>62</v>
      </c>
      <c r="N215" s="97" t="s">
        <v>33</v>
      </c>
      <c r="O215">
        <v>5334</v>
      </c>
      <c r="P215">
        <v>0.95</v>
      </c>
      <c r="Q215">
        <v>5.07</v>
      </c>
      <c r="R215" s="97" t="s">
        <v>1198</v>
      </c>
      <c r="S215" s="97" t="s">
        <v>195</v>
      </c>
    </row>
    <row r="216" spans="1:19" x14ac:dyDescent="0.3">
      <c r="A216" s="97" t="s">
        <v>264</v>
      </c>
      <c r="B216" s="97" t="s">
        <v>22</v>
      </c>
      <c r="C216">
        <v>2026</v>
      </c>
      <c r="D216">
        <v>1</v>
      </c>
      <c r="E216" s="2">
        <v>46030</v>
      </c>
      <c r="F216" s="97" t="s">
        <v>7</v>
      </c>
      <c r="G216" s="97" t="s">
        <v>8</v>
      </c>
      <c r="H216" s="97" t="s">
        <v>74</v>
      </c>
      <c r="I216" s="97" t="s">
        <v>84</v>
      </c>
      <c r="J216" s="97" t="s">
        <v>85</v>
      </c>
      <c r="K216" s="97" t="s">
        <v>73</v>
      </c>
      <c r="L216">
        <v>701000</v>
      </c>
      <c r="M216" s="97" t="s">
        <v>62</v>
      </c>
      <c r="N216" s="97" t="s">
        <v>33</v>
      </c>
      <c r="O216">
        <v>2045</v>
      </c>
      <c r="P216">
        <v>0.95</v>
      </c>
      <c r="Q216">
        <v>1.94</v>
      </c>
      <c r="R216" s="97" t="s">
        <v>1204</v>
      </c>
      <c r="S216" s="97" t="s">
        <v>195</v>
      </c>
    </row>
    <row r="217" spans="1:19" x14ac:dyDescent="0.3">
      <c r="A217" s="97" t="s">
        <v>265</v>
      </c>
      <c r="B217" s="97" t="s">
        <v>22</v>
      </c>
      <c r="C217">
        <v>2026</v>
      </c>
      <c r="D217">
        <v>1</v>
      </c>
      <c r="E217" s="2">
        <v>46030</v>
      </c>
      <c r="F217" s="97" t="s">
        <v>7</v>
      </c>
      <c r="G217" s="97" t="s">
        <v>8</v>
      </c>
      <c r="H217" s="97" t="s">
        <v>74</v>
      </c>
      <c r="I217" s="97" t="s">
        <v>84</v>
      </c>
      <c r="J217" s="97" t="s">
        <v>85</v>
      </c>
      <c r="K217" s="97" t="s">
        <v>73</v>
      </c>
      <c r="L217">
        <v>701000</v>
      </c>
      <c r="M217" s="97" t="s">
        <v>62</v>
      </c>
      <c r="N217" s="97" t="s">
        <v>33</v>
      </c>
      <c r="O217">
        <v>3118</v>
      </c>
      <c r="P217">
        <v>0.95</v>
      </c>
      <c r="Q217">
        <v>2.96</v>
      </c>
      <c r="R217" s="97" t="s">
        <v>1205</v>
      </c>
      <c r="S217" s="97" t="s">
        <v>195</v>
      </c>
    </row>
    <row r="218" spans="1:19" x14ac:dyDescent="0.3">
      <c r="A218" s="97" t="s">
        <v>266</v>
      </c>
      <c r="B218" s="97" t="s">
        <v>22</v>
      </c>
      <c r="C218">
        <v>2026</v>
      </c>
      <c r="D218">
        <v>1</v>
      </c>
      <c r="E218" s="2">
        <v>46030</v>
      </c>
      <c r="F218" s="97" t="s">
        <v>7</v>
      </c>
      <c r="G218" s="97" t="s">
        <v>8</v>
      </c>
      <c r="H218" s="97" t="s">
        <v>74</v>
      </c>
      <c r="I218" s="97" t="s">
        <v>84</v>
      </c>
      <c r="J218" s="97" t="s">
        <v>85</v>
      </c>
      <c r="K218" s="97" t="s">
        <v>73</v>
      </c>
      <c r="L218">
        <v>701000</v>
      </c>
      <c r="M218" s="97" t="s">
        <v>62</v>
      </c>
      <c r="N218" s="97" t="s">
        <v>33</v>
      </c>
      <c r="O218">
        <v>3760</v>
      </c>
      <c r="P218">
        <v>0.95</v>
      </c>
      <c r="Q218">
        <v>3.57</v>
      </c>
      <c r="R218" s="97" t="s">
        <v>1197</v>
      </c>
      <c r="S218" s="97" t="s">
        <v>195</v>
      </c>
    </row>
    <row r="219" spans="1:19" x14ac:dyDescent="0.3">
      <c r="A219" s="97" t="s">
        <v>267</v>
      </c>
      <c r="B219" s="97" t="s">
        <v>22</v>
      </c>
      <c r="C219">
        <v>2026</v>
      </c>
      <c r="D219">
        <v>1</v>
      </c>
      <c r="E219" s="2">
        <v>46030</v>
      </c>
      <c r="F219" s="97" t="s">
        <v>7</v>
      </c>
      <c r="G219" s="97" t="s">
        <v>8</v>
      </c>
      <c r="H219" s="97" t="s">
        <v>74</v>
      </c>
      <c r="I219" s="97" t="s">
        <v>84</v>
      </c>
      <c r="J219" s="97" t="s">
        <v>85</v>
      </c>
      <c r="K219" s="97" t="s">
        <v>73</v>
      </c>
      <c r="L219">
        <v>701000</v>
      </c>
      <c r="M219" s="97" t="s">
        <v>62</v>
      </c>
      <c r="N219" s="97" t="s">
        <v>33</v>
      </c>
      <c r="O219">
        <v>6212</v>
      </c>
      <c r="P219">
        <v>0.95</v>
      </c>
      <c r="Q219">
        <v>5.9</v>
      </c>
      <c r="R219" s="97" t="s">
        <v>1198</v>
      </c>
      <c r="S219" s="97" t="s">
        <v>195</v>
      </c>
    </row>
    <row r="220" spans="1:19" x14ac:dyDescent="0.3">
      <c r="A220" s="97" t="s">
        <v>268</v>
      </c>
      <c r="B220" s="97" t="s">
        <v>22</v>
      </c>
      <c r="C220">
        <v>2026</v>
      </c>
      <c r="D220">
        <v>1</v>
      </c>
      <c r="E220" s="2">
        <v>46030</v>
      </c>
      <c r="F220" s="97" t="s">
        <v>7</v>
      </c>
      <c r="G220" s="97" t="s">
        <v>8</v>
      </c>
      <c r="H220" s="97" t="s">
        <v>74</v>
      </c>
      <c r="I220" s="97" t="s">
        <v>84</v>
      </c>
      <c r="J220" s="97" t="s">
        <v>85</v>
      </c>
      <c r="K220" s="97" t="s">
        <v>73</v>
      </c>
      <c r="L220">
        <v>701000</v>
      </c>
      <c r="M220" s="97" t="s">
        <v>62</v>
      </c>
      <c r="N220" s="97" t="s">
        <v>33</v>
      </c>
      <c r="O220">
        <v>2898</v>
      </c>
      <c r="P220">
        <v>0.95</v>
      </c>
      <c r="Q220">
        <v>2.75</v>
      </c>
      <c r="R220" s="97" t="s">
        <v>1203</v>
      </c>
      <c r="S220" s="97" t="s">
        <v>195</v>
      </c>
    </row>
    <row r="221" spans="1:19" x14ac:dyDescent="0.3">
      <c r="A221" s="97" t="s">
        <v>269</v>
      </c>
      <c r="B221" s="97" t="s">
        <v>22</v>
      </c>
      <c r="C221">
        <v>2026</v>
      </c>
      <c r="D221">
        <v>1</v>
      </c>
      <c r="E221" s="2">
        <v>46030</v>
      </c>
      <c r="F221" s="97" t="s">
        <v>7</v>
      </c>
      <c r="G221" s="97" t="s">
        <v>8</v>
      </c>
      <c r="H221" s="97" t="s">
        <v>74</v>
      </c>
      <c r="I221" s="97" t="s">
        <v>84</v>
      </c>
      <c r="J221" s="97" t="s">
        <v>85</v>
      </c>
      <c r="K221" s="97" t="s">
        <v>73</v>
      </c>
      <c r="L221">
        <v>701000</v>
      </c>
      <c r="M221" s="97" t="s">
        <v>62</v>
      </c>
      <c r="N221" s="97" t="s">
        <v>33</v>
      </c>
      <c r="O221">
        <v>4129</v>
      </c>
      <c r="P221">
        <v>0.95</v>
      </c>
      <c r="Q221">
        <v>3.93</v>
      </c>
      <c r="R221" s="97" t="s">
        <v>1199</v>
      </c>
      <c r="S221" s="97" t="s">
        <v>195</v>
      </c>
    </row>
    <row r="222" spans="1:19" x14ac:dyDescent="0.3">
      <c r="A222" s="97" t="s">
        <v>300</v>
      </c>
      <c r="B222" s="97" t="s">
        <v>22</v>
      </c>
      <c r="C222">
        <v>2026</v>
      </c>
      <c r="D222">
        <v>1</v>
      </c>
      <c r="E222" s="2">
        <v>46030</v>
      </c>
      <c r="F222" s="97" t="s">
        <v>7</v>
      </c>
      <c r="G222" s="97" t="s">
        <v>8</v>
      </c>
      <c r="H222" s="97" t="s">
        <v>70</v>
      </c>
      <c r="I222" s="97" t="s">
        <v>84</v>
      </c>
      <c r="J222" s="97" t="s">
        <v>85</v>
      </c>
      <c r="K222" s="97" t="s">
        <v>73</v>
      </c>
      <c r="L222">
        <v>701000</v>
      </c>
      <c r="M222" s="97" t="s">
        <v>62</v>
      </c>
      <c r="N222" s="97" t="s">
        <v>33</v>
      </c>
      <c r="O222">
        <v>1961</v>
      </c>
      <c r="P222">
        <v>0.95</v>
      </c>
      <c r="Q222">
        <v>1.86</v>
      </c>
      <c r="R222" s="97" t="s">
        <v>1202</v>
      </c>
      <c r="S222" s="97" t="s">
        <v>195</v>
      </c>
    </row>
    <row r="223" spans="1:19" x14ac:dyDescent="0.3">
      <c r="A223" s="97" t="s">
        <v>301</v>
      </c>
      <c r="B223" s="97" t="s">
        <v>22</v>
      </c>
      <c r="C223">
        <v>2026</v>
      </c>
      <c r="D223">
        <v>1</v>
      </c>
      <c r="E223" s="2">
        <v>46030</v>
      </c>
      <c r="F223" s="97" t="s">
        <v>7</v>
      </c>
      <c r="G223" s="97" t="s">
        <v>8</v>
      </c>
      <c r="H223" s="97" t="s">
        <v>70</v>
      </c>
      <c r="I223" s="97" t="s">
        <v>84</v>
      </c>
      <c r="J223" s="97" t="s">
        <v>85</v>
      </c>
      <c r="K223" s="97" t="s">
        <v>73</v>
      </c>
      <c r="L223">
        <v>701000</v>
      </c>
      <c r="M223" s="97" t="s">
        <v>62</v>
      </c>
      <c r="N223" s="97" t="s">
        <v>33</v>
      </c>
      <c r="O223">
        <v>5224</v>
      </c>
      <c r="P223">
        <v>0.95</v>
      </c>
      <c r="Q223">
        <v>4.96</v>
      </c>
      <c r="R223" s="97" t="s">
        <v>1200</v>
      </c>
      <c r="S223" s="97" t="s">
        <v>195</v>
      </c>
    </row>
    <row r="224" spans="1:19" x14ac:dyDescent="0.3">
      <c r="A224" s="97" t="s">
        <v>302</v>
      </c>
      <c r="B224" s="97" t="s">
        <v>22</v>
      </c>
      <c r="C224">
        <v>2026</v>
      </c>
      <c r="D224">
        <v>1</v>
      </c>
      <c r="E224" s="2">
        <v>46030</v>
      </c>
      <c r="F224" s="97" t="s">
        <v>7</v>
      </c>
      <c r="G224" s="97" t="s">
        <v>8</v>
      </c>
      <c r="H224" s="97" t="s">
        <v>70</v>
      </c>
      <c r="I224" s="97" t="s">
        <v>84</v>
      </c>
      <c r="J224" s="97" t="s">
        <v>85</v>
      </c>
      <c r="K224" s="97" t="s">
        <v>73</v>
      </c>
      <c r="L224">
        <v>701000</v>
      </c>
      <c r="M224" s="97" t="s">
        <v>62</v>
      </c>
      <c r="N224" s="97" t="s">
        <v>33</v>
      </c>
      <c r="O224">
        <v>4324</v>
      </c>
      <c r="P224">
        <v>0.95</v>
      </c>
      <c r="Q224">
        <v>4.1100000000000003</v>
      </c>
      <c r="R224" s="97" t="s">
        <v>1198</v>
      </c>
      <c r="S224" s="97" t="s">
        <v>195</v>
      </c>
    </row>
    <row r="225" spans="1:19" x14ac:dyDescent="0.3">
      <c r="A225" s="97" t="s">
        <v>303</v>
      </c>
      <c r="B225" s="97" t="s">
        <v>22</v>
      </c>
      <c r="C225">
        <v>2026</v>
      </c>
      <c r="D225">
        <v>1</v>
      </c>
      <c r="E225" s="2">
        <v>46030</v>
      </c>
      <c r="F225" s="97" t="s">
        <v>7</v>
      </c>
      <c r="G225" s="97" t="s">
        <v>8</v>
      </c>
      <c r="H225" s="97" t="s">
        <v>70</v>
      </c>
      <c r="I225" s="97" t="s">
        <v>84</v>
      </c>
      <c r="J225" s="97" t="s">
        <v>85</v>
      </c>
      <c r="K225" s="97" t="s">
        <v>73</v>
      </c>
      <c r="L225">
        <v>701000</v>
      </c>
      <c r="M225" s="97" t="s">
        <v>62</v>
      </c>
      <c r="N225" s="97" t="s">
        <v>33</v>
      </c>
      <c r="O225">
        <v>6702</v>
      </c>
      <c r="P225">
        <v>0.95</v>
      </c>
      <c r="Q225">
        <v>6.37</v>
      </c>
      <c r="R225" s="97" t="s">
        <v>1197</v>
      </c>
      <c r="S225" s="97" t="s">
        <v>195</v>
      </c>
    </row>
    <row r="226" spans="1:19" x14ac:dyDescent="0.3">
      <c r="A226" s="97" t="s">
        <v>304</v>
      </c>
      <c r="B226" s="97" t="s">
        <v>22</v>
      </c>
      <c r="C226">
        <v>2026</v>
      </c>
      <c r="D226">
        <v>1</v>
      </c>
      <c r="E226" s="2">
        <v>46030</v>
      </c>
      <c r="F226" s="97" t="s">
        <v>7</v>
      </c>
      <c r="G226" s="97" t="s">
        <v>8</v>
      </c>
      <c r="H226" s="97" t="s">
        <v>70</v>
      </c>
      <c r="I226" s="97" t="s">
        <v>84</v>
      </c>
      <c r="J226" s="97" t="s">
        <v>85</v>
      </c>
      <c r="K226" s="97" t="s">
        <v>73</v>
      </c>
      <c r="L226">
        <v>701000</v>
      </c>
      <c r="M226" s="97" t="s">
        <v>62</v>
      </c>
      <c r="N226" s="97" t="s">
        <v>33</v>
      </c>
      <c r="O226">
        <v>1382</v>
      </c>
      <c r="P226">
        <v>0.95</v>
      </c>
      <c r="Q226">
        <v>1.31</v>
      </c>
      <c r="R226" s="97" t="s">
        <v>1199</v>
      </c>
      <c r="S226" s="97" t="s">
        <v>195</v>
      </c>
    </row>
    <row r="227" spans="1:19" x14ac:dyDescent="0.3">
      <c r="A227" s="97" t="s">
        <v>365</v>
      </c>
      <c r="B227" s="97" t="s">
        <v>22</v>
      </c>
      <c r="C227">
        <v>2026</v>
      </c>
      <c r="D227">
        <v>1</v>
      </c>
      <c r="E227" s="2">
        <v>46030</v>
      </c>
      <c r="F227" s="97" t="s">
        <v>7</v>
      </c>
      <c r="G227" s="97" t="s">
        <v>8</v>
      </c>
      <c r="H227" s="97" t="s">
        <v>74</v>
      </c>
      <c r="I227" s="97" t="s">
        <v>71</v>
      </c>
      <c r="J227" s="97" t="s">
        <v>72</v>
      </c>
      <c r="K227" s="97" t="s">
        <v>73</v>
      </c>
      <c r="L227">
        <v>701000</v>
      </c>
      <c r="M227" s="97" t="s">
        <v>62</v>
      </c>
      <c r="N227" s="97" t="s">
        <v>33</v>
      </c>
      <c r="O227">
        <v>5085</v>
      </c>
      <c r="P227">
        <v>1.05</v>
      </c>
      <c r="Q227">
        <v>5.34</v>
      </c>
      <c r="R227" s="97" t="s">
        <v>1197</v>
      </c>
      <c r="S227" s="97" t="s">
        <v>195</v>
      </c>
    </row>
    <row r="228" spans="1:19" x14ac:dyDescent="0.3">
      <c r="A228" s="97" t="s">
        <v>366</v>
      </c>
      <c r="B228" s="97" t="s">
        <v>22</v>
      </c>
      <c r="C228">
        <v>2026</v>
      </c>
      <c r="D228">
        <v>1</v>
      </c>
      <c r="E228" s="2">
        <v>46030</v>
      </c>
      <c r="F228" s="97" t="s">
        <v>7</v>
      </c>
      <c r="G228" s="97" t="s">
        <v>8</v>
      </c>
      <c r="H228" s="97" t="s">
        <v>74</v>
      </c>
      <c r="I228" s="97" t="s">
        <v>71</v>
      </c>
      <c r="J228" s="97" t="s">
        <v>72</v>
      </c>
      <c r="K228" s="97" t="s">
        <v>73</v>
      </c>
      <c r="L228">
        <v>701000</v>
      </c>
      <c r="M228" s="97" t="s">
        <v>62</v>
      </c>
      <c r="N228" s="97" t="s">
        <v>33</v>
      </c>
      <c r="O228">
        <v>1612</v>
      </c>
      <c r="P228">
        <v>1.05</v>
      </c>
      <c r="Q228">
        <v>1.69</v>
      </c>
      <c r="R228" s="97" t="s">
        <v>1198</v>
      </c>
      <c r="S228" s="97" t="s">
        <v>195</v>
      </c>
    </row>
    <row r="229" spans="1:19" x14ac:dyDescent="0.3">
      <c r="A229" s="97" t="s">
        <v>367</v>
      </c>
      <c r="B229" s="97" t="s">
        <v>22</v>
      </c>
      <c r="C229">
        <v>2026</v>
      </c>
      <c r="D229">
        <v>1</v>
      </c>
      <c r="E229" s="2">
        <v>46030</v>
      </c>
      <c r="F229" s="97" t="s">
        <v>7</v>
      </c>
      <c r="G229" s="97" t="s">
        <v>8</v>
      </c>
      <c r="H229" s="97" t="s">
        <v>74</v>
      </c>
      <c r="I229" s="97" t="s">
        <v>71</v>
      </c>
      <c r="J229" s="97" t="s">
        <v>72</v>
      </c>
      <c r="K229" s="97" t="s">
        <v>73</v>
      </c>
      <c r="L229">
        <v>701000</v>
      </c>
      <c r="M229" s="97" t="s">
        <v>62</v>
      </c>
      <c r="N229" s="97" t="s">
        <v>33</v>
      </c>
      <c r="O229">
        <v>7635</v>
      </c>
      <c r="P229">
        <v>1.05</v>
      </c>
      <c r="Q229">
        <v>8.02</v>
      </c>
      <c r="R229" s="97" t="s">
        <v>1201</v>
      </c>
      <c r="S229" s="97" t="s">
        <v>195</v>
      </c>
    </row>
    <row r="230" spans="1:19" x14ac:dyDescent="0.3">
      <c r="A230" s="97" t="s">
        <v>368</v>
      </c>
      <c r="B230" s="97" t="s">
        <v>22</v>
      </c>
      <c r="C230">
        <v>2026</v>
      </c>
      <c r="D230">
        <v>1</v>
      </c>
      <c r="E230" s="2">
        <v>46030</v>
      </c>
      <c r="F230" s="97" t="s">
        <v>7</v>
      </c>
      <c r="G230" s="97" t="s">
        <v>8</v>
      </c>
      <c r="H230" s="97" t="s">
        <v>74</v>
      </c>
      <c r="I230" s="97" t="s">
        <v>71</v>
      </c>
      <c r="J230" s="97" t="s">
        <v>72</v>
      </c>
      <c r="K230" s="97" t="s">
        <v>73</v>
      </c>
      <c r="L230">
        <v>701000</v>
      </c>
      <c r="M230" s="97" t="s">
        <v>62</v>
      </c>
      <c r="N230" s="97" t="s">
        <v>33</v>
      </c>
      <c r="O230">
        <v>2734</v>
      </c>
      <c r="P230">
        <v>1.05</v>
      </c>
      <c r="Q230">
        <v>2.87</v>
      </c>
      <c r="R230" s="97" t="s">
        <v>1202</v>
      </c>
      <c r="S230" s="97" t="s">
        <v>195</v>
      </c>
    </row>
    <row r="231" spans="1:19" x14ac:dyDescent="0.3">
      <c r="A231" s="97" t="s">
        <v>369</v>
      </c>
      <c r="B231" s="97" t="s">
        <v>22</v>
      </c>
      <c r="C231">
        <v>2026</v>
      </c>
      <c r="D231">
        <v>1</v>
      </c>
      <c r="E231" s="2">
        <v>46030</v>
      </c>
      <c r="F231" s="97" t="s">
        <v>7</v>
      </c>
      <c r="G231" s="97" t="s">
        <v>8</v>
      </c>
      <c r="H231" s="97" t="s">
        <v>74</v>
      </c>
      <c r="I231" s="97" t="s">
        <v>71</v>
      </c>
      <c r="J231" s="97" t="s">
        <v>72</v>
      </c>
      <c r="K231" s="97" t="s">
        <v>73</v>
      </c>
      <c r="L231">
        <v>701000</v>
      </c>
      <c r="M231" s="97" t="s">
        <v>62</v>
      </c>
      <c r="N231" s="97" t="s">
        <v>33</v>
      </c>
      <c r="O231">
        <v>3970</v>
      </c>
      <c r="P231">
        <v>1.05</v>
      </c>
      <c r="Q231">
        <v>4.17</v>
      </c>
      <c r="R231" s="97" t="s">
        <v>1199</v>
      </c>
      <c r="S231" s="97" t="s">
        <v>195</v>
      </c>
    </row>
    <row r="232" spans="1:19" x14ac:dyDescent="0.3">
      <c r="A232" s="97" t="s">
        <v>495</v>
      </c>
      <c r="B232" s="97" t="s">
        <v>22</v>
      </c>
      <c r="C232">
        <v>2026</v>
      </c>
      <c r="D232">
        <v>1</v>
      </c>
      <c r="E232" s="2">
        <v>46030</v>
      </c>
      <c r="F232" s="97" t="s">
        <v>7</v>
      </c>
      <c r="G232" s="97" t="s">
        <v>8</v>
      </c>
      <c r="H232" s="97" t="s">
        <v>74</v>
      </c>
      <c r="I232" s="97" t="s">
        <v>77</v>
      </c>
      <c r="J232" s="97" t="s">
        <v>78</v>
      </c>
      <c r="K232" s="97" t="s">
        <v>73</v>
      </c>
      <c r="L232">
        <v>706000</v>
      </c>
      <c r="M232" s="97" t="s">
        <v>63</v>
      </c>
      <c r="N232" s="97" t="s">
        <v>33</v>
      </c>
      <c r="O232">
        <v>597</v>
      </c>
      <c r="P232">
        <v>1.79</v>
      </c>
      <c r="Q232">
        <v>1.07</v>
      </c>
      <c r="R232" s="97" t="s">
        <v>1197</v>
      </c>
      <c r="S232" s="97" t="s">
        <v>195</v>
      </c>
    </row>
    <row r="233" spans="1:19" x14ac:dyDescent="0.3">
      <c r="A233" s="97" t="s">
        <v>496</v>
      </c>
      <c r="B233" s="97" t="s">
        <v>22</v>
      </c>
      <c r="C233">
        <v>2026</v>
      </c>
      <c r="D233">
        <v>1</v>
      </c>
      <c r="E233" s="2">
        <v>46030</v>
      </c>
      <c r="F233" s="97" t="s">
        <v>7</v>
      </c>
      <c r="G233" s="97" t="s">
        <v>8</v>
      </c>
      <c r="H233" s="97" t="s">
        <v>74</v>
      </c>
      <c r="I233" s="97" t="s">
        <v>77</v>
      </c>
      <c r="J233" s="97" t="s">
        <v>78</v>
      </c>
      <c r="K233" s="97" t="s">
        <v>73</v>
      </c>
      <c r="L233">
        <v>706000</v>
      </c>
      <c r="M233" s="97" t="s">
        <v>63</v>
      </c>
      <c r="N233" s="97" t="s">
        <v>33</v>
      </c>
      <c r="O233">
        <v>738</v>
      </c>
      <c r="P233">
        <v>1.8</v>
      </c>
      <c r="Q233">
        <v>1.33</v>
      </c>
      <c r="R233" s="97" t="s">
        <v>1205</v>
      </c>
      <c r="S233" s="97" t="s">
        <v>195</v>
      </c>
    </row>
    <row r="234" spans="1:19" x14ac:dyDescent="0.3">
      <c r="A234" s="97" t="s">
        <v>497</v>
      </c>
      <c r="B234" s="97" t="s">
        <v>22</v>
      </c>
      <c r="C234">
        <v>2026</v>
      </c>
      <c r="D234">
        <v>1</v>
      </c>
      <c r="E234" s="2">
        <v>46030</v>
      </c>
      <c r="F234" s="97" t="s">
        <v>7</v>
      </c>
      <c r="G234" s="97" t="s">
        <v>8</v>
      </c>
      <c r="H234" s="97" t="s">
        <v>74</v>
      </c>
      <c r="I234" s="97" t="s">
        <v>77</v>
      </c>
      <c r="J234" s="97" t="s">
        <v>78</v>
      </c>
      <c r="K234" s="97" t="s">
        <v>73</v>
      </c>
      <c r="L234">
        <v>706000</v>
      </c>
      <c r="M234" s="97" t="s">
        <v>63</v>
      </c>
      <c r="N234" s="97" t="s">
        <v>33</v>
      </c>
      <c r="O234">
        <v>963</v>
      </c>
      <c r="P234">
        <v>1.8</v>
      </c>
      <c r="Q234">
        <v>1.73</v>
      </c>
      <c r="R234" s="97" t="s">
        <v>1198</v>
      </c>
      <c r="S234" s="97" t="s">
        <v>195</v>
      </c>
    </row>
    <row r="235" spans="1:19" x14ac:dyDescent="0.3">
      <c r="A235" s="97" t="s">
        <v>498</v>
      </c>
      <c r="B235" s="97" t="s">
        <v>22</v>
      </c>
      <c r="C235">
        <v>2026</v>
      </c>
      <c r="D235">
        <v>1</v>
      </c>
      <c r="E235" s="2">
        <v>46030</v>
      </c>
      <c r="F235" s="97" t="s">
        <v>7</v>
      </c>
      <c r="G235" s="97" t="s">
        <v>8</v>
      </c>
      <c r="H235" s="97" t="s">
        <v>74</v>
      </c>
      <c r="I235" s="97" t="s">
        <v>77</v>
      </c>
      <c r="J235" s="97" t="s">
        <v>78</v>
      </c>
      <c r="K235" s="97" t="s">
        <v>73</v>
      </c>
      <c r="L235">
        <v>706000</v>
      </c>
      <c r="M235" s="97" t="s">
        <v>63</v>
      </c>
      <c r="N235" s="97" t="s">
        <v>33</v>
      </c>
      <c r="O235">
        <v>1042</v>
      </c>
      <c r="P235">
        <v>1.79</v>
      </c>
      <c r="Q235">
        <v>1.87</v>
      </c>
      <c r="R235" s="97" t="s">
        <v>1204</v>
      </c>
      <c r="S235" s="97" t="s">
        <v>195</v>
      </c>
    </row>
    <row r="236" spans="1:19" x14ac:dyDescent="0.3">
      <c r="A236" s="97" t="s">
        <v>499</v>
      </c>
      <c r="B236" s="97" t="s">
        <v>22</v>
      </c>
      <c r="C236">
        <v>2026</v>
      </c>
      <c r="D236">
        <v>1</v>
      </c>
      <c r="E236" s="2">
        <v>46030</v>
      </c>
      <c r="F236" s="97" t="s">
        <v>7</v>
      </c>
      <c r="G236" s="97" t="s">
        <v>8</v>
      </c>
      <c r="H236" s="97" t="s">
        <v>74</v>
      </c>
      <c r="I236" s="97" t="s">
        <v>77</v>
      </c>
      <c r="J236" s="97" t="s">
        <v>78</v>
      </c>
      <c r="K236" s="97" t="s">
        <v>73</v>
      </c>
      <c r="L236">
        <v>706000</v>
      </c>
      <c r="M236" s="97" t="s">
        <v>63</v>
      </c>
      <c r="N236" s="97" t="s">
        <v>33</v>
      </c>
      <c r="O236">
        <v>1295</v>
      </c>
      <c r="P236">
        <v>1.81</v>
      </c>
      <c r="Q236">
        <v>2.34</v>
      </c>
      <c r="R236" s="97" t="s">
        <v>1202</v>
      </c>
      <c r="S236" s="97" t="s">
        <v>195</v>
      </c>
    </row>
    <row r="237" spans="1:19" x14ac:dyDescent="0.3">
      <c r="A237" s="97" t="s">
        <v>795</v>
      </c>
      <c r="B237" s="97" t="s">
        <v>22</v>
      </c>
      <c r="C237">
        <v>2026</v>
      </c>
      <c r="D237">
        <v>1</v>
      </c>
      <c r="E237" s="2">
        <v>46030</v>
      </c>
      <c r="F237" s="97" t="s">
        <v>7</v>
      </c>
      <c r="G237" s="97" t="s">
        <v>8</v>
      </c>
      <c r="H237" s="97" t="s">
        <v>74</v>
      </c>
      <c r="I237" s="97" t="s">
        <v>82</v>
      </c>
      <c r="J237" s="97" t="s">
        <v>83</v>
      </c>
      <c r="K237" s="97" t="s">
        <v>73</v>
      </c>
      <c r="L237">
        <v>701000</v>
      </c>
      <c r="M237" s="97" t="s">
        <v>62</v>
      </c>
      <c r="N237" s="97" t="s">
        <v>33</v>
      </c>
      <c r="O237">
        <v>83</v>
      </c>
      <c r="P237">
        <v>18.43</v>
      </c>
      <c r="Q237">
        <v>1.53</v>
      </c>
      <c r="R237" s="97" t="s">
        <v>1202</v>
      </c>
      <c r="S237" s="97" t="s">
        <v>195</v>
      </c>
    </row>
    <row r="238" spans="1:19" x14ac:dyDescent="0.3">
      <c r="A238" s="97" t="s">
        <v>796</v>
      </c>
      <c r="B238" s="97" t="s">
        <v>22</v>
      </c>
      <c r="C238">
        <v>2026</v>
      </c>
      <c r="D238">
        <v>1</v>
      </c>
      <c r="E238" s="2">
        <v>46030</v>
      </c>
      <c r="F238" s="97" t="s">
        <v>7</v>
      </c>
      <c r="G238" s="97" t="s">
        <v>8</v>
      </c>
      <c r="H238" s="97" t="s">
        <v>74</v>
      </c>
      <c r="I238" s="97" t="s">
        <v>82</v>
      </c>
      <c r="J238" s="97" t="s">
        <v>83</v>
      </c>
      <c r="K238" s="97" t="s">
        <v>73</v>
      </c>
      <c r="L238">
        <v>701000</v>
      </c>
      <c r="M238" s="97" t="s">
        <v>62</v>
      </c>
      <c r="N238" s="97" t="s">
        <v>33</v>
      </c>
      <c r="O238">
        <v>101</v>
      </c>
      <c r="P238">
        <v>18.510000000000002</v>
      </c>
      <c r="Q238">
        <v>1.87</v>
      </c>
      <c r="R238" s="97" t="s">
        <v>1203</v>
      </c>
      <c r="S238" s="97" t="s">
        <v>195</v>
      </c>
    </row>
    <row r="239" spans="1:19" x14ac:dyDescent="0.3">
      <c r="A239" s="97" t="s">
        <v>797</v>
      </c>
      <c r="B239" s="97" t="s">
        <v>22</v>
      </c>
      <c r="C239">
        <v>2026</v>
      </c>
      <c r="D239">
        <v>1</v>
      </c>
      <c r="E239" s="2">
        <v>46030</v>
      </c>
      <c r="F239" s="97" t="s">
        <v>7</v>
      </c>
      <c r="G239" s="97" t="s">
        <v>8</v>
      </c>
      <c r="H239" s="97" t="s">
        <v>74</v>
      </c>
      <c r="I239" s="97" t="s">
        <v>82</v>
      </c>
      <c r="J239" s="97" t="s">
        <v>83</v>
      </c>
      <c r="K239" s="97" t="s">
        <v>73</v>
      </c>
      <c r="L239">
        <v>701000</v>
      </c>
      <c r="M239" s="97" t="s">
        <v>62</v>
      </c>
      <c r="N239" s="97" t="s">
        <v>33</v>
      </c>
      <c r="O239">
        <v>137</v>
      </c>
      <c r="P239">
        <v>18.47</v>
      </c>
      <c r="Q239">
        <v>2.5299999999999998</v>
      </c>
      <c r="R239" s="97" t="s">
        <v>1205</v>
      </c>
      <c r="S239" s="97" t="s">
        <v>195</v>
      </c>
    </row>
    <row r="240" spans="1:19" x14ac:dyDescent="0.3">
      <c r="A240" s="97" t="s">
        <v>798</v>
      </c>
      <c r="B240" s="97" t="s">
        <v>22</v>
      </c>
      <c r="C240">
        <v>2026</v>
      </c>
      <c r="D240">
        <v>1</v>
      </c>
      <c r="E240" s="2">
        <v>46030</v>
      </c>
      <c r="F240" s="97" t="s">
        <v>7</v>
      </c>
      <c r="G240" s="97" t="s">
        <v>8</v>
      </c>
      <c r="H240" s="97" t="s">
        <v>74</v>
      </c>
      <c r="I240" s="97" t="s">
        <v>82</v>
      </c>
      <c r="J240" s="97" t="s">
        <v>83</v>
      </c>
      <c r="K240" s="97" t="s">
        <v>73</v>
      </c>
      <c r="L240">
        <v>701000</v>
      </c>
      <c r="M240" s="97" t="s">
        <v>62</v>
      </c>
      <c r="N240" s="97" t="s">
        <v>33</v>
      </c>
      <c r="O240">
        <v>185</v>
      </c>
      <c r="P240">
        <v>18.489999999999998</v>
      </c>
      <c r="Q240">
        <v>3.42</v>
      </c>
      <c r="R240" s="97" t="s">
        <v>1198</v>
      </c>
      <c r="S240" s="97" t="s">
        <v>195</v>
      </c>
    </row>
    <row r="241" spans="1:19" x14ac:dyDescent="0.3">
      <c r="A241" s="97" t="s">
        <v>799</v>
      </c>
      <c r="B241" s="97" t="s">
        <v>22</v>
      </c>
      <c r="C241">
        <v>2026</v>
      </c>
      <c r="D241">
        <v>1</v>
      </c>
      <c r="E241" s="2">
        <v>46030</v>
      </c>
      <c r="F241" s="97" t="s">
        <v>7</v>
      </c>
      <c r="G241" s="97" t="s">
        <v>8</v>
      </c>
      <c r="H241" s="97" t="s">
        <v>74</v>
      </c>
      <c r="I241" s="97" t="s">
        <v>82</v>
      </c>
      <c r="J241" s="97" t="s">
        <v>83</v>
      </c>
      <c r="K241" s="97" t="s">
        <v>73</v>
      </c>
      <c r="L241">
        <v>701000</v>
      </c>
      <c r="M241" s="97" t="s">
        <v>62</v>
      </c>
      <c r="N241" s="97" t="s">
        <v>33</v>
      </c>
      <c r="O241">
        <v>185</v>
      </c>
      <c r="P241">
        <v>18.59</v>
      </c>
      <c r="Q241">
        <v>3.44</v>
      </c>
      <c r="R241" s="97" t="s">
        <v>1197</v>
      </c>
      <c r="S241" s="97" t="s">
        <v>195</v>
      </c>
    </row>
    <row r="242" spans="1:19" x14ac:dyDescent="0.3">
      <c r="A242" s="97" t="s">
        <v>220</v>
      </c>
      <c r="B242" s="97" t="s">
        <v>22</v>
      </c>
      <c r="C242">
        <v>2026</v>
      </c>
      <c r="D242">
        <v>1</v>
      </c>
      <c r="E242" s="2">
        <v>46031</v>
      </c>
      <c r="F242" s="97" t="s">
        <v>7</v>
      </c>
      <c r="G242" s="97" t="s">
        <v>8</v>
      </c>
      <c r="H242" s="97" t="s">
        <v>70</v>
      </c>
      <c r="I242" s="97" t="s">
        <v>84</v>
      </c>
      <c r="J242" s="97" t="s">
        <v>85</v>
      </c>
      <c r="K242" s="97" t="s">
        <v>73</v>
      </c>
      <c r="L242">
        <v>701000</v>
      </c>
      <c r="M242" s="97" t="s">
        <v>62</v>
      </c>
      <c r="N242" s="97" t="s">
        <v>33</v>
      </c>
      <c r="O242">
        <v>4414</v>
      </c>
      <c r="P242">
        <v>0.95</v>
      </c>
      <c r="Q242">
        <v>4.1900000000000004</v>
      </c>
      <c r="R242" s="97" t="s">
        <v>1199</v>
      </c>
      <c r="S242" s="97" t="s">
        <v>195</v>
      </c>
    </row>
    <row r="243" spans="1:19" x14ac:dyDescent="0.3">
      <c r="A243" s="97" t="s">
        <v>221</v>
      </c>
      <c r="B243" s="97" t="s">
        <v>22</v>
      </c>
      <c r="C243">
        <v>2026</v>
      </c>
      <c r="D243">
        <v>1</v>
      </c>
      <c r="E243" s="2">
        <v>46031</v>
      </c>
      <c r="F243" s="97" t="s">
        <v>7</v>
      </c>
      <c r="G243" s="97" t="s">
        <v>8</v>
      </c>
      <c r="H243" s="97" t="s">
        <v>70</v>
      </c>
      <c r="I243" s="97" t="s">
        <v>84</v>
      </c>
      <c r="J243" s="97" t="s">
        <v>85</v>
      </c>
      <c r="K243" s="97" t="s">
        <v>73</v>
      </c>
      <c r="L243">
        <v>701000</v>
      </c>
      <c r="M243" s="97" t="s">
        <v>62</v>
      </c>
      <c r="N243" s="97" t="s">
        <v>33</v>
      </c>
      <c r="O243">
        <v>2132</v>
      </c>
      <c r="P243">
        <v>0.95</v>
      </c>
      <c r="Q243">
        <v>2.02</v>
      </c>
      <c r="R243" s="97" t="s">
        <v>1202</v>
      </c>
      <c r="S243" s="97" t="s">
        <v>195</v>
      </c>
    </row>
    <row r="244" spans="1:19" x14ac:dyDescent="0.3">
      <c r="A244" s="97" t="s">
        <v>222</v>
      </c>
      <c r="B244" s="97" t="s">
        <v>22</v>
      </c>
      <c r="C244">
        <v>2026</v>
      </c>
      <c r="D244">
        <v>1</v>
      </c>
      <c r="E244" s="2">
        <v>46031</v>
      </c>
      <c r="F244" s="97" t="s">
        <v>7</v>
      </c>
      <c r="G244" s="97" t="s">
        <v>8</v>
      </c>
      <c r="H244" s="97" t="s">
        <v>70</v>
      </c>
      <c r="I244" s="97" t="s">
        <v>84</v>
      </c>
      <c r="J244" s="97" t="s">
        <v>85</v>
      </c>
      <c r="K244" s="97" t="s">
        <v>73</v>
      </c>
      <c r="L244">
        <v>701000</v>
      </c>
      <c r="M244" s="97" t="s">
        <v>62</v>
      </c>
      <c r="N244" s="97" t="s">
        <v>33</v>
      </c>
      <c r="O244">
        <v>7298</v>
      </c>
      <c r="P244">
        <v>0.95</v>
      </c>
      <c r="Q244">
        <v>6.93</v>
      </c>
      <c r="R244" s="97" t="s">
        <v>1205</v>
      </c>
      <c r="S244" s="97" t="s">
        <v>195</v>
      </c>
    </row>
    <row r="245" spans="1:19" x14ac:dyDescent="0.3">
      <c r="A245" s="97" t="s">
        <v>223</v>
      </c>
      <c r="B245" s="97" t="s">
        <v>22</v>
      </c>
      <c r="C245">
        <v>2026</v>
      </c>
      <c r="D245">
        <v>1</v>
      </c>
      <c r="E245" s="2">
        <v>46031</v>
      </c>
      <c r="F245" s="97" t="s">
        <v>7</v>
      </c>
      <c r="G245" s="97" t="s">
        <v>8</v>
      </c>
      <c r="H245" s="97" t="s">
        <v>70</v>
      </c>
      <c r="I245" s="97" t="s">
        <v>84</v>
      </c>
      <c r="J245" s="97" t="s">
        <v>85</v>
      </c>
      <c r="K245" s="97" t="s">
        <v>73</v>
      </c>
      <c r="L245">
        <v>701000</v>
      </c>
      <c r="M245" s="97" t="s">
        <v>62</v>
      </c>
      <c r="N245" s="97" t="s">
        <v>33</v>
      </c>
      <c r="O245">
        <v>1589</v>
      </c>
      <c r="P245">
        <v>0.95</v>
      </c>
      <c r="Q245">
        <v>1.51</v>
      </c>
      <c r="R245" s="97" t="s">
        <v>1201</v>
      </c>
      <c r="S245" s="97" t="s">
        <v>195</v>
      </c>
    </row>
    <row r="246" spans="1:19" x14ac:dyDescent="0.3">
      <c r="A246" s="97" t="s">
        <v>224</v>
      </c>
      <c r="B246" s="97" t="s">
        <v>22</v>
      </c>
      <c r="C246">
        <v>2026</v>
      </c>
      <c r="D246">
        <v>1</v>
      </c>
      <c r="E246" s="2">
        <v>46031</v>
      </c>
      <c r="F246" s="97" t="s">
        <v>7</v>
      </c>
      <c r="G246" s="97" t="s">
        <v>8</v>
      </c>
      <c r="H246" s="97" t="s">
        <v>70</v>
      </c>
      <c r="I246" s="97" t="s">
        <v>84</v>
      </c>
      <c r="J246" s="97" t="s">
        <v>85</v>
      </c>
      <c r="K246" s="97" t="s">
        <v>73</v>
      </c>
      <c r="L246">
        <v>701000</v>
      </c>
      <c r="M246" s="97" t="s">
        <v>62</v>
      </c>
      <c r="N246" s="97" t="s">
        <v>33</v>
      </c>
      <c r="O246">
        <v>4423</v>
      </c>
      <c r="P246">
        <v>0.95</v>
      </c>
      <c r="Q246">
        <v>4.21</v>
      </c>
      <c r="R246" s="97" t="s">
        <v>1200</v>
      </c>
      <c r="S246" s="97" t="s">
        <v>195</v>
      </c>
    </row>
    <row r="247" spans="1:19" x14ac:dyDescent="0.3">
      <c r="A247" s="97" t="s">
        <v>330</v>
      </c>
      <c r="B247" s="97" t="s">
        <v>22</v>
      </c>
      <c r="C247">
        <v>2026</v>
      </c>
      <c r="D247">
        <v>1</v>
      </c>
      <c r="E247" s="2">
        <v>46031</v>
      </c>
      <c r="F247" s="97" t="s">
        <v>7</v>
      </c>
      <c r="G247" s="97" t="s">
        <v>8</v>
      </c>
      <c r="H247" s="97" t="s">
        <v>74</v>
      </c>
      <c r="I247" s="97" t="s">
        <v>71</v>
      </c>
      <c r="J247" s="97" t="s">
        <v>72</v>
      </c>
      <c r="K247" s="97" t="s">
        <v>73</v>
      </c>
      <c r="L247">
        <v>701000</v>
      </c>
      <c r="M247" s="97" t="s">
        <v>62</v>
      </c>
      <c r="N247" s="97" t="s">
        <v>33</v>
      </c>
      <c r="O247">
        <v>2579</v>
      </c>
      <c r="P247">
        <v>1.05</v>
      </c>
      <c r="Q247">
        <v>2.71</v>
      </c>
      <c r="R247" s="97" t="s">
        <v>1202</v>
      </c>
      <c r="S247" s="97" t="s">
        <v>195</v>
      </c>
    </row>
    <row r="248" spans="1:19" x14ac:dyDescent="0.3">
      <c r="A248" s="97" t="s">
        <v>331</v>
      </c>
      <c r="B248" s="97" t="s">
        <v>22</v>
      </c>
      <c r="C248">
        <v>2026</v>
      </c>
      <c r="D248">
        <v>1</v>
      </c>
      <c r="E248" s="2">
        <v>46031</v>
      </c>
      <c r="F248" s="97" t="s">
        <v>7</v>
      </c>
      <c r="G248" s="97" t="s">
        <v>8</v>
      </c>
      <c r="H248" s="97" t="s">
        <v>74</v>
      </c>
      <c r="I248" s="97" t="s">
        <v>71</v>
      </c>
      <c r="J248" s="97" t="s">
        <v>72</v>
      </c>
      <c r="K248" s="97" t="s">
        <v>73</v>
      </c>
      <c r="L248">
        <v>701000</v>
      </c>
      <c r="M248" s="97" t="s">
        <v>62</v>
      </c>
      <c r="N248" s="97" t="s">
        <v>33</v>
      </c>
      <c r="O248">
        <v>5059</v>
      </c>
      <c r="P248">
        <v>1.05</v>
      </c>
      <c r="Q248">
        <v>5.31</v>
      </c>
      <c r="R248" s="97" t="s">
        <v>1203</v>
      </c>
      <c r="S248" s="97" t="s">
        <v>195</v>
      </c>
    </row>
    <row r="249" spans="1:19" x14ac:dyDescent="0.3">
      <c r="A249" s="97" t="s">
        <v>332</v>
      </c>
      <c r="B249" s="97" t="s">
        <v>22</v>
      </c>
      <c r="C249">
        <v>2026</v>
      </c>
      <c r="D249">
        <v>1</v>
      </c>
      <c r="E249" s="2">
        <v>46031</v>
      </c>
      <c r="F249" s="97" t="s">
        <v>7</v>
      </c>
      <c r="G249" s="97" t="s">
        <v>8</v>
      </c>
      <c r="H249" s="97" t="s">
        <v>74</v>
      </c>
      <c r="I249" s="97" t="s">
        <v>71</v>
      </c>
      <c r="J249" s="97" t="s">
        <v>72</v>
      </c>
      <c r="K249" s="97" t="s">
        <v>73</v>
      </c>
      <c r="L249">
        <v>701000</v>
      </c>
      <c r="M249" s="97" t="s">
        <v>62</v>
      </c>
      <c r="N249" s="97" t="s">
        <v>33</v>
      </c>
      <c r="O249">
        <v>2596</v>
      </c>
      <c r="P249">
        <v>1.05</v>
      </c>
      <c r="Q249">
        <v>2.73</v>
      </c>
      <c r="R249" s="97" t="s">
        <v>1200</v>
      </c>
      <c r="S249" s="97" t="s">
        <v>195</v>
      </c>
    </row>
    <row r="250" spans="1:19" x14ac:dyDescent="0.3">
      <c r="A250" s="97" t="s">
        <v>333</v>
      </c>
      <c r="B250" s="97" t="s">
        <v>22</v>
      </c>
      <c r="C250">
        <v>2026</v>
      </c>
      <c r="D250">
        <v>1</v>
      </c>
      <c r="E250" s="2">
        <v>46031</v>
      </c>
      <c r="F250" s="97" t="s">
        <v>7</v>
      </c>
      <c r="G250" s="97" t="s">
        <v>8</v>
      </c>
      <c r="H250" s="97" t="s">
        <v>74</v>
      </c>
      <c r="I250" s="97" t="s">
        <v>71</v>
      </c>
      <c r="J250" s="97" t="s">
        <v>72</v>
      </c>
      <c r="K250" s="97" t="s">
        <v>73</v>
      </c>
      <c r="L250">
        <v>701000</v>
      </c>
      <c r="M250" s="97" t="s">
        <v>62</v>
      </c>
      <c r="N250" s="97" t="s">
        <v>33</v>
      </c>
      <c r="O250">
        <v>2914</v>
      </c>
      <c r="P250">
        <v>1.05</v>
      </c>
      <c r="Q250">
        <v>3.06</v>
      </c>
      <c r="R250" s="97" t="s">
        <v>1204</v>
      </c>
      <c r="S250" s="97" t="s">
        <v>195</v>
      </c>
    </row>
    <row r="251" spans="1:19" x14ac:dyDescent="0.3">
      <c r="A251" s="97" t="s">
        <v>334</v>
      </c>
      <c r="B251" s="97" t="s">
        <v>22</v>
      </c>
      <c r="C251">
        <v>2026</v>
      </c>
      <c r="D251">
        <v>1</v>
      </c>
      <c r="E251" s="2">
        <v>46031</v>
      </c>
      <c r="F251" s="97" t="s">
        <v>7</v>
      </c>
      <c r="G251" s="97" t="s">
        <v>8</v>
      </c>
      <c r="H251" s="97" t="s">
        <v>74</v>
      </c>
      <c r="I251" s="97" t="s">
        <v>71</v>
      </c>
      <c r="J251" s="97" t="s">
        <v>72</v>
      </c>
      <c r="K251" s="97" t="s">
        <v>73</v>
      </c>
      <c r="L251">
        <v>701000</v>
      </c>
      <c r="M251" s="97" t="s">
        <v>62</v>
      </c>
      <c r="N251" s="97" t="s">
        <v>33</v>
      </c>
      <c r="O251">
        <v>6185</v>
      </c>
      <c r="P251">
        <v>1.05</v>
      </c>
      <c r="Q251">
        <v>6.49</v>
      </c>
      <c r="R251" s="97" t="s">
        <v>1201</v>
      </c>
      <c r="S251" s="97" t="s">
        <v>195</v>
      </c>
    </row>
    <row r="252" spans="1:19" x14ac:dyDescent="0.3">
      <c r="A252" s="97" t="s">
        <v>435</v>
      </c>
      <c r="B252" s="97" t="s">
        <v>22</v>
      </c>
      <c r="C252">
        <v>2026</v>
      </c>
      <c r="D252">
        <v>1</v>
      </c>
      <c r="E252" s="2">
        <v>46031</v>
      </c>
      <c r="F252" s="97" t="s">
        <v>7</v>
      </c>
      <c r="G252" s="97" t="s">
        <v>8</v>
      </c>
      <c r="H252" s="97" t="s">
        <v>70</v>
      </c>
      <c r="I252" s="97" t="s">
        <v>75</v>
      </c>
      <c r="J252" s="97" t="s">
        <v>76</v>
      </c>
      <c r="K252" s="97" t="s">
        <v>73</v>
      </c>
      <c r="L252">
        <v>701000</v>
      </c>
      <c r="M252" s="97" t="s">
        <v>62</v>
      </c>
      <c r="N252" s="97" t="s">
        <v>33</v>
      </c>
      <c r="O252">
        <v>3632</v>
      </c>
      <c r="P252">
        <v>1.4</v>
      </c>
      <c r="Q252">
        <v>5.08</v>
      </c>
      <c r="R252" s="97" t="s">
        <v>1199</v>
      </c>
      <c r="S252" s="97" t="s">
        <v>195</v>
      </c>
    </row>
    <row r="253" spans="1:19" x14ac:dyDescent="0.3">
      <c r="A253" s="97" t="s">
        <v>436</v>
      </c>
      <c r="B253" s="97" t="s">
        <v>22</v>
      </c>
      <c r="C253">
        <v>2026</v>
      </c>
      <c r="D253">
        <v>1</v>
      </c>
      <c r="E253" s="2">
        <v>46031</v>
      </c>
      <c r="F253" s="97" t="s">
        <v>7</v>
      </c>
      <c r="G253" s="97" t="s">
        <v>8</v>
      </c>
      <c r="H253" s="97" t="s">
        <v>70</v>
      </c>
      <c r="I253" s="97" t="s">
        <v>75</v>
      </c>
      <c r="J253" s="97" t="s">
        <v>76</v>
      </c>
      <c r="K253" s="97" t="s">
        <v>73</v>
      </c>
      <c r="L253">
        <v>701000</v>
      </c>
      <c r="M253" s="97" t="s">
        <v>62</v>
      </c>
      <c r="N253" s="97" t="s">
        <v>33</v>
      </c>
      <c r="O253">
        <v>2406</v>
      </c>
      <c r="P253">
        <v>1.4</v>
      </c>
      <c r="Q253">
        <v>3.37</v>
      </c>
      <c r="R253" s="97" t="s">
        <v>1203</v>
      </c>
      <c r="S253" s="97" t="s">
        <v>195</v>
      </c>
    </row>
    <row r="254" spans="1:19" x14ac:dyDescent="0.3">
      <c r="A254" s="97" t="s">
        <v>437</v>
      </c>
      <c r="B254" s="97" t="s">
        <v>22</v>
      </c>
      <c r="C254">
        <v>2026</v>
      </c>
      <c r="D254">
        <v>1</v>
      </c>
      <c r="E254" s="2">
        <v>46031</v>
      </c>
      <c r="F254" s="97" t="s">
        <v>7</v>
      </c>
      <c r="G254" s="97" t="s">
        <v>8</v>
      </c>
      <c r="H254" s="97" t="s">
        <v>70</v>
      </c>
      <c r="I254" s="97" t="s">
        <v>75</v>
      </c>
      <c r="J254" s="97" t="s">
        <v>76</v>
      </c>
      <c r="K254" s="97" t="s">
        <v>73</v>
      </c>
      <c r="L254">
        <v>701000</v>
      </c>
      <c r="M254" s="97" t="s">
        <v>62</v>
      </c>
      <c r="N254" s="97" t="s">
        <v>33</v>
      </c>
      <c r="O254">
        <v>156</v>
      </c>
      <c r="P254">
        <v>1.41</v>
      </c>
      <c r="Q254">
        <v>0.22</v>
      </c>
      <c r="R254" s="97" t="s">
        <v>1205</v>
      </c>
      <c r="S254" s="97" t="s">
        <v>195</v>
      </c>
    </row>
    <row r="255" spans="1:19" x14ac:dyDescent="0.3">
      <c r="A255" s="97" t="s">
        <v>438</v>
      </c>
      <c r="B255" s="97" t="s">
        <v>22</v>
      </c>
      <c r="C255">
        <v>2026</v>
      </c>
      <c r="D255">
        <v>1</v>
      </c>
      <c r="E255" s="2">
        <v>46031</v>
      </c>
      <c r="F255" s="97" t="s">
        <v>7</v>
      </c>
      <c r="G255" s="97" t="s">
        <v>8</v>
      </c>
      <c r="H255" s="97" t="s">
        <v>70</v>
      </c>
      <c r="I255" s="97" t="s">
        <v>75</v>
      </c>
      <c r="J255" s="97" t="s">
        <v>76</v>
      </c>
      <c r="K255" s="97" t="s">
        <v>73</v>
      </c>
      <c r="L255">
        <v>701000</v>
      </c>
      <c r="M255" s="97" t="s">
        <v>62</v>
      </c>
      <c r="N255" s="97" t="s">
        <v>33</v>
      </c>
      <c r="O255">
        <v>2001</v>
      </c>
      <c r="P255">
        <v>1.4</v>
      </c>
      <c r="Q255">
        <v>2.8</v>
      </c>
      <c r="R255" s="97" t="s">
        <v>1204</v>
      </c>
      <c r="S255" s="97" t="s">
        <v>195</v>
      </c>
    </row>
    <row r="256" spans="1:19" x14ac:dyDescent="0.3">
      <c r="A256" s="97" t="s">
        <v>439</v>
      </c>
      <c r="B256" s="97" t="s">
        <v>22</v>
      </c>
      <c r="C256">
        <v>2026</v>
      </c>
      <c r="D256">
        <v>1</v>
      </c>
      <c r="E256" s="2">
        <v>46031</v>
      </c>
      <c r="F256" s="97" t="s">
        <v>7</v>
      </c>
      <c r="G256" s="97" t="s">
        <v>8</v>
      </c>
      <c r="H256" s="97" t="s">
        <v>70</v>
      </c>
      <c r="I256" s="97" t="s">
        <v>75</v>
      </c>
      <c r="J256" s="97" t="s">
        <v>76</v>
      </c>
      <c r="K256" s="97" t="s">
        <v>73</v>
      </c>
      <c r="L256">
        <v>701000</v>
      </c>
      <c r="M256" s="97" t="s">
        <v>62</v>
      </c>
      <c r="N256" s="97" t="s">
        <v>33</v>
      </c>
      <c r="O256">
        <v>768</v>
      </c>
      <c r="P256">
        <v>1.41</v>
      </c>
      <c r="Q256">
        <v>1.08</v>
      </c>
      <c r="R256" s="97" t="s">
        <v>1202</v>
      </c>
      <c r="S256" s="97" t="s">
        <v>195</v>
      </c>
    </row>
    <row r="257" spans="1:19" x14ac:dyDescent="0.3">
      <c r="A257" s="97" t="s">
        <v>485</v>
      </c>
      <c r="B257" s="97" t="s">
        <v>22</v>
      </c>
      <c r="C257">
        <v>2026</v>
      </c>
      <c r="D257">
        <v>1</v>
      </c>
      <c r="E257" s="2">
        <v>46031</v>
      </c>
      <c r="F257" s="97" t="s">
        <v>7</v>
      </c>
      <c r="G257" s="97" t="s">
        <v>8</v>
      </c>
      <c r="H257" s="97" t="s">
        <v>70</v>
      </c>
      <c r="I257" s="97" t="s">
        <v>77</v>
      </c>
      <c r="J257" s="97" t="s">
        <v>78</v>
      </c>
      <c r="K257" s="97" t="s">
        <v>73</v>
      </c>
      <c r="L257">
        <v>706000</v>
      </c>
      <c r="M257" s="97" t="s">
        <v>63</v>
      </c>
      <c r="N257" s="97" t="s">
        <v>33</v>
      </c>
      <c r="O257">
        <v>279</v>
      </c>
      <c r="P257">
        <v>1.79</v>
      </c>
      <c r="Q257">
        <v>0.5</v>
      </c>
      <c r="R257" s="97" t="s">
        <v>1197</v>
      </c>
      <c r="S257" s="97" t="s">
        <v>195</v>
      </c>
    </row>
    <row r="258" spans="1:19" x14ac:dyDescent="0.3">
      <c r="A258" s="97" t="s">
        <v>486</v>
      </c>
      <c r="B258" s="97" t="s">
        <v>22</v>
      </c>
      <c r="C258">
        <v>2026</v>
      </c>
      <c r="D258">
        <v>1</v>
      </c>
      <c r="E258" s="2">
        <v>46031</v>
      </c>
      <c r="F258" s="97" t="s">
        <v>7</v>
      </c>
      <c r="G258" s="97" t="s">
        <v>8</v>
      </c>
      <c r="H258" s="97" t="s">
        <v>70</v>
      </c>
      <c r="I258" s="97" t="s">
        <v>77</v>
      </c>
      <c r="J258" s="97" t="s">
        <v>78</v>
      </c>
      <c r="K258" s="97" t="s">
        <v>73</v>
      </c>
      <c r="L258">
        <v>706000</v>
      </c>
      <c r="M258" s="97" t="s">
        <v>63</v>
      </c>
      <c r="N258" s="97" t="s">
        <v>33</v>
      </c>
      <c r="O258">
        <v>917</v>
      </c>
      <c r="P258">
        <v>1.8</v>
      </c>
      <c r="Q258">
        <v>1.65</v>
      </c>
      <c r="R258" s="97" t="s">
        <v>1198</v>
      </c>
      <c r="S258" s="97" t="s">
        <v>195</v>
      </c>
    </row>
    <row r="259" spans="1:19" x14ac:dyDescent="0.3">
      <c r="A259" s="97" t="s">
        <v>487</v>
      </c>
      <c r="B259" s="97" t="s">
        <v>22</v>
      </c>
      <c r="C259">
        <v>2026</v>
      </c>
      <c r="D259">
        <v>1</v>
      </c>
      <c r="E259" s="2">
        <v>46031</v>
      </c>
      <c r="F259" s="97" t="s">
        <v>7</v>
      </c>
      <c r="G259" s="97" t="s">
        <v>8</v>
      </c>
      <c r="H259" s="97" t="s">
        <v>70</v>
      </c>
      <c r="I259" s="97" t="s">
        <v>77</v>
      </c>
      <c r="J259" s="97" t="s">
        <v>78</v>
      </c>
      <c r="K259" s="97" t="s">
        <v>73</v>
      </c>
      <c r="L259">
        <v>706000</v>
      </c>
      <c r="M259" s="97" t="s">
        <v>63</v>
      </c>
      <c r="N259" s="97" t="s">
        <v>33</v>
      </c>
      <c r="O259">
        <v>394</v>
      </c>
      <c r="P259">
        <v>1.8</v>
      </c>
      <c r="Q259">
        <v>0.71</v>
      </c>
      <c r="R259" s="97" t="s">
        <v>1199</v>
      </c>
      <c r="S259" s="97" t="s">
        <v>195</v>
      </c>
    </row>
    <row r="260" spans="1:19" x14ac:dyDescent="0.3">
      <c r="A260" s="97" t="s">
        <v>488</v>
      </c>
      <c r="B260" s="97" t="s">
        <v>22</v>
      </c>
      <c r="C260">
        <v>2026</v>
      </c>
      <c r="D260">
        <v>1</v>
      </c>
      <c r="E260" s="2">
        <v>46031</v>
      </c>
      <c r="F260" s="97" t="s">
        <v>7</v>
      </c>
      <c r="G260" s="97" t="s">
        <v>8</v>
      </c>
      <c r="H260" s="97" t="s">
        <v>70</v>
      </c>
      <c r="I260" s="97" t="s">
        <v>77</v>
      </c>
      <c r="J260" s="97" t="s">
        <v>78</v>
      </c>
      <c r="K260" s="97" t="s">
        <v>73</v>
      </c>
      <c r="L260">
        <v>706000</v>
      </c>
      <c r="M260" s="97" t="s">
        <v>63</v>
      </c>
      <c r="N260" s="97" t="s">
        <v>33</v>
      </c>
      <c r="O260">
        <v>1912</v>
      </c>
      <c r="P260">
        <v>1.8</v>
      </c>
      <c r="Q260">
        <v>3.44</v>
      </c>
      <c r="R260" s="97" t="s">
        <v>1201</v>
      </c>
      <c r="S260" s="97" t="s">
        <v>195</v>
      </c>
    </row>
    <row r="261" spans="1:19" x14ac:dyDescent="0.3">
      <c r="A261" s="97" t="s">
        <v>489</v>
      </c>
      <c r="B261" s="97" t="s">
        <v>22</v>
      </c>
      <c r="C261">
        <v>2026</v>
      </c>
      <c r="D261">
        <v>1</v>
      </c>
      <c r="E261" s="2">
        <v>46031</v>
      </c>
      <c r="F261" s="97" t="s">
        <v>7</v>
      </c>
      <c r="G261" s="97" t="s">
        <v>8</v>
      </c>
      <c r="H261" s="97" t="s">
        <v>70</v>
      </c>
      <c r="I261" s="97" t="s">
        <v>77</v>
      </c>
      <c r="J261" s="97" t="s">
        <v>78</v>
      </c>
      <c r="K261" s="97" t="s">
        <v>73</v>
      </c>
      <c r="L261">
        <v>706000</v>
      </c>
      <c r="M261" s="97" t="s">
        <v>63</v>
      </c>
      <c r="N261" s="97" t="s">
        <v>33</v>
      </c>
      <c r="O261">
        <v>257</v>
      </c>
      <c r="P261">
        <v>1.83</v>
      </c>
      <c r="Q261">
        <v>0.47</v>
      </c>
      <c r="R261" s="97" t="s">
        <v>1204</v>
      </c>
      <c r="S261" s="97" t="s">
        <v>195</v>
      </c>
    </row>
    <row r="262" spans="1:19" x14ac:dyDescent="0.3">
      <c r="A262" s="97" t="s">
        <v>675</v>
      </c>
      <c r="B262" s="97" t="s">
        <v>22</v>
      </c>
      <c r="C262">
        <v>2026</v>
      </c>
      <c r="D262">
        <v>1</v>
      </c>
      <c r="E262" s="2">
        <v>46031</v>
      </c>
      <c r="F262" s="97" t="s">
        <v>7</v>
      </c>
      <c r="G262" s="97" t="s">
        <v>8</v>
      </c>
      <c r="H262" s="97" t="s">
        <v>74</v>
      </c>
      <c r="I262" s="97" t="s">
        <v>79</v>
      </c>
      <c r="J262" s="97" t="s">
        <v>80</v>
      </c>
      <c r="K262" s="97" t="s">
        <v>73</v>
      </c>
      <c r="L262">
        <v>701000</v>
      </c>
      <c r="M262" s="97" t="s">
        <v>62</v>
      </c>
      <c r="N262" s="97" t="s">
        <v>33</v>
      </c>
      <c r="O262">
        <v>358</v>
      </c>
      <c r="P262">
        <v>2.6</v>
      </c>
      <c r="Q262">
        <v>0.93</v>
      </c>
      <c r="R262" s="97" t="s">
        <v>1205</v>
      </c>
      <c r="S262" s="97" t="s">
        <v>195</v>
      </c>
    </row>
    <row r="263" spans="1:19" x14ac:dyDescent="0.3">
      <c r="A263" s="97" t="s">
        <v>676</v>
      </c>
      <c r="B263" s="97" t="s">
        <v>22</v>
      </c>
      <c r="C263">
        <v>2026</v>
      </c>
      <c r="D263">
        <v>1</v>
      </c>
      <c r="E263" s="2">
        <v>46031</v>
      </c>
      <c r="F263" s="97" t="s">
        <v>7</v>
      </c>
      <c r="G263" s="97" t="s">
        <v>8</v>
      </c>
      <c r="H263" s="97" t="s">
        <v>74</v>
      </c>
      <c r="I263" s="97" t="s">
        <v>79</v>
      </c>
      <c r="J263" s="97" t="s">
        <v>80</v>
      </c>
      <c r="K263" s="97" t="s">
        <v>73</v>
      </c>
      <c r="L263">
        <v>701000</v>
      </c>
      <c r="M263" s="97" t="s">
        <v>62</v>
      </c>
      <c r="N263" s="97" t="s">
        <v>33</v>
      </c>
      <c r="O263">
        <v>2897</v>
      </c>
      <c r="P263">
        <v>2.6</v>
      </c>
      <c r="Q263">
        <v>7.53</v>
      </c>
      <c r="R263" s="97" t="s">
        <v>1201</v>
      </c>
      <c r="S263" s="97" t="s">
        <v>195</v>
      </c>
    </row>
    <row r="264" spans="1:19" x14ac:dyDescent="0.3">
      <c r="A264" s="97" t="s">
        <v>677</v>
      </c>
      <c r="B264" s="97" t="s">
        <v>22</v>
      </c>
      <c r="C264">
        <v>2026</v>
      </c>
      <c r="D264">
        <v>1</v>
      </c>
      <c r="E264" s="2">
        <v>46031</v>
      </c>
      <c r="F264" s="97" t="s">
        <v>7</v>
      </c>
      <c r="G264" s="97" t="s">
        <v>8</v>
      </c>
      <c r="H264" s="97" t="s">
        <v>74</v>
      </c>
      <c r="I264" s="97" t="s">
        <v>79</v>
      </c>
      <c r="J264" s="97" t="s">
        <v>80</v>
      </c>
      <c r="K264" s="97" t="s">
        <v>73</v>
      </c>
      <c r="L264">
        <v>701000</v>
      </c>
      <c r="M264" s="97" t="s">
        <v>62</v>
      </c>
      <c r="N264" s="97" t="s">
        <v>33</v>
      </c>
      <c r="O264">
        <v>507</v>
      </c>
      <c r="P264">
        <v>2.6</v>
      </c>
      <c r="Q264">
        <v>1.32</v>
      </c>
      <c r="R264" s="97" t="s">
        <v>1203</v>
      </c>
      <c r="S264" s="97" t="s">
        <v>195</v>
      </c>
    </row>
    <row r="265" spans="1:19" x14ac:dyDescent="0.3">
      <c r="A265" s="97" t="s">
        <v>678</v>
      </c>
      <c r="B265" s="97" t="s">
        <v>22</v>
      </c>
      <c r="C265">
        <v>2026</v>
      </c>
      <c r="D265">
        <v>1</v>
      </c>
      <c r="E265" s="2">
        <v>46031</v>
      </c>
      <c r="F265" s="97" t="s">
        <v>7</v>
      </c>
      <c r="G265" s="97" t="s">
        <v>8</v>
      </c>
      <c r="H265" s="97" t="s">
        <v>74</v>
      </c>
      <c r="I265" s="97" t="s">
        <v>79</v>
      </c>
      <c r="J265" s="97" t="s">
        <v>80</v>
      </c>
      <c r="K265" s="97" t="s">
        <v>73</v>
      </c>
      <c r="L265">
        <v>701000</v>
      </c>
      <c r="M265" s="97" t="s">
        <v>62</v>
      </c>
      <c r="N265" s="97" t="s">
        <v>33</v>
      </c>
      <c r="O265">
        <v>1653</v>
      </c>
      <c r="P265">
        <v>2.6</v>
      </c>
      <c r="Q265">
        <v>4.3</v>
      </c>
      <c r="R265" s="97" t="s">
        <v>1197</v>
      </c>
      <c r="S265" s="97" t="s">
        <v>195</v>
      </c>
    </row>
    <row r="266" spans="1:19" x14ac:dyDescent="0.3">
      <c r="A266" s="97" t="s">
        <v>679</v>
      </c>
      <c r="B266" s="97" t="s">
        <v>22</v>
      </c>
      <c r="C266">
        <v>2026</v>
      </c>
      <c r="D266">
        <v>1</v>
      </c>
      <c r="E266" s="2">
        <v>46031</v>
      </c>
      <c r="F266" s="97" t="s">
        <v>7</v>
      </c>
      <c r="G266" s="97" t="s">
        <v>8</v>
      </c>
      <c r="H266" s="97" t="s">
        <v>74</v>
      </c>
      <c r="I266" s="97" t="s">
        <v>79</v>
      </c>
      <c r="J266" s="97" t="s">
        <v>80</v>
      </c>
      <c r="K266" s="97" t="s">
        <v>73</v>
      </c>
      <c r="L266">
        <v>701000</v>
      </c>
      <c r="M266" s="97" t="s">
        <v>62</v>
      </c>
      <c r="N266" s="97" t="s">
        <v>33</v>
      </c>
      <c r="O266">
        <v>3097</v>
      </c>
      <c r="P266">
        <v>2.6</v>
      </c>
      <c r="Q266">
        <v>8.0500000000000007</v>
      </c>
      <c r="R266" s="97" t="s">
        <v>1200</v>
      </c>
      <c r="S266" s="97" t="s">
        <v>195</v>
      </c>
    </row>
    <row r="267" spans="1:19" x14ac:dyDescent="0.3">
      <c r="A267" s="97" t="s">
        <v>730</v>
      </c>
      <c r="B267" s="97" t="s">
        <v>22</v>
      </c>
      <c r="C267">
        <v>2026</v>
      </c>
      <c r="D267">
        <v>1</v>
      </c>
      <c r="E267" s="2">
        <v>46031</v>
      </c>
      <c r="F267" s="97" t="s">
        <v>7</v>
      </c>
      <c r="G267" s="97" t="s">
        <v>8</v>
      </c>
      <c r="H267" s="97" t="s">
        <v>74</v>
      </c>
      <c r="I267" s="97" t="s">
        <v>79</v>
      </c>
      <c r="J267" s="97" t="s">
        <v>80</v>
      </c>
      <c r="K267" s="97" t="s">
        <v>73</v>
      </c>
      <c r="L267">
        <v>701000</v>
      </c>
      <c r="M267" s="97" t="s">
        <v>62</v>
      </c>
      <c r="N267" s="97" t="s">
        <v>33</v>
      </c>
      <c r="O267">
        <v>2111</v>
      </c>
      <c r="P267">
        <v>2.6</v>
      </c>
      <c r="Q267">
        <v>5.49</v>
      </c>
      <c r="R267" s="97" t="s">
        <v>1202</v>
      </c>
      <c r="S267" s="97" t="s">
        <v>195</v>
      </c>
    </row>
    <row r="268" spans="1:19" x14ac:dyDescent="0.3">
      <c r="A268" s="97" t="s">
        <v>731</v>
      </c>
      <c r="B268" s="97" t="s">
        <v>22</v>
      </c>
      <c r="C268">
        <v>2026</v>
      </c>
      <c r="D268">
        <v>1</v>
      </c>
      <c r="E268" s="2">
        <v>46031</v>
      </c>
      <c r="F268" s="97" t="s">
        <v>7</v>
      </c>
      <c r="G268" s="97" t="s">
        <v>8</v>
      </c>
      <c r="H268" s="97" t="s">
        <v>74</v>
      </c>
      <c r="I268" s="97" t="s">
        <v>79</v>
      </c>
      <c r="J268" s="97" t="s">
        <v>80</v>
      </c>
      <c r="K268" s="97" t="s">
        <v>73</v>
      </c>
      <c r="L268">
        <v>701000</v>
      </c>
      <c r="M268" s="97" t="s">
        <v>62</v>
      </c>
      <c r="N268" s="97" t="s">
        <v>33</v>
      </c>
      <c r="O268">
        <v>1580</v>
      </c>
      <c r="P268">
        <v>2.6</v>
      </c>
      <c r="Q268">
        <v>4.1100000000000003</v>
      </c>
      <c r="R268" s="97" t="s">
        <v>1199</v>
      </c>
      <c r="S268" s="97" t="s">
        <v>195</v>
      </c>
    </row>
    <row r="269" spans="1:19" x14ac:dyDescent="0.3">
      <c r="A269" s="97" t="s">
        <v>732</v>
      </c>
      <c r="B269" s="97" t="s">
        <v>22</v>
      </c>
      <c r="C269">
        <v>2026</v>
      </c>
      <c r="D269">
        <v>1</v>
      </c>
      <c r="E269" s="2">
        <v>46031</v>
      </c>
      <c r="F269" s="97" t="s">
        <v>7</v>
      </c>
      <c r="G269" s="97" t="s">
        <v>8</v>
      </c>
      <c r="H269" s="97" t="s">
        <v>74</v>
      </c>
      <c r="I269" s="97" t="s">
        <v>79</v>
      </c>
      <c r="J269" s="97" t="s">
        <v>80</v>
      </c>
      <c r="K269" s="97" t="s">
        <v>73</v>
      </c>
      <c r="L269">
        <v>701000</v>
      </c>
      <c r="M269" s="97" t="s">
        <v>62</v>
      </c>
      <c r="N269" s="97" t="s">
        <v>33</v>
      </c>
      <c r="O269">
        <v>2131</v>
      </c>
      <c r="P269">
        <v>2.6</v>
      </c>
      <c r="Q269">
        <v>5.54</v>
      </c>
      <c r="R269" s="97" t="s">
        <v>1205</v>
      </c>
      <c r="S269" s="97" t="s">
        <v>195</v>
      </c>
    </row>
    <row r="270" spans="1:19" x14ac:dyDescent="0.3">
      <c r="A270" s="97" t="s">
        <v>733</v>
      </c>
      <c r="B270" s="97" t="s">
        <v>22</v>
      </c>
      <c r="C270">
        <v>2026</v>
      </c>
      <c r="D270">
        <v>1</v>
      </c>
      <c r="E270" s="2">
        <v>46031</v>
      </c>
      <c r="F270" s="97" t="s">
        <v>7</v>
      </c>
      <c r="G270" s="97" t="s">
        <v>8</v>
      </c>
      <c r="H270" s="97" t="s">
        <v>74</v>
      </c>
      <c r="I270" s="97" t="s">
        <v>79</v>
      </c>
      <c r="J270" s="97" t="s">
        <v>80</v>
      </c>
      <c r="K270" s="97" t="s">
        <v>73</v>
      </c>
      <c r="L270">
        <v>701000</v>
      </c>
      <c r="M270" s="97" t="s">
        <v>62</v>
      </c>
      <c r="N270" s="97" t="s">
        <v>33</v>
      </c>
      <c r="O270">
        <v>871</v>
      </c>
      <c r="P270">
        <v>2.59</v>
      </c>
      <c r="Q270">
        <v>2.2599999999999998</v>
      </c>
      <c r="R270" s="97" t="s">
        <v>1200</v>
      </c>
      <c r="S270" s="97" t="s">
        <v>195</v>
      </c>
    </row>
    <row r="271" spans="1:19" x14ac:dyDescent="0.3">
      <c r="A271" s="97" t="s">
        <v>734</v>
      </c>
      <c r="B271" s="97" t="s">
        <v>22</v>
      </c>
      <c r="C271">
        <v>2026</v>
      </c>
      <c r="D271">
        <v>1</v>
      </c>
      <c r="E271" s="2">
        <v>46031</v>
      </c>
      <c r="F271" s="97" t="s">
        <v>7</v>
      </c>
      <c r="G271" s="97" t="s">
        <v>8</v>
      </c>
      <c r="H271" s="97" t="s">
        <v>74</v>
      </c>
      <c r="I271" s="97" t="s">
        <v>79</v>
      </c>
      <c r="J271" s="97" t="s">
        <v>80</v>
      </c>
      <c r="K271" s="97" t="s">
        <v>73</v>
      </c>
      <c r="L271">
        <v>701000</v>
      </c>
      <c r="M271" s="97" t="s">
        <v>62</v>
      </c>
      <c r="N271" s="97" t="s">
        <v>33</v>
      </c>
      <c r="O271">
        <v>1301</v>
      </c>
      <c r="P271">
        <v>2.6</v>
      </c>
      <c r="Q271">
        <v>3.38</v>
      </c>
      <c r="R271" s="97" t="s">
        <v>1197</v>
      </c>
      <c r="S271" s="97" t="s">
        <v>195</v>
      </c>
    </row>
    <row r="272" spans="1:19" x14ac:dyDescent="0.3">
      <c r="A272" s="97" t="s">
        <v>780</v>
      </c>
      <c r="B272" s="97" t="s">
        <v>22</v>
      </c>
      <c r="C272">
        <v>2026</v>
      </c>
      <c r="D272">
        <v>1</v>
      </c>
      <c r="E272" s="2">
        <v>46031</v>
      </c>
      <c r="F272" s="97" t="s">
        <v>7</v>
      </c>
      <c r="G272" s="97" t="s">
        <v>8</v>
      </c>
      <c r="H272" s="97" t="s">
        <v>74</v>
      </c>
      <c r="I272" s="97" t="s">
        <v>82</v>
      </c>
      <c r="J272" s="97" t="s">
        <v>83</v>
      </c>
      <c r="K272" s="97" t="s">
        <v>73</v>
      </c>
      <c r="L272">
        <v>701000</v>
      </c>
      <c r="M272" s="97" t="s">
        <v>62</v>
      </c>
      <c r="N272" s="97" t="s">
        <v>33</v>
      </c>
      <c r="O272">
        <v>143</v>
      </c>
      <c r="P272">
        <v>18.46</v>
      </c>
      <c r="Q272">
        <v>2.64</v>
      </c>
      <c r="R272" s="97" t="s">
        <v>1205</v>
      </c>
      <c r="S272" s="97" t="s">
        <v>195</v>
      </c>
    </row>
    <row r="273" spans="1:19" x14ac:dyDescent="0.3">
      <c r="A273" s="97" t="s">
        <v>781</v>
      </c>
      <c r="B273" s="97" t="s">
        <v>22</v>
      </c>
      <c r="C273">
        <v>2026</v>
      </c>
      <c r="D273">
        <v>1</v>
      </c>
      <c r="E273" s="2">
        <v>46031</v>
      </c>
      <c r="F273" s="97" t="s">
        <v>7</v>
      </c>
      <c r="G273" s="97" t="s">
        <v>8</v>
      </c>
      <c r="H273" s="97" t="s">
        <v>74</v>
      </c>
      <c r="I273" s="97" t="s">
        <v>82</v>
      </c>
      <c r="J273" s="97" t="s">
        <v>83</v>
      </c>
      <c r="K273" s="97" t="s">
        <v>73</v>
      </c>
      <c r="L273">
        <v>701000</v>
      </c>
      <c r="M273" s="97" t="s">
        <v>62</v>
      </c>
      <c r="N273" s="97" t="s">
        <v>33</v>
      </c>
      <c r="O273">
        <v>148</v>
      </c>
      <c r="P273">
        <v>18.510000000000002</v>
      </c>
      <c r="Q273">
        <v>2.74</v>
      </c>
      <c r="R273" s="97" t="s">
        <v>1199</v>
      </c>
      <c r="S273" s="97" t="s">
        <v>195</v>
      </c>
    </row>
    <row r="274" spans="1:19" x14ac:dyDescent="0.3">
      <c r="A274" s="97" t="s">
        <v>782</v>
      </c>
      <c r="B274" s="97" t="s">
        <v>22</v>
      </c>
      <c r="C274">
        <v>2026</v>
      </c>
      <c r="D274">
        <v>1</v>
      </c>
      <c r="E274" s="2">
        <v>46031</v>
      </c>
      <c r="F274" s="97" t="s">
        <v>7</v>
      </c>
      <c r="G274" s="97" t="s">
        <v>8</v>
      </c>
      <c r="H274" s="97" t="s">
        <v>74</v>
      </c>
      <c r="I274" s="97" t="s">
        <v>82</v>
      </c>
      <c r="J274" s="97" t="s">
        <v>83</v>
      </c>
      <c r="K274" s="97" t="s">
        <v>73</v>
      </c>
      <c r="L274">
        <v>701000</v>
      </c>
      <c r="M274" s="97" t="s">
        <v>62</v>
      </c>
      <c r="N274" s="97" t="s">
        <v>33</v>
      </c>
      <c r="O274">
        <v>13</v>
      </c>
      <c r="P274">
        <v>18.46</v>
      </c>
      <c r="Q274">
        <v>0.24</v>
      </c>
      <c r="R274" s="97" t="s">
        <v>1198</v>
      </c>
      <c r="S274" s="97" t="s">
        <v>195</v>
      </c>
    </row>
    <row r="275" spans="1:19" x14ac:dyDescent="0.3">
      <c r="A275" s="97" t="s">
        <v>783</v>
      </c>
      <c r="B275" s="97" t="s">
        <v>22</v>
      </c>
      <c r="C275">
        <v>2026</v>
      </c>
      <c r="D275">
        <v>1</v>
      </c>
      <c r="E275" s="2">
        <v>46031</v>
      </c>
      <c r="F275" s="97" t="s">
        <v>7</v>
      </c>
      <c r="G275" s="97" t="s">
        <v>8</v>
      </c>
      <c r="H275" s="97" t="s">
        <v>74</v>
      </c>
      <c r="I275" s="97" t="s">
        <v>82</v>
      </c>
      <c r="J275" s="97" t="s">
        <v>83</v>
      </c>
      <c r="K275" s="97" t="s">
        <v>73</v>
      </c>
      <c r="L275">
        <v>701000</v>
      </c>
      <c r="M275" s="97" t="s">
        <v>62</v>
      </c>
      <c r="N275" s="97" t="s">
        <v>33</v>
      </c>
      <c r="O275">
        <v>245</v>
      </c>
      <c r="P275">
        <v>18.489999999999998</v>
      </c>
      <c r="Q275">
        <v>4.53</v>
      </c>
      <c r="R275" s="97" t="s">
        <v>1197</v>
      </c>
      <c r="S275" s="97" t="s">
        <v>195</v>
      </c>
    </row>
    <row r="276" spans="1:19" x14ac:dyDescent="0.3">
      <c r="A276" s="97" t="s">
        <v>784</v>
      </c>
      <c r="B276" s="97" t="s">
        <v>22</v>
      </c>
      <c r="C276">
        <v>2026</v>
      </c>
      <c r="D276">
        <v>1</v>
      </c>
      <c r="E276" s="2">
        <v>46031</v>
      </c>
      <c r="F276" s="97" t="s">
        <v>7</v>
      </c>
      <c r="G276" s="97" t="s">
        <v>8</v>
      </c>
      <c r="H276" s="97" t="s">
        <v>74</v>
      </c>
      <c r="I276" s="97" t="s">
        <v>82</v>
      </c>
      <c r="J276" s="97" t="s">
        <v>83</v>
      </c>
      <c r="K276" s="97" t="s">
        <v>73</v>
      </c>
      <c r="L276">
        <v>701000</v>
      </c>
      <c r="M276" s="97" t="s">
        <v>62</v>
      </c>
      <c r="N276" s="97" t="s">
        <v>33</v>
      </c>
      <c r="O276">
        <v>128</v>
      </c>
      <c r="P276">
        <v>18.59</v>
      </c>
      <c r="Q276">
        <v>2.38</v>
      </c>
      <c r="R276" s="97" t="s">
        <v>1201</v>
      </c>
      <c r="S276" s="97" t="s">
        <v>195</v>
      </c>
    </row>
    <row r="277" spans="1:19" x14ac:dyDescent="0.3">
      <c r="A277" s="97" t="s">
        <v>850</v>
      </c>
      <c r="B277" s="97" t="s">
        <v>22</v>
      </c>
      <c r="C277">
        <v>2026</v>
      </c>
      <c r="D277">
        <v>1</v>
      </c>
      <c r="E277" s="2">
        <v>46031</v>
      </c>
      <c r="F277" s="97" t="s">
        <v>7</v>
      </c>
      <c r="G277" s="97" t="s">
        <v>8</v>
      </c>
      <c r="H277" s="97" t="s">
        <v>74</v>
      </c>
      <c r="I277" s="97" t="s">
        <v>82</v>
      </c>
      <c r="J277" s="97" t="s">
        <v>83</v>
      </c>
      <c r="K277" s="97" t="s">
        <v>73</v>
      </c>
      <c r="L277">
        <v>701000</v>
      </c>
      <c r="M277" s="97" t="s">
        <v>62</v>
      </c>
      <c r="N277" s="97" t="s">
        <v>33</v>
      </c>
      <c r="O277">
        <v>191</v>
      </c>
      <c r="P277">
        <v>18.53</v>
      </c>
      <c r="Q277">
        <v>3.54</v>
      </c>
      <c r="R277" s="97" t="s">
        <v>1204</v>
      </c>
      <c r="S277" s="97" t="s">
        <v>195</v>
      </c>
    </row>
    <row r="278" spans="1:19" x14ac:dyDescent="0.3">
      <c r="A278" s="97" t="s">
        <v>851</v>
      </c>
      <c r="B278" s="97" t="s">
        <v>22</v>
      </c>
      <c r="C278">
        <v>2026</v>
      </c>
      <c r="D278">
        <v>1</v>
      </c>
      <c r="E278" s="2">
        <v>46031</v>
      </c>
      <c r="F278" s="97" t="s">
        <v>7</v>
      </c>
      <c r="G278" s="97" t="s">
        <v>8</v>
      </c>
      <c r="H278" s="97" t="s">
        <v>74</v>
      </c>
      <c r="I278" s="97" t="s">
        <v>82</v>
      </c>
      <c r="J278" s="97" t="s">
        <v>83</v>
      </c>
      <c r="K278" s="97" t="s">
        <v>73</v>
      </c>
      <c r="L278">
        <v>701000</v>
      </c>
      <c r="M278" s="97" t="s">
        <v>62</v>
      </c>
      <c r="N278" s="97" t="s">
        <v>33</v>
      </c>
      <c r="O278">
        <v>71</v>
      </c>
      <c r="P278">
        <v>18.59</v>
      </c>
      <c r="Q278">
        <v>1.32</v>
      </c>
      <c r="R278" s="97" t="s">
        <v>1198</v>
      </c>
      <c r="S278" s="97" t="s">
        <v>195</v>
      </c>
    </row>
    <row r="279" spans="1:19" x14ac:dyDescent="0.3">
      <c r="A279" s="97" t="s">
        <v>852</v>
      </c>
      <c r="B279" s="97" t="s">
        <v>22</v>
      </c>
      <c r="C279">
        <v>2026</v>
      </c>
      <c r="D279">
        <v>1</v>
      </c>
      <c r="E279" s="2">
        <v>46031</v>
      </c>
      <c r="F279" s="97" t="s">
        <v>7</v>
      </c>
      <c r="G279" s="97" t="s">
        <v>8</v>
      </c>
      <c r="H279" s="97" t="s">
        <v>74</v>
      </c>
      <c r="I279" s="97" t="s">
        <v>82</v>
      </c>
      <c r="J279" s="97" t="s">
        <v>83</v>
      </c>
      <c r="K279" s="97" t="s">
        <v>73</v>
      </c>
      <c r="L279">
        <v>701000</v>
      </c>
      <c r="M279" s="97" t="s">
        <v>62</v>
      </c>
      <c r="N279" s="97" t="s">
        <v>33</v>
      </c>
      <c r="O279">
        <v>75</v>
      </c>
      <c r="P279">
        <v>18.53</v>
      </c>
      <c r="Q279">
        <v>1.39</v>
      </c>
      <c r="R279" s="97" t="s">
        <v>1205</v>
      </c>
      <c r="S279" s="97" t="s">
        <v>195</v>
      </c>
    </row>
    <row r="280" spans="1:19" x14ac:dyDescent="0.3">
      <c r="A280" s="97" t="s">
        <v>853</v>
      </c>
      <c r="B280" s="97" t="s">
        <v>22</v>
      </c>
      <c r="C280">
        <v>2026</v>
      </c>
      <c r="D280">
        <v>1</v>
      </c>
      <c r="E280" s="2">
        <v>46031</v>
      </c>
      <c r="F280" s="97" t="s">
        <v>7</v>
      </c>
      <c r="G280" s="97" t="s">
        <v>8</v>
      </c>
      <c r="H280" s="97" t="s">
        <v>74</v>
      </c>
      <c r="I280" s="97" t="s">
        <v>82</v>
      </c>
      <c r="J280" s="97" t="s">
        <v>83</v>
      </c>
      <c r="K280" s="97" t="s">
        <v>73</v>
      </c>
      <c r="L280">
        <v>701000</v>
      </c>
      <c r="M280" s="97" t="s">
        <v>62</v>
      </c>
      <c r="N280" s="97" t="s">
        <v>33</v>
      </c>
      <c r="O280">
        <v>143</v>
      </c>
      <c r="P280">
        <v>18.600000000000001</v>
      </c>
      <c r="Q280">
        <v>2.66</v>
      </c>
      <c r="R280" s="97" t="s">
        <v>1200</v>
      </c>
      <c r="S280" s="97" t="s">
        <v>195</v>
      </c>
    </row>
    <row r="281" spans="1:19" x14ac:dyDescent="0.3">
      <c r="A281" s="97" t="s">
        <v>854</v>
      </c>
      <c r="B281" s="97" t="s">
        <v>22</v>
      </c>
      <c r="C281">
        <v>2026</v>
      </c>
      <c r="D281">
        <v>1</v>
      </c>
      <c r="E281" s="2">
        <v>46031</v>
      </c>
      <c r="F281" s="97" t="s">
        <v>7</v>
      </c>
      <c r="G281" s="97" t="s">
        <v>8</v>
      </c>
      <c r="H281" s="97" t="s">
        <v>74</v>
      </c>
      <c r="I281" s="97" t="s">
        <v>82</v>
      </c>
      <c r="J281" s="97" t="s">
        <v>83</v>
      </c>
      <c r="K281" s="97" t="s">
        <v>73</v>
      </c>
      <c r="L281">
        <v>701000</v>
      </c>
      <c r="M281" s="97" t="s">
        <v>62</v>
      </c>
      <c r="N281" s="97" t="s">
        <v>33</v>
      </c>
      <c r="O281">
        <v>126</v>
      </c>
      <c r="P281">
        <v>18.329999999999998</v>
      </c>
      <c r="Q281">
        <v>2.31</v>
      </c>
      <c r="R281" s="97" t="s">
        <v>1201</v>
      </c>
      <c r="S281" s="97" t="s">
        <v>195</v>
      </c>
    </row>
    <row r="282" spans="1:19" x14ac:dyDescent="0.3">
      <c r="A282" s="97" t="s">
        <v>415</v>
      </c>
      <c r="B282" s="97" t="s">
        <v>22</v>
      </c>
      <c r="C282">
        <v>2026</v>
      </c>
      <c r="D282">
        <v>1</v>
      </c>
      <c r="E282" s="2">
        <v>46032</v>
      </c>
      <c r="F282" s="97" t="s">
        <v>7</v>
      </c>
      <c r="G282" s="97" t="s">
        <v>8</v>
      </c>
      <c r="H282" s="97" t="s">
        <v>70</v>
      </c>
      <c r="I282" s="97" t="s">
        <v>75</v>
      </c>
      <c r="J282" s="97" t="s">
        <v>76</v>
      </c>
      <c r="K282" s="97" t="s">
        <v>73</v>
      </c>
      <c r="L282">
        <v>701000</v>
      </c>
      <c r="M282" s="97" t="s">
        <v>62</v>
      </c>
      <c r="N282" s="97" t="s">
        <v>33</v>
      </c>
      <c r="O282">
        <v>736</v>
      </c>
      <c r="P282">
        <v>1.4</v>
      </c>
      <c r="Q282">
        <v>1.03</v>
      </c>
      <c r="R282" s="97" t="s">
        <v>1199</v>
      </c>
      <c r="S282" s="97" t="s">
        <v>195</v>
      </c>
    </row>
    <row r="283" spans="1:19" x14ac:dyDescent="0.3">
      <c r="A283" s="97" t="s">
        <v>416</v>
      </c>
      <c r="B283" s="97" t="s">
        <v>22</v>
      </c>
      <c r="C283">
        <v>2026</v>
      </c>
      <c r="D283">
        <v>1</v>
      </c>
      <c r="E283" s="2">
        <v>46032</v>
      </c>
      <c r="F283" s="97" t="s">
        <v>7</v>
      </c>
      <c r="G283" s="97" t="s">
        <v>8</v>
      </c>
      <c r="H283" s="97" t="s">
        <v>70</v>
      </c>
      <c r="I283" s="97" t="s">
        <v>75</v>
      </c>
      <c r="J283" s="97" t="s">
        <v>76</v>
      </c>
      <c r="K283" s="97" t="s">
        <v>73</v>
      </c>
      <c r="L283">
        <v>701000</v>
      </c>
      <c r="M283" s="97" t="s">
        <v>62</v>
      </c>
      <c r="N283" s="97" t="s">
        <v>33</v>
      </c>
      <c r="O283">
        <v>2695</v>
      </c>
      <c r="P283">
        <v>1.4</v>
      </c>
      <c r="Q283">
        <v>3.77</v>
      </c>
      <c r="R283" s="97" t="s">
        <v>1204</v>
      </c>
      <c r="S283" s="97" t="s">
        <v>195</v>
      </c>
    </row>
    <row r="284" spans="1:19" x14ac:dyDescent="0.3">
      <c r="A284" s="97" t="s">
        <v>417</v>
      </c>
      <c r="B284" s="97" t="s">
        <v>22</v>
      </c>
      <c r="C284">
        <v>2026</v>
      </c>
      <c r="D284">
        <v>1</v>
      </c>
      <c r="E284" s="2">
        <v>46032</v>
      </c>
      <c r="F284" s="97" t="s">
        <v>7</v>
      </c>
      <c r="G284" s="97" t="s">
        <v>8</v>
      </c>
      <c r="H284" s="97" t="s">
        <v>70</v>
      </c>
      <c r="I284" s="97" t="s">
        <v>75</v>
      </c>
      <c r="J284" s="97" t="s">
        <v>76</v>
      </c>
      <c r="K284" s="97" t="s">
        <v>73</v>
      </c>
      <c r="L284">
        <v>701000</v>
      </c>
      <c r="M284" s="97" t="s">
        <v>62</v>
      </c>
      <c r="N284" s="97" t="s">
        <v>33</v>
      </c>
      <c r="O284">
        <v>2164</v>
      </c>
      <c r="P284">
        <v>1.4</v>
      </c>
      <c r="Q284">
        <v>3.03</v>
      </c>
      <c r="R284" s="97" t="s">
        <v>1202</v>
      </c>
      <c r="S284" s="97" t="s">
        <v>195</v>
      </c>
    </row>
    <row r="285" spans="1:19" x14ac:dyDescent="0.3">
      <c r="A285" s="97" t="s">
        <v>418</v>
      </c>
      <c r="B285" s="97" t="s">
        <v>22</v>
      </c>
      <c r="C285">
        <v>2026</v>
      </c>
      <c r="D285">
        <v>1</v>
      </c>
      <c r="E285" s="2">
        <v>46032</v>
      </c>
      <c r="F285" s="97" t="s">
        <v>7</v>
      </c>
      <c r="G285" s="97" t="s">
        <v>8</v>
      </c>
      <c r="H285" s="97" t="s">
        <v>70</v>
      </c>
      <c r="I285" s="97" t="s">
        <v>75</v>
      </c>
      <c r="J285" s="97" t="s">
        <v>76</v>
      </c>
      <c r="K285" s="97" t="s">
        <v>73</v>
      </c>
      <c r="L285">
        <v>701000</v>
      </c>
      <c r="M285" s="97" t="s">
        <v>62</v>
      </c>
      <c r="N285" s="97" t="s">
        <v>33</v>
      </c>
      <c r="O285">
        <v>537</v>
      </c>
      <c r="P285">
        <v>1.4</v>
      </c>
      <c r="Q285">
        <v>0.75</v>
      </c>
      <c r="R285" s="97" t="s">
        <v>1197</v>
      </c>
      <c r="S285" s="97" t="s">
        <v>195</v>
      </c>
    </row>
    <row r="286" spans="1:19" x14ac:dyDescent="0.3">
      <c r="A286" s="97" t="s">
        <v>419</v>
      </c>
      <c r="B286" s="97" t="s">
        <v>22</v>
      </c>
      <c r="C286">
        <v>2026</v>
      </c>
      <c r="D286">
        <v>1</v>
      </c>
      <c r="E286" s="2">
        <v>46032</v>
      </c>
      <c r="F286" s="97" t="s">
        <v>7</v>
      </c>
      <c r="G286" s="97" t="s">
        <v>8</v>
      </c>
      <c r="H286" s="97" t="s">
        <v>70</v>
      </c>
      <c r="I286" s="97" t="s">
        <v>75</v>
      </c>
      <c r="J286" s="97" t="s">
        <v>76</v>
      </c>
      <c r="K286" s="97" t="s">
        <v>73</v>
      </c>
      <c r="L286">
        <v>701000</v>
      </c>
      <c r="M286" s="97" t="s">
        <v>62</v>
      </c>
      <c r="N286" s="97" t="s">
        <v>33</v>
      </c>
      <c r="O286">
        <v>972</v>
      </c>
      <c r="P286">
        <v>1.41</v>
      </c>
      <c r="Q286">
        <v>1.37</v>
      </c>
      <c r="R286" s="97" t="s">
        <v>1205</v>
      </c>
      <c r="S286" s="97" t="s">
        <v>195</v>
      </c>
    </row>
    <row r="287" spans="1:19" x14ac:dyDescent="0.3">
      <c r="A287" s="97" t="s">
        <v>455</v>
      </c>
      <c r="B287" s="97" t="s">
        <v>22</v>
      </c>
      <c r="C287">
        <v>2026</v>
      </c>
      <c r="D287">
        <v>1</v>
      </c>
      <c r="E287" s="2">
        <v>46032</v>
      </c>
      <c r="F287" s="97" t="s">
        <v>7</v>
      </c>
      <c r="G287" s="97" t="s">
        <v>8</v>
      </c>
      <c r="H287" s="97" t="s">
        <v>70</v>
      </c>
      <c r="I287" s="97" t="s">
        <v>75</v>
      </c>
      <c r="J287" s="97" t="s">
        <v>76</v>
      </c>
      <c r="K287" s="97" t="s">
        <v>73</v>
      </c>
      <c r="L287">
        <v>701000</v>
      </c>
      <c r="M287" s="97" t="s">
        <v>62</v>
      </c>
      <c r="N287" s="97" t="s">
        <v>33</v>
      </c>
      <c r="O287">
        <v>613</v>
      </c>
      <c r="P287">
        <v>1.4</v>
      </c>
      <c r="Q287">
        <v>0.86</v>
      </c>
      <c r="R287" s="97" t="s">
        <v>1205</v>
      </c>
      <c r="S287" s="97" t="s">
        <v>195</v>
      </c>
    </row>
    <row r="288" spans="1:19" x14ac:dyDescent="0.3">
      <c r="A288" s="97" t="s">
        <v>456</v>
      </c>
      <c r="B288" s="97" t="s">
        <v>22</v>
      </c>
      <c r="C288">
        <v>2026</v>
      </c>
      <c r="D288">
        <v>1</v>
      </c>
      <c r="E288" s="2">
        <v>46032</v>
      </c>
      <c r="F288" s="97" t="s">
        <v>7</v>
      </c>
      <c r="G288" s="97" t="s">
        <v>8</v>
      </c>
      <c r="H288" s="97" t="s">
        <v>70</v>
      </c>
      <c r="I288" s="97" t="s">
        <v>75</v>
      </c>
      <c r="J288" s="97" t="s">
        <v>76</v>
      </c>
      <c r="K288" s="97" t="s">
        <v>73</v>
      </c>
      <c r="L288">
        <v>701000</v>
      </c>
      <c r="M288" s="97" t="s">
        <v>62</v>
      </c>
      <c r="N288" s="97" t="s">
        <v>33</v>
      </c>
      <c r="O288">
        <v>607</v>
      </c>
      <c r="P288">
        <v>1.4</v>
      </c>
      <c r="Q288">
        <v>0.85</v>
      </c>
      <c r="R288" s="97" t="s">
        <v>1199</v>
      </c>
      <c r="S288" s="97" t="s">
        <v>195</v>
      </c>
    </row>
    <row r="289" spans="1:19" x14ac:dyDescent="0.3">
      <c r="A289" s="97" t="s">
        <v>457</v>
      </c>
      <c r="B289" s="97" t="s">
        <v>22</v>
      </c>
      <c r="C289">
        <v>2026</v>
      </c>
      <c r="D289">
        <v>1</v>
      </c>
      <c r="E289" s="2">
        <v>46032</v>
      </c>
      <c r="F289" s="97" t="s">
        <v>7</v>
      </c>
      <c r="G289" s="97" t="s">
        <v>8</v>
      </c>
      <c r="H289" s="97" t="s">
        <v>70</v>
      </c>
      <c r="I289" s="97" t="s">
        <v>75</v>
      </c>
      <c r="J289" s="97" t="s">
        <v>76</v>
      </c>
      <c r="K289" s="97" t="s">
        <v>73</v>
      </c>
      <c r="L289">
        <v>701000</v>
      </c>
      <c r="M289" s="97" t="s">
        <v>62</v>
      </c>
      <c r="N289" s="97" t="s">
        <v>33</v>
      </c>
      <c r="O289">
        <v>3237</v>
      </c>
      <c r="P289">
        <v>1.4</v>
      </c>
      <c r="Q289">
        <v>4.53</v>
      </c>
      <c r="R289" s="97" t="s">
        <v>1204</v>
      </c>
      <c r="S289" s="97" t="s">
        <v>195</v>
      </c>
    </row>
    <row r="290" spans="1:19" x14ac:dyDescent="0.3">
      <c r="A290" s="97" t="s">
        <v>458</v>
      </c>
      <c r="B290" s="97" t="s">
        <v>22</v>
      </c>
      <c r="C290">
        <v>2026</v>
      </c>
      <c r="D290">
        <v>1</v>
      </c>
      <c r="E290" s="2">
        <v>46032</v>
      </c>
      <c r="F290" s="97" t="s">
        <v>7</v>
      </c>
      <c r="G290" s="97" t="s">
        <v>8</v>
      </c>
      <c r="H290" s="97" t="s">
        <v>70</v>
      </c>
      <c r="I290" s="97" t="s">
        <v>75</v>
      </c>
      <c r="J290" s="97" t="s">
        <v>76</v>
      </c>
      <c r="K290" s="97" t="s">
        <v>73</v>
      </c>
      <c r="L290">
        <v>701000</v>
      </c>
      <c r="M290" s="97" t="s">
        <v>62</v>
      </c>
      <c r="N290" s="97" t="s">
        <v>33</v>
      </c>
      <c r="O290">
        <v>3396</v>
      </c>
      <c r="P290">
        <v>1.4</v>
      </c>
      <c r="Q290">
        <v>4.75</v>
      </c>
      <c r="R290" s="97" t="s">
        <v>1200</v>
      </c>
      <c r="S290" s="97" t="s">
        <v>195</v>
      </c>
    </row>
    <row r="291" spans="1:19" x14ac:dyDescent="0.3">
      <c r="A291" s="97" t="s">
        <v>459</v>
      </c>
      <c r="B291" s="97" t="s">
        <v>22</v>
      </c>
      <c r="C291">
        <v>2026</v>
      </c>
      <c r="D291">
        <v>1</v>
      </c>
      <c r="E291" s="2">
        <v>46032</v>
      </c>
      <c r="F291" s="97" t="s">
        <v>7</v>
      </c>
      <c r="G291" s="97" t="s">
        <v>8</v>
      </c>
      <c r="H291" s="97" t="s">
        <v>70</v>
      </c>
      <c r="I291" s="97" t="s">
        <v>75</v>
      </c>
      <c r="J291" s="97" t="s">
        <v>76</v>
      </c>
      <c r="K291" s="97" t="s">
        <v>73</v>
      </c>
      <c r="L291">
        <v>701000</v>
      </c>
      <c r="M291" s="97" t="s">
        <v>62</v>
      </c>
      <c r="N291" s="97" t="s">
        <v>33</v>
      </c>
      <c r="O291">
        <v>942</v>
      </c>
      <c r="P291">
        <v>1.4</v>
      </c>
      <c r="Q291">
        <v>1.32</v>
      </c>
      <c r="R291" s="97" t="s">
        <v>1197</v>
      </c>
      <c r="S291" s="97" t="s">
        <v>195</v>
      </c>
    </row>
    <row r="292" spans="1:19" x14ac:dyDescent="0.3">
      <c r="A292" s="97" t="s">
        <v>595</v>
      </c>
      <c r="B292" s="97" t="s">
        <v>22</v>
      </c>
      <c r="C292">
        <v>2026</v>
      </c>
      <c r="D292">
        <v>1</v>
      </c>
      <c r="E292" s="2">
        <v>46032</v>
      </c>
      <c r="F292" s="97" t="s">
        <v>7</v>
      </c>
      <c r="G292" s="97" t="s">
        <v>8</v>
      </c>
      <c r="H292" s="97" t="s">
        <v>70</v>
      </c>
      <c r="I292" s="97" t="s">
        <v>77</v>
      </c>
      <c r="J292" s="97" t="s">
        <v>78</v>
      </c>
      <c r="K292" s="97" t="s">
        <v>73</v>
      </c>
      <c r="L292">
        <v>701000</v>
      </c>
      <c r="M292" s="97" t="s">
        <v>62</v>
      </c>
      <c r="N292" s="97" t="s">
        <v>33</v>
      </c>
      <c r="O292">
        <v>1567</v>
      </c>
      <c r="P292">
        <v>1.8</v>
      </c>
      <c r="Q292">
        <v>2.82</v>
      </c>
      <c r="R292" s="97" t="s">
        <v>1205</v>
      </c>
      <c r="S292" s="97" t="s">
        <v>195</v>
      </c>
    </row>
    <row r="293" spans="1:19" x14ac:dyDescent="0.3">
      <c r="A293" s="97" t="s">
        <v>596</v>
      </c>
      <c r="B293" s="97" t="s">
        <v>22</v>
      </c>
      <c r="C293">
        <v>2026</v>
      </c>
      <c r="D293">
        <v>1</v>
      </c>
      <c r="E293" s="2">
        <v>46032</v>
      </c>
      <c r="F293" s="97" t="s">
        <v>7</v>
      </c>
      <c r="G293" s="97" t="s">
        <v>8</v>
      </c>
      <c r="H293" s="97" t="s">
        <v>70</v>
      </c>
      <c r="I293" s="97" t="s">
        <v>77</v>
      </c>
      <c r="J293" s="97" t="s">
        <v>78</v>
      </c>
      <c r="K293" s="97" t="s">
        <v>73</v>
      </c>
      <c r="L293">
        <v>701000</v>
      </c>
      <c r="M293" s="97" t="s">
        <v>62</v>
      </c>
      <c r="N293" s="97" t="s">
        <v>33</v>
      </c>
      <c r="O293">
        <v>902</v>
      </c>
      <c r="P293">
        <v>1.8</v>
      </c>
      <c r="Q293">
        <v>1.62</v>
      </c>
      <c r="R293" s="97" t="s">
        <v>1197</v>
      </c>
      <c r="S293" s="97" t="s">
        <v>195</v>
      </c>
    </row>
    <row r="294" spans="1:19" x14ac:dyDescent="0.3">
      <c r="A294" s="97" t="s">
        <v>597</v>
      </c>
      <c r="B294" s="97" t="s">
        <v>22</v>
      </c>
      <c r="C294">
        <v>2026</v>
      </c>
      <c r="D294">
        <v>1</v>
      </c>
      <c r="E294" s="2">
        <v>46032</v>
      </c>
      <c r="F294" s="97" t="s">
        <v>7</v>
      </c>
      <c r="G294" s="97" t="s">
        <v>8</v>
      </c>
      <c r="H294" s="97" t="s">
        <v>70</v>
      </c>
      <c r="I294" s="97" t="s">
        <v>77</v>
      </c>
      <c r="J294" s="97" t="s">
        <v>78</v>
      </c>
      <c r="K294" s="97" t="s">
        <v>73</v>
      </c>
      <c r="L294">
        <v>701000</v>
      </c>
      <c r="M294" s="97" t="s">
        <v>62</v>
      </c>
      <c r="N294" s="97" t="s">
        <v>33</v>
      </c>
      <c r="O294">
        <v>76</v>
      </c>
      <c r="P294">
        <v>1.84</v>
      </c>
      <c r="Q294">
        <v>0.14000000000000001</v>
      </c>
      <c r="R294" s="97" t="s">
        <v>1202</v>
      </c>
      <c r="S294" s="97" t="s">
        <v>195</v>
      </c>
    </row>
    <row r="295" spans="1:19" x14ac:dyDescent="0.3">
      <c r="A295" s="97" t="s">
        <v>598</v>
      </c>
      <c r="B295" s="97" t="s">
        <v>22</v>
      </c>
      <c r="C295">
        <v>2026</v>
      </c>
      <c r="D295">
        <v>1</v>
      </c>
      <c r="E295" s="2">
        <v>46032</v>
      </c>
      <c r="F295" s="97" t="s">
        <v>7</v>
      </c>
      <c r="G295" s="97" t="s">
        <v>8</v>
      </c>
      <c r="H295" s="97" t="s">
        <v>70</v>
      </c>
      <c r="I295" s="97" t="s">
        <v>77</v>
      </c>
      <c r="J295" s="97" t="s">
        <v>78</v>
      </c>
      <c r="K295" s="97" t="s">
        <v>73</v>
      </c>
      <c r="L295">
        <v>701000</v>
      </c>
      <c r="M295" s="97" t="s">
        <v>62</v>
      </c>
      <c r="N295" s="97" t="s">
        <v>33</v>
      </c>
      <c r="O295">
        <v>374</v>
      </c>
      <c r="P295">
        <v>1.79</v>
      </c>
      <c r="Q295">
        <v>0.67</v>
      </c>
      <c r="R295" s="97" t="s">
        <v>1204</v>
      </c>
      <c r="S295" s="97" t="s">
        <v>195</v>
      </c>
    </row>
    <row r="296" spans="1:19" x14ac:dyDescent="0.3">
      <c r="A296" s="97" t="s">
        <v>599</v>
      </c>
      <c r="B296" s="97" t="s">
        <v>22</v>
      </c>
      <c r="C296">
        <v>2026</v>
      </c>
      <c r="D296">
        <v>1</v>
      </c>
      <c r="E296" s="2">
        <v>46032</v>
      </c>
      <c r="F296" s="97" t="s">
        <v>7</v>
      </c>
      <c r="G296" s="97" t="s">
        <v>8</v>
      </c>
      <c r="H296" s="97" t="s">
        <v>70</v>
      </c>
      <c r="I296" s="97" t="s">
        <v>77</v>
      </c>
      <c r="J296" s="97" t="s">
        <v>78</v>
      </c>
      <c r="K296" s="97" t="s">
        <v>73</v>
      </c>
      <c r="L296">
        <v>701000</v>
      </c>
      <c r="M296" s="97" t="s">
        <v>62</v>
      </c>
      <c r="N296" s="97" t="s">
        <v>33</v>
      </c>
      <c r="O296">
        <v>627</v>
      </c>
      <c r="P296">
        <v>1.8</v>
      </c>
      <c r="Q296">
        <v>1.1299999999999999</v>
      </c>
      <c r="R296" s="97" t="s">
        <v>1199</v>
      </c>
      <c r="S296" s="97" t="s">
        <v>195</v>
      </c>
    </row>
    <row r="297" spans="1:19" x14ac:dyDescent="0.3">
      <c r="A297" s="97" t="s">
        <v>650</v>
      </c>
      <c r="B297" s="97" t="s">
        <v>22</v>
      </c>
      <c r="C297">
        <v>2026</v>
      </c>
      <c r="D297">
        <v>1</v>
      </c>
      <c r="E297" s="2">
        <v>46032</v>
      </c>
      <c r="F297" s="97" t="s">
        <v>7</v>
      </c>
      <c r="G297" s="97" t="s">
        <v>8</v>
      </c>
      <c r="H297" s="97" t="s">
        <v>74</v>
      </c>
      <c r="I297" s="97" t="s">
        <v>79</v>
      </c>
      <c r="J297" s="97" t="s">
        <v>80</v>
      </c>
      <c r="K297" s="97" t="s">
        <v>73</v>
      </c>
      <c r="L297">
        <v>701000</v>
      </c>
      <c r="M297" s="97" t="s">
        <v>62</v>
      </c>
      <c r="N297" s="97" t="s">
        <v>33</v>
      </c>
      <c r="O297">
        <v>1386</v>
      </c>
      <c r="P297">
        <v>2.6</v>
      </c>
      <c r="Q297">
        <v>3.6</v>
      </c>
      <c r="R297" s="97" t="s">
        <v>1205</v>
      </c>
      <c r="S297" s="97" t="s">
        <v>195</v>
      </c>
    </row>
    <row r="298" spans="1:19" x14ac:dyDescent="0.3">
      <c r="A298" s="97" t="s">
        <v>651</v>
      </c>
      <c r="B298" s="97" t="s">
        <v>22</v>
      </c>
      <c r="C298">
        <v>2026</v>
      </c>
      <c r="D298">
        <v>1</v>
      </c>
      <c r="E298" s="2">
        <v>46032</v>
      </c>
      <c r="F298" s="97" t="s">
        <v>7</v>
      </c>
      <c r="G298" s="97" t="s">
        <v>8</v>
      </c>
      <c r="H298" s="97" t="s">
        <v>74</v>
      </c>
      <c r="I298" s="97" t="s">
        <v>79</v>
      </c>
      <c r="J298" s="97" t="s">
        <v>80</v>
      </c>
      <c r="K298" s="97" t="s">
        <v>73</v>
      </c>
      <c r="L298">
        <v>701000</v>
      </c>
      <c r="M298" s="97" t="s">
        <v>62</v>
      </c>
      <c r="N298" s="97" t="s">
        <v>33</v>
      </c>
      <c r="O298">
        <v>1766</v>
      </c>
      <c r="P298">
        <v>2.6</v>
      </c>
      <c r="Q298">
        <v>4.59</v>
      </c>
      <c r="R298" s="97" t="s">
        <v>1201</v>
      </c>
      <c r="S298" s="97" t="s">
        <v>195</v>
      </c>
    </row>
    <row r="299" spans="1:19" x14ac:dyDescent="0.3">
      <c r="A299" s="97" t="s">
        <v>652</v>
      </c>
      <c r="B299" s="97" t="s">
        <v>22</v>
      </c>
      <c r="C299">
        <v>2026</v>
      </c>
      <c r="D299">
        <v>1</v>
      </c>
      <c r="E299" s="2">
        <v>46032</v>
      </c>
      <c r="F299" s="97" t="s">
        <v>7</v>
      </c>
      <c r="G299" s="97" t="s">
        <v>8</v>
      </c>
      <c r="H299" s="97" t="s">
        <v>74</v>
      </c>
      <c r="I299" s="97" t="s">
        <v>79</v>
      </c>
      <c r="J299" s="97" t="s">
        <v>80</v>
      </c>
      <c r="K299" s="97" t="s">
        <v>73</v>
      </c>
      <c r="L299">
        <v>701000</v>
      </c>
      <c r="M299" s="97" t="s">
        <v>62</v>
      </c>
      <c r="N299" s="97" t="s">
        <v>33</v>
      </c>
      <c r="O299">
        <v>4982</v>
      </c>
      <c r="P299">
        <v>2.6</v>
      </c>
      <c r="Q299">
        <v>12.95</v>
      </c>
      <c r="R299" s="97" t="s">
        <v>1200</v>
      </c>
      <c r="S299" s="97" t="s">
        <v>195</v>
      </c>
    </row>
    <row r="300" spans="1:19" x14ac:dyDescent="0.3">
      <c r="A300" s="97" t="s">
        <v>653</v>
      </c>
      <c r="B300" s="97" t="s">
        <v>22</v>
      </c>
      <c r="C300">
        <v>2026</v>
      </c>
      <c r="D300">
        <v>1</v>
      </c>
      <c r="E300" s="2">
        <v>46032</v>
      </c>
      <c r="F300" s="97" t="s">
        <v>7</v>
      </c>
      <c r="G300" s="97" t="s">
        <v>8</v>
      </c>
      <c r="H300" s="97" t="s">
        <v>74</v>
      </c>
      <c r="I300" s="97" t="s">
        <v>79</v>
      </c>
      <c r="J300" s="97" t="s">
        <v>80</v>
      </c>
      <c r="K300" s="97" t="s">
        <v>73</v>
      </c>
      <c r="L300">
        <v>701000</v>
      </c>
      <c r="M300" s="97" t="s">
        <v>62</v>
      </c>
      <c r="N300" s="97" t="s">
        <v>33</v>
      </c>
      <c r="O300">
        <v>684</v>
      </c>
      <c r="P300">
        <v>2.6</v>
      </c>
      <c r="Q300">
        <v>1.78</v>
      </c>
      <c r="R300" s="97" t="s">
        <v>1203</v>
      </c>
      <c r="S300" s="97" t="s">
        <v>195</v>
      </c>
    </row>
    <row r="301" spans="1:19" x14ac:dyDescent="0.3">
      <c r="A301" s="97" t="s">
        <v>654</v>
      </c>
      <c r="B301" s="97" t="s">
        <v>22</v>
      </c>
      <c r="C301">
        <v>2026</v>
      </c>
      <c r="D301">
        <v>1</v>
      </c>
      <c r="E301" s="2">
        <v>46032</v>
      </c>
      <c r="F301" s="97" t="s">
        <v>7</v>
      </c>
      <c r="G301" s="97" t="s">
        <v>8</v>
      </c>
      <c r="H301" s="97" t="s">
        <v>74</v>
      </c>
      <c r="I301" s="97" t="s">
        <v>79</v>
      </c>
      <c r="J301" s="97" t="s">
        <v>80</v>
      </c>
      <c r="K301" s="97" t="s">
        <v>73</v>
      </c>
      <c r="L301">
        <v>701000</v>
      </c>
      <c r="M301" s="97" t="s">
        <v>62</v>
      </c>
      <c r="N301" s="97" t="s">
        <v>33</v>
      </c>
      <c r="O301">
        <v>915</v>
      </c>
      <c r="P301">
        <v>2.61</v>
      </c>
      <c r="Q301">
        <v>2.39</v>
      </c>
      <c r="R301" s="97" t="s">
        <v>1204</v>
      </c>
      <c r="S301" s="97" t="s">
        <v>195</v>
      </c>
    </row>
    <row r="302" spans="1:19" x14ac:dyDescent="0.3">
      <c r="A302" s="97" t="s">
        <v>835</v>
      </c>
      <c r="B302" s="97" t="s">
        <v>22</v>
      </c>
      <c r="C302">
        <v>2026</v>
      </c>
      <c r="D302">
        <v>1</v>
      </c>
      <c r="E302" s="2">
        <v>46032</v>
      </c>
      <c r="F302" s="97" t="s">
        <v>7</v>
      </c>
      <c r="G302" s="97" t="s">
        <v>8</v>
      </c>
      <c r="H302" s="97" t="s">
        <v>70</v>
      </c>
      <c r="I302" s="97" t="s">
        <v>82</v>
      </c>
      <c r="J302" s="97" t="s">
        <v>83</v>
      </c>
      <c r="K302" s="97" t="s">
        <v>73</v>
      </c>
      <c r="L302">
        <v>701000</v>
      </c>
      <c r="M302" s="97" t="s">
        <v>62</v>
      </c>
      <c r="N302" s="97" t="s">
        <v>33</v>
      </c>
      <c r="O302">
        <v>77</v>
      </c>
      <c r="P302">
        <v>18.440000000000001</v>
      </c>
      <c r="Q302">
        <v>1.42</v>
      </c>
      <c r="R302" s="97" t="s">
        <v>1203</v>
      </c>
      <c r="S302" s="97" t="s">
        <v>195</v>
      </c>
    </row>
    <row r="303" spans="1:19" x14ac:dyDescent="0.3">
      <c r="A303" s="97" t="s">
        <v>836</v>
      </c>
      <c r="B303" s="97" t="s">
        <v>22</v>
      </c>
      <c r="C303">
        <v>2026</v>
      </c>
      <c r="D303">
        <v>1</v>
      </c>
      <c r="E303" s="2">
        <v>46032</v>
      </c>
      <c r="F303" s="97" t="s">
        <v>7</v>
      </c>
      <c r="G303" s="97" t="s">
        <v>8</v>
      </c>
      <c r="H303" s="97" t="s">
        <v>70</v>
      </c>
      <c r="I303" s="97" t="s">
        <v>82</v>
      </c>
      <c r="J303" s="97" t="s">
        <v>83</v>
      </c>
      <c r="K303" s="97" t="s">
        <v>73</v>
      </c>
      <c r="L303">
        <v>701000</v>
      </c>
      <c r="M303" s="97" t="s">
        <v>62</v>
      </c>
      <c r="N303" s="97" t="s">
        <v>33</v>
      </c>
      <c r="O303">
        <v>51</v>
      </c>
      <c r="P303">
        <v>18.43</v>
      </c>
      <c r="Q303">
        <v>0.94</v>
      </c>
      <c r="R303" s="97" t="s">
        <v>1199</v>
      </c>
      <c r="S303" s="97" t="s">
        <v>195</v>
      </c>
    </row>
    <row r="304" spans="1:19" x14ac:dyDescent="0.3">
      <c r="A304" s="97" t="s">
        <v>837</v>
      </c>
      <c r="B304" s="97" t="s">
        <v>22</v>
      </c>
      <c r="C304">
        <v>2026</v>
      </c>
      <c r="D304">
        <v>1</v>
      </c>
      <c r="E304" s="2">
        <v>46032</v>
      </c>
      <c r="F304" s="97" t="s">
        <v>7</v>
      </c>
      <c r="G304" s="97" t="s">
        <v>8</v>
      </c>
      <c r="H304" s="97" t="s">
        <v>70</v>
      </c>
      <c r="I304" s="97" t="s">
        <v>82</v>
      </c>
      <c r="J304" s="97" t="s">
        <v>83</v>
      </c>
      <c r="K304" s="97" t="s">
        <v>73</v>
      </c>
      <c r="L304">
        <v>701000</v>
      </c>
      <c r="M304" s="97" t="s">
        <v>62</v>
      </c>
      <c r="N304" s="97" t="s">
        <v>33</v>
      </c>
      <c r="O304">
        <v>184</v>
      </c>
      <c r="P304">
        <v>18.53</v>
      </c>
      <c r="Q304">
        <v>3.41</v>
      </c>
      <c r="R304" s="97" t="s">
        <v>1205</v>
      </c>
      <c r="S304" s="97" t="s">
        <v>195</v>
      </c>
    </row>
    <row r="305" spans="1:19" x14ac:dyDescent="0.3">
      <c r="A305" s="97" t="s">
        <v>838</v>
      </c>
      <c r="B305" s="97" t="s">
        <v>22</v>
      </c>
      <c r="C305">
        <v>2026</v>
      </c>
      <c r="D305">
        <v>1</v>
      </c>
      <c r="E305" s="2">
        <v>46032</v>
      </c>
      <c r="F305" s="97" t="s">
        <v>7</v>
      </c>
      <c r="G305" s="97" t="s">
        <v>8</v>
      </c>
      <c r="H305" s="97" t="s">
        <v>70</v>
      </c>
      <c r="I305" s="97" t="s">
        <v>82</v>
      </c>
      <c r="J305" s="97" t="s">
        <v>83</v>
      </c>
      <c r="K305" s="97" t="s">
        <v>73</v>
      </c>
      <c r="L305">
        <v>701000</v>
      </c>
      <c r="M305" s="97" t="s">
        <v>62</v>
      </c>
      <c r="N305" s="97" t="s">
        <v>33</v>
      </c>
      <c r="O305">
        <v>206</v>
      </c>
      <c r="P305">
        <v>18.54</v>
      </c>
      <c r="Q305">
        <v>3.82</v>
      </c>
      <c r="R305" s="97" t="s">
        <v>1202</v>
      </c>
      <c r="S305" s="97" t="s">
        <v>195</v>
      </c>
    </row>
    <row r="306" spans="1:19" x14ac:dyDescent="0.3">
      <c r="A306" s="97" t="s">
        <v>839</v>
      </c>
      <c r="B306" s="97" t="s">
        <v>22</v>
      </c>
      <c r="C306">
        <v>2026</v>
      </c>
      <c r="D306">
        <v>1</v>
      </c>
      <c r="E306" s="2">
        <v>46032</v>
      </c>
      <c r="F306" s="97" t="s">
        <v>7</v>
      </c>
      <c r="G306" s="97" t="s">
        <v>8</v>
      </c>
      <c r="H306" s="97" t="s">
        <v>70</v>
      </c>
      <c r="I306" s="97" t="s">
        <v>82</v>
      </c>
      <c r="J306" s="97" t="s">
        <v>83</v>
      </c>
      <c r="K306" s="97" t="s">
        <v>73</v>
      </c>
      <c r="L306">
        <v>701000</v>
      </c>
      <c r="M306" s="97" t="s">
        <v>62</v>
      </c>
      <c r="N306" s="97" t="s">
        <v>33</v>
      </c>
      <c r="O306">
        <v>103</v>
      </c>
      <c r="P306">
        <v>18.45</v>
      </c>
      <c r="Q306">
        <v>1.9</v>
      </c>
      <c r="R306" s="97" t="s">
        <v>1200</v>
      </c>
      <c r="S306" s="97" t="s">
        <v>195</v>
      </c>
    </row>
    <row r="307" spans="1:19" x14ac:dyDescent="0.3">
      <c r="A307" s="97" t="s">
        <v>430</v>
      </c>
      <c r="B307" s="97" t="s">
        <v>22</v>
      </c>
      <c r="C307">
        <v>2026</v>
      </c>
      <c r="D307">
        <v>1</v>
      </c>
      <c r="E307" s="2">
        <v>46033</v>
      </c>
      <c r="F307" s="97" t="s">
        <v>7</v>
      </c>
      <c r="G307" s="97" t="s">
        <v>8</v>
      </c>
      <c r="H307" s="97" t="s">
        <v>74</v>
      </c>
      <c r="I307" s="97" t="s">
        <v>75</v>
      </c>
      <c r="J307" s="97" t="s">
        <v>76</v>
      </c>
      <c r="K307" s="97" t="s">
        <v>73</v>
      </c>
      <c r="L307">
        <v>701000</v>
      </c>
      <c r="M307" s="97" t="s">
        <v>62</v>
      </c>
      <c r="N307" s="97" t="s">
        <v>33</v>
      </c>
      <c r="O307">
        <v>2553</v>
      </c>
      <c r="P307">
        <v>1.4</v>
      </c>
      <c r="Q307">
        <v>3.57</v>
      </c>
      <c r="R307" s="97" t="s">
        <v>1202</v>
      </c>
      <c r="S307" s="97" t="s">
        <v>195</v>
      </c>
    </row>
    <row r="308" spans="1:19" x14ac:dyDescent="0.3">
      <c r="A308" s="97" t="s">
        <v>431</v>
      </c>
      <c r="B308" s="97" t="s">
        <v>22</v>
      </c>
      <c r="C308">
        <v>2026</v>
      </c>
      <c r="D308">
        <v>1</v>
      </c>
      <c r="E308" s="2">
        <v>46033</v>
      </c>
      <c r="F308" s="97" t="s">
        <v>7</v>
      </c>
      <c r="G308" s="97" t="s">
        <v>8</v>
      </c>
      <c r="H308" s="97" t="s">
        <v>74</v>
      </c>
      <c r="I308" s="97" t="s">
        <v>75</v>
      </c>
      <c r="J308" s="97" t="s">
        <v>76</v>
      </c>
      <c r="K308" s="97" t="s">
        <v>73</v>
      </c>
      <c r="L308">
        <v>701000</v>
      </c>
      <c r="M308" s="97" t="s">
        <v>62</v>
      </c>
      <c r="N308" s="97" t="s">
        <v>33</v>
      </c>
      <c r="O308">
        <v>471</v>
      </c>
      <c r="P308">
        <v>1.4</v>
      </c>
      <c r="Q308">
        <v>0.66</v>
      </c>
      <c r="R308" s="97" t="s">
        <v>1197</v>
      </c>
      <c r="S308" s="97" t="s">
        <v>195</v>
      </c>
    </row>
    <row r="309" spans="1:19" x14ac:dyDescent="0.3">
      <c r="A309" s="97" t="s">
        <v>432</v>
      </c>
      <c r="B309" s="97" t="s">
        <v>22</v>
      </c>
      <c r="C309">
        <v>2026</v>
      </c>
      <c r="D309">
        <v>1</v>
      </c>
      <c r="E309" s="2">
        <v>46033</v>
      </c>
      <c r="F309" s="97" t="s">
        <v>7</v>
      </c>
      <c r="G309" s="97" t="s">
        <v>8</v>
      </c>
      <c r="H309" s="97" t="s">
        <v>74</v>
      </c>
      <c r="I309" s="97" t="s">
        <v>75</v>
      </c>
      <c r="J309" s="97" t="s">
        <v>76</v>
      </c>
      <c r="K309" s="97" t="s">
        <v>73</v>
      </c>
      <c r="L309">
        <v>701000</v>
      </c>
      <c r="M309" s="97" t="s">
        <v>62</v>
      </c>
      <c r="N309" s="97" t="s">
        <v>33</v>
      </c>
      <c r="O309">
        <v>431</v>
      </c>
      <c r="P309">
        <v>1.39</v>
      </c>
      <c r="Q309">
        <v>0.6</v>
      </c>
      <c r="R309" s="97" t="s">
        <v>1203</v>
      </c>
      <c r="S309" s="97" t="s">
        <v>195</v>
      </c>
    </row>
    <row r="310" spans="1:19" x14ac:dyDescent="0.3">
      <c r="A310" s="97" t="s">
        <v>433</v>
      </c>
      <c r="B310" s="97" t="s">
        <v>22</v>
      </c>
      <c r="C310">
        <v>2026</v>
      </c>
      <c r="D310">
        <v>1</v>
      </c>
      <c r="E310" s="2">
        <v>46033</v>
      </c>
      <c r="F310" s="97" t="s">
        <v>7</v>
      </c>
      <c r="G310" s="97" t="s">
        <v>8</v>
      </c>
      <c r="H310" s="97" t="s">
        <v>74</v>
      </c>
      <c r="I310" s="97" t="s">
        <v>75</v>
      </c>
      <c r="J310" s="97" t="s">
        <v>76</v>
      </c>
      <c r="K310" s="97" t="s">
        <v>73</v>
      </c>
      <c r="L310">
        <v>701000</v>
      </c>
      <c r="M310" s="97" t="s">
        <v>62</v>
      </c>
      <c r="N310" s="97" t="s">
        <v>33</v>
      </c>
      <c r="O310">
        <v>2028</v>
      </c>
      <c r="P310">
        <v>1.4</v>
      </c>
      <c r="Q310">
        <v>2.84</v>
      </c>
      <c r="R310" s="97" t="s">
        <v>1198</v>
      </c>
      <c r="S310" s="97" t="s">
        <v>195</v>
      </c>
    </row>
    <row r="311" spans="1:19" x14ac:dyDescent="0.3">
      <c r="A311" s="97" t="s">
        <v>434</v>
      </c>
      <c r="B311" s="97" t="s">
        <v>22</v>
      </c>
      <c r="C311">
        <v>2026</v>
      </c>
      <c r="D311">
        <v>1</v>
      </c>
      <c r="E311" s="2">
        <v>46033</v>
      </c>
      <c r="F311" s="97" t="s">
        <v>7</v>
      </c>
      <c r="G311" s="97" t="s">
        <v>8</v>
      </c>
      <c r="H311" s="97" t="s">
        <v>74</v>
      </c>
      <c r="I311" s="97" t="s">
        <v>75</v>
      </c>
      <c r="J311" s="97" t="s">
        <v>76</v>
      </c>
      <c r="K311" s="97" t="s">
        <v>73</v>
      </c>
      <c r="L311">
        <v>701000</v>
      </c>
      <c r="M311" s="97" t="s">
        <v>62</v>
      </c>
      <c r="N311" s="97" t="s">
        <v>33</v>
      </c>
      <c r="O311">
        <v>2645</v>
      </c>
      <c r="P311">
        <v>1.4</v>
      </c>
      <c r="Q311">
        <v>3.71</v>
      </c>
      <c r="R311" s="97" t="s">
        <v>1201</v>
      </c>
      <c r="S311" s="97" t="s">
        <v>195</v>
      </c>
    </row>
    <row r="312" spans="1:19" x14ac:dyDescent="0.3">
      <c r="A312" s="97" t="s">
        <v>480</v>
      </c>
      <c r="B312" s="97" t="s">
        <v>22</v>
      </c>
      <c r="C312">
        <v>2026</v>
      </c>
      <c r="D312">
        <v>1</v>
      </c>
      <c r="E312" s="2">
        <v>46033</v>
      </c>
      <c r="F312" s="97" t="s">
        <v>7</v>
      </c>
      <c r="G312" s="97" t="s">
        <v>8</v>
      </c>
      <c r="H312" s="97" t="s">
        <v>70</v>
      </c>
      <c r="I312" s="97" t="s">
        <v>75</v>
      </c>
      <c r="J312" s="97" t="s">
        <v>76</v>
      </c>
      <c r="K312" s="97" t="s">
        <v>73</v>
      </c>
      <c r="L312">
        <v>701000</v>
      </c>
      <c r="M312" s="97" t="s">
        <v>62</v>
      </c>
      <c r="N312" s="97" t="s">
        <v>33</v>
      </c>
      <c r="O312">
        <v>1221</v>
      </c>
      <c r="P312">
        <v>1.4</v>
      </c>
      <c r="Q312">
        <v>1.71</v>
      </c>
      <c r="R312" s="97" t="s">
        <v>1205</v>
      </c>
      <c r="S312" s="97" t="s">
        <v>195</v>
      </c>
    </row>
    <row r="313" spans="1:19" x14ac:dyDescent="0.3">
      <c r="A313" s="97" t="s">
        <v>481</v>
      </c>
      <c r="B313" s="97" t="s">
        <v>22</v>
      </c>
      <c r="C313">
        <v>2026</v>
      </c>
      <c r="D313">
        <v>1</v>
      </c>
      <c r="E313" s="2">
        <v>46033</v>
      </c>
      <c r="F313" s="97" t="s">
        <v>7</v>
      </c>
      <c r="G313" s="97" t="s">
        <v>8</v>
      </c>
      <c r="H313" s="97" t="s">
        <v>70</v>
      </c>
      <c r="I313" s="97" t="s">
        <v>75</v>
      </c>
      <c r="J313" s="97" t="s">
        <v>76</v>
      </c>
      <c r="K313" s="97" t="s">
        <v>73</v>
      </c>
      <c r="L313">
        <v>701000</v>
      </c>
      <c r="M313" s="97" t="s">
        <v>62</v>
      </c>
      <c r="N313" s="97" t="s">
        <v>33</v>
      </c>
      <c r="O313">
        <v>2674</v>
      </c>
      <c r="P313">
        <v>1.4</v>
      </c>
      <c r="Q313">
        <v>3.74</v>
      </c>
      <c r="R313" s="97" t="s">
        <v>1202</v>
      </c>
      <c r="S313" s="97" t="s">
        <v>195</v>
      </c>
    </row>
    <row r="314" spans="1:19" x14ac:dyDescent="0.3">
      <c r="A314" s="97" t="s">
        <v>482</v>
      </c>
      <c r="B314" s="97" t="s">
        <v>22</v>
      </c>
      <c r="C314">
        <v>2026</v>
      </c>
      <c r="D314">
        <v>1</v>
      </c>
      <c r="E314" s="2">
        <v>46033</v>
      </c>
      <c r="F314" s="97" t="s">
        <v>7</v>
      </c>
      <c r="G314" s="97" t="s">
        <v>8</v>
      </c>
      <c r="H314" s="97" t="s">
        <v>70</v>
      </c>
      <c r="I314" s="97" t="s">
        <v>75</v>
      </c>
      <c r="J314" s="97" t="s">
        <v>76</v>
      </c>
      <c r="K314" s="97" t="s">
        <v>73</v>
      </c>
      <c r="L314">
        <v>701000</v>
      </c>
      <c r="M314" s="97" t="s">
        <v>62</v>
      </c>
      <c r="N314" s="97" t="s">
        <v>33</v>
      </c>
      <c r="O314">
        <v>1948</v>
      </c>
      <c r="P314">
        <v>1.4</v>
      </c>
      <c r="Q314">
        <v>2.73</v>
      </c>
      <c r="R314" s="97" t="s">
        <v>1197</v>
      </c>
      <c r="S314" s="97" t="s">
        <v>195</v>
      </c>
    </row>
    <row r="315" spans="1:19" x14ac:dyDescent="0.3">
      <c r="A315" s="97" t="s">
        <v>483</v>
      </c>
      <c r="B315" s="97" t="s">
        <v>22</v>
      </c>
      <c r="C315">
        <v>2026</v>
      </c>
      <c r="D315">
        <v>1</v>
      </c>
      <c r="E315" s="2">
        <v>46033</v>
      </c>
      <c r="F315" s="97" t="s">
        <v>7</v>
      </c>
      <c r="G315" s="97" t="s">
        <v>8</v>
      </c>
      <c r="H315" s="97" t="s">
        <v>70</v>
      </c>
      <c r="I315" s="97" t="s">
        <v>75</v>
      </c>
      <c r="J315" s="97" t="s">
        <v>76</v>
      </c>
      <c r="K315" s="97" t="s">
        <v>73</v>
      </c>
      <c r="L315">
        <v>701000</v>
      </c>
      <c r="M315" s="97" t="s">
        <v>62</v>
      </c>
      <c r="N315" s="97" t="s">
        <v>33</v>
      </c>
      <c r="O315">
        <v>604</v>
      </c>
      <c r="P315">
        <v>1.41</v>
      </c>
      <c r="Q315">
        <v>0.85</v>
      </c>
      <c r="R315" s="97" t="s">
        <v>1201</v>
      </c>
      <c r="S315" s="97" t="s">
        <v>195</v>
      </c>
    </row>
    <row r="316" spans="1:19" x14ac:dyDescent="0.3">
      <c r="A316" s="97" t="s">
        <v>484</v>
      </c>
      <c r="B316" s="97" t="s">
        <v>22</v>
      </c>
      <c r="C316">
        <v>2026</v>
      </c>
      <c r="D316">
        <v>1</v>
      </c>
      <c r="E316" s="2">
        <v>46033</v>
      </c>
      <c r="F316" s="97" t="s">
        <v>7</v>
      </c>
      <c r="G316" s="97" t="s">
        <v>8</v>
      </c>
      <c r="H316" s="97" t="s">
        <v>70</v>
      </c>
      <c r="I316" s="97" t="s">
        <v>75</v>
      </c>
      <c r="J316" s="97" t="s">
        <v>76</v>
      </c>
      <c r="K316" s="97" t="s">
        <v>73</v>
      </c>
      <c r="L316">
        <v>701000</v>
      </c>
      <c r="M316" s="97" t="s">
        <v>62</v>
      </c>
      <c r="N316" s="97" t="s">
        <v>33</v>
      </c>
      <c r="O316">
        <v>1059</v>
      </c>
      <c r="P316">
        <v>1.4</v>
      </c>
      <c r="Q316">
        <v>1.48</v>
      </c>
      <c r="R316" s="97" t="s">
        <v>1204</v>
      </c>
      <c r="S316" s="97" t="s">
        <v>195</v>
      </c>
    </row>
    <row r="317" spans="1:19" x14ac:dyDescent="0.3">
      <c r="A317" s="97" t="s">
        <v>660</v>
      </c>
      <c r="B317" s="97" t="s">
        <v>22</v>
      </c>
      <c r="C317">
        <v>2026</v>
      </c>
      <c r="D317">
        <v>1</v>
      </c>
      <c r="E317" s="2">
        <v>46033</v>
      </c>
      <c r="F317" s="97" t="s">
        <v>7</v>
      </c>
      <c r="G317" s="97" t="s">
        <v>8</v>
      </c>
      <c r="H317" s="97" t="s">
        <v>70</v>
      </c>
      <c r="I317" s="97" t="s">
        <v>79</v>
      </c>
      <c r="J317" s="97" t="s">
        <v>80</v>
      </c>
      <c r="K317" s="97" t="s">
        <v>73</v>
      </c>
      <c r="L317">
        <v>701000</v>
      </c>
      <c r="M317" s="97" t="s">
        <v>62</v>
      </c>
      <c r="N317" s="97" t="s">
        <v>33</v>
      </c>
      <c r="O317">
        <v>539</v>
      </c>
      <c r="P317">
        <v>2.6</v>
      </c>
      <c r="Q317">
        <v>1.4</v>
      </c>
      <c r="R317" s="97" t="s">
        <v>1201</v>
      </c>
      <c r="S317" s="97" t="s">
        <v>195</v>
      </c>
    </row>
    <row r="318" spans="1:19" x14ac:dyDescent="0.3">
      <c r="A318" s="97" t="s">
        <v>661</v>
      </c>
      <c r="B318" s="97" t="s">
        <v>22</v>
      </c>
      <c r="C318">
        <v>2026</v>
      </c>
      <c r="D318">
        <v>1</v>
      </c>
      <c r="E318" s="2">
        <v>46033</v>
      </c>
      <c r="F318" s="97" t="s">
        <v>7</v>
      </c>
      <c r="G318" s="97" t="s">
        <v>8</v>
      </c>
      <c r="H318" s="97" t="s">
        <v>70</v>
      </c>
      <c r="I318" s="97" t="s">
        <v>79</v>
      </c>
      <c r="J318" s="97" t="s">
        <v>80</v>
      </c>
      <c r="K318" s="97" t="s">
        <v>73</v>
      </c>
      <c r="L318">
        <v>701000</v>
      </c>
      <c r="M318" s="97" t="s">
        <v>62</v>
      </c>
      <c r="N318" s="97" t="s">
        <v>33</v>
      </c>
      <c r="O318">
        <v>1274</v>
      </c>
      <c r="P318">
        <v>2.6</v>
      </c>
      <c r="Q318">
        <v>3.31</v>
      </c>
      <c r="R318" s="97" t="s">
        <v>1203</v>
      </c>
      <c r="S318" s="97" t="s">
        <v>195</v>
      </c>
    </row>
    <row r="319" spans="1:19" x14ac:dyDescent="0.3">
      <c r="A319" s="97" t="s">
        <v>662</v>
      </c>
      <c r="B319" s="97" t="s">
        <v>22</v>
      </c>
      <c r="C319">
        <v>2026</v>
      </c>
      <c r="D319">
        <v>1</v>
      </c>
      <c r="E319" s="2">
        <v>46033</v>
      </c>
      <c r="F319" s="97" t="s">
        <v>7</v>
      </c>
      <c r="G319" s="97" t="s">
        <v>8</v>
      </c>
      <c r="H319" s="97" t="s">
        <v>70</v>
      </c>
      <c r="I319" s="97" t="s">
        <v>79</v>
      </c>
      <c r="J319" s="97" t="s">
        <v>80</v>
      </c>
      <c r="K319" s="97" t="s">
        <v>73</v>
      </c>
      <c r="L319">
        <v>701000</v>
      </c>
      <c r="M319" s="97" t="s">
        <v>62</v>
      </c>
      <c r="N319" s="97" t="s">
        <v>33</v>
      </c>
      <c r="O319">
        <v>1872</v>
      </c>
      <c r="P319">
        <v>2.6</v>
      </c>
      <c r="Q319">
        <v>4.87</v>
      </c>
      <c r="R319" s="97" t="s">
        <v>1198</v>
      </c>
      <c r="S319" s="97" t="s">
        <v>195</v>
      </c>
    </row>
    <row r="320" spans="1:19" x14ac:dyDescent="0.3">
      <c r="A320" s="97" t="s">
        <v>663</v>
      </c>
      <c r="B320" s="97" t="s">
        <v>22</v>
      </c>
      <c r="C320">
        <v>2026</v>
      </c>
      <c r="D320">
        <v>1</v>
      </c>
      <c r="E320" s="2">
        <v>46033</v>
      </c>
      <c r="F320" s="97" t="s">
        <v>7</v>
      </c>
      <c r="G320" s="97" t="s">
        <v>8</v>
      </c>
      <c r="H320" s="97" t="s">
        <v>70</v>
      </c>
      <c r="I320" s="97" t="s">
        <v>79</v>
      </c>
      <c r="J320" s="97" t="s">
        <v>80</v>
      </c>
      <c r="K320" s="97" t="s">
        <v>73</v>
      </c>
      <c r="L320">
        <v>701000</v>
      </c>
      <c r="M320" s="97" t="s">
        <v>62</v>
      </c>
      <c r="N320" s="97" t="s">
        <v>33</v>
      </c>
      <c r="O320">
        <v>1107</v>
      </c>
      <c r="P320">
        <v>2.6</v>
      </c>
      <c r="Q320">
        <v>2.88</v>
      </c>
      <c r="R320" s="97" t="s">
        <v>1200</v>
      </c>
      <c r="S320" s="97" t="s">
        <v>195</v>
      </c>
    </row>
    <row r="321" spans="1:19" x14ac:dyDescent="0.3">
      <c r="A321" s="97" t="s">
        <v>664</v>
      </c>
      <c r="B321" s="97" t="s">
        <v>22</v>
      </c>
      <c r="C321">
        <v>2026</v>
      </c>
      <c r="D321">
        <v>1</v>
      </c>
      <c r="E321" s="2">
        <v>46033</v>
      </c>
      <c r="F321" s="97" t="s">
        <v>7</v>
      </c>
      <c r="G321" s="97" t="s">
        <v>8</v>
      </c>
      <c r="H321" s="97" t="s">
        <v>70</v>
      </c>
      <c r="I321" s="97" t="s">
        <v>79</v>
      </c>
      <c r="J321" s="97" t="s">
        <v>80</v>
      </c>
      <c r="K321" s="97" t="s">
        <v>73</v>
      </c>
      <c r="L321">
        <v>701000</v>
      </c>
      <c r="M321" s="97" t="s">
        <v>62</v>
      </c>
      <c r="N321" s="97" t="s">
        <v>33</v>
      </c>
      <c r="O321">
        <v>2409</v>
      </c>
      <c r="P321">
        <v>2.6</v>
      </c>
      <c r="Q321">
        <v>6.26</v>
      </c>
      <c r="R321" s="97" t="s">
        <v>1204</v>
      </c>
      <c r="S321" s="97" t="s">
        <v>195</v>
      </c>
    </row>
    <row r="322" spans="1:19" x14ac:dyDescent="0.3">
      <c r="A322" s="97" t="s">
        <v>450</v>
      </c>
      <c r="B322" s="97" t="s">
        <v>22</v>
      </c>
      <c r="C322">
        <v>2026</v>
      </c>
      <c r="D322">
        <v>1</v>
      </c>
      <c r="E322" s="2">
        <v>46034</v>
      </c>
      <c r="F322" s="97" t="s">
        <v>7</v>
      </c>
      <c r="G322" s="97" t="s">
        <v>8</v>
      </c>
      <c r="H322" s="97" t="s">
        <v>70</v>
      </c>
      <c r="I322" s="97" t="s">
        <v>75</v>
      </c>
      <c r="J322" s="97" t="s">
        <v>76</v>
      </c>
      <c r="K322" s="97" t="s">
        <v>73</v>
      </c>
      <c r="L322">
        <v>701000</v>
      </c>
      <c r="M322" s="97" t="s">
        <v>62</v>
      </c>
      <c r="N322" s="97" t="s">
        <v>33</v>
      </c>
      <c r="O322">
        <v>1467</v>
      </c>
      <c r="P322">
        <v>1.4</v>
      </c>
      <c r="Q322">
        <v>2.0499999999999998</v>
      </c>
      <c r="R322" s="97" t="s">
        <v>1202</v>
      </c>
      <c r="S322" s="97" t="s">
        <v>195</v>
      </c>
    </row>
    <row r="323" spans="1:19" x14ac:dyDescent="0.3">
      <c r="A323" s="97" t="s">
        <v>451</v>
      </c>
      <c r="B323" s="97" t="s">
        <v>22</v>
      </c>
      <c r="C323">
        <v>2026</v>
      </c>
      <c r="D323">
        <v>1</v>
      </c>
      <c r="E323" s="2">
        <v>46034</v>
      </c>
      <c r="F323" s="97" t="s">
        <v>7</v>
      </c>
      <c r="G323" s="97" t="s">
        <v>8</v>
      </c>
      <c r="H323" s="97" t="s">
        <v>70</v>
      </c>
      <c r="I323" s="97" t="s">
        <v>75</v>
      </c>
      <c r="J323" s="97" t="s">
        <v>76</v>
      </c>
      <c r="K323" s="97" t="s">
        <v>73</v>
      </c>
      <c r="L323">
        <v>701000</v>
      </c>
      <c r="M323" s="97" t="s">
        <v>62</v>
      </c>
      <c r="N323" s="97" t="s">
        <v>33</v>
      </c>
      <c r="O323">
        <v>1433</v>
      </c>
      <c r="P323">
        <v>1.4</v>
      </c>
      <c r="Q323">
        <v>2.0099999999999998</v>
      </c>
      <c r="R323" s="97" t="s">
        <v>1200</v>
      </c>
      <c r="S323" s="97" t="s">
        <v>195</v>
      </c>
    </row>
    <row r="324" spans="1:19" x14ac:dyDescent="0.3">
      <c r="A324" s="97" t="s">
        <v>452</v>
      </c>
      <c r="B324" s="97" t="s">
        <v>22</v>
      </c>
      <c r="C324">
        <v>2026</v>
      </c>
      <c r="D324">
        <v>1</v>
      </c>
      <c r="E324" s="2">
        <v>46034</v>
      </c>
      <c r="F324" s="97" t="s">
        <v>7</v>
      </c>
      <c r="G324" s="97" t="s">
        <v>8</v>
      </c>
      <c r="H324" s="97" t="s">
        <v>70</v>
      </c>
      <c r="I324" s="97" t="s">
        <v>75</v>
      </c>
      <c r="J324" s="97" t="s">
        <v>76</v>
      </c>
      <c r="K324" s="97" t="s">
        <v>73</v>
      </c>
      <c r="L324">
        <v>701000</v>
      </c>
      <c r="M324" s="97" t="s">
        <v>62</v>
      </c>
      <c r="N324" s="97" t="s">
        <v>33</v>
      </c>
      <c r="O324">
        <v>1883</v>
      </c>
      <c r="P324">
        <v>1.4</v>
      </c>
      <c r="Q324">
        <v>2.64</v>
      </c>
      <c r="R324" s="97" t="s">
        <v>1203</v>
      </c>
      <c r="S324" s="97" t="s">
        <v>195</v>
      </c>
    </row>
    <row r="325" spans="1:19" x14ac:dyDescent="0.3">
      <c r="A325" s="97" t="s">
        <v>453</v>
      </c>
      <c r="B325" s="97" t="s">
        <v>22</v>
      </c>
      <c r="C325">
        <v>2026</v>
      </c>
      <c r="D325">
        <v>1</v>
      </c>
      <c r="E325" s="2">
        <v>46034</v>
      </c>
      <c r="F325" s="97" t="s">
        <v>7</v>
      </c>
      <c r="G325" s="97" t="s">
        <v>8</v>
      </c>
      <c r="H325" s="97" t="s">
        <v>70</v>
      </c>
      <c r="I325" s="97" t="s">
        <v>75</v>
      </c>
      <c r="J325" s="97" t="s">
        <v>76</v>
      </c>
      <c r="K325" s="97" t="s">
        <v>73</v>
      </c>
      <c r="L325">
        <v>701000</v>
      </c>
      <c r="M325" s="97" t="s">
        <v>62</v>
      </c>
      <c r="N325" s="97" t="s">
        <v>33</v>
      </c>
      <c r="O325">
        <v>603</v>
      </c>
      <c r="P325">
        <v>1.39</v>
      </c>
      <c r="Q325">
        <v>0.84</v>
      </c>
      <c r="R325" s="97" t="s">
        <v>1197</v>
      </c>
      <c r="S325" s="97" t="s">
        <v>195</v>
      </c>
    </row>
    <row r="326" spans="1:19" x14ac:dyDescent="0.3">
      <c r="A326" s="97" t="s">
        <v>454</v>
      </c>
      <c r="B326" s="97" t="s">
        <v>22</v>
      </c>
      <c r="C326">
        <v>2026</v>
      </c>
      <c r="D326">
        <v>1</v>
      </c>
      <c r="E326" s="2">
        <v>46034</v>
      </c>
      <c r="F326" s="97" t="s">
        <v>7</v>
      </c>
      <c r="G326" s="97" t="s">
        <v>8</v>
      </c>
      <c r="H326" s="97" t="s">
        <v>70</v>
      </c>
      <c r="I326" s="97" t="s">
        <v>75</v>
      </c>
      <c r="J326" s="97" t="s">
        <v>76</v>
      </c>
      <c r="K326" s="97" t="s">
        <v>73</v>
      </c>
      <c r="L326">
        <v>701000</v>
      </c>
      <c r="M326" s="97" t="s">
        <v>62</v>
      </c>
      <c r="N326" s="97" t="s">
        <v>33</v>
      </c>
      <c r="O326">
        <v>2113</v>
      </c>
      <c r="P326">
        <v>1.4</v>
      </c>
      <c r="Q326">
        <v>2.96</v>
      </c>
      <c r="R326" s="97" t="s">
        <v>1199</v>
      </c>
      <c r="S326" s="97" t="s">
        <v>195</v>
      </c>
    </row>
    <row r="327" spans="1:19" x14ac:dyDescent="0.3">
      <c r="A327" s="97" t="s">
        <v>525</v>
      </c>
      <c r="B327" s="97" t="s">
        <v>22</v>
      </c>
      <c r="C327">
        <v>2026</v>
      </c>
      <c r="D327">
        <v>1</v>
      </c>
      <c r="E327" s="2">
        <v>46034</v>
      </c>
      <c r="F327" s="97" t="s">
        <v>7</v>
      </c>
      <c r="G327" s="97" t="s">
        <v>8</v>
      </c>
      <c r="H327" s="97" t="s">
        <v>70</v>
      </c>
      <c r="I327" s="97" t="s">
        <v>77</v>
      </c>
      <c r="J327" s="97" t="s">
        <v>78</v>
      </c>
      <c r="K327" s="97" t="s">
        <v>73</v>
      </c>
      <c r="L327">
        <v>701000</v>
      </c>
      <c r="M327" s="97" t="s">
        <v>62</v>
      </c>
      <c r="N327" s="97" t="s">
        <v>33</v>
      </c>
      <c r="O327">
        <v>652</v>
      </c>
      <c r="P327">
        <v>1.79</v>
      </c>
      <c r="Q327">
        <v>1.17</v>
      </c>
      <c r="R327" s="97" t="s">
        <v>1198</v>
      </c>
      <c r="S327" s="97" t="s">
        <v>195</v>
      </c>
    </row>
    <row r="328" spans="1:19" x14ac:dyDescent="0.3">
      <c r="A328" s="97" t="s">
        <v>526</v>
      </c>
      <c r="B328" s="97" t="s">
        <v>22</v>
      </c>
      <c r="C328">
        <v>2026</v>
      </c>
      <c r="D328">
        <v>1</v>
      </c>
      <c r="E328" s="2">
        <v>46034</v>
      </c>
      <c r="F328" s="97" t="s">
        <v>7</v>
      </c>
      <c r="G328" s="97" t="s">
        <v>8</v>
      </c>
      <c r="H328" s="97" t="s">
        <v>70</v>
      </c>
      <c r="I328" s="97" t="s">
        <v>77</v>
      </c>
      <c r="J328" s="97" t="s">
        <v>78</v>
      </c>
      <c r="K328" s="97" t="s">
        <v>73</v>
      </c>
      <c r="L328">
        <v>701000</v>
      </c>
      <c r="M328" s="97" t="s">
        <v>62</v>
      </c>
      <c r="N328" s="97" t="s">
        <v>33</v>
      </c>
      <c r="O328">
        <v>436</v>
      </c>
      <c r="P328">
        <v>1.79</v>
      </c>
      <c r="Q328">
        <v>0.78</v>
      </c>
      <c r="R328" s="97" t="s">
        <v>1197</v>
      </c>
      <c r="S328" s="97" t="s">
        <v>195</v>
      </c>
    </row>
    <row r="329" spans="1:19" x14ac:dyDescent="0.3">
      <c r="A329" s="97" t="s">
        <v>527</v>
      </c>
      <c r="B329" s="97" t="s">
        <v>22</v>
      </c>
      <c r="C329">
        <v>2026</v>
      </c>
      <c r="D329">
        <v>1</v>
      </c>
      <c r="E329" s="2">
        <v>46034</v>
      </c>
      <c r="F329" s="97" t="s">
        <v>7</v>
      </c>
      <c r="G329" s="97" t="s">
        <v>8</v>
      </c>
      <c r="H329" s="97" t="s">
        <v>70</v>
      </c>
      <c r="I329" s="97" t="s">
        <v>77</v>
      </c>
      <c r="J329" s="97" t="s">
        <v>78</v>
      </c>
      <c r="K329" s="97" t="s">
        <v>73</v>
      </c>
      <c r="L329">
        <v>701000</v>
      </c>
      <c r="M329" s="97" t="s">
        <v>62</v>
      </c>
      <c r="N329" s="97" t="s">
        <v>33</v>
      </c>
      <c r="O329">
        <v>888</v>
      </c>
      <c r="P329">
        <v>1.8</v>
      </c>
      <c r="Q329">
        <v>1.6</v>
      </c>
      <c r="R329" s="97" t="s">
        <v>1201</v>
      </c>
      <c r="S329" s="97" t="s">
        <v>195</v>
      </c>
    </row>
    <row r="330" spans="1:19" x14ac:dyDescent="0.3">
      <c r="A330" s="97" t="s">
        <v>528</v>
      </c>
      <c r="B330" s="97" t="s">
        <v>22</v>
      </c>
      <c r="C330">
        <v>2026</v>
      </c>
      <c r="D330">
        <v>1</v>
      </c>
      <c r="E330" s="2">
        <v>46034</v>
      </c>
      <c r="F330" s="97" t="s">
        <v>7</v>
      </c>
      <c r="G330" s="97" t="s">
        <v>8</v>
      </c>
      <c r="H330" s="97" t="s">
        <v>70</v>
      </c>
      <c r="I330" s="97" t="s">
        <v>77</v>
      </c>
      <c r="J330" s="97" t="s">
        <v>78</v>
      </c>
      <c r="K330" s="97" t="s">
        <v>73</v>
      </c>
      <c r="L330">
        <v>701000</v>
      </c>
      <c r="M330" s="97" t="s">
        <v>62</v>
      </c>
      <c r="N330" s="97" t="s">
        <v>33</v>
      </c>
      <c r="O330">
        <v>1035</v>
      </c>
      <c r="P330">
        <v>1.8</v>
      </c>
      <c r="Q330">
        <v>1.86</v>
      </c>
      <c r="R330" s="97" t="s">
        <v>1204</v>
      </c>
      <c r="S330" s="97" t="s">
        <v>195</v>
      </c>
    </row>
    <row r="331" spans="1:19" x14ac:dyDescent="0.3">
      <c r="A331" s="97" t="s">
        <v>529</v>
      </c>
      <c r="B331" s="97" t="s">
        <v>22</v>
      </c>
      <c r="C331">
        <v>2026</v>
      </c>
      <c r="D331">
        <v>1</v>
      </c>
      <c r="E331" s="2">
        <v>46034</v>
      </c>
      <c r="F331" s="97" t="s">
        <v>7</v>
      </c>
      <c r="G331" s="97" t="s">
        <v>8</v>
      </c>
      <c r="H331" s="97" t="s">
        <v>70</v>
      </c>
      <c r="I331" s="97" t="s">
        <v>77</v>
      </c>
      <c r="J331" s="97" t="s">
        <v>78</v>
      </c>
      <c r="K331" s="97" t="s">
        <v>73</v>
      </c>
      <c r="L331">
        <v>701000</v>
      </c>
      <c r="M331" s="97" t="s">
        <v>62</v>
      </c>
      <c r="N331" s="97" t="s">
        <v>33</v>
      </c>
      <c r="O331">
        <v>375</v>
      </c>
      <c r="P331">
        <v>1.81</v>
      </c>
      <c r="Q331">
        <v>0.68</v>
      </c>
      <c r="R331" s="97" t="s">
        <v>1199</v>
      </c>
      <c r="S331" s="97" t="s">
        <v>195</v>
      </c>
    </row>
    <row r="332" spans="1:19" x14ac:dyDescent="0.3">
      <c r="A332" s="97" t="s">
        <v>560</v>
      </c>
      <c r="B332" s="97" t="s">
        <v>22</v>
      </c>
      <c r="C332">
        <v>2026</v>
      </c>
      <c r="D332">
        <v>1</v>
      </c>
      <c r="E332" s="2">
        <v>46034</v>
      </c>
      <c r="F332" s="97" t="s">
        <v>7</v>
      </c>
      <c r="G332" s="97" t="s">
        <v>8</v>
      </c>
      <c r="H332" s="97" t="s">
        <v>74</v>
      </c>
      <c r="I332" s="97" t="s">
        <v>77</v>
      </c>
      <c r="J332" s="97" t="s">
        <v>78</v>
      </c>
      <c r="K332" s="97" t="s">
        <v>73</v>
      </c>
      <c r="L332">
        <v>701000</v>
      </c>
      <c r="M332" s="97" t="s">
        <v>62</v>
      </c>
      <c r="N332" s="97" t="s">
        <v>33</v>
      </c>
      <c r="O332">
        <v>740</v>
      </c>
      <c r="P332">
        <v>1.8</v>
      </c>
      <c r="Q332">
        <v>1.33</v>
      </c>
      <c r="R332" s="97" t="s">
        <v>1203</v>
      </c>
      <c r="S332" s="97" t="s">
        <v>195</v>
      </c>
    </row>
    <row r="333" spans="1:19" x14ac:dyDescent="0.3">
      <c r="A333" s="97" t="s">
        <v>561</v>
      </c>
      <c r="B333" s="97" t="s">
        <v>22</v>
      </c>
      <c r="C333">
        <v>2026</v>
      </c>
      <c r="D333">
        <v>1</v>
      </c>
      <c r="E333" s="2">
        <v>46034</v>
      </c>
      <c r="F333" s="97" t="s">
        <v>7</v>
      </c>
      <c r="G333" s="97" t="s">
        <v>8</v>
      </c>
      <c r="H333" s="97" t="s">
        <v>74</v>
      </c>
      <c r="I333" s="97" t="s">
        <v>77</v>
      </c>
      <c r="J333" s="97" t="s">
        <v>78</v>
      </c>
      <c r="K333" s="97" t="s">
        <v>73</v>
      </c>
      <c r="L333">
        <v>701000</v>
      </c>
      <c r="M333" s="97" t="s">
        <v>62</v>
      </c>
      <c r="N333" s="97" t="s">
        <v>33</v>
      </c>
      <c r="O333">
        <v>692</v>
      </c>
      <c r="P333">
        <v>1.81</v>
      </c>
      <c r="Q333">
        <v>1.25</v>
      </c>
      <c r="R333" s="97" t="s">
        <v>1204</v>
      </c>
      <c r="S333" s="97" t="s">
        <v>195</v>
      </c>
    </row>
    <row r="334" spans="1:19" x14ac:dyDescent="0.3">
      <c r="A334" s="97" t="s">
        <v>562</v>
      </c>
      <c r="B334" s="97" t="s">
        <v>22</v>
      </c>
      <c r="C334">
        <v>2026</v>
      </c>
      <c r="D334">
        <v>1</v>
      </c>
      <c r="E334" s="2">
        <v>46034</v>
      </c>
      <c r="F334" s="97" t="s">
        <v>7</v>
      </c>
      <c r="G334" s="97" t="s">
        <v>8</v>
      </c>
      <c r="H334" s="97" t="s">
        <v>74</v>
      </c>
      <c r="I334" s="97" t="s">
        <v>77</v>
      </c>
      <c r="J334" s="97" t="s">
        <v>78</v>
      </c>
      <c r="K334" s="97" t="s">
        <v>73</v>
      </c>
      <c r="L334">
        <v>701000</v>
      </c>
      <c r="M334" s="97" t="s">
        <v>62</v>
      </c>
      <c r="N334" s="97" t="s">
        <v>33</v>
      </c>
      <c r="O334">
        <v>1133</v>
      </c>
      <c r="P334">
        <v>1.8</v>
      </c>
      <c r="Q334">
        <v>2.04</v>
      </c>
      <c r="R334" s="97" t="s">
        <v>1197</v>
      </c>
      <c r="S334" s="97" t="s">
        <v>195</v>
      </c>
    </row>
    <row r="335" spans="1:19" x14ac:dyDescent="0.3">
      <c r="A335" s="97" t="s">
        <v>563</v>
      </c>
      <c r="B335" s="97" t="s">
        <v>22</v>
      </c>
      <c r="C335">
        <v>2026</v>
      </c>
      <c r="D335">
        <v>1</v>
      </c>
      <c r="E335" s="2">
        <v>46034</v>
      </c>
      <c r="F335" s="97" t="s">
        <v>7</v>
      </c>
      <c r="G335" s="97" t="s">
        <v>8</v>
      </c>
      <c r="H335" s="97" t="s">
        <v>74</v>
      </c>
      <c r="I335" s="97" t="s">
        <v>77</v>
      </c>
      <c r="J335" s="97" t="s">
        <v>78</v>
      </c>
      <c r="K335" s="97" t="s">
        <v>73</v>
      </c>
      <c r="L335">
        <v>701000</v>
      </c>
      <c r="M335" s="97" t="s">
        <v>62</v>
      </c>
      <c r="N335" s="97" t="s">
        <v>33</v>
      </c>
      <c r="O335">
        <v>444</v>
      </c>
      <c r="P335">
        <v>1.8</v>
      </c>
      <c r="Q335">
        <v>0.8</v>
      </c>
      <c r="R335" s="97" t="s">
        <v>1201</v>
      </c>
      <c r="S335" s="97" t="s">
        <v>195</v>
      </c>
    </row>
    <row r="336" spans="1:19" x14ac:dyDescent="0.3">
      <c r="A336" s="97" t="s">
        <v>564</v>
      </c>
      <c r="B336" s="97" t="s">
        <v>22</v>
      </c>
      <c r="C336">
        <v>2026</v>
      </c>
      <c r="D336">
        <v>1</v>
      </c>
      <c r="E336" s="2">
        <v>46034</v>
      </c>
      <c r="F336" s="97" t="s">
        <v>7</v>
      </c>
      <c r="G336" s="97" t="s">
        <v>8</v>
      </c>
      <c r="H336" s="97" t="s">
        <v>74</v>
      </c>
      <c r="I336" s="97" t="s">
        <v>77</v>
      </c>
      <c r="J336" s="97" t="s">
        <v>78</v>
      </c>
      <c r="K336" s="97" t="s">
        <v>73</v>
      </c>
      <c r="L336">
        <v>701000</v>
      </c>
      <c r="M336" s="97" t="s">
        <v>62</v>
      </c>
      <c r="N336" s="97" t="s">
        <v>33</v>
      </c>
      <c r="O336">
        <v>717</v>
      </c>
      <c r="P336">
        <v>1.8</v>
      </c>
      <c r="Q336">
        <v>1.29</v>
      </c>
      <c r="R336" s="97" t="s">
        <v>1200</v>
      </c>
      <c r="S336" s="97" t="s">
        <v>195</v>
      </c>
    </row>
    <row r="337" spans="1:19" x14ac:dyDescent="0.3">
      <c r="A337" s="97" t="s">
        <v>615</v>
      </c>
      <c r="B337" s="97" t="s">
        <v>22</v>
      </c>
      <c r="C337">
        <v>2026</v>
      </c>
      <c r="D337">
        <v>1</v>
      </c>
      <c r="E337" s="2">
        <v>46034</v>
      </c>
      <c r="F337" s="97" t="s">
        <v>7</v>
      </c>
      <c r="G337" s="97" t="s">
        <v>8</v>
      </c>
      <c r="H337" s="97" t="s">
        <v>70</v>
      </c>
      <c r="I337" s="97" t="s">
        <v>77</v>
      </c>
      <c r="J337" s="97" t="s">
        <v>78</v>
      </c>
      <c r="K337" s="97" t="s">
        <v>73</v>
      </c>
      <c r="L337">
        <v>701000</v>
      </c>
      <c r="M337" s="97" t="s">
        <v>62</v>
      </c>
      <c r="N337" s="97" t="s">
        <v>33</v>
      </c>
      <c r="O337">
        <v>553</v>
      </c>
      <c r="P337">
        <v>1.79</v>
      </c>
      <c r="Q337">
        <v>0.99</v>
      </c>
      <c r="R337" s="97" t="s">
        <v>1204</v>
      </c>
      <c r="S337" s="97" t="s">
        <v>195</v>
      </c>
    </row>
    <row r="338" spans="1:19" x14ac:dyDescent="0.3">
      <c r="A338" s="97" t="s">
        <v>616</v>
      </c>
      <c r="B338" s="97" t="s">
        <v>22</v>
      </c>
      <c r="C338">
        <v>2026</v>
      </c>
      <c r="D338">
        <v>1</v>
      </c>
      <c r="E338" s="2">
        <v>46034</v>
      </c>
      <c r="F338" s="97" t="s">
        <v>7</v>
      </c>
      <c r="G338" s="97" t="s">
        <v>8</v>
      </c>
      <c r="H338" s="97" t="s">
        <v>70</v>
      </c>
      <c r="I338" s="97" t="s">
        <v>77</v>
      </c>
      <c r="J338" s="97" t="s">
        <v>78</v>
      </c>
      <c r="K338" s="97" t="s">
        <v>73</v>
      </c>
      <c r="L338">
        <v>701000</v>
      </c>
      <c r="M338" s="97" t="s">
        <v>62</v>
      </c>
      <c r="N338" s="97" t="s">
        <v>33</v>
      </c>
      <c r="O338">
        <v>1359</v>
      </c>
      <c r="P338">
        <v>1.8</v>
      </c>
      <c r="Q338">
        <v>2.4500000000000002</v>
      </c>
      <c r="R338" s="97" t="s">
        <v>1199</v>
      </c>
      <c r="S338" s="97" t="s">
        <v>195</v>
      </c>
    </row>
    <row r="339" spans="1:19" x14ac:dyDescent="0.3">
      <c r="A339" s="97" t="s">
        <v>617</v>
      </c>
      <c r="B339" s="97" t="s">
        <v>22</v>
      </c>
      <c r="C339">
        <v>2026</v>
      </c>
      <c r="D339">
        <v>1</v>
      </c>
      <c r="E339" s="2">
        <v>46034</v>
      </c>
      <c r="F339" s="97" t="s">
        <v>7</v>
      </c>
      <c r="G339" s="97" t="s">
        <v>8</v>
      </c>
      <c r="H339" s="97" t="s">
        <v>70</v>
      </c>
      <c r="I339" s="97" t="s">
        <v>77</v>
      </c>
      <c r="J339" s="97" t="s">
        <v>78</v>
      </c>
      <c r="K339" s="97" t="s">
        <v>73</v>
      </c>
      <c r="L339">
        <v>701000</v>
      </c>
      <c r="M339" s="97" t="s">
        <v>62</v>
      </c>
      <c r="N339" s="97" t="s">
        <v>33</v>
      </c>
      <c r="O339">
        <v>144</v>
      </c>
      <c r="P339">
        <v>1.81</v>
      </c>
      <c r="Q339">
        <v>0.26</v>
      </c>
      <c r="R339" s="97" t="s">
        <v>1197</v>
      </c>
      <c r="S339" s="97" t="s">
        <v>195</v>
      </c>
    </row>
    <row r="340" spans="1:19" x14ac:dyDescent="0.3">
      <c r="A340" s="97" t="s">
        <v>618</v>
      </c>
      <c r="B340" s="97" t="s">
        <v>22</v>
      </c>
      <c r="C340">
        <v>2026</v>
      </c>
      <c r="D340">
        <v>1</v>
      </c>
      <c r="E340" s="2">
        <v>46034</v>
      </c>
      <c r="F340" s="97" t="s">
        <v>7</v>
      </c>
      <c r="G340" s="97" t="s">
        <v>8</v>
      </c>
      <c r="H340" s="97" t="s">
        <v>70</v>
      </c>
      <c r="I340" s="97" t="s">
        <v>77</v>
      </c>
      <c r="J340" s="97" t="s">
        <v>78</v>
      </c>
      <c r="K340" s="97" t="s">
        <v>73</v>
      </c>
      <c r="L340">
        <v>701000</v>
      </c>
      <c r="M340" s="97" t="s">
        <v>62</v>
      </c>
      <c r="N340" s="97" t="s">
        <v>33</v>
      </c>
      <c r="O340">
        <v>1204</v>
      </c>
      <c r="P340">
        <v>1.8</v>
      </c>
      <c r="Q340">
        <v>2.17</v>
      </c>
      <c r="R340" s="97" t="s">
        <v>1198</v>
      </c>
      <c r="S340" s="97" t="s">
        <v>195</v>
      </c>
    </row>
    <row r="341" spans="1:19" x14ac:dyDescent="0.3">
      <c r="A341" s="97" t="s">
        <v>619</v>
      </c>
      <c r="B341" s="97" t="s">
        <v>22</v>
      </c>
      <c r="C341">
        <v>2026</v>
      </c>
      <c r="D341">
        <v>1</v>
      </c>
      <c r="E341" s="2">
        <v>46034</v>
      </c>
      <c r="F341" s="97" t="s">
        <v>7</v>
      </c>
      <c r="G341" s="97" t="s">
        <v>8</v>
      </c>
      <c r="H341" s="97" t="s">
        <v>70</v>
      </c>
      <c r="I341" s="97" t="s">
        <v>77</v>
      </c>
      <c r="J341" s="97" t="s">
        <v>78</v>
      </c>
      <c r="K341" s="97" t="s">
        <v>73</v>
      </c>
      <c r="L341">
        <v>701000</v>
      </c>
      <c r="M341" s="97" t="s">
        <v>62</v>
      </c>
      <c r="N341" s="97" t="s">
        <v>33</v>
      </c>
      <c r="O341">
        <v>706</v>
      </c>
      <c r="P341">
        <v>1.8</v>
      </c>
      <c r="Q341">
        <v>1.27</v>
      </c>
      <c r="R341" s="97" t="s">
        <v>1202</v>
      </c>
      <c r="S341" s="97" t="s">
        <v>195</v>
      </c>
    </row>
    <row r="342" spans="1:19" x14ac:dyDescent="0.3">
      <c r="A342" s="97" t="s">
        <v>695</v>
      </c>
      <c r="B342" s="97" t="s">
        <v>22</v>
      </c>
      <c r="C342">
        <v>2026</v>
      </c>
      <c r="D342">
        <v>1</v>
      </c>
      <c r="E342" s="2">
        <v>46034</v>
      </c>
      <c r="F342" s="97" t="s">
        <v>7</v>
      </c>
      <c r="G342" s="97" t="s">
        <v>8</v>
      </c>
      <c r="H342" s="97" t="s">
        <v>74</v>
      </c>
      <c r="I342" s="97" t="s">
        <v>79</v>
      </c>
      <c r="J342" s="97" t="s">
        <v>80</v>
      </c>
      <c r="K342" s="97" t="s">
        <v>73</v>
      </c>
      <c r="L342">
        <v>701000</v>
      </c>
      <c r="M342" s="97" t="s">
        <v>62</v>
      </c>
      <c r="N342" s="97" t="s">
        <v>33</v>
      </c>
      <c r="O342">
        <v>1453</v>
      </c>
      <c r="P342">
        <v>2.6</v>
      </c>
      <c r="Q342">
        <v>3.78</v>
      </c>
      <c r="R342" s="97" t="s">
        <v>1202</v>
      </c>
      <c r="S342" s="97" t="s">
        <v>195</v>
      </c>
    </row>
    <row r="343" spans="1:19" x14ac:dyDescent="0.3">
      <c r="A343" s="97" t="s">
        <v>696</v>
      </c>
      <c r="B343" s="97" t="s">
        <v>22</v>
      </c>
      <c r="C343">
        <v>2026</v>
      </c>
      <c r="D343">
        <v>1</v>
      </c>
      <c r="E343" s="2">
        <v>46034</v>
      </c>
      <c r="F343" s="97" t="s">
        <v>7</v>
      </c>
      <c r="G343" s="97" t="s">
        <v>8</v>
      </c>
      <c r="H343" s="97" t="s">
        <v>74</v>
      </c>
      <c r="I343" s="97" t="s">
        <v>79</v>
      </c>
      <c r="J343" s="97" t="s">
        <v>80</v>
      </c>
      <c r="K343" s="97" t="s">
        <v>73</v>
      </c>
      <c r="L343">
        <v>701000</v>
      </c>
      <c r="M343" s="97" t="s">
        <v>62</v>
      </c>
      <c r="N343" s="97" t="s">
        <v>33</v>
      </c>
      <c r="O343">
        <v>1994</v>
      </c>
      <c r="P343">
        <v>2.6</v>
      </c>
      <c r="Q343">
        <v>5.18</v>
      </c>
      <c r="R343" s="97" t="s">
        <v>1205</v>
      </c>
      <c r="S343" s="97" t="s">
        <v>195</v>
      </c>
    </row>
    <row r="344" spans="1:19" x14ac:dyDescent="0.3">
      <c r="A344" s="97" t="s">
        <v>697</v>
      </c>
      <c r="B344" s="97" t="s">
        <v>22</v>
      </c>
      <c r="C344">
        <v>2026</v>
      </c>
      <c r="D344">
        <v>1</v>
      </c>
      <c r="E344" s="2">
        <v>46034</v>
      </c>
      <c r="F344" s="97" t="s">
        <v>7</v>
      </c>
      <c r="G344" s="97" t="s">
        <v>8</v>
      </c>
      <c r="H344" s="97" t="s">
        <v>74</v>
      </c>
      <c r="I344" s="97" t="s">
        <v>79</v>
      </c>
      <c r="J344" s="97" t="s">
        <v>80</v>
      </c>
      <c r="K344" s="97" t="s">
        <v>73</v>
      </c>
      <c r="L344">
        <v>701000</v>
      </c>
      <c r="M344" s="97" t="s">
        <v>62</v>
      </c>
      <c r="N344" s="97" t="s">
        <v>33</v>
      </c>
      <c r="O344">
        <v>1072</v>
      </c>
      <c r="P344">
        <v>2.6</v>
      </c>
      <c r="Q344">
        <v>2.79</v>
      </c>
      <c r="R344" s="97" t="s">
        <v>1200</v>
      </c>
      <c r="S344" s="97" t="s">
        <v>195</v>
      </c>
    </row>
    <row r="345" spans="1:19" x14ac:dyDescent="0.3">
      <c r="A345" s="97" t="s">
        <v>698</v>
      </c>
      <c r="B345" s="97" t="s">
        <v>22</v>
      </c>
      <c r="C345">
        <v>2026</v>
      </c>
      <c r="D345">
        <v>1</v>
      </c>
      <c r="E345" s="2">
        <v>46034</v>
      </c>
      <c r="F345" s="97" t="s">
        <v>7</v>
      </c>
      <c r="G345" s="97" t="s">
        <v>8</v>
      </c>
      <c r="H345" s="97" t="s">
        <v>74</v>
      </c>
      <c r="I345" s="97" t="s">
        <v>79</v>
      </c>
      <c r="J345" s="97" t="s">
        <v>80</v>
      </c>
      <c r="K345" s="97" t="s">
        <v>73</v>
      </c>
      <c r="L345">
        <v>701000</v>
      </c>
      <c r="M345" s="97" t="s">
        <v>62</v>
      </c>
      <c r="N345" s="97" t="s">
        <v>33</v>
      </c>
      <c r="O345">
        <v>1275</v>
      </c>
      <c r="P345">
        <v>2.6</v>
      </c>
      <c r="Q345">
        <v>3.32</v>
      </c>
      <c r="R345" s="97" t="s">
        <v>1204</v>
      </c>
      <c r="S345" s="97" t="s">
        <v>195</v>
      </c>
    </row>
    <row r="346" spans="1:19" x14ac:dyDescent="0.3">
      <c r="A346" s="97" t="s">
        <v>699</v>
      </c>
      <c r="B346" s="97" t="s">
        <v>22</v>
      </c>
      <c r="C346">
        <v>2026</v>
      </c>
      <c r="D346">
        <v>1</v>
      </c>
      <c r="E346" s="2">
        <v>46034</v>
      </c>
      <c r="F346" s="97" t="s">
        <v>7</v>
      </c>
      <c r="G346" s="97" t="s">
        <v>8</v>
      </c>
      <c r="H346" s="97" t="s">
        <v>74</v>
      </c>
      <c r="I346" s="97" t="s">
        <v>79</v>
      </c>
      <c r="J346" s="97" t="s">
        <v>80</v>
      </c>
      <c r="K346" s="97" t="s">
        <v>73</v>
      </c>
      <c r="L346">
        <v>701000</v>
      </c>
      <c r="M346" s="97" t="s">
        <v>62</v>
      </c>
      <c r="N346" s="97" t="s">
        <v>33</v>
      </c>
      <c r="O346">
        <v>2070</v>
      </c>
      <c r="P346">
        <v>2.6</v>
      </c>
      <c r="Q346">
        <v>5.38</v>
      </c>
      <c r="R346" s="97" t="s">
        <v>1203</v>
      </c>
      <c r="S346" s="97" t="s">
        <v>195</v>
      </c>
    </row>
    <row r="347" spans="1:19" x14ac:dyDescent="0.3">
      <c r="A347" s="97" t="s">
        <v>545</v>
      </c>
      <c r="B347" s="97" t="s">
        <v>22</v>
      </c>
      <c r="C347">
        <v>2026</v>
      </c>
      <c r="D347">
        <v>1</v>
      </c>
      <c r="E347" s="2">
        <v>46035</v>
      </c>
      <c r="F347" s="97" t="s">
        <v>7</v>
      </c>
      <c r="G347" s="97" t="s">
        <v>8</v>
      </c>
      <c r="H347" s="97" t="s">
        <v>70</v>
      </c>
      <c r="I347" s="97" t="s">
        <v>77</v>
      </c>
      <c r="J347" s="97" t="s">
        <v>78</v>
      </c>
      <c r="K347" s="97" t="s">
        <v>73</v>
      </c>
      <c r="L347">
        <v>701000</v>
      </c>
      <c r="M347" s="97" t="s">
        <v>62</v>
      </c>
      <c r="N347" s="97" t="s">
        <v>33</v>
      </c>
      <c r="O347">
        <v>666</v>
      </c>
      <c r="P347">
        <v>1.8</v>
      </c>
      <c r="Q347">
        <v>1.2</v>
      </c>
      <c r="R347" s="97" t="s">
        <v>1199</v>
      </c>
      <c r="S347" s="97" t="s">
        <v>195</v>
      </c>
    </row>
    <row r="348" spans="1:19" x14ac:dyDescent="0.3">
      <c r="A348" s="97" t="s">
        <v>546</v>
      </c>
      <c r="B348" s="97" t="s">
        <v>22</v>
      </c>
      <c r="C348">
        <v>2026</v>
      </c>
      <c r="D348">
        <v>1</v>
      </c>
      <c r="E348" s="2">
        <v>46035</v>
      </c>
      <c r="F348" s="97" t="s">
        <v>7</v>
      </c>
      <c r="G348" s="97" t="s">
        <v>8</v>
      </c>
      <c r="H348" s="97" t="s">
        <v>70</v>
      </c>
      <c r="I348" s="97" t="s">
        <v>77</v>
      </c>
      <c r="J348" s="97" t="s">
        <v>78</v>
      </c>
      <c r="K348" s="97" t="s">
        <v>73</v>
      </c>
      <c r="L348">
        <v>701000</v>
      </c>
      <c r="M348" s="97" t="s">
        <v>62</v>
      </c>
      <c r="N348" s="97" t="s">
        <v>33</v>
      </c>
      <c r="O348">
        <v>1211</v>
      </c>
      <c r="P348">
        <v>1.8</v>
      </c>
      <c r="Q348">
        <v>2.1800000000000002</v>
      </c>
      <c r="R348" s="97" t="s">
        <v>1203</v>
      </c>
      <c r="S348" s="97" t="s">
        <v>195</v>
      </c>
    </row>
    <row r="349" spans="1:19" x14ac:dyDescent="0.3">
      <c r="A349" s="97" t="s">
        <v>547</v>
      </c>
      <c r="B349" s="97" t="s">
        <v>22</v>
      </c>
      <c r="C349">
        <v>2026</v>
      </c>
      <c r="D349">
        <v>1</v>
      </c>
      <c r="E349" s="2">
        <v>46035</v>
      </c>
      <c r="F349" s="97" t="s">
        <v>7</v>
      </c>
      <c r="G349" s="97" t="s">
        <v>8</v>
      </c>
      <c r="H349" s="97" t="s">
        <v>70</v>
      </c>
      <c r="I349" s="97" t="s">
        <v>77</v>
      </c>
      <c r="J349" s="97" t="s">
        <v>78</v>
      </c>
      <c r="K349" s="97" t="s">
        <v>73</v>
      </c>
      <c r="L349">
        <v>701000</v>
      </c>
      <c r="M349" s="97" t="s">
        <v>62</v>
      </c>
      <c r="N349" s="97" t="s">
        <v>33</v>
      </c>
      <c r="O349">
        <v>1285</v>
      </c>
      <c r="P349">
        <v>1.8</v>
      </c>
      <c r="Q349">
        <v>2.31</v>
      </c>
      <c r="R349" s="97" t="s">
        <v>1204</v>
      </c>
      <c r="S349" s="97" t="s">
        <v>195</v>
      </c>
    </row>
    <row r="350" spans="1:19" x14ac:dyDescent="0.3">
      <c r="A350" s="97" t="s">
        <v>548</v>
      </c>
      <c r="B350" s="97" t="s">
        <v>22</v>
      </c>
      <c r="C350">
        <v>2026</v>
      </c>
      <c r="D350">
        <v>1</v>
      </c>
      <c r="E350" s="2">
        <v>46035</v>
      </c>
      <c r="F350" s="97" t="s">
        <v>7</v>
      </c>
      <c r="G350" s="97" t="s">
        <v>8</v>
      </c>
      <c r="H350" s="97" t="s">
        <v>70</v>
      </c>
      <c r="I350" s="97" t="s">
        <v>77</v>
      </c>
      <c r="J350" s="97" t="s">
        <v>78</v>
      </c>
      <c r="K350" s="97" t="s">
        <v>73</v>
      </c>
      <c r="L350">
        <v>701000</v>
      </c>
      <c r="M350" s="97" t="s">
        <v>62</v>
      </c>
      <c r="N350" s="97" t="s">
        <v>33</v>
      </c>
      <c r="O350">
        <v>1141</v>
      </c>
      <c r="P350">
        <v>1.8</v>
      </c>
      <c r="Q350">
        <v>2.0499999999999998</v>
      </c>
      <c r="R350" s="97" t="s">
        <v>1198</v>
      </c>
      <c r="S350" s="97" t="s">
        <v>195</v>
      </c>
    </row>
    <row r="351" spans="1:19" x14ac:dyDescent="0.3">
      <c r="A351" s="97" t="s">
        <v>549</v>
      </c>
      <c r="B351" s="97" t="s">
        <v>22</v>
      </c>
      <c r="C351">
        <v>2026</v>
      </c>
      <c r="D351">
        <v>1</v>
      </c>
      <c r="E351" s="2">
        <v>46035</v>
      </c>
      <c r="F351" s="97" t="s">
        <v>7</v>
      </c>
      <c r="G351" s="97" t="s">
        <v>8</v>
      </c>
      <c r="H351" s="97" t="s">
        <v>70</v>
      </c>
      <c r="I351" s="97" t="s">
        <v>77</v>
      </c>
      <c r="J351" s="97" t="s">
        <v>78</v>
      </c>
      <c r="K351" s="97" t="s">
        <v>73</v>
      </c>
      <c r="L351">
        <v>701000</v>
      </c>
      <c r="M351" s="97" t="s">
        <v>62</v>
      </c>
      <c r="N351" s="97" t="s">
        <v>33</v>
      </c>
      <c r="O351">
        <v>454</v>
      </c>
      <c r="P351">
        <v>1.81</v>
      </c>
      <c r="Q351">
        <v>0.82</v>
      </c>
      <c r="R351" s="97" t="s">
        <v>1205</v>
      </c>
      <c r="S351" s="97" t="s">
        <v>195</v>
      </c>
    </row>
    <row r="352" spans="1:19" x14ac:dyDescent="0.3">
      <c r="A352" s="97" t="s">
        <v>810</v>
      </c>
      <c r="B352" s="97" t="s">
        <v>22</v>
      </c>
      <c r="C352">
        <v>2026</v>
      </c>
      <c r="D352">
        <v>1</v>
      </c>
      <c r="E352" s="2">
        <v>46035</v>
      </c>
      <c r="F352" s="97" t="s">
        <v>7</v>
      </c>
      <c r="G352" s="97" t="s">
        <v>8</v>
      </c>
      <c r="H352" s="97" t="s">
        <v>74</v>
      </c>
      <c r="I352" s="97" t="s">
        <v>82</v>
      </c>
      <c r="J352" s="97" t="s">
        <v>83</v>
      </c>
      <c r="K352" s="97" t="s">
        <v>73</v>
      </c>
      <c r="L352">
        <v>701000</v>
      </c>
      <c r="M352" s="97" t="s">
        <v>62</v>
      </c>
      <c r="N352" s="97" t="s">
        <v>33</v>
      </c>
      <c r="O352">
        <v>196</v>
      </c>
      <c r="P352">
        <v>18.52</v>
      </c>
      <c r="Q352">
        <v>3.63</v>
      </c>
      <c r="R352" s="97" t="s">
        <v>1205</v>
      </c>
      <c r="S352" s="97" t="s">
        <v>195</v>
      </c>
    </row>
    <row r="353" spans="1:19" x14ac:dyDescent="0.3">
      <c r="A353" s="97" t="s">
        <v>811</v>
      </c>
      <c r="B353" s="97" t="s">
        <v>22</v>
      </c>
      <c r="C353">
        <v>2026</v>
      </c>
      <c r="D353">
        <v>1</v>
      </c>
      <c r="E353" s="2">
        <v>46035</v>
      </c>
      <c r="F353" s="97" t="s">
        <v>7</v>
      </c>
      <c r="G353" s="97" t="s">
        <v>8</v>
      </c>
      <c r="H353" s="97" t="s">
        <v>74</v>
      </c>
      <c r="I353" s="97" t="s">
        <v>82</v>
      </c>
      <c r="J353" s="97" t="s">
        <v>83</v>
      </c>
      <c r="K353" s="97" t="s">
        <v>73</v>
      </c>
      <c r="L353">
        <v>701000</v>
      </c>
      <c r="M353" s="97" t="s">
        <v>62</v>
      </c>
      <c r="N353" s="97" t="s">
        <v>33</v>
      </c>
      <c r="O353">
        <v>58</v>
      </c>
      <c r="P353">
        <v>18.45</v>
      </c>
      <c r="Q353">
        <v>1.07</v>
      </c>
      <c r="R353" s="97" t="s">
        <v>1198</v>
      </c>
      <c r="S353" s="97" t="s">
        <v>195</v>
      </c>
    </row>
    <row r="354" spans="1:19" x14ac:dyDescent="0.3">
      <c r="A354" s="97" t="s">
        <v>812</v>
      </c>
      <c r="B354" s="97" t="s">
        <v>22</v>
      </c>
      <c r="C354">
        <v>2026</v>
      </c>
      <c r="D354">
        <v>1</v>
      </c>
      <c r="E354" s="2">
        <v>46035</v>
      </c>
      <c r="F354" s="97" t="s">
        <v>7</v>
      </c>
      <c r="G354" s="97" t="s">
        <v>8</v>
      </c>
      <c r="H354" s="97" t="s">
        <v>74</v>
      </c>
      <c r="I354" s="97" t="s">
        <v>82</v>
      </c>
      <c r="J354" s="97" t="s">
        <v>83</v>
      </c>
      <c r="K354" s="97" t="s">
        <v>73</v>
      </c>
      <c r="L354">
        <v>701000</v>
      </c>
      <c r="M354" s="97" t="s">
        <v>62</v>
      </c>
      <c r="N354" s="97" t="s">
        <v>33</v>
      </c>
      <c r="O354">
        <v>134</v>
      </c>
      <c r="P354">
        <v>18.43</v>
      </c>
      <c r="Q354">
        <v>2.4700000000000002</v>
      </c>
      <c r="R354" s="97" t="s">
        <v>1199</v>
      </c>
      <c r="S354" s="97" t="s">
        <v>195</v>
      </c>
    </row>
    <row r="355" spans="1:19" x14ac:dyDescent="0.3">
      <c r="A355" s="97" t="s">
        <v>813</v>
      </c>
      <c r="B355" s="97" t="s">
        <v>22</v>
      </c>
      <c r="C355">
        <v>2026</v>
      </c>
      <c r="D355">
        <v>1</v>
      </c>
      <c r="E355" s="2">
        <v>46035</v>
      </c>
      <c r="F355" s="97" t="s">
        <v>7</v>
      </c>
      <c r="G355" s="97" t="s">
        <v>8</v>
      </c>
      <c r="H355" s="97" t="s">
        <v>74</v>
      </c>
      <c r="I355" s="97" t="s">
        <v>82</v>
      </c>
      <c r="J355" s="97" t="s">
        <v>83</v>
      </c>
      <c r="K355" s="97" t="s">
        <v>73</v>
      </c>
      <c r="L355">
        <v>701000</v>
      </c>
      <c r="M355" s="97" t="s">
        <v>62</v>
      </c>
      <c r="N355" s="97" t="s">
        <v>33</v>
      </c>
      <c r="O355">
        <v>122</v>
      </c>
      <c r="P355">
        <v>18.440000000000001</v>
      </c>
      <c r="Q355">
        <v>2.25</v>
      </c>
      <c r="R355" s="97" t="s">
        <v>1197</v>
      </c>
      <c r="S355" s="97" t="s">
        <v>195</v>
      </c>
    </row>
    <row r="356" spans="1:19" x14ac:dyDescent="0.3">
      <c r="A356" s="97" t="s">
        <v>814</v>
      </c>
      <c r="B356" s="97" t="s">
        <v>22</v>
      </c>
      <c r="C356">
        <v>2026</v>
      </c>
      <c r="D356">
        <v>1</v>
      </c>
      <c r="E356" s="2">
        <v>46035</v>
      </c>
      <c r="F356" s="97" t="s">
        <v>7</v>
      </c>
      <c r="G356" s="97" t="s">
        <v>8</v>
      </c>
      <c r="H356" s="97" t="s">
        <v>74</v>
      </c>
      <c r="I356" s="97" t="s">
        <v>82</v>
      </c>
      <c r="J356" s="97" t="s">
        <v>83</v>
      </c>
      <c r="K356" s="97" t="s">
        <v>73</v>
      </c>
      <c r="L356">
        <v>701000</v>
      </c>
      <c r="M356" s="97" t="s">
        <v>62</v>
      </c>
      <c r="N356" s="97" t="s">
        <v>33</v>
      </c>
      <c r="O356">
        <v>68</v>
      </c>
      <c r="P356">
        <v>18.82</v>
      </c>
      <c r="Q356">
        <v>1.28</v>
      </c>
      <c r="R356" s="97" t="s">
        <v>1204</v>
      </c>
      <c r="S356" s="97" t="s">
        <v>195</v>
      </c>
    </row>
    <row r="357" spans="1:19" x14ac:dyDescent="0.3">
      <c r="A357" s="97" t="s">
        <v>305</v>
      </c>
      <c r="B357" s="97" t="s">
        <v>22</v>
      </c>
      <c r="C357">
        <v>2026</v>
      </c>
      <c r="D357">
        <v>1</v>
      </c>
      <c r="E357" s="2">
        <v>46036</v>
      </c>
      <c r="F357" s="97" t="s">
        <v>7</v>
      </c>
      <c r="G357" s="97" t="s">
        <v>8</v>
      </c>
      <c r="H357" s="97" t="s">
        <v>74</v>
      </c>
      <c r="I357" s="97" t="s">
        <v>84</v>
      </c>
      <c r="J357" s="97" t="s">
        <v>85</v>
      </c>
      <c r="K357" s="97" t="s">
        <v>73</v>
      </c>
      <c r="L357">
        <v>701000</v>
      </c>
      <c r="M357" s="97" t="s">
        <v>62</v>
      </c>
      <c r="N357" s="97" t="s">
        <v>33</v>
      </c>
      <c r="O357">
        <v>9129</v>
      </c>
      <c r="P357">
        <v>0.95</v>
      </c>
      <c r="Q357">
        <v>8.67</v>
      </c>
      <c r="R357" s="97" t="s">
        <v>1203</v>
      </c>
      <c r="S357" s="97" t="s">
        <v>195</v>
      </c>
    </row>
    <row r="358" spans="1:19" x14ac:dyDescent="0.3">
      <c r="A358" s="97" t="s">
        <v>306</v>
      </c>
      <c r="B358" s="97" t="s">
        <v>22</v>
      </c>
      <c r="C358">
        <v>2026</v>
      </c>
      <c r="D358">
        <v>1</v>
      </c>
      <c r="E358" s="2">
        <v>46036</v>
      </c>
      <c r="F358" s="97" t="s">
        <v>7</v>
      </c>
      <c r="G358" s="97" t="s">
        <v>8</v>
      </c>
      <c r="H358" s="97" t="s">
        <v>74</v>
      </c>
      <c r="I358" s="97" t="s">
        <v>84</v>
      </c>
      <c r="J358" s="97" t="s">
        <v>85</v>
      </c>
      <c r="K358" s="97" t="s">
        <v>73</v>
      </c>
      <c r="L358">
        <v>701000</v>
      </c>
      <c r="M358" s="97" t="s">
        <v>62</v>
      </c>
      <c r="N358" s="97" t="s">
        <v>33</v>
      </c>
      <c r="O358">
        <v>582</v>
      </c>
      <c r="P358">
        <v>0.95</v>
      </c>
      <c r="Q358">
        <v>0.55000000000000004</v>
      </c>
      <c r="R358" s="97" t="s">
        <v>1201</v>
      </c>
      <c r="S358" s="97" t="s">
        <v>195</v>
      </c>
    </row>
    <row r="359" spans="1:19" x14ac:dyDescent="0.3">
      <c r="A359" s="97" t="s">
        <v>307</v>
      </c>
      <c r="B359" s="97" t="s">
        <v>22</v>
      </c>
      <c r="C359">
        <v>2026</v>
      </c>
      <c r="D359">
        <v>1</v>
      </c>
      <c r="E359" s="2">
        <v>46036</v>
      </c>
      <c r="F359" s="97" t="s">
        <v>7</v>
      </c>
      <c r="G359" s="97" t="s">
        <v>8</v>
      </c>
      <c r="H359" s="97" t="s">
        <v>74</v>
      </c>
      <c r="I359" s="97" t="s">
        <v>84</v>
      </c>
      <c r="J359" s="97" t="s">
        <v>85</v>
      </c>
      <c r="K359" s="97" t="s">
        <v>73</v>
      </c>
      <c r="L359">
        <v>701000</v>
      </c>
      <c r="M359" s="97" t="s">
        <v>62</v>
      </c>
      <c r="N359" s="97" t="s">
        <v>33</v>
      </c>
      <c r="O359">
        <v>2128</v>
      </c>
      <c r="P359">
        <v>0.95</v>
      </c>
      <c r="Q359">
        <v>2.02</v>
      </c>
      <c r="R359" s="97" t="s">
        <v>1204</v>
      </c>
      <c r="S359" s="97" t="s">
        <v>195</v>
      </c>
    </row>
    <row r="360" spans="1:19" x14ac:dyDescent="0.3">
      <c r="A360" s="97" t="s">
        <v>308</v>
      </c>
      <c r="B360" s="97" t="s">
        <v>22</v>
      </c>
      <c r="C360">
        <v>2026</v>
      </c>
      <c r="D360">
        <v>1</v>
      </c>
      <c r="E360" s="2">
        <v>46036</v>
      </c>
      <c r="F360" s="97" t="s">
        <v>7</v>
      </c>
      <c r="G360" s="97" t="s">
        <v>8</v>
      </c>
      <c r="H360" s="97" t="s">
        <v>74</v>
      </c>
      <c r="I360" s="97" t="s">
        <v>84</v>
      </c>
      <c r="J360" s="97" t="s">
        <v>85</v>
      </c>
      <c r="K360" s="97" t="s">
        <v>73</v>
      </c>
      <c r="L360">
        <v>701000</v>
      </c>
      <c r="M360" s="97" t="s">
        <v>62</v>
      </c>
      <c r="N360" s="97" t="s">
        <v>33</v>
      </c>
      <c r="O360">
        <v>1993</v>
      </c>
      <c r="P360">
        <v>0.95</v>
      </c>
      <c r="Q360">
        <v>1.89</v>
      </c>
      <c r="R360" s="97" t="s">
        <v>1199</v>
      </c>
      <c r="S360" s="97" t="s">
        <v>195</v>
      </c>
    </row>
    <row r="361" spans="1:19" x14ac:dyDescent="0.3">
      <c r="A361" s="97" t="s">
        <v>309</v>
      </c>
      <c r="B361" s="97" t="s">
        <v>22</v>
      </c>
      <c r="C361">
        <v>2026</v>
      </c>
      <c r="D361">
        <v>1</v>
      </c>
      <c r="E361" s="2">
        <v>46036</v>
      </c>
      <c r="F361" s="97" t="s">
        <v>7</v>
      </c>
      <c r="G361" s="97" t="s">
        <v>8</v>
      </c>
      <c r="H361" s="97" t="s">
        <v>74</v>
      </c>
      <c r="I361" s="97" t="s">
        <v>84</v>
      </c>
      <c r="J361" s="97" t="s">
        <v>85</v>
      </c>
      <c r="K361" s="97" t="s">
        <v>73</v>
      </c>
      <c r="L361">
        <v>701000</v>
      </c>
      <c r="M361" s="97" t="s">
        <v>62</v>
      </c>
      <c r="N361" s="97" t="s">
        <v>33</v>
      </c>
      <c r="O361">
        <v>5066</v>
      </c>
      <c r="P361">
        <v>0.95</v>
      </c>
      <c r="Q361">
        <v>4.82</v>
      </c>
      <c r="R361" s="97" t="s">
        <v>1197</v>
      </c>
      <c r="S361" s="97" t="s">
        <v>195</v>
      </c>
    </row>
    <row r="362" spans="1:19" x14ac:dyDescent="0.3">
      <c r="A362" s="97" t="s">
        <v>440</v>
      </c>
      <c r="B362" s="97" t="s">
        <v>22</v>
      </c>
      <c r="C362">
        <v>2026</v>
      </c>
      <c r="D362">
        <v>1</v>
      </c>
      <c r="E362" s="2">
        <v>46036</v>
      </c>
      <c r="F362" s="97" t="s">
        <v>7</v>
      </c>
      <c r="G362" s="97" t="s">
        <v>8</v>
      </c>
      <c r="H362" s="97" t="s">
        <v>70</v>
      </c>
      <c r="I362" s="97" t="s">
        <v>75</v>
      </c>
      <c r="J362" s="97" t="s">
        <v>76</v>
      </c>
      <c r="K362" s="97" t="s">
        <v>73</v>
      </c>
      <c r="L362">
        <v>701000</v>
      </c>
      <c r="M362" s="97" t="s">
        <v>62</v>
      </c>
      <c r="N362" s="97" t="s">
        <v>33</v>
      </c>
      <c r="O362">
        <v>2161</v>
      </c>
      <c r="P362">
        <v>1.4</v>
      </c>
      <c r="Q362">
        <v>3.03</v>
      </c>
      <c r="R362" s="97" t="s">
        <v>1204</v>
      </c>
      <c r="S362" s="97" t="s">
        <v>195</v>
      </c>
    </row>
    <row r="363" spans="1:19" x14ac:dyDescent="0.3">
      <c r="A363" s="97" t="s">
        <v>441</v>
      </c>
      <c r="B363" s="97" t="s">
        <v>22</v>
      </c>
      <c r="C363">
        <v>2026</v>
      </c>
      <c r="D363">
        <v>1</v>
      </c>
      <c r="E363" s="2">
        <v>46036</v>
      </c>
      <c r="F363" s="97" t="s">
        <v>7</v>
      </c>
      <c r="G363" s="97" t="s">
        <v>8</v>
      </c>
      <c r="H363" s="97" t="s">
        <v>70</v>
      </c>
      <c r="I363" s="97" t="s">
        <v>75</v>
      </c>
      <c r="J363" s="97" t="s">
        <v>76</v>
      </c>
      <c r="K363" s="97" t="s">
        <v>73</v>
      </c>
      <c r="L363">
        <v>701000</v>
      </c>
      <c r="M363" s="97" t="s">
        <v>62</v>
      </c>
      <c r="N363" s="97" t="s">
        <v>33</v>
      </c>
      <c r="O363">
        <v>716</v>
      </c>
      <c r="P363">
        <v>1.4</v>
      </c>
      <c r="Q363">
        <v>1</v>
      </c>
      <c r="R363" s="97" t="s">
        <v>1205</v>
      </c>
      <c r="S363" s="97" t="s">
        <v>195</v>
      </c>
    </row>
    <row r="364" spans="1:19" x14ac:dyDescent="0.3">
      <c r="A364" s="97" t="s">
        <v>442</v>
      </c>
      <c r="B364" s="97" t="s">
        <v>22</v>
      </c>
      <c r="C364">
        <v>2026</v>
      </c>
      <c r="D364">
        <v>1</v>
      </c>
      <c r="E364" s="2">
        <v>46036</v>
      </c>
      <c r="F364" s="97" t="s">
        <v>7</v>
      </c>
      <c r="G364" s="97" t="s">
        <v>8</v>
      </c>
      <c r="H364" s="97" t="s">
        <v>70</v>
      </c>
      <c r="I364" s="97" t="s">
        <v>75</v>
      </c>
      <c r="J364" s="97" t="s">
        <v>76</v>
      </c>
      <c r="K364" s="97" t="s">
        <v>73</v>
      </c>
      <c r="L364">
        <v>701000</v>
      </c>
      <c r="M364" s="97" t="s">
        <v>62</v>
      </c>
      <c r="N364" s="97" t="s">
        <v>33</v>
      </c>
      <c r="O364">
        <v>1439</v>
      </c>
      <c r="P364">
        <v>1.4</v>
      </c>
      <c r="Q364">
        <v>2.0099999999999998</v>
      </c>
      <c r="R364" s="97" t="s">
        <v>1202</v>
      </c>
      <c r="S364" s="97" t="s">
        <v>195</v>
      </c>
    </row>
    <row r="365" spans="1:19" x14ac:dyDescent="0.3">
      <c r="A365" s="97" t="s">
        <v>443</v>
      </c>
      <c r="B365" s="97" t="s">
        <v>22</v>
      </c>
      <c r="C365">
        <v>2026</v>
      </c>
      <c r="D365">
        <v>1</v>
      </c>
      <c r="E365" s="2">
        <v>46036</v>
      </c>
      <c r="F365" s="97" t="s">
        <v>7</v>
      </c>
      <c r="G365" s="97" t="s">
        <v>8</v>
      </c>
      <c r="H365" s="97" t="s">
        <v>70</v>
      </c>
      <c r="I365" s="97" t="s">
        <v>75</v>
      </c>
      <c r="J365" s="97" t="s">
        <v>76</v>
      </c>
      <c r="K365" s="97" t="s">
        <v>73</v>
      </c>
      <c r="L365">
        <v>701000</v>
      </c>
      <c r="M365" s="97" t="s">
        <v>62</v>
      </c>
      <c r="N365" s="97" t="s">
        <v>33</v>
      </c>
      <c r="O365">
        <v>2947</v>
      </c>
      <c r="P365">
        <v>1.4</v>
      </c>
      <c r="Q365">
        <v>4.13</v>
      </c>
      <c r="R365" s="97" t="s">
        <v>1203</v>
      </c>
      <c r="S365" s="97" t="s">
        <v>195</v>
      </c>
    </row>
    <row r="366" spans="1:19" x14ac:dyDescent="0.3">
      <c r="A366" s="97" t="s">
        <v>444</v>
      </c>
      <c r="B366" s="97" t="s">
        <v>22</v>
      </c>
      <c r="C366">
        <v>2026</v>
      </c>
      <c r="D366">
        <v>1</v>
      </c>
      <c r="E366" s="2">
        <v>46036</v>
      </c>
      <c r="F366" s="97" t="s">
        <v>7</v>
      </c>
      <c r="G366" s="97" t="s">
        <v>8</v>
      </c>
      <c r="H366" s="97" t="s">
        <v>70</v>
      </c>
      <c r="I366" s="97" t="s">
        <v>75</v>
      </c>
      <c r="J366" s="97" t="s">
        <v>76</v>
      </c>
      <c r="K366" s="97" t="s">
        <v>73</v>
      </c>
      <c r="L366">
        <v>701000</v>
      </c>
      <c r="M366" s="97" t="s">
        <v>62</v>
      </c>
      <c r="N366" s="97" t="s">
        <v>33</v>
      </c>
      <c r="O366">
        <v>1105</v>
      </c>
      <c r="P366">
        <v>1.4</v>
      </c>
      <c r="Q366">
        <v>1.55</v>
      </c>
      <c r="R366" s="97" t="s">
        <v>1197</v>
      </c>
      <c r="S366" s="97" t="s">
        <v>195</v>
      </c>
    </row>
    <row r="367" spans="1:19" x14ac:dyDescent="0.3">
      <c r="A367" s="97" t="s">
        <v>720</v>
      </c>
      <c r="B367" s="97" t="s">
        <v>22</v>
      </c>
      <c r="C367">
        <v>2026</v>
      </c>
      <c r="D367">
        <v>1</v>
      </c>
      <c r="E367" s="2">
        <v>46036</v>
      </c>
      <c r="F367" s="97" t="s">
        <v>7</v>
      </c>
      <c r="G367" s="97" t="s">
        <v>8</v>
      </c>
      <c r="H367" s="97" t="s">
        <v>70</v>
      </c>
      <c r="I367" s="97" t="s">
        <v>79</v>
      </c>
      <c r="J367" s="97" t="s">
        <v>80</v>
      </c>
      <c r="K367" s="97" t="s">
        <v>73</v>
      </c>
      <c r="L367">
        <v>701000</v>
      </c>
      <c r="M367" s="97" t="s">
        <v>62</v>
      </c>
      <c r="N367" s="97" t="s">
        <v>33</v>
      </c>
      <c r="O367">
        <v>1675</v>
      </c>
      <c r="P367">
        <v>2.6</v>
      </c>
      <c r="Q367">
        <v>4.3499999999999996</v>
      </c>
      <c r="R367" s="97" t="s">
        <v>1200</v>
      </c>
      <c r="S367" s="97" t="s">
        <v>195</v>
      </c>
    </row>
    <row r="368" spans="1:19" x14ac:dyDescent="0.3">
      <c r="A368" s="97" t="s">
        <v>721</v>
      </c>
      <c r="B368" s="97" t="s">
        <v>22</v>
      </c>
      <c r="C368">
        <v>2026</v>
      </c>
      <c r="D368">
        <v>1</v>
      </c>
      <c r="E368" s="2">
        <v>46036</v>
      </c>
      <c r="F368" s="97" t="s">
        <v>7</v>
      </c>
      <c r="G368" s="97" t="s">
        <v>8</v>
      </c>
      <c r="H368" s="97" t="s">
        <v>70</v>
      </c>
      <c r="I368" s="97" t="s">
        <v>79</v>
      </c>
      <c r="J368" s="97" t="s">
        <v>80</v>
      </c>
      <c r="K368" s="97" t="s">
        <v>73</v>
      </c>
      <c r="L368">
        <v>701000</v>
      </c>
      <c r="M368" s="97" t="s">
        <v>62</v>
      </c>
      <c r="N368" s="97" t="s">
        <v>33</v>
      </c>
      <c r="O368">
        <v>3950</v>
      </c>
      <c r="P368">
        <v>2.6</v>
      </c>
      <c r="Q368">
        <v>10.27</v>
      </c>
      <c r="R368" s="97" t="s">
        <v>1202</v>
      </c>
      <c r="S368" s="97" t="s">
        <v>195</v>
      </c>
    </row>
    <row r="369" spans="1:19" x14ac:dyDescent="0.3">
      <c r="A369" s="97" t="s">
        <v>722</v>
      </c>
      <c r="B369" s="97" t="s">
        <v>22</v>
      </c>
      <c r="C369">
        <v>2026</v>
      </c>
      <c r="D369">
        <v>1</v>
      </c>
      <c r="E369" s="2">
        <v>46036</v>
      </c>
      <c r="F369" s="97" t="s">
        <v>7</v>
      </c>
      <c r="G369" s="97" t="s">
        <v>8</v>
      </c>
      <c r="H369" s="97" t="s">
        <v>70</v>
      </c>
      <c r="I369" s="97" t="s">
        <v>79</v>
      </c>
      <c r="J369" s="97" t="s">
        <v>80</v>
      </c>
      <c r="K369" s="97" t="s">
        <v>73</v>
      </c>
      <c r="L369">
        <v>701000</v>
      </c>
      <c r="M369" s="97" t="s">
        <v>62</v>
      </c>
      <c r="N369" s="97" t="s">
        <v>33</v>
      </c>
      <c r="O369">
        <v>884</v>
      </c>
      <c r="P369">
        <v>2.6</v>
      </c>
      <c r="Q369">
        <v>2.2999999999999998</v>
      </c>
      <c r="R369" s="97" t="s">
        <v>1203</v>
      </c>
      <c r="S369" s="97" t="s">
        <v>195</v>
      </c>
    </row>
    <row r="370" spans="1:19" x14ac:dyDescent="0.3">
      <c r="A370" s="97" t="s">
        <v>723</v>
      </c>
      <c r="B370" s="97" t="s">
        <v>22</v>
      </c>
      <c r="C370">
        <v>2026</v>
      </c>
      <c r="D370">
        <v>1</v>
      </c>
      <c r="E370" s="2">
        <v>46036</v>
      </c>
      <c r="F370" s="97" t="s">
        <v>7</v>
      </c>
      <c r="G370" s="97" t="s">
        <v>8</v>
      </c>
      <c r="H370" s="97" t="s">
        <v>70</v>
      </c>
      <c r="I370" s="97" t="s">
        <v>79</v>
      </c>
      <c r="J370" s="97" t="s">
        <v>80</v>
      </c>
      <c r="K370" s="97" t="s">
        <v>73</v>
      </c>
      <c r="L370">
        <v>701000</v>
      </c>
      <c r="M370" s="97" t="s">
        <v>62</v>
      </c>
      <c r="N370" s="97" t="s">
        <v>33</v>
      </c>
      <c r="O370">
        <v>723</v>
      </c>
      <c r="P370">
        <v>2.6</v>
      </c>
      <c r="Q370">
        <v>1.88</v>
      </c>
      <c r="R370" s="97" t="s">
        <v>1199</v>
      </c>
      <c r="S370" s="97" t="s">
        <v>195</v>
      </c>
    </row>
    <row r="371" spans="1:19" x14ac:dyDescent="0.3">
      <c r="A371" s="97" t="s">
        <v>724</v>
      </c>
      <c r="B371" s="97" t="s">
        <v>22</v>
      </c>
      <c r="C371">
        <v>2026</v>
      </c>
      <c r="D371">
        <v>1</v>
      </c>
      <c r="E371" s="2">
        <v>46036</v>
      </c>
      <c r="F371" s="97" t="s">
        <v>7</v>
      </c>
      <c r="G371" s="97" t="s">
        <v>8</v>
      </c>
      <c r="H371" s="97" t="s">
        <v>70</v>
      </c>
      <c r="I371" s="97" t="s">
        <v>79</v>
      </c>
      <c r="J371" s="97" t="s">
        <v>80</v>
      </c>
      <c r="K371" s="97" t="s">
        <v>73</v>
      </c>
      <c r="L371">
        <v>701000</v>
      </c>
      <c r="M371" s="97" t="s">
        <v>62</v>
      </c>
      <c r="N371" s="97" t="s">
        <v>33</v>
      </c>
      <c r="O371">
        <v>1065</v>
      </c>
      <c r="P371">
        <v>2.6</v>
      </c>
      <c r="Q371">
        <v>2.77</v>
      </c>
      <c r="R371" s="97" t="s">
        <v>1198</v>
      </c>
      <c r="S371" s="97" t="s">
        <v>195</v>
      </c>
    </row>
    <row r="372" spans="1:19" x14ac:dyDescent="0.3">
      <c r="A372" s="97" t="s">
        <v>230</v>
      </c>
      <c r="B372" s="97" t="s">
        <v>22</v>
      </c>
      <c r="C372">
        <v>2026</v>
      </c>
      <c r="D372">
        <v>1</v>
      </c>
      <c r="E372" s="2">
        <v>46037</v>
      </c>
      <c r="F372" s="97" t="s">
        <v>7</v>
      </c>
      <c r="G372" s="97" t="s">
        <v>8</v>
      </c>
      <c r="H372" s="97" t="s">
        <v>70</v>
      </c>
      <c r="I372" s="97" t="s">
        <v>84</v>
      </c>
      <c r="J372" s="97" t="s">
        <v>85</v>
      </c>
      <c r="K372" s="97" t="s">
        <v>73</v>
      </c>
      <c r="L372">
        <v>701000</v>
      </c>
      <c r="M372" s="97" t="s">
        <v>62</v>
      </c>
      <c r="N372" s="97" t="s">
        <v>33</v>
      </c>
      <c r="O372">
        <v>6018</v>
      </c>
      <c r="P372">
        <v>0.95</v>
      </c>
      <c r="Q372">
        <v>5.72</v>
      </c>
      <c r="R372" s="97" t="s">
        <v>1198</v>
      </c>
      <c r="S372" s="97" t="s">
        <v>195</v>
      </c>
    </row>
    <row r="373" spans="1:19" x14ac:dyDescent="0.3">
      <c r="A373" s="97" t="s">
        <v>231</v>
      </c>
      <c r="B373" s="97" t="s">
        <v>22</v>
      </c>
      <c r="C373">
        <v>2026</v>
      </c>
      <c r="D373">
        <v>1</v>
      </c>
      <c r="E373" s="2">
        <v>46037</v>
      </c>
      <c r="F373" s="97" t="s">
        <v>7</v>
      </c>
      <c r="G373" s="97" t="s">
        <v>8</v>
      </c>
      <c r="H373" s="97" t="s">
        <v>70</v>
      </c>
      <c r="I373" s="97" t="s">
        <v>84</v>
      </c>
      <c r="J373" s="97" t="s">
        <v>85</v>
      </c>
      <c r="K373" s="97" t="s">
        <v>73</v>
      </c>
      <c r="L373">
        <v>701000</v>
      </c>
      <c r="M373" s="97" t="s">
        <v>62</v>
      </c>
      <c r="N373" s="97" t="s">
        <v>33</v>
      </c>
      <c r="O373">
        <v>1430</v>
      </c>
      <c r="P373">
        <v>0.95</v>
      </c>
      <c r="Q373">
        <v>1.36</v>
      </c>
      <c r="R373" s="97" t="s">
        <v>1201</v>
      </c>
      <c r="S373" s="97" t="s">
        <v>195</v>
      </c>
    </row>
    <row r="374" spans="1:19" x14ac:dyDescent="0.3">
      <c r="A374" s="97" t="s">
        <v>232</v>
      </c>
      <c r="B374" s="97" t="s">
        <v>22</v>
      </c>
      <c r="C374">
        <v>2026</v>
      </c>
      <c r="D374">
        <v>1</v>
      </c>
      <c r="E374" s="2">
        <v>46037</v>
      </c>
      <c r="F374" s="97" t="s">
        <v>7</v>
      </c>
      <c r="G374" s="97" t="s">
        <v>8</v>
      </c>
      <c r="H374" s="97" t="s">
        <v>70</v>
      </c>
      <c r="I374" s="97" t="s">
        <v>84</v>
      </c>
      <c r="J374" s="97" t="s">
        <v>85</v>
      </c>
      <c r="K374" s="97" t="s">
        <v>73</v>
      </c>
      <c r="L374">
        <v>701000</v>
      </c>
      <c r="M374" s="97" t="s">
        <v>62</v>
      </c>
      <c r="N374" s="97" t="s">
        <v>33</v>
      </c>
      <c r="O374">
        <v>3570</v>
      </c>
      <c r="P374">
        <v>0.95</v>
      </c>
      <c r="Q374">
        <v>3.39</v>
      </c>
      <c r="R374" s="97" t="s">
        <v>1204</v>
      </c>
      <c r="S374" s="97" t="s">
        <v>195</v>
      </c>
    </row>
    <row r="375" spans="1:19" x14ac:dyDescent="0.3">
      <c r="A375" s="97" t="s">
        <v>233</v>
      </c>
      <c r="B375" s="97" t="s">
        <v>22</v>
      </c>
      <c r="C375">
        <v>2026</v>
      </c>
      <c r="D375">
        <v>1</v>
      </c>
      <c r="E375" s="2">
        <v>46037</v>
      </c>
      <c r="F375" s="97" t="s">
        <v>7</v>
      </c>
      <c r="G375" s="97" t="s">
        <v>8</v>
      </c>
      <c r="H375" s="97" t="s">
        <v>70</v>
      </c>
      <c r="I375" s="97" t="s">
        <v>84</v>
      </c>
      <c r="J375" s="97" t="s">
        <v>85</v>
      </c>
      <c r="K375" s="97" t="s">
        <v>73</v>
      </c>
      <c r="L375">
        <v>701000</v>
      </c>
      <c r="M375" s="97" t="s">
        <v>62</v>
      </c>
      <c r="N375" s="97" t="s">
        <v>33</v>
      </c>
      <c r="O375">
        <v>2635</v>
      </c>
      <c r="P375">
        <v>0.95</v>
      </c>
      <c r="Q375">
        <v>2.5</v>
      </c>
      <c r="R375" s="97" t="s">
        <v>1202</v>
      </c>
      <c r="S375" s="97" t="s">
        <v>195</v>
      </c>
    </row>
    <row r="376" spans="1:19" x14ac:dyDescent="0.3">
      <c r="A376" s="97" t="s">
        <v>234</v>
      </c>
      <c r="B376" s="97" t="s">
        <v>22</v>
      </c>
      <c r="C376">
        <v>2026</v>
      </c>
      <c r="D376">
        <v>1</v>
      </c>
      <c r="E376" s="2">
        <v>46037</v>
      </c>
      <c r="F376" s="97" t="s">
        <v>7</v>
      </c>
      <c r="G376" s="97" t="s">
        <v>8</v>
      </c>
      <c r="H376" s="97" t="s">
        <v>70</v>
      </c>
      <c r="I376" s="97" t="s">
        <v>84</v>
      </c>
      <c r="J376" s="97" t="s">
        <v>85</v>
      </c>
      <c r="K376" s="97" t="s">
        <v>73</v>
      </c>
      <c r="L376">
        <v>701000</v>
      </c>
      <c r="M376" s="97" t="s">
        <v>62</v>
      </c>
      <c r="N376" s="97" t="s">
        <v>33</v>
      </c>
      <c r="O376">
        <v>1475</v>
      </c>
      <c r="P376">
        <v>0.95</v>
      </c>
      <c r="Q376">
        <v>1.4</v>
      </c>
      <c r="R376" s="97" t="s">
        <v>1200</v>
      </c>
      <c r="S376" s="97" t="s">
        <v>195</v>
      </c>
    </row>
    <row r="377" spans="1:19" x14ac:dyDescent="0.3">
      <c r="A377" s="97" t="s">
        <v>325</v>
      </c>
      <c r="B377" s="97" t="s">
        <v>22</v>
      </c>
      <c r="C377">
        <v>2026</v>
      </c>
      <c r="D377">
        <v>1</v>
      </c>
      <c r="E377" s="2">
        <v>46037</v>
      </c>
      <c r="F377" s="97" t="s">
        <v>7</v>
      </c>
      <c r="G377" s="97" t="s">
        <v>8</v>
      </c>
      <c r="H377" s="97" t="s">
        <v>70</v>
      </c>
      <c r="I377" s="97" t="s">
        <v>71</v>
      </c>
      <c r="J377" s="97" t="s">
        <v>72</v>
      </c>
      <c r="K377" s="97" t="s">
        <v>73</v>
      </c>
      <c r="L377">
        <v>701000</v>
      </c>
      <c r="M377" s="97" t="s">
        <v>62</v>
      </c>
      <c r="N377" s="97" t="s">
        <v>33</v>
      </c>
      <c r="O377">
        <v>4797</v>
      </c>
      <c r="P377">
        <v>1.05</v>
      </c>
      <c r="Q377">
        <v>5.04</v>
      </c>
      <c r="R377" s="97" t="s">
        <v>1201</v>
      </c>
      <c r="S377" s="97" t="s">
        <v>195</v>
      </c>
    </row>
    <row r="378" spans="1:19" x14ac:dyDescent="0.3">
      <c r="A378" s="97" t="s">
        <v>326</v>
      </c>
      <c r="B378" s="97" t="s">
        <v>22</v>
      </c>
      <c r="C378">
        <v>2026</v>
      </c>
      <c r="D378">
        <v>1</v>
      </c>
      <c r="E378" s="2">
        <v>46037</v>
      </c>
      <c r="F378" s="97" t="s">
        <v>7</v>
      </c>
      <c r="G378" s="97" t="s">
        <v>8</v>
      </c>
      <c r="H378" s="97" t="s">
        <v>70</v>
      </c>
      <c r="I378" s="97" t="s">
        <v>71</v>
      </c>
      <c r="J378" s="97" t="s">
        <v>72</v>
      </c>
      <c r="K378" s="97" t="s">
        <v>73</v>
      </c>
      <c r="L378">
        <v>701000</v>
      </c>
      <c r="M378" s="97" t="s">
        <v>62</v>
      </c>
      <c r="N378" s="97" t="s">
        <v>33</v>
      </c>
      <c r="O378">
        <v>746</v>
      </c>
      <c r="P378">
        <v>1.05</v>
      </c>
      <c r="Q378">
        <v>0.78</v>
      </c>
      <c r="R378" s="97" t="s">
        <v>1198</v>
      </c>
      <c r="S378" s="97" t="s">
        <v>195</v>
      </c>
    </row>
    <row r="379" spans="1:19" x14ac:dyDescent="0.3">
      <c r="A379" s="97" t="s">
        <v>327</v>
      </c>
      <c r="B379" s="97" t="s">
        <v>22</v>
      </c>
      <c r="C379">
        <v>2026</v>
      </c>
      <c r="D379">
        <v>1</v>
      </c>
      <c r="E379" s="2">
        <v>46037</v>
      </c>
      <c r="F379" s="97" t="s">
        <v>7</v>
      </c>
      <c r="G379" s="97" t="s">
        <v>8</v>
      </c>
      <c r="H379" s="97" t="s">
        <v>70</v>
      </c>
      <c r="I379" s="97" t="s">
        <v>71</v>
      </c>
      <c r="J379" s="97" t="s">
        <v>72</v>
      </c>
      <c r="K379" s="97" t="s">
        <v>73</v>
      </c>
      <c r="L379">
        <v>701000</v>
      </c>
      <c r="M379" s="97" t="s">
        <v>62</v>
      </c>
      <c r="N379" s="97" t="s">
        <v>33</v>
      </c>
      <c r="O379">
        <v>1257</v>
      </c>
      <c r="P379">
        <v>1.05</v>
      </c>
      <c r="Q379">
        <v>1.32</v>
      </c>
      <c r="R379" s="97" t="s">
        <v>1200</v>
      </c>
      <c r="S379" s="97" t="s">
        <v>195</v>
      </c>
    </row>
    <row r="380" spans="1:19" x14ac:dyDescent="0.3">
      <c r="A380" s="97" t="s">
        <v>328</v>
      </c>
      <c r="B380" s="97" t="s">
        <v>22</v>
      </c>
      <c r="C380">
        <v>2026</v>
      </c>
      <c r="D380">
        <v>1</v>
      </c>
      <c r="E380" s="2">
        <v>46037</v>
      </c>
      <c r="F380" s="97" t="s">
        <v>7</v>
      </c>
      <c r="G380" s="97" t="s">
        <v>8</v>
      </c>
      <c r="H380" s="97" t="s">
        <v>70</v>
      </c>
      <c r="I380" s="97" t="s">
        <v>71</v>
      </c>
      <c r="J380" s="97" t="s">
        <v>72</v>
      </c>
      <c r="K380" s="97" t="s">
        <v>73</v>
      </c>
      <c r="L380">
        <v>701000</v>
      </c>
      <c r="M380" s="97" t="s">
        <v>62</v>
      </c>
      <c r="N380" s="97" t="s">
        <v>33</v>
      </c>
      <c r="O380">
        <v>6037</v>
      </c>
      <c r="P380">
        <v>1.05</v>
      </c>
      <c r="Q380">
        <v>6.34</v>
      </c>
      <c r="R380" s="97" t="s">
        <v>1205</v>
      </c>
      <c r="S380" s="97" t="s">
        <v>195</v>
      </c>
    </row>
    <row r="381" spans="1:19" x14ac:dyDescent="0.3">
      <c r="A381" s="97" t="s">
        <v>329</v>
      </c>
      <c r="B381" s="97" t="s">
        <v>22</v>
      </c>
      <c r="C381">
        <v>2026</v>
      </c>
      <c r="D381">
        <v>1</v>
      </c>
      <c r="E381" s="2">
        <v>46037</v>
      </c>
      <c r="F381" s="97" t="s">
        <v>7</v>
      </c>
      <c r="G381" s="97" t="s">
        <v>8</v>
      </c>
      <c r="H381" s="97" t="s">
        <v>70</v>
      </c>
      <c r="I381" s="97" t="s">
        <v>71</v>
      </c>
      <c r="J381" s="97" t="s">
        <v>72</v>
      </c>
      <c r="K381" s="97" t="s">
        <v>73</v>
      </c>
      <c r="L381">
        <v>701000</v>
      </c>
      <c r="M381" s="97" t="s">
        <v>62</v>
      </c>
      <c r="N381" s="97" t="s">
        <v>33</v>
      </c>
      <c r="O381">
        <v>5395</v>
      </c>
      <c r="P381">
        <v>1.05</v>
      </c>
      <c r="Q381">
        <v>5.66</v>
      </c>
      <c r="R381" s="97" t="s">
        <v>1199</v>
      </c>
      <c r="S381" s="97" t="s">
        <v>195</v>
      </c>
    </row>
    <row r="382" spans="1:19" x14ac:dyDescent="0.3">
      <c r="A382" s="97" t="s">
        <v>335</v>
      </c>
      <c r="B382" s="97" t="s">
        <v>22</v>
      </c>
      <c r="C382">
        <v>2026</v>
      </c>
      <c r="D382">
        <v>1</v>
      </c>
      <c r="E382" s="2">
        <v>46037</v>
      </c>
      <c r="F382" s="97" t="s">
        <v>7</v>
      </c>
      <c r="G382" s="97" t="s">
        <v>8</v>
      </c>
      <c r="H382" s="97" t="s">
        <v>70</v>
      </c>
      <c r="I382" s="97" t="s">
        <v>71</v>
      </c>
      <c r="J382" s="97" t="s">
        <v>72</v>
      </c>
      <c r="K382" s="97" t="s">
        <v>73</v>
      </c>
      <c r="L382">
        <v>701000</v>
      </c>
      <c r="M382" s="97" t="s">
        <v>62</v>
      </c>
      <c r="N382" s="97" t="s">
        <v>33</v>
      </c>
      <c r="O382">
        <v>913</v>
      </c>
      <c r="P382">
        <v>1.05</v>
      </c>
      <c r="Q382">
        <v>0.96</v>
      </c>
      <c r="R382" s="97" t="s">
        <v>1203</v>
      </c>
      <c r="S382" s="97" t="s">
        <v>195</v>
      </c>
    </row>
    <row r="383" spans="1:19" x14ac:dyDescent="0.3">
      <c r="A383" s="97" t="s">
        <v>336</v>
      </c>
      <c r="B383" s="97" t="s">
        <v>22</v>
      </c>
      <c r="C383">
        <v>2026</v>
      </c>
      <c r="D383">
        <v>1</v>
      </c>
      <c r="E383" s="2">
        <v>46037</v>
      </c>
      <c r="F383" s="97" t="s">
        <v>7</v>
      </c>
      <c r="G383" s="97" t="s">
        <v>8</v>
      </c>
      <c r="H383" s="97" t="s">
        <v>70</v>
      </c>
      <c r="I383" s="97" t="s">
        <v>71</v>
      </c>
      <c r="J383" s="97" t="s">
        <v>72</v>
      </c>
      <c r="K383" s="97" t="s">
        <v>73</v>
      </c>
      <c r="L383">
        <v>701000</v>
      </c>
      <c r="M383" s="97" t="s">
        <v>62</v>
      </c>
      <c r="N383" s="97" t="s">
        <v>33</v>
      </c>
      <c r="O383">
        <v>2751</v>
      </c>
      <c r="P383">
        <v>1.05</v>
      </c>
      <c r="Q383">
        <v>2.89</v>
      </c>
      <c r="R383" s="97" t="s">
        <v>1205</v>
      </c>
      <c r="S383" s="97" t="s">
        <v>195</v>
      </c>
    </row>
    <row r="384" spans="1:19" x14ac:dyDescent="0.3">
      <c r="A384" s="97" t="s">
        <v>337</v>
      </c>
      <c r="B384" s="97" t="s">
        <v>22</v>
      </c>
      <c r="C384">
        <v>2026</v>
      </c>
      <c r="D384">
        <v>1</v>
      </c>
      <c r="E384" s="2">
        <v>46037</v>
      </c>
      <c r="F384" s="97" t="s">
        <v>7</v>
      </c>
      <c r="G384" s="97" t="s">
        <v>8</v>
      </c>
      <c r="H384" s="97" t="s">
        <v>70</v>
      </c>
      <c r="I384" s="97" t="s">
        <v>71</v>
      </c>
      <c r="J384" s="97" t="s">
        <v>72</v>
      </c>
      <c r="K384" s="97" t="s">
        <v>73</v>
      </c>
      <c r="L384">
        <v>701000</v>
      </c>
      <c r="M384" s="97" t="s">
        <v>62</v>
      </c>
      <c r="N384" s="97" t="s">
        <v>33</v>
      </c>
      <c r="O384">
        <v>5394</v>
      </c>
      <c r="P384">
        <v>1.05</v>
      </c>
      <c r="Q384">
        <v>5.67</v>
      </c>
      <c r="R384" s="97" t="s">
        <v>1202</v>
      </c>
      <c r="S384" s="97" t="s">
        <v>195</v>
      </c>
    </row>
    <row r="385" spans="1:19" x14ac:dyDescent="0.3">
      <c r="A385" s="97" t="s">
        <v>338</v>
      </c>
      <c r="B385" s="97" t="s">
        <v>22</v>
      </c>
      <c r="C385">
        <v>2026</v>
      </c>
      <c r="D385">
        <v>1</v>
      </c>
      <c r="E385" s="2">
        <v>46037</v>
      </c>
      <c r="F385" s="97" t="s">
        <v>7</v>
      </c>
      <c r="G385" s="97" t="s">
        <v>8</v>
      </c>
      <c r="H385" s="97" t="s">
        <v>70</v>
      </c>
      <c r="I385" s="97" t="s">
        <v>71</v>
      </c>
      <c r="J385" s="97" t="s">
        <v>72</v>
      </c>
      <c r="K385" s="97" t="s">
        <v>73</v>
      </c>
      <c r="L385">
        <v>701000</v>
      </c>
      <c r="M385" s="97" t="s">
        <v>62</v>
      </c>
      <c r="N385" s="97" t="s">
        <v>33</v>
      </c>
      <c r="O385">
        <v>8164</v>
      </c>
      <c r="P385">
        <v>1.05</v>
      </c>
      <c r="Q385">
        <v>8.57</v>
      </c>
      <c r="R385" s="97" t="s">
        <v>1201</v>
      </c>
      <c r="S385" s="97" t="s">
        <v>195</v>
      </c>
    </row>
    <row r="386" spans="1:19" x14ac:dyDescent="0.3">
      <c r="A386" s="97" t="s">
        <v>339</v>
      </c>
      <c r="B386" s="97" t="s">
        <v>22</v>
      </c>
      <c r="C386">
        <v>2026</v>
      </c>
      <c r="D386">
        <v>1</v>
      </c>
      <c r="E386" s="2">
        <v>46037</v>
      </c>
      <c r="F386" s="97" t="s">
        <v>7</v>
      </c>
      <c r="G386" s="97" t="s">
        <v>8</v>
      </c>
      <c r="H386" s="97" t="s">
        <v>70</v>
      </c>
      <c r="I386" s="97" t="s">
        <v>71</v>
      </c>
      <c r="J386" s="97" t="s">
        <v>72</v>
      </c>
      <c r="K386" s="97" t="s">
        <v>73</v>
      </c>
      <c r="L386">
        <v>701000</v>
      </c>
      <c r="M386" s="97" t="s">
        <v>62</v>
      </c>
      <c r="N386" s="97" t="s">
        <v>33</v>
      </c>
      <c r="O386">
        <v>2069</v>
      </c>
      <c r="P386">
        <v>1.05</v>
      </c>
      <c r="Q386">
        <v>2.17</v>
      </c>
      <c r="R386" s="97" t="s">
        <v>1197</v>
      </c>
      <c r="S386" s="97" t="s">
        <v>195</v>
      </c>
    </row>
    <row r="387" spans="1:19" x14ac:dyDescent="0.3">
      <c r="A387" s="97" t="s">
        <v>745</v>
      </c>
      <c r="B387" s="97" t="s">
        <v>22</v>
      </c>
      <c r="C387">
        <v>2026</v>
      </c>
      <c r="D387">
        <v>1</v>
      </c>
      <c r="E387" s="2">
        <v>46037</v>
      </c>
      <c r="F387" s="97" t="s">
        <v>7</v>
      </c>
      <c r="G387" s="97" t="s">
        <v>8</v>
      </c>
      <c r="H387" s="97" t="s">
        <v>70</v>
      </c>
      <c r="I387" s="97" t="s">
        <v>82</v>
      </c>
      <c r="J387" s="97" t="s">
        <v>83</v>
      </c>
      <c r="K387" s="97" t="s">
        <v>73</v>
      </c>
      <c r="L387">
        <v>706000</v>
      </c>
      <c r="M387" s="97" t="s">
        <v>63</v>
      </c>
      <c r="N387" s="97" t="s">
        <v>33</v>
      </c>
      <c r="O387">
        <v>73</v>
      </c>
      <c r="P387">
        <v>18.489999999999998</v>
      </c>
      <c r="Q387">
        <v>1.35</v>
      </c>
      <c r="R387" s="97" t="s">
        <v>1198</v>
      </c>
      <c r="S387" s="97" t="s">
        <v>195</v>
      </c>
    </row>
    <row r="388" spans="1:19" x14ac:dyDescent="0.3">
      <c r="A388" s="97" t="s">
        <v>746</v>
      </c>
      <c r="B388" s="97" t="s">
        <v>22</v>
      </c>
      <c r="C388">
        <v>2026</v>
      </c>
      <c r="D388">
        <v>1</v>
      </c>
      <c r="E388" s="2">
        <v>46037</v>
      </c>
      <c r="F388" s="97" t="s">
        <v>7</v>
      </c>
      <c r="G388" s="97" t="s">
        <v>8</v>
      </c>
      <c r="H388" s="97" t="s">
        <v>70</v>
      </c>
      <c r="I388" s="97" t="s">
        <v>82</v>
      </c>
      <c r="J388" s="97" t="s">
        <v>83</v>
      </c>
      <c r="K388" s="97" t="s">
        <v>73</v>
      </c>
      <c r="L388">
        <v>706000</v>
      </c>
      <c r="M388" s="97" t="s">
        <v>63</v>
      </c>
      <c r="N388" s="97" t="s">
        <v>33</v>
      </c>
      <c r="O388">
        <v>118</v>
      </c>
      <c r="P388">
        <v>18.559999999999999</v>
      </c>
      <c r="Q388">
        <v>2.19</v>
      </c>
      <c r="R388" s="97" t="s">
        <v>1203</v>
      </c>
      <c r="S388" s="97" t="s">
        <v>195</v>
      </c>
    </row>
    <row r="389" spans="1:19" x14ac:dyDescent="0.3">
      <c r="A389" s="97" t="s">
        <v>747</v>
      </c>
      <c r="B389" s="97" t="s">
        <v>22</v>
      </c>
      <c r="C389">
        <v>2026</v>
      </c>
      <c r="D389">
        <v>1</v>
      </c>
      <c r="E389" s="2">
        <v>46037</v>
      </c>
      <c r="F389" s="97" t="s">
        <v>7</v>
      </c>
      <c r="G389" s="97" t="s">
        <v>8</v>
      </c>
      <c r="H389" s="97" t="s">
        <v>70</v>
      </c>
      <c r="I389" s="97" t="s">
        <v>82</v>
      </c>
      <c r="J389" s="97" t="s">
        <v>83</v>
      </c>
      <c r="K389" s="97" t="s">
        <v>73</v>
      </c>
      <c r="L389">
        <v>706000</v>
      </c>
      <c r="M389" s="97" t="s">
        <v>63</v>
      </c>
      <c r="N389" s="97" t="s">
        <v>33</v>
      </c>
      <c r="O389">
        <v>163</v>
      </c>
      <c r="P389">
        <v>18.47</v>
      </c>
      <c r="Q389">
        <v>3.01</v>
      </c>
      <c r="R389" s="97" t="s">
        <v>1205</v>
      </c>
      <c r="S389" s="97" t="s">
        <v>195</v>
      </c>
    </row>
    <row r="390" spans="1:19" x14ac:dyDescent="0.3">
      <c r="A390" s="97" t="s">
        <v>748</v>
      </c>
      <c r="B390" s="97" t="s">
        <v>22</v>
      </c>
      <c r="C390">
        <v>2026</v>
      </c>
      <c r="D390">
        <v>1</v>
      </c>
      <c r="E390" s="2">
        <v>46037</v>
      </c>
      <c r="F390" s="97" t="s">
        <v>7</v>
      </c>
      <c r="G390" s="97" t="s">
        <v>8</v>
      </c>
      <c r="H390" s="97" t="s">
        <v>70</v>
      </c>
      <c r="I390" s="97" t="s">
        <v>82</v>
      </c>
      <c r="J390" s="97" t="s">
        <v>83</v>
      </c>
      <c r="K390" s="97" t="s">
        <v>73</v>
      </c>
      <c r="L390">
        <v>706000</v>
      </c>
      <c r="M390" s="97" t="s">
        <v>63</v>
      </c>
      <c r="N390" s="97" t="s">
        <v>33</v>
      </c>
      <c r="O390">
        <v>36</v>
      </c>
      <c r="P390">
        <v>18.329999999999998</v>
      </c>
      <c r="Q390">
        <v>0.66</v>
      </c>
      <c r="R390" s="97" t="s">
        <v>1199</v>
      </c>
      <c r="S390" s="97" t="s">
        <v>195</v>
      </c>
    </row>
    <row r="391" spans="1:19" x14ac:dyDescent="0.3">
      <c r="A391" s="97" t="s">
        <v>749</v>
      </c>
      <c r="B391" s="97" t="s">
        <v>22</v>
      </c>
      <c r="C391">
        <v>2026</v>
      </c>
      <c r="D391">
        <v>1</v>
      </c>
      <c r="E391" s="2">
        <v>46037</v>
      </c>
      <c r="F391" s="97" t="s">
        <v>7</v>
      </c>
      <c r="G391" s="97" t="s">
        <v>8</v>
      </c>
      <c r="H391" s="97" t="s">
        <v>70</v>
      </c>
      <c r="I391" s="97" t="s">
        <v>82</v>
      </c>
      <c r="J391" s="97" t="s">
        <v>83</v>
      </c>
      <c r="K391" s="97" t="s">
        <v>73</v>
      </c>
      <c r="L391">
        <v>706000</v>
      </c>
      <c r="M391" s="97" t="s">
        <v>63</v>
      </c>
      <c r="N391" s="97" t="s">
        <v>33</v>
      </c>
      <c r="O391">
        <v>140</v>
      </c>
      <c r="P391">
        <v>18.57</v>
      </c>
      <c r="Q391">
        <v>2.6</v>
      </c>
      <c r="R391" s="97" t="s">
        <v>1201</v>
      </c>
      <c r="S391" s="97" t="s">
        <v>195</v>
      </c>
    </row>
    <row r="392" spans="1:19" x14ac:dyDescent="0.3">
      <c r="A392" s="97" t="s">
        <v>200</v>
      </c>
      <c r="B392" s="97" t="s">
        <v>22</v>
      </c>
      <c r="C392">
        <v>2026</v>
      </c>
      <c r="D392">
        <v>1</v>
      </c>
      <c r="E392" s="2">
        <v>46038</v>
      </c>
      <c r="F392" s="97" t="s">
        <v>7</v>
      </c>
      <c r="G392" s="97" t="s">
        <v>8</v>
      </c>
      <c r="H392" s="97" t="s">
        <v>74</v>
      </c>
      <c r="I392" s="97" t="s">
        <v>84</v>
      </c>
      <c r="J392" s="97" t="s">
        <v>85</v>
      </c>
      <c r="K392" s="97" t="s">
        <v>73</v>
      </c>
      <c r="L392">
        <v>701000</v>
      </c>
      <c r="M392" s="97" t="s">
        <v>62</v>
      </c>
      <c r="N392" s="97" t="s">
        <v>33</v>
      </c>
      <c r="O392">
        <v>3056</v>
      </c>
      <c r="P392">
        <v>0.95</v>
      </c>
      <c r="Q392">
        <v>2.9</v>
      </c>
      <c r="R392" s="97" t="s">
        <v>1202</v>
      </c>
      <c r="S392" s="97" t="s">
        <v>195</v>
      </c>
    </row>
    <row r="393" spans="1:19" x14ac:dyDescent="0.3">
      <c r="A393" s="97" t="s">
        <v>201</v>
      </c>
      <c r="B393" s="97" t="s">
        <v>22</v>
      </c>
      <c r="C393">
        <v>2026</v>
      </c>
      <c r="D393">
        <v>1</v>
      </c>
      <c r="E393" s="2">
        <v>46038</v>
      </c>
      <c r="F393" s="97" t="s">
        <v>7</v>
      </c>
      <c r="G393" s="97" t="s">
        <v>8</v>
      </c>
      <c r="H393" s="97" t="s">
        <v>74</v>
      </c>
      <c r="I393" s="97" t="s">
        <v>84</v>
      </c>
      <c r="J393" s="97" t="s">
        <v>85</v>
      </c>
      <c r="K393" s="97" t="s">
        <v>73</v>
      </c>
      <c r="L393">
        <v>701000</v>
      </c>
      <c r="M393" s="97" t="s">
        <v>62</v>
      </c>
      <c r="N393" s="97" t="s">
        <v>33</v>
      </c>
      <c r="O393">
        <v>3415</v>
      </c>
      <c r="P393">
        <v>0.95</v>
      </c>
      <c r="Q393">
        <v>3.24</v>
      </c>
      <c r="R393" s="97" t="s">
        <v>1198</v>
      </c>
      <c r="S393" s="97" t="s">
        <v>195</v>
      </c>
    </row>
    <row r="394" spans="1:19" x14ac:dyDescent="0.3">
      <c r="A394" s="97" t="s">
        <v>202</v>
      </c>
      <c r="B394" s="97" t="s">
        <v>22</v>
      </c>
      <c r="C394">
        <v>2026</v>
      </c>
      <c r="D394">
        <v>1</v>
      </c>
      <c r="E394" s="2">
        <v>46038</v>
      </c>
      <c r="F394" s="97" t="s">
        <v>7</v>
      </c>
      <c r="G394" s="97" t="s">
        <v>8</v>
      </c>
      <c r="H394" s="97" t="s">
        <v>74</v>
      </c>
      <c r="I394" s="97" t="s">
        <v>84</v>
      </c>
      <c r="J394" s="97" t="s">
        <v>85</v>
      </c>
      <c r="K394" s="97" t="s">
        <v>73</v>
      </c>
      <c r="L394">
        <v>701000</v>
      </c>
      <c r="M394" s="97" t="s">
        <v>62</v>
      </c>
      <c r="N394" s="97" t="s">
        <v>33</v>
      </c>
      <c r="O394">
        <v>949</v>
      </c>
      <c r="P394">
        <v>0.95</v>
      </c>
      <c r="Q394">
        <v>0.9</v>
      </c>
      <c r="R394" s="97" t="s">
        <v>1197</v>
      </c>
      <c r="S394" s="97" t="s">
        <v>195</v>
      </c>
    </row>
    <row r="395" spans="1:19" x14ac:dyDescent="0.3">
      <c r="A395" s="97" t="s">
        <v>203</v>
      </c>
      <c r="B395" s="97" t="s">
        <v>22</v>
      </c>
      <c r="C395">
        <v>2026</v>
      </c>
      <c r="D395">
        <v>1</v>
      </c>
      <c r="E395" s="2">
        <v>46038</v>
      </c>
      <c r="F395" s="97" t="s">
        <v>7</v>
      </c>
      <c r="G395" s="97" t="s">
        <v>8</v>
      </c>
      <c r="H395" s="97" t="s">
        <v>74</v>
      </c>
      <c r="I395" s="97" t="s">
        <v>84</v>
      </c>
      <c r="J395" s="97" t="s">
        <v>85</v>
      </c>
      <c r="K395" s="97" t="s">
        <v>73</v>
      </c>
      <c r="L395">
        <v>701000</v>
      </c>
      <c r="M395" s="97" t="s">
        <v>62</v>
      </c>
      <c r="N395" s="97" t="s">
        <v>33</v>
      </c>
      <c r="O395">
        <v>5320</v>
      </c>
      <c r="P395">
        <v>0.95</v>
      </c>
      <c r="Q395">
        <v>5.05</v>
      </c>
      <c r="R395" s="97" t="s">
        <v>1199</v>
      </c>
      <c r="S395" s="97" t="s">
        <v>195</v>
      </c>
    </row>
    <row r="396" spans="1:19" x14ac:dyDescent="0.3">
      <c r="A396" s="97" t="s">
        <v>204</v>
      </c>
      <c r="B396" s="97" t="s">
        <v>22</v>
      </c>
      <c r="C396">
        <v>2026</v>
      </c>
      <c r="D396">
        <v>1</v>
      </c>
      <c r="E396" s="2">
        <v>46038</v>
      </c>
      <c r="F396" s="97" t="s">
        <v>7</v>
      </c>
      <c r="G396" s="97" t="s">
        <v>8</v>
      </c>
      <c r="H396" s="97" t="s">
        <v>74</v>
      </c>
      <c r="I396" s="97" t="s">
        <v>84</v>
      </c>
      <c r="J396" s="97" t="s">
        <v>85</v>
      </c>
      <c r="K396" s="97" t="s">
        <v>73</v>
      </c>
      <c r="L396">
        <v>701000</v>
      </c>
      <c r="M396" s="97" t="s">
        <v>62</v>
      </c>
      <c r="N396" s="97" t="s">
        <v>33</v>
      </c>
      <c r="O396">
        <v>5953</v>
      </c>
      <c r="P396">
        <v>0.95</v>
      </c>
      <c r="Q396">
        <v>5.67</v>
      </c>
      <c r="R396" s="97" t="s">
        <v>1203</v>
      </c>
      <c r="S396" s="97" t="s">
        <v>195</v>
      </c>
    </row>
    <row r="397" spans="1:19" x14ac:dyDescent="0.3">
      <c r="A397" s="97" t="s">
        <v>290</v>
      </c>
      <c r="B397" s="97" t="s">
        <v>22</v>
      </c>
      <c r="C397">
        <v>2026</v>
      </c>
      <c r="D397">
        <v>1</v>
      </c>
      <c r="E397" s="2">
        <v>46038</v>
      </c>
      <c r="F397" s="97" t="s">
        <v>7</v>
      </c>
      <c r="G397" s="97" t="s">
        <v>8</v>
      </c>
      <c r="H397" s="97" t="s">
        <v>74</v>
      </c>
      <c r="I397" s="97" t="s">
        <v>84</v>
      </c>
      <c r="J397" s="97" t="s">
        <v>85</v>
      </c>
      <c r="K397" s="97" t="s">
        <v>73</v>
      </c>
      <c r="L397">
        <v>701000</v>
      </c>
      <c r="M397" s="97" t="s">
        <v>62</v>
      </c>
      <c r="N397" s="97" t="s">
        <v>33</v>
      </c>
      <c r="O397">
        <v>2461</v>
      </c>
      <c r="P397">
        <v>0.95</v>
      </c>
      <c r="Q397">
        <v>2.34</v>
      </c>
      <c r="R397" s="97" t="s">
        <v>1200</v>
      </c>
      <c r="S397" s="97" t="s">
        <v>195</v>
      </c>
    </row>
    <row r="398" spans="1:19" x14ac:dyDescent="0.3">
      <c r="A398" s="97" t="s">
        <v>291</v>
      </c>
      <c r="B398" s="97" t="s">
        <v>22</v>
      </c>
      <c r="C398">
        <v>2026</v>
      </c>
      <c r="D398">
        <v>1</v>
      </c>
      <c r="E398" s="2">
        <v>46038</v>
      </c>
      <c r="F398" s="97" t="s">
        <v>7</v>
      </c>
      <c r="G398" s="97" t="s">
        <v>8</v>
      </c>
      <c r="H398" s="97" t="s">
        <v>74</v>
      </c>
      <c r="I398" s="97" t="s">
        <v>84</v>
      </c>
      <c r="J398" s="97" t="s">
        <v>85</v>
      </c>
      <c r="K398" s="97" t="s">
        <v>73</v>
      </c>
      <c r="L398">
        <v>701000</v>
      </c>
      <c r="M398" s="97" t="s">
        <v>62</v>
      </c>
      <c r="N398" s="97" t="s">
        <v>33</v>
      </c>
      <c r="O398">
        <v>5022</v>
      </c>
      <c r="P398">
        <v>0.95</v>
      </c>
      <c r="Q398">
        <v>4.7699999999999996</v>
      </c>
      <c r="R398" s="97" t="s">
        <v>1204</v>
      </c>
      <c r="S398" s="97" t="s">
        <v>195</v>
      </c>
    </row>
    <row r="399" spans="1:19" x14ac:dyDescent="0.3">
      <c r="A399" s="97" t="s">
        <v>292</v>
      </c>
      <c r="B399" s="97" t="s">
        <v>22</v>
      </c>
      <c r="C399">
        <v>2026</v>
      </c>
      <c r="D399">
        <v>1</v>
      </c>
      <c r="E399" s="2">
        <v>46038</v>
      </c>
      <c r="F399" s="97" t="s">
        <v>7</v>
      </c>
      <c r="G399" s="97" t="s">
        <v>8</v>
      </c>
      <c r="H399" s="97" t="s">
        <v>74</v>
      </c>
      <c r="I399" s="97" t="s">
        <v>84</v>
      </c>
      <c r="J399" s="97" t="s">
        <v>85</v>
      </c>
      <c r="K399" s="97" t="s">
        <v>73</v>
      </c>
      <c r="L399">
        <v>701000</v>
      </c>
      <c r="M399" s="97" t="s">
        <v>62</v>
      </c>
      <c r="N399" s="97" t="s">
        <v>33</v>
      </c>
      <c r="O399">
        <v>4692</v>
      </c>
      <c r="P399">
        <v>0.95</v>
      </c>
      <c r="Q399">
        <v>4.46</v>
      </c>
      <c r="R399" s="97" t="s">
        <v>1199</v>
      </c>
      <c r="S399" s="97" t="s">
        <v>195</v>
      </c>
    </row>
    <row r="400" spans="1:19" x14ac:dyDescent="0.3">
      <c r="A400" s="97" t="s">
        <v>293</v>
      </c>
      <c r="B400" s="97" t="s">
        <v>22</v>
      </c>
      <c r="C400">
        <v>2026</v>
      </c>
      <c r="D400">
        <v>1</v>
      </c>
      <c r="E400" s="2">
        <v>46038</v>
      </c>
      <c r="F400" s="97" t="s">
        <v>7</v>
      </c>
      <c r="G400" s="97" t="s">
        <v>8</v>
      </c>
      <c r="H400" s="97" t="s">
        <v>74</v>
      </c>
      <c r="I400" s="97" t="s">
        <v>84</v>
      </c>
      <c r="J400" s="97" t="s">
        <v>85</v>
      </c>
      <c r="K400" s="97" t="s">
        <v>73</v>
      </c>
      <c r="L400">
        <v>701000</v>
      </c>
      <c r="M400" s="97" t="s">
        <v>62</v>
      </c>
      <c r="N400" s="97" t="s">
        <v>33</v>
      </c>
      <c r="O400">
        <v>3603</v>
      </c>
      <c r="P400">
        <v>0.95</v>
      </c>
      <c r="Q400">
        <v>3.42</v>
      </c>
      <c r="R400" s="97" t="s">
        <v>1205</v>
      </c>
      <c r="S400" s="97" t="s">
        <v>195</v>
      </c>
    </row>
    <row r="401" spans="1:19" x14ac:dyDescent="0.3">
      <c r="A401" s="97" t="s">
        <v>294</v>
      </c>
      <c r="B401" s="97" t="s">
        <v>22</v>
      </c>
      <c r="C401">
        <v>2026</v>
      </c>
      <c r="D401">
        <v>1</v>
      </c>
      <c r="E401" s="2">
        <v>46038</v>
      </c>
      <c r="F401" s="97" t="s">
        <v>7</v>
      </c>
      <c r="G401" s="97" t="s">
        <v>8</v>
      </c>
      <c r="H401" s="97" t="s">
        <v>74</v>
      </c>
      <c r="I401" s="97" t="s">
        <v>84</v>
      </c>
      <c r="J401" s="97" t="s">
        <v>85</v>
      </c>
      <c r="K401" s="97" t="s">
        <v>73</v>
      </c>
      <c r="L401">
        <v>701000</v>
      </c>
      <c r="M401" s="97" t="s">
        <v>62</v>
      </c>
      <c r="N401" s="97" t="s">
        <v>33</v>
      </c>
      <c r="O401">
        <v>3685</v>
      </c>
      <c r="P401">
        <v>0.95</v>
      </c>
      <c r="Q401">
        <v>3.5</v>
      </c>
      <c r="R401" s="97" t="s">
        <v>1197</v>
      </c>
      <c r="S401" s="97" t="s">
        <v>195</v>
      </c>
    </row>
    <row r="402" spans="1:19" x14ac:dyDescent="0.3">
      <c r="A402" s="97" t="s">
        <v>385</v>
      </c>
      <c r="B402" s="97" t="s">
        <v>22</v>
      </c>
      <c r="C402">
        <v>2026</v>
      </c>
      <c r="D402">
        <v>1</v>
      </c>
      <c r="E402" s="2">
        <v>46038</v>
      </c>
      <c r="F402" s="97" t="s">
        <v>7</v>
      </c>
      <c r="G402" s="97" t="s">
        <v>8</v>
      </c>
      <c r="H402" s="97" t="s">
        <v>70</v>
      </c>
      <c r="I402" s="97" t="s">
        <v>75</v>
      </c>
      <c r="J402" s="97" t="s">
        <v>76</v>
      </c>
      <c r="K402" s="97" t="s">
        <v>73</v>
      </c>
      <c r="L402">
        <v>701000</v>
      </c>
      <c r="M402" s="97" t="s">
        <v>62</v>
      </c>
      <c r="N402" s="97" t="s">
        <v>33</v>
      </c>
      <c r="O402">
        <v>688</v>
      </c>
      <c r="P402">
        <v>1.4</v>
      </c>
      <c r="Q402">
        <v>0.96</v>
      </c>
      <c r="R402" s="97" t="s">
        <v>1198</v>
      </c>
      <c r="S402" s="97" t="s">
        <v>195</v>
      </c>
    </row>
    <row r="403" spans="1:19" x14ac:dyDescent="0.3">
      <c r="A403" s="97" t="s">
        <v>386</v>
      </c>
      <c r="B403" s="97" t="s">
        <v>22</v>
      </c>
      <c r="C403">
        <v>2026</v>
      </c>
      <c r="D403">
        <v>1</v>
      </c>
      <c r="E403" s="2">
        <v>46038</v>
      </c>
      <c r="F403" s="97" t="s">
        <v>7</v>
      </c>
      <c r="G403" s="97" t="s">
        <v>8</v>
      </c>
      <c r="H403" s="97" t="s">
        <v>70</v>
      </c>
      <c r="I403" s="97" t="s">
        <v>75</v>
      </c>
      <c r="J403" s="97" t="s">
        <v>76</v>
      </c>
      <c r="K403" s="97" t="s">
        <v>73</v>
      </c>
      <c r="L403">
        <v>701000</v>
      </c>
      <c r="M403" s="97" t="s">
        <v>62</v>
      </c>
      <c r="N403" s="97" t="s">
        <v>33</v>
      </c>
      <c r="O403">
        <v>852</v>
      </c>
      <c r="P403">
        <v>1.4</v>
      </c>
      <c r="Q403">
        <v>1.19</v>
      </c>
      <c r="R403" s="97" t="s">
        <v>1200</v>
      </c>
      <c r="S403" s="97" t="s">
        <v>195</v>
      </c>
    </row>
    <row r="404" spans="1:19" x14ac:dyDescent="0.3">
      <c r="A404" s="97" t="s">
        <v>387</v>
      </c>
      <c r="B404" s="97" t="s">
        <v>22</v>
      </c>
      <c r="C404">
        <v>2026</v>
      </c>
      <c r="D404">
        <v>1</v>
      </c>
      <c r="E404" s="2">
        <v>46038</v>
      </c>
      <c r="F404" s="97" t="s">
        <v>7</v>
      </c>
      <c r="G404" s="97" t="s">
        <v>8</v>
      </c>
      <c r="H404" s="97" t="s">
        <v>70</v>
      </c>
      <c r="I404" s="97" t="s">
        <v>75</v>
      </c>
      <c r="J404" s="97" t="s">
        <v>76</v>
      </c>
      <c r="K404" s="97" t="s">
        <v>73</v>
      </c>
      <c r="L404">
        <v>701000</v>
      </c>
      <c r="M404" s="97" t="s">
        <v>62</v>
      </c>
      <c r="N404" s="97" t="s">
        <v>33</v>
      </c>
      <c r="O404">
        <v>1032</v>
      </c>
      <c r="P404">
        <v>1.41</v>
      </c>
      <c r="Q404">
        <v>1.45</v>
      </c>
      <c r="R404" s="97" t="s">
        <v>1197</v>
      </c>
      <c r="S404" s="97" t="s">
        <v>195</v>
      </c>
    </row>
    <row r="405" spans="1:19" x14ac:dyDescent="0.3">
      <c r="A405" s="97" t="s">
        <v>388</v>
      </c>
      <c r="B405" s="97" t="s">
        <v>22</v>
      </c>
      <c r="C405">
        <v>2026</v>
      </c>
      <c r="D405">
        <v>1</v>
      </c>
      <c r="E405" s="2">
        <v>46038</v>
      </c>
      <c r="F405" s="97" t="s">
        <v>7</v>
      </c>
      <c r="G405" s="97" t="s">
        <v>8</v>
      </c>
      <c r="H405" s="97" t="s">
        <v>70</v>
      </c>
      <c r="I405" s="97" t="s">
        <v>75</v>
      </c>
      <c r="J405" s="97" t="s">
        <v>76</v>
      </c>
      <c r="K405" s="97" t="s">
        <v>73</v>
      </c>
      <c r="L405">
        <v>701000</v>
      </c>
      <c r="M405" s="97" t="s">
        <v>62</v>
      </c>
      <c r="N405" s="97" t="s">
        <v>33</v>
      </c>
      <c r="O405">
        <v>1806</v>
      </c>
      <c r="P405">
        <v>1.4</v>
      </c>
      <c r="Q405">
        <v>2.5299999999999998</v>
      </c>
      <c r="R405" s="97" t="s">
        <v>1205</v>
      </c>
      <c r="S405" s="97" t="s">
        <v>195</v>
      </c>
    </row>
    <row r="406" spans="1:19" x14ac:dyDescent="0.3">
      <c r="A406" s="97" t="s">
        <v>389</v>
      </c>
      <c r="B406" s="97" t="s">
        <v>22</v>
      </c>
      <c r="C406">
        <v>2026</v>
      </c>
      <c r="D406">
        <v>1</v>
      </c>
      <c r="E406" s="2">
        <v>46038</v>
      </c>
      <c r="F406" s="97" t="s">
        <v>7</v>
      </c>
      <c r="G406" s="97" t="s">
        <v>8</v>
      </c>
      <c r="H406" s="97" t="s">
        <v>70</v>
      </c>
      <c r="I406" s="97" t="s">
        <v>75</v>
      </c>
      <c r="J406" s="97" t="s">
        <v>76</v>
      </c>
      <c r="K406" s="97" t="s">
        <v>73</v>
      </c>
      <c r="L406">
        <v>701000</v>
      </c>
      <c r="M406" s="97" t="s">
        <v>62</v>
      </c>
      <c r="N406" s="97" t="s">
        <v>33</v>
      </c>
      <c r="O406">
        <v>2414</v>
      </c>
      <c r="P406">
        <v>1.4</v>
      </c>
      <c r="Q406">
        <v>3.38</v>
      </c>
      <c r="R406" s="97" t="s">
        <v>1202</v>
      </c>
      <c r="S406" s="97" t="s">
        <v>195</v>
      </c>
    </row>
    <row r="407" spans="1:19" x14ac:dyDescent="0.3">
      <c r="A407" s="97" t="s">
        <v>490</v>
      </c>
      <c r="B407" s="97" t="s">
        <v>22</v>
      </c>
      <c r="C407">
        <v>2026</v>
      </c>
      <c r="D407">
        <v>1</v>
      </c>
      <c r="E407" s="2">
        <v>46038</v>
      </c>
      <c r="F407" s="97" t="s">
        <v>7</v>
      </c>
      <c r="G407" s="97" t="s">
        <v>8</v>
      </c>
      <c r="H407" s="97" t="s">
        <v>74</v>
      </c>
      <c r="I407" s="97" t="s">
        <v>77</v>
      </c>
      <c r="J407" s="97" t="s">
        <v>78</v>
      </c>
      <c r="K407" s="97" t="s">
        <v>73</v>
      </c>
      <c r="L407">
        <v>701000</v>
      </c>
      <c r="M407" s="97" t="s">
        <v>62</v>
      </c>
      <c r="N407" s="97" t="s">
        <v>33</v>
      </c>
      <c r="O407">
        <v>328</v>
      </c>
      <c r="P407">
        <v>1.8</v>
      </c>
      <c r="Q407">
        <v>0.59</v>
      </c>
      <c r="R407" s="97" t="s">
        <v>1204</v>
      </c>
      <c r="S407" s="97" t="s">
        <v>195</v>
      </c>
    </row>
    <row r="408" spans="1:19" x14ac:dyDescent="0.3">
      <c r="A408" s="97" t="s">
        <v>491</v>
      </c>
      <c r="B408" s="97" t="s">
        <v>22</v>
      </c>
      <c r="C408">
        <v>2026</v>
      </c>
      <c r="D408">
        <v>1</v>
      </c>
      <c r="E408" s="2">
        <v>46038</v>
      </c>
      <c r="F408" s="97" t="s">
        <v>7</v>
      </c>
      <c r="G408" s="97" t="s">
        <v>8</v>
      </c>
      <c r="H408" s="97" t="s">
        <v>74</v>
      </c>
      <c r="I408" s="97" t="s">
        <v>77</v>
      </c>
      <c r="J408" s="97" t="s">
        <v>78</v>
      </c>
      <c r="K408" s="97" t="s">
        <v>73</v>
      </c>
      <c r="L408">
        <v>701000</v>
      </c>
      <c r="M408" s="97" t="s">
        <v>62</v>
      </c>
      <c r="N408" s="97" t="s">
        <v>33</v>
      </c>
      <c r="O408">
        <v>669</v>
      </c>
      <c r="P408">
        <v>1.79</v>
      </c>
      <c r="Q408">
        <v>1.2</v>
      </c>
      <c r="R408" s="97" t="s">
        <v>1197</v>
      </c>
      <c r="S408" s="97" t="s">
        <v>195</v>
      </c>
    </row>
    <row r="409" spans="1:19" x14ac:dyDescent="0.3">
      <c r="A409" s="97" t="s">
        <v>492</v>
      </c>
      <c r="B409" s="97" t="s">
        <v>22</v>
      </c>
      <c r="C409">
        <v>2026</v>
      </c>
      <c r="D409">
        <v>1</v>
      </c>
      <c r="E409" s="2">
        <v>46038</v>
      </c>
      <c r="F409" s="97" t="s">
        <v>7</v>
      </c>
      <c r="G409" s="97" t="s">
        <v>8</v>
      </c>
      <c r="H409" s="97" t="s">
        <v>74</v>
      </c>
      <c r="I409" s="97" t="s">
        <v>77</v>
      </c>
      <c r="J409" s="97" t="s">
        <v>78</v>
      </c>
      <c r="K409" s="97" t="s">
        <v>73</v>
      </c>
      <c r="L409">
        <v>701000</v>
      </c>
      <c r="M409" s="97" t="s">
        <v>62</v>
      </c>
      <c r="N409" s="97" t="s">
        <v>33</v>
      </c>
      <c r="O409">
        <v>1120</v>
      </c>
      <c r="P409">
        <v>1.8</v>
      </c>
      <c r="Q409">
        <v>2.02</v>
      </c>
      <c r="R409" s="97" t="s">
        <v>1203</v>
      </c>
      <c r="S409" s="97" t="s">
        <v>195</v>
      </c>
    </row>
    <row r="410" spans="1:19" x14ac:dyDescent="0.3">
      <c r="A410" s="97" t="s">
        <v>493</v>
      </c>
      <c r="B410" s="97" t="s">
        <v>22</v>
      </c>
      <c r="C410">
        <v>2026</v>
      </c>
      <c r="D410">
        <v>1</v>
      </c>
      <c r="E410" s="2">
        <v>46038</v>
      </c>
      <c r="F410" s="97" t="s">
        <v>7</v>
      </c>
      <c r="G410" s="97" t="s">
        <v>8</v>
      </c>
      <c r="H410" s="97" t="s">
        <v>74</v>
      </c>
      <c r="I410" s="97" t="s">
        <v>77</v>
      </c>
      <c r="J410" s="97" t="s">
        <v>78</v>
      </c>
      <c r="K410" s="97" t="s">
        <v>73</v>
      </c>
      <c r="L410">
        <v>701000</v>
      </c>
      <c r="M410" s="97" t="s">
        <v>62</v>
      </c>
      <c r="N410" s="97" t="s">
        <v>33</v>
      </c>
      <c r="O410">
        <v>595</v>
      </c>
      <c r="P410">
        <v>1.8</v>
      </c>
      <c r="Q410">
        <v>1.07</v>
      </c>
      <c r="R410" s="97" t="s">
        <v>1205</v>
      </c>
      <c r="S410" s="97" t="s">
        <v>195</v>
      </c>
    </row>
    <row r="411" spans="1:19" x14ac:dyDescent="0.3">
      <c r="A411" s="97" t="s">
        <v>494</v>
      </c>
      <c r="B411" s="97" t="s">
        <v>22</v>
      </c>
      <c r="C411">
        <v>2026</v>
      </c>
      <c r="D411">
        <v>1</v>
      </c>
      <c r="E411" s="2">
        <v>46038</v>
      </c>
      <c r="F411" s="97" t="s">
        <v>7</v>
      </c>
      <c r="G411" s="97" t="s">
        <v>8</v>
      </c>
      <c r="H411" s="97" t="s">
        <v>74</v>
      </c>
      <c r="I411" s="97" t="s">
        <v>77</v>
      </c>
      <c r="J411" s="97" t="s">
        <v>78</v>
      </c>
      <c r="K411" s="97" t="s">
        <v>73</v>
      </c>
      <c r="L411">
        <v>701000</v>
      </c>
      <c r="M411" s="97" t="s">
        <v>62</v>
      </c>
      <c r="N411" s="97" t="s">
        <v>33</v>
      </c>
      <c r="O411">
        <v>1476</v>
      </c>
      <c r="P411">
        <v>1.8</v>
      </c>
      <c r="Q411">
        <v>2.66</v>
      </c>
      <c r="R411" s="97" t="s">
        <v>1201</v>
      </c>
      <c r="S411" s="97" t="s">
        <v>195</v>
      </c>
    </row>
    <row r="412" spans="1:19" x14ac:dyDescent="0.3">
      <c r="A412" s="97" t="s">
        <v>740</v>
      </c>
      <c r="B412" s="97" t="s">
        <v>22</v>
      </c>
      <c r="C412">
        <v>2026</v>
      </c>
      <c r="D412">
        <v>1</v>
      </c>
      <c r="E412" s="2">
        <v>46038</v>
      </c>
      <c r="F412" s="97" t="s">
        <v>7</v>
      </c>
      <c r="G412" s="97" t="s">
        <v>8</v>
      </c>
      <c r="H412" s="97" t="s">
        <v>70</v>
      </c>
      <c r="I412" s="97" t="s">
        <v>82</v>
      </c>
      <c r="J412" s="97" t="s">
        <v>83</v>
      </c>
      <c r="K412" s="97" t="s">
        <v>73</v>
      </c>
      <c r="L412">
        <v>701000</v>
      </c>
      <c r="M412" s="97" t="s">
        <v>62</v>
      </c>
      <c r="N412" s="97" t="s">
        <v>33</v>
      </c>
      <c r="O412">
        <v>109</v>
      </c>
      <c r="P412">
        <v>18.440000000000001</v>
      </c>
      <c r="Q412">
        <v>2.0099999999999998</v>
      </c>
      <c r="R412" s="97" t="s">
        <v>1205</v>
      </c>
      <c r="S412" s="97" t="s">
        <v>195</v>
      </c>
    </row>
    <row r="413" spans="1:19" x14ac:dyDescent="0.3">
      <c r="A413" s="97" t="s">
        <v>741</v>
      </c>
      <c r="B413" s="97" t="s">
        <v>22</v>
      </c>
      <c r="C413">
        <v>2026</v>
      </c>
      <c r="D413">
        <v>1</v>
      </c>
      <c r="E413" s="2">
        <v>46038</v>
      </c>
      <c r="F413" s="97" t="s">
        <v>7</v>
      </c>
      <c r="G413" s="97" t="s">
        <v>8</v>
      </c>
      <c r="H413" s="97" t="s">
        <v>70</v>
      </c>
      <c r="I413" s="97" t="s">
        <v>82</v>
      </c>
      <c r="J413" s="97" t="s">
        <v>83</v>
      </c>
      <c r="K413" s="97" t="s">
        <v>73</v>
      </c>
      <c r="L413">
        <v>701000</v>
      </c>
      <c r="M413" s="97" t="s">
        <v>62</v>
      </c>
      <c r="N413" s="97" t="s">
        <v>33</v>
      </c>
      <c r="O413">
        <v>98</v>
      </c>
      <c r="P413">
        <v>18.47</v>
      </c>
      <c r="Q413">
        <v>1.81</v>
      </c>
      <c r="R413" s="97" t="s">
        <v>1202</v>
      </c>
      <c r="S413" s="97" t="s">
        <v>195</v>
      </c>
    </row>
    <row r="414" spans="1:19" x14ac:dyDescent="0.3">
      <c r="A414" s="97" t="s">
        <v>742</v>
      </c>
      <c r="B414" s="97" t="s">
        <v>22</v>
      </c>
      <c r="C414">
        <v>2026</v>
      </c>
      <c r="D414">
        <v>1</v>
      </c>
      <c r="E414" s="2">
        <v>46038</v>
      </c>
      <c r="F414" s="97" t="s">
        <v>7</v>
      </c>
      <c r="G414" s="97" t="s">
        <v>8</v>
      </c>
      <c r="H414" s="97" t="s">
        <v>70</v>
      </c>
      <c r="I414" s="97" t="s">
        <v>82</v>
      </c>
      <c r="J414" s="97" t="s">
        <v>83</v>
      </c>
      <c r="K414" s="97" t="s">
        <v>73</v>
      </c>
      <c r="L414">
        <v>701000</v>
      </c>
      <c r="M414" s="97" t="s">
        <v>62</v>
      </c>
      <c r="N414" s="97" t="s">
        <v>33</v>
      </c>
      <c r="O414">
        <v>197</v>
      </c>
      <c r="P414">
        <v>18.48</v>
      </c>
      <c r="Q414">
        <v>3.64</v>
      </c>
      <c r="R414" s="97" t="s">
        <v>1203</v>
      </c>
      <c r="S414" s="97" t="s">
        <v>195</v>
      </c>
    </row>
    <row r="415" spans="1:19" x14ac:dyDescent="0.3">
      <c r="A415" s="97" t="s">
        <v>743</v>
      </c>
      <c r="B415" s="97" t="s">
        <v>22</v>
      </c>
      <c r="C415">
        <v>2026</v>
      </c>
      <c r="D415">
        <v>1</v>
      </c>
      <c r="E415" s="2">
        <v>46038</v>
      </c>
      <c r="F415" s="97" t="s">
        <v>7</v>
      </c>
      <c r="G415" s="97" t="s">
        <v>8</v>
      </c>
      <c r="H415" s="97" t="s">
        <v>70</v>
      </c>
      <c r="I415" s="97" t="s">
        <v>82</v>
      </c>
      <c r="J415" s="97" t="s">
        <v>83</v>
      </c>
      <c r="K415" s="97" t="s">
        <v>73</v>
      </c>
      <c r="L415">
        <v>701000</v>
      </c>
      <c r="M415" s="97" t="s">
        <v>62</v>
      </c>
      <c r="N415" s="97" t="s">
        <v>33</v>
      </c>
      <c r="O415">
        <v>53</v>
      </c>
      <c r="P415">
        <v>18.3</v>
      </c>
      <c r="Q415">
        <v>0.97</v>
      </c>
      <c r="R415" s="97" t="s">
        <v>1197</v>
      </c>
      <c r="S415" s="97" t="s">
        <v>195</v>
      </c>
    </row>
    <row r="416" spans="1:19" x14ac:dyDescent="0.3">
      <c r="A416" s="97" t="s">
        <v>744</v>
      </c>
      <c r="B416" s="97" t="s">
        <v>22</v>
      </c>
      <c r="C416">
        <v>2026</v>
      </c>
      <c r="D416">
        <v>1</v>
      </c>
      <c r="E416" s="2">
        <v>46038</v>
      </c>
      <c r="F416" s="97" t="s">
        <v>7</v>
      </c>
      <c r="G416" s="97" t="s">
        <v>8</v>
      </c>
      <c r="H416" s="97" t="s">
        <v>70</v>
      </c>
      <c r="I416" s="97" t="s">
        <v>82</v>
      </c>
      <c r="J416" s="97" t="s">
        <v>83</v>
      </c>
      <c r="K416" s="97" t="s">
        <v>73</v>
      </c>
      <c r="L416">
        <v>701000</v>
      </c>
      <c r="M416" s="97" t="s">
        <v>62</v>
      </c>
      <c r="N416" s="97" t="s">
        <v>33</v>
      </c>
      <c r="O416">
        <v>115</v>
      </c>
      <c r="P416">
        <v>18.7</v>
      </c>
      <c r="Q416">
        <v>2.15</v>
      </c>
      <c r="R416" s="97" t="s">
        <v>1199</v>
      </c>
      <c r="S416" s="97" t="s">
        <v>195</v>
      </c>
    </row>
    <row r="417" spans="1:19" x14ac:dyDescent="0.3">
      <c r="A417" s="97" t="s">
        <v>360</v>
      </c>
      <c r="B417" s="97" t="s">
        <v>22</v>
      </c>
      <c r="C417">
        <v>2026</v>
      </c>
      <c r="D417">
        <v>1</v>
      </c>
      <c r="E417" s="2">
        <v>46039</v>
      </c>
      <c r="F417" s="97" t="s">
        <v>7</v>
      </c>
      <c r="G417" s="97" t="s">
        <v>8</v>
      </c>
      <c r="H417" s="97" t="s">
        <v>74</v>
      </c>
      <c r="I417" s="97" t="s">
        <v>71</v>
      </c>
      <c r="J417" s="97" t="s">
        <v>72</v>
      </c>
      <c r="K417" s="97" t="s">
        <v>73</v>
      </c>
      <c r="L417">
        <v>701000</v>
      </c>
      <c r="M417" s="97" t="s">
        <v>62</v>
      </c>
      <c r="N417" s="97" t="s">
        <v>33</v>
      </c>
      <c r="O417">
        <v>4970</v>
      </c>
      <c r="P417">
        <v>1.05</v>
      </c>
      <c r="Q417">
        <v>5.22</v>
      </c>
      <c r="R417" s="97" t="s">
        <v>1201</v>
      </c>
      <c r="S417" s="97" t="s">
        <v>195</v>
      </c>
    </row>
    <row r="418" spans="1:19" x14ac:dyDescent="0.3">
      <c r="A418" s="97" t="s">
        <v>361</v>
      </c>
      <c r="B418" s="97" t="s">
        <v>22</v>
      </c>
      <c r="C418">
        <v>2026</v>
      </c>
      <c r="D418">
        <v>1</v>
      </c>
      <c r="E418" s="2">
        <v>46039</v>
      </c>
      <c r="F418" s="97" t="s">
        <v>7</v>
      </c>
      <c r="G418" s="97" t="s">
        <v>8</v>
      </c>
      <c r="H418" s="97" t="s">
        <v>74</v>
      </c>
      <c r="I418" s="97" t="s">
        <v>71</v>
      </c>
      <c r="J418" s="97" t="s">
        <v>72</v>
      </c>
      <c r="K418" s="97" t="s">
        <v>73</v>
      </c>
      <c r="L418">
        <v>701000</v>
      </c>
      <c r="M418" s="97" t="s">
        <v>62</v>
      </c>
      <c r="N418" s="97" t="s">
        <v>33</v>
      </c>
      <c r="O418">
        <v>647</v>
      </c>
      <c r="P418">
        <v>1.05</v>
      </c>
      <c r="Q418">
        <v>0.68</v>
      </c>
      <c r="R418" s="97" t="s">
        <v>1205</v>
      </c>
      <c r="S418" s="97" t="s">
        <v>195</v>
      </c>
    </row>
    <row r="419" spans="1:19" x14ac:dyDescent="0.3">
      <c r="A419" s="97" t="s">
        <v>362</v>
      </c>
      <c r="B419" s="97" t="s">
        <v>22</v>
      </c>
      <c r="C419">
        <v>2026</v>
      </c>
      <c r="D419">
        <v>1</v>
      </c>
      <c r="E419" s="2">
        <v>46039</v>
      </c>
      <c r="F419" s="97" t="s">
        <v>7</v>
      </c>
      <c r="G419" s="97" t="s">
        <v>8</v>
      </c>
      <c r="H419" s="97" t="s">
        <v>74</v>
      </c>
      <c r="I419" s="97" t="s">
        <v>71</v>
      </c>
      <c r="J419" s="97" t="s">
        <v>72</v>
      </c>
      <c r="K419" s="97" t="s">
        <v>73</v>
      </c>
      <c r="L419">
        <v>701000</v>
      </c>
      <c r="M419" s="97" t="s">
        <v>62</v>
      </c>
      <c r="N419" s="97" t="s">
        <v>33</v>
      </c>
      <c r="O419">
        <v>1884</v>
      </c>
      <c r="P419">
        <v>1.05</v>
      </c>
      <c r="Q419">
        <v>1.98</v>
      </c>
      <c r="R419" s="97" t="s">
        <v>1200</v>
      </c>
      <c r="S419" s="97" t="s">
        <v>195</v>
      </c>
    </row>
    <row r="420" spans="1:19" x14ac:dyDescent="0.3">
      <c r="A420" s="97" t="s">
        <v>363</v>
      </c>
      <c r="B420" s="97" t="s">
        <v>22</v>
      </c>
      <c r="C420">
        <v>2026</v>
      </c>
      <c r="D420">
        <v>1</v>
      </c>
      <c r="E420" s="2">
        <v>46039</v>
      </c>
      <c r="F420" s="97" t="s">
        <v>7</v>
      </c>
      <c r="G420" s="97" t="s">
        <v>8</v>
      </c>
      <c r="H420" s="97" t="s">
        <v>74</v>
      </c>
      <c r="I420" s="97" t="s">
        <v>71</v>
      </c>
      <c r="J420" s="97" t="s">
        <v>72</v>
      </c>
      <c r="K420" s="97" t="s">
        <v>73</v>
      </c>
      <c r="L420">
        <v>701000</v>
      </c>
      <c r="M420" s="97" t="s">
        <v>62</v>
      </c>
      <c r="N420" s="97" t="s">
        <v>33</v>
      </c>
      <c r="O420">
        <v>5542</v>
      </c>
      <c r="P420">
        <v>1.05</v>
      </c>
      <c r="Q420">
        <v>5.82</v>
      </c>
      <c r="R420" s="97" t="s">
        <v>1199</v>
      </c>
      <c r="S420" s="97" t="s">
        <v>195</v>
      </c>
    </row>
    <row r="421" spans="1:19" x14ac:dyDescent="0.3">
      <c r="A421" s="97" t="s">
        <v>364</v>
      </c>
      <c r="B421" s="97" t="s">
        <v>22</v>
      </c>
      <c r="C421">
        <v>2026</v>
      </c>
      <c r="D421">
        <v>1</v>
      </c>
      <c r="E421" s="2">
        <v>46039</v>
      </c>
      <c r="F421" s="97" t="s">
        <v>7</v>
      </c>
      <c r="G421" s="97" t="s">
        <v>8</v>
      </c>
      <c r="H421" s="97" t="s">
        <v>74</v>
      </c>
      <c r="I421" s="97" t="s">
        <v>71</v>
      </c>
      <c r="J421" s="97" t="s">
        <v>72</v>
      </c>
      <c r="K421" s="97" t="s">
        <v>73</v>
      </c>
      <c r="L421">
        <v>701000</v>
      </c>
      <c r="M421" s="97" t="s">
        <v>62</v>
      </c>
      <c r="N421" s="97" t="s">
        <v>33</v>
      </c>
      <c r="O421">
        <v>8669</v>
      </c>
      <c r="P421">
        <v>1.05</v>
      </c>
      <c r="Q421">
        <v>9.1</v>
      </c>
      <c r="R421" s="97" t="s">
        <v>1198</v>
      </c>
      <c r="S421" s="97" t="s">
        <v>195</v>
      </c>
    </row>
    <row r="422" spans="1:19" x14ac:dyDescent="0.3">
      <c r="A422" s="97" t="s">
        <v>460</v>
      </c>
      <c r="B422" s="97" t="s">
        <v>22</v>
      </c>
      <c r="C422">
        <v>2026</v>
      </c>
      <c r="D422">
        <v>1</v>
      </c>
      <c r="E422" s="2">
        <v>46039</v>
      </c>
      <c r="F422" s="97" t="s">
        <v>7</v>
      </c>
      <c r="G422" s="97" t="s">
        <v>8</v>
      </c>
      <c r="H422" s="97" t="s">
        <v>70</v>
      </c>
      <c r="I422" s="97" t="s">
        <v>75</v>
      </c>
      <c r="J422" s="97" t="s">
        <v>76</v>
      </c>
      <c r="K422" s="97" t="s">
        <v>73</v>
      </c>
      <c r="L422">
        <v>701000</v>
      </c>
      <c r="M422" s="97" t="s">
        <v>62</v>
      </c>
      <c r="N422" s="97" t="s">
        <v>33</v>
      </c>
      <c r="O422">
        <v>4323</v>
      </c>
      <c r="P422">
        <v>1.4</v>
      </c>
      <c r="Q422">
        <v>6.06</v>
      </c>
      <c r="R422" s="97" t="s">
        <v>1198</v>
      </c>
      <c r="S422" s="97" t="s">
        <v>195</v>
      </c>
    </row>
    <row r="423" spans="1:19" x14ac:dyDescent="0.3">
      <c r="A423" s="97" t="s">
        <v>461</v>
      </c>
      <c r="B423" s="97" t="s">
        <v>22</v>
      </c>
      <c r="C423">
        <v>2026</v>
      </c>
      <c r="D423">
        <v>1</v>
      </c>
      <c r="E423" s="2">
        <v>46039</v>
      </c>
      <c r="F423" s="97" t="s">
        <v>7</v>
      </c>
      <c r="G423" s="97" t="s">
        <v>8</v>
      </c>
      <c r="H423" s="97" t="s">
        <v>70</v>
      </c>
      <c r="I423" s="97" t="s">
        <v>75</v>
      </c>
      <c r="J423" s="97" t="s">
        <v>76</v>
      </c>
      <c r="K423" s="97" t="s">
        <v>73</v>
      </c>
      <c r="L423">
        <v>701000</v>
      </c>
      <c r="M423" s="97" t="s">
        <v>62</v>
      </c>
      <c r="N423" s="97" t="s">
        <v>33</v>
      </c>
      <c r="O423">
        <v>2123</v>
      </c>
      <c r="P423">
        <v>1.4</v>
      </c>
      <c r="Q423">
        <v>2.97</v>
      </c>
      <c r="R423" s="97" t="s">
        <v>1205</v>
      </c>
      <c r="S423" s="97" t="s">
        <v>195</v>
      </c>
    </row>
    <row r="424" spans="1:19" x14ac:dyDescent="0.3">
      <c r="A424" s="97" t="s">
        <v>462</v>
      </c>
      <c r="B424" s="97" t="s">
        <v>22</v>
      </c>
      <c r="C424">
        <v>2026</v>
      </c>
      <c r="D424">
        <v>1</v>
      </c>
      <c r="E424" s="2">
        <v>46039</v>
      </c>
      <c r="F424" s="97" t="s">
        <v>7</v>
      </c>
      <c r="G424" s="97" t="s">
        <v>8</v>
      </c>
      <c r="H424" s="97" t="s">
        <v>70</v>
      </c>
      <c r="I424" s="97" t="s">
        <v>75</v>
      </c>
      <c r="J424" s="97" t="s">
        <v>76</v>
      </c>
      <c r="K424" s="97" t="s">
        <v>73</v>
      </c>
      <c r="L424">
        <v>701000</v>
      </c>
      <c r="M424" s="97" t="s">
        <v>62</v>
      </c>
      <c r="N424" s="97" t="s">
        <v>33</v>
      </c>
      <c r="O424">
        <v>616</v>
      </c>
      <c r="P424">
        <v>1.4</v>
      </c>
      <c r="Q424">
        <v>0.86</v>
      </c>
      <c r="R424" s="97" t="s">
        <v>1200</v>
      </c>
      <c r="S424" s="97" t="s">
        <v>195</v>
      </c>
    </row>
    <row r="425" spans="1:19" x14ac:dyDescent="0.3">
      <c r="A425" s="97" t="s">
        <v>463</v>
      </c>
      <c r="B425" s="97" t="s">
        <v>22</v>
      </c>
      <c r="C425">
        <v>2026</v>
      </c>
      <c r="D425">
        <v>1</v>
      </c>
      <c r="E425" s="2">
        <v>46039</v>
      </c>
      <c r="F425" s="97" t="s">
        <v>7</v>
      </c>
      <c r="G425" s="97" t="s">
        <v>8</v>
      </c>
      <c r="H425" s="97" t="s">
        <v>70</v>
      </c>
      <c r="I425" s="97" t="s">
        <v>75</v>
      </c>
      <c r="J425" s="97" t="s">
        <v>76</v>
      </c>
      <c r="K425" s="97" t="s">
        <v>73</v>
      </c>
      <c r="L425">
        <v>701000</v>
      </c>
      <c r="M425" s="97" t="s">
        <v>62</v>
      </c>
      <c r="N425" s="97" t="s">
        <v>33</v>
      </c>
      <c r="O425">
        <v>432</v>
      </c>
      <c r="P425">
        <v>1.39</v>
      </c>
      <c r="Q425">
        <v>0.6</v>
      </c>
      <c r="R425" s="97" t="s">
        <v>1203</v>
      </c>
      <c r="S425" s="97" t="s">
        <v>195</v>
      </c>
    </row>
    <row r="426" spans="1:19" x14ac:dyDescent="0.3">
      <c r="A426" s="97" t="s">
        <v>464</v>
      </c>
      <c r="B426" s="97" t="s">
        <v>22</v>
      </c>
      <c r="C426">
        <v>2026</v>
      </c>
      <c r="D426">
        <v>1</v>
      </c>
      <c r="E426" s="2">
        <v>46039</v>
      </c>
      <c r="F426" s="97" t="s">
        <v>7</v>
      </c>
      <c r="G426" s="97" t="s">
        <v>8</v>
      </c>
      <c r="H426" s="97" t="s">
        <v>70</v>
      </c>
      <c r="I426" s="97" t="s">
        <v>75</v>
      </c>
      <c r="J426" s="97" t="s">
        <v>76</v>
      </c>
      <c r="K426" s="97" t="s">
        <v>73</v>
      </c>
      <c r="L426">
        <v>701000</v>
      </c>
      <c r="M426" s="97" t="s">
        <v>62</v>
      </c>
      <c r="N426" s="97" t="s">
        <v>33</v>
      </c>
      <c r="O426">
        <v>1074</v>
      </c>
      <c r="P426">
        <v>1.41</v>
      </c>
      <c r="Q426">
        <v>1.51</v>
      </c>
      <c r="R426" s="97" t="s">
        <v>1197</v>
      </c>
      <c r="S426" s="97" t="s">
        <v>195</v>
      </c>
    </row>
    <row r="427" spans="1:19" x14ac:dyDescent="0.3">
      <c r="A427" s="97" t="s">
        <v>585</v>
      </c>
      <c r="B427" s="97" t="s">
        <v>22</v>
      </c>
      <c r="C427">
        <v>2026</v>
      </c>
      <c r="D427">
        <v>1</v>
      </c>
      <c r="E427" s="2">
        <v>46039</v>
      </c>
      <c r="F427" s="97" t="s">
        <v>7</v>
      </c>
      <c r="G427" s="97" t="s">
        <v>8</v>
      </c>
      <c r="H427" s="97" t="s">
        <v>74</v>
      </c>
      <c r="I427" s="97" t="s">
        <v>77</v>
      </c>
      <c r="J427" s="97" t="s">
        <v>78</v>
      </c>
      <c r="K427" s="97" t="s">
        <v>73</v>
      </c>
      <c r="L427">
        <v>707000</v>
      </c>
      <c r="M427" s="97" t="s">
        <v>81</v>
      </c>
      <c r="N427" s="97" t="s">
        <v>33</v>
      </c>
      <c r="O427">
        <v>202</v>
      </c>
      <c r="P427">
        <v>1.78</v>
      </c>
      <c r="Q427">
        <v>0.36</v>
      </c>
      <c r="R427" s="97" t="s">
        <v>1205</v>
      </c>
      <c r="S427" s="97" t="s">
        <v>195</v>
      </c>
    </row>
    <row r="428" spans="1:19" x14ac:dyDescent="0.3">
      <c r="A428" s="97" t="s">
        <v>586</v>
      </c>
      <c r="B428" s="97" t="s">
        <v>22</v>
      </c>
      <c r="C428">
        <v>2026</v>
      </c>
      <c r="D428">
        <v>1</v>
      </c>
      <c r="E428" s="2">
        <v>46039</v>
      </c>
      <c r="F428" s="97" t="s">
        <v>7</v>
      </c>
      <c r="G428" s="97" t="s">
        <v>8</v>
      </c>
      <c r="H428" s="97" t="s">
        <v>74</v>
      </c>
      <c r="I428" s="97" t="s">
        <v>77</v>
      </c>
      <c r="J428" s="97" t="s">
        <v>78</v>
      </c>
      <c r="K428" s="97" t="s">
        <v>73</v>
      </c>
      <c r="L428">
        <v>707000</v>
      </c>
      <c r="M428" s="97" t="s">
        <v>81</v>
      </c>
      <c r="N428" s="97" t="s">
        <v>33</v>
      </c>
      <c r="O428">
        <v>1074</v>
      </c>
      <c r="P428">
        <v>1.81</v>
      </c>
      <c r="Q428">
        <v>1.94</v>
      </c>
      <c r="R428" s="97" t="s">
        <v>1202</v>
      </c>
      <c r="S428" s="97" t="s">
        <v>195</v>
      </c>
    </row>
    <row r="429" spans="1:19" x14ac:dyDescent="0.3">
      <c r="A429" s="97" t="s">
        <v>587</v>
      </c>
      <c r="B429" s="97" t="s">
        <v>22</v>
      </c>
      <c r="C429">
        <v>2026</v>
      </c>
      <c r="D429">
        <v>1</v>
      </c>
      <c r="E429" s="2">
        <v>46039</v>
      </c>
      <c r="F429" s="97" t="s">
        <v>7</v>
      </c>
      <c r="G429" s="97" t="s">
        <v>8</v>
      </c>
      <c r="H429" s="97" t="s">
        <v>74</v>
      </c>
      <c r="I429" s="97" t="s">
        <v>77</v>
      </c>
      <c r="J429" s="97" t="s">
        <v>78</v>
      </c>
      <c r="K429" s="97" t="s">
        <v>73</v>
      </c>
      <c r="L429">
        <v>707000</v>
      </c>
      <c r="M429" s="97" t="s">
        <v>81</v>
      </c>
      <c r="N429" s="97" t="s">
        <v>33</v>
      </c>
      <c r="O429">
        <v>446</v>
      </c>
      <c r="P429">
        <v>1.79</v>
      </c>
      <c r="Q429">
        <v>0.8</v>
      </c>
      <c r="R429" s="97" t="s">
        <v>1197</v>
      </c>
      <c r="S429" s="97" t="s">
        <v>195</v>
      </c>
    </row>
    <row r="430" spans="1:19" x14ac:dyDescent="0.3">
      <c r="A430" s="97" t="s">
        <v>588</v>
      </c>
      <c r="B430" s="97" t="s">
        <v>22</v>
      </c>
      <c r="C430">
        <v>2026</v>
      </c>
      <c r="D430">
        <v>1</v>
      </c>
      <c r="E430" s="2">
        <v>46039</v>
      </c>
      <c r="F430" s="97" t="s">
        <v>7</v>
      </c>
      <c r="G430" s="97" t="s">
        <v>8</v>
      </c>
      <c r="H430" s="97" t="s">
        <v>74</v>
      </c>
      <c r="I430" s="97" t="s">
        <v>77</v>
      </c>
      <c r="J430" s="97" t="s">
        <v>78</v>
      </c>
      <c r="K430" s="97" t="s">
        <v>73</v>
      </c>
      <c r="L430">
        <v>707000</v>
      </c>
      <c r="M430" s="97" t="s">
        <v>81</v>
      </c>
      <c r="N430" s="97" t="s">
        <v>33</v>
      </c>
      <c r="O430">
        <v>606</v>
      </c>
      <c r="P430">
        <v>1.8</v>
      </c>
      <c r="Q430">
        <v>1.0900000000000001</v>
      </c>
      <c r="R430" s="97" t="s">
        <v>1199</v>
      </c>
      <c r="S430" s="97" t="s">
        <v>195</v>
      </c>
    </row>
    <row r="431" spans="1:19" x14ac:dyDescent="0.3">
      <c r="A431" s="97" t="s">
        <v>589</v>
      </c>
      <c r="B431" s="97" t="s">
        <v>22</v>
      </c>
      <c r="C431">
        <v>2026</v>
      </c>
      <c r="D431">
        <v>1</v>
      </c>
      <c r="E431" s="2">
        <v>46039</v>
      </c>
      <c r="F431" s="97" t="s">
        <v>7</v>
      </c>
      <c r="G431" s="97" t="s">
        <v>8</v>
      </c>
      <c r="H431" s="97" t="s">
        <v>74</v>
      </c>
      <c r="I431" s="97" t="s">
        <v>77</v>
      </c>
      <c r="J431" s="97" t="s">
        <v>78</v>
      </c>
      <c r="K431" s="97" t="s">
        <v>73</v>
      </c>
      <c r="L431">
        <v>707000</v>
      </c>
      <c r="M431" s="97" t="s">
        <v>81</v>
      </c>
      <c r="N431" s="97" t="s">
        <v>33</v>
      </c>
      <c r="O431">
        <v>1391</v>
      </c>
      <c r="P431">
        <v>1.8</v>
      </c>
      <c r="Q431">
        <v>2.5099999999999998</v>
      </c>
      <c r="R431" s="97" t="s">
        <v>1200</v>
      </c>
      <c r="S431" s="97" t="s">
        <v>195</v>
      </c>
    </row>
    <row r="432" spans="1:19" x14ac:dyDescent="0.3">
      <c r="A432" s="97" t="s">
        <v>605</v>
      </c>
      <c r="B432" s="97" t="s">
        <v>22</v>
      </c>
      <c r="C432">
        <v>2026</v>
      </c>
      <c r="D432">
        <v>1</v>
      </c>
      <c r="E432" s="2">
        <v>46039</v>
      </c>
      <c r="F432" s="97" t="s">
        <v>7</v>
      </c>
      <c r="G432" s="97" t="s">
        <v>8</v>
      </c>
      <c r="H432" s="97" t="s">
        <v>74</v>
      </c>
      <c r="I432" s="97" t="s">
        <v>77</v>
      </c>
      <c r="J432" s="97" t="s">
        <v>78</v>
      </c>
      <c r="K432" s="97" t="s">
        <v>73</v>
      </c>
      <c r="L432">
        <v>701000</v>
      </c>
      <c r="M432" s="97" t="s">
        <v>62</v>
      </c>
      <c r="N432" s="97" t="s">
        <v>33</v>
      </c>
      <c r="O432">
        <v>153</v>
      </c>
      <c r="P432">
        <v>1.83</v>
      </c>
      <c r="Q432">
        <v>0.28000000000000003</v>
      </c>
      <c r="R432" s="97" t="s">
        <v>1197</v>
      </c>
      <c r="S432" s="97" t="s">
        <v>195</v>
      </c>
    </row>
    <row r="433" spans="1:19" x14ac:dyDescent="0.3">
      <c r="A433" s="97" t="s">
        <v>606</v>
      </c>
      <c r="B433" s="97" t="s">
        <v>22</v>
      </c>
      <c r="C433">
        <v>2026</v>
      </c>
      <c r="D433">
        <v>1</v>
      </c>
      <c r="E433" s="2">
        <v>46039</v>
      </c>
      <c r="F433" s="97" t="s">
        <v>7</v>
      </c>
      <c r="G433" s="97" t="s">
        <v>8</v>
      </c>
      <c r="H433" s="97" t="s">
        <v>74</v>
      </c>
      <c r="I433" s="97" t="s">
        <v>77</v>
      </c>
      <c r="J433" s="97" t="s">
        <v>78</v>
      </c>
      <c r="K433" s="97" t="s">
        <v>73</v>
      </c>
      <c r="L433">
        <v>701000</v>
      </c>
      <c r="M433" s="97" t="s">
        <v>62</v>
      </c>
      <c r="N433" s="97" t="s">
        <v>33</v>
      </c>
      <c r="O433">
        <v>780</v>
      </c>
      <c r="P433">
        <v>1.79</v>
      </c>
      <c r="Q433">
        <v>1.4</v>
      </c>
      <c r="R433" s="97" t="s">
        <v>1201</v>
      </c>
      <c r="S433" s="97" t="s">
        <v>195</v>
      </c>
    </row>
    <row r="434" spans="1:19" x14ac:dyDescent="0.3">
      <c r="A434" s="97" t="s">
        <v>607</v>
      </c>
      <c r="B434" s="97" t="s">
        <v>22</v>
      </c>
      <c r="C434">
        <v>2026</v>
      </c>
      <c r="D434">
        <v>1</v>
      </c>
      <c r="E434" s="2">
        <v>46039</v>
      </c>
      <c r="F434" s="97" t="s">
        <v>7</v>
      </c>
      <c r="G434" s="97" t="s">
        <v>8</v>
      </c>
      <c r="H434" s="97" t="s">
        <v>74</v>
      </c>
      <c r="I434" s="97" t="s">
        <v>77</v>
      </c>
      <c r="J434" s="97" t="s">
        <v>78</v>
      </c>
      <c r="K434" s="97" t="s">
        <v>73</v>
      </c>
      <c r="L434">
        <v>701000</v>
      </c>
      <c r="M434" s="97" t="s">
        <v>62</v>
      </c>
      <c r="N434" s="97" t="s">
        <v>33</v>
      </c>
      <c r="O434">
        <v>1161</v>
      </c>
      <c r="P434">
        <v>1.8</v>
      </c>
      <c r="Q434">
        <v>2.09</v>
      </c>
      <c r="R434" s="97" t="s">
        <v>1202</v>
      </c>
      <c r="S434" s="97" t="s">
        <v>195</v>
      </c>
    </row>
    <row r="435" spans="1:19" x14ac:dyDescent="0.3">
      <c r="A435" s="97" t="s">
        <v>608</v>
      </c>
      <c r="B435" s="97" t="s">
        <v>22</v>
      </c>
      <c r="C435">
        <v>2026</v>
      </c>
      <c r="D435">
        <v>1</v>
      </c>
      <c r="E435" s="2">
        <v>46039</v>
      </c>
      <c r="F435" s="97" t="s">
        <v>7</v>
      </c>
      <c r="G435" s="97" t="s">
        <v>8</v>
      </c>
      <c r="H435" s="97" t="s">
        <v>74</v>
      </c>
      <c r="I435" s="97" t="s">
        <v>77</v>
      </c>
      <c r="J435" s="97" t="s">
        <v>78</v>
      </c>
      <c r="K435" s="97" t="s">
        <v>73</v>
      </c>
      <c r="L435">
        <v>701000</v>
      </c>
      <c r="M435" s="97" t="s">
        <v>62</v>
      </c>
      <c r="N435" s="97" t="s">
        <v>33</v>
      </c>
      <c r="O435">
        <v>673</v>
      </c>
      <c r="P435">
        <v>1.8</v>
      </c>
      <c r="Q435">
        <v>1.21</v>
      </c>
      <c r="R435" s="97" t="s">
        <v>1204</v>
      </c>
      <c r="S435" s="97" t="s">
        <v>195</v>
      </c>
    </row>
    <row r="436" spans="1:19" x14ac:dyDescent="0.3">
      <c r="A436" s="97" t="s">
        <v>609</v>
      </c>
      <c r="B436" s="97" t="s">
        <v>22</v>
      </c>
      <c r="C436">
        <v>2026</v>
      </c>
      <c r="D436">
        <v>1</v>
      </c>
      <c r="E436" s="2">
        <v>46039</v>
      </c>
      <c r="F436" s="97" t="s">
        <v>7</v>
      </c>
      <c r="G436" s="97" t="s">
        <v>8</v>
      </c>
      <c r="H436" s="97" t="s">
        <v>74</v>
      </c>
      <c r="I436" s="97" t="s">
        <v>77</v>
      </c>
      <c r="J436" s="97" t="s">
        <v>78</v>
      </c>
      <c r="K436" s="97" t="s">
        <v>73</v>
      </c>
      <c r="L436">
        <v>701000</v>
      </c>
      <c r="M436" s="97" t="s">
        <v>62</v>
      </c>
      <c r="N436" s="97" t="s">
        <v>33</v>
      </c>
      <c r="O436">
        <v>1084</v>
      </c>
      <c r="P436">
        <v>1.8</v>
      </c>
      <c r="Q436">
        <v>1.95</v>
      </c>
      <c r="R436" s="97" t="s">
        <v>1200</v>
      </c>
      <c r="S436" s="97" t="s">
        <v>195</v>
      </c>
    </row>
    <row r="437" spans="1:19" x14ac:dyDescent="0.3">
      <c r="A437" s="97" t="s">
        <v>350</v>
      </c>
      <c r="B437" s="97" t="s">
        <v>22</v>
      </c>
      <c r="C437">
        <v>2026</v>
      </c>
      <c r="D437">
        <v>1</v>
      </c>
      <c r="E437" s="2">
        <v>46040</v>
      </c>
      <c r="F437" s="97" t="s">
        <v>7</v>
      </c>
      <c r="G437" s="97" t="s">
        <v>8</v>
      </c>
      <c r="H437" s="97" t="s">
        <v>70</v>
      </c>
      <c r="I437" s="97" t="s">
        <v>71</v>
      </c>
      <c r="J437" s="97" t="s">
        <v>72</v>
      </c>
      <c r="K437" s="97" t="s">
        <v>73</v>
      </c>
      <c r="L437">
        <v>701000</v>
      </c>
      <c r="M437" s="97" t="s">
        <v>62</v>
      </c>
      <c r="N437" s="97" t="s">
        <v>33</v>
      </c>
      <c r="O437">
        <v>3536</v>
      </c>
      <c r="P437">
        <v>1.05</v>
      </c>
      <c r="Q437">
        <v>3.71</v>
      </c>
      <c r="R437" s="97" t="s">
        <v>1197</v>
      </c>
      <c r="S437" s="97" t="s">
        <v>195</v>
      </c>
    </row>
    <row r="438" spans="1:19" x14ac:dyDescent="0.3">
      <c r="A438" s="97" t="s">
        <v>351</v>
      </c>
      <c r="B438" s="97" t="s">
        <v>22</v>
      </c>
      <c r="C438">
        <v>2026</v>
      </c>
      <c r="D438">
        <v>1</v>
      </c>
      <c r="E438" s="2">
        <v>46040</v>
      </c>
      <c r="F438" s="97" t="s">
        <v>7</v>
      </c>
      <c r="G438" s="97" t="s">
        <v>8</v>
      </c>
      <c r="H438" s="97" t="s">
        <v>70</v>
      </c>
      <c r="I438" s="97" t="s">
        <v>71</v>
      </c>
      <c r="J438" s="97" t="s">
        <v>72</v>
      </c>
      <c r="K438" s="97" t="s">
        <v>73</v>
      </c>
      <c r="L438">
        <v>701000</v>
      </c>
      <c r="M438" s="97" t="s">
        <v>62</v>
      </c>
      <c r="N438" s="97" t="s">
        <v>33</v>
      </c>
      <c r="O438">
        <v>2887</v>
      </c>
      <c r="P438">
        <v>1.05</v>
      </c>
      <c r="Q438">
        <v>3.03</v>
      </c>
      <c r="R438" s="97" t="s">
        <v>1199</v>
      </c>
      <c r="S438" s="97" t="s">
        <v>195</v>
      </c>
    </row>
    <row r="439" spans="1:19" x14ac:dyDescent="0.3">
      <c r="A439" s="97" t="s">
        <v>352</v>
      </c>
      <c r="B439" s="97" t="s">
        <v>22</v>
      </c>
      <c r="C439">
        <v>2026</v>
      </c>
      <c r="D439">
        <v>1</v>
      </c>
      <c r="E439" s="2">
        <v>46040</v>
      </c>
      <c r="F439" s="97" t="s">
        <v>7</v>
      </c>
      <c r="G439" s="97" t="s">
        <v>8</v>
      </c>
      <c r="H439" s="97" t="s">
        <v>70</v>
      </c>
      <c r="I439" s="97" t="s">
        <v>71</v>
      </c>
      <c r="J439" s="97" t="s">
        <v>72</v>
      </c>
      <c r="K439" s="97" t="s">
        <v>73</v>
      </c>
      <c r="L439">
        <v>701000</v>
      </c>
      <c r="M439" s="97" t="s">
        <v>62</v>
      </c>
      <c r="N439" s="97" t="s">
        <v>33</v>
      </c>
      <c r="O439">
        <v>3587</v>
      </c>
      <c r="P439">
        <v>1.05</v>
      </c>
      <c r="Q439">
        <v>3.77</v>
      </c>
      <c r="R439" s="97" t="s">
        <v>1205</v>
      </c>
      <c r="S439" s="97" t="s">
        <v>195</v>
      </c>
    </row>
    <row r="440" spans="1:19" x14ac:dyDescent="0.3">
      <c r="A440" s="97" t="s">
        <v>353</v>
      </c>
      <c r="B440" s="97" t="s">
        <v>22</v>
      </c>
      <c r="C440">
        <v>2026</v>
      </c>
      <c r="D440">
        <v>1</v>
      </c>
      <c r="E440" s="2">
        <v>46040</v>
      </c>
      <c r="F440" s="97" t="s">
        <v>7</v>
      </c>
      <c r="G440" s="97" t="s">
        <v>8</v>
      </c>
      <c r="H440" s="97" t="s">
        <v>70</v>
      </c>
      <c r="I440" s="97" t="s">
        <v>71</v>
      </c>
      <c r="J440" s="97" t="s">
        <v>72</v>
      </c>
      <c r="K440" s="97" t="s">
        <v>73</v>
      </c>
      <c r="L440">
        <v>701000</v>
      </c>
      <c r="M440" s="97" t="s">
        <v>62</v>
      </c>
      <c r="N440" s="97" t="s">
        <v>33</v>
      </c>
      <c r="O440">
        <v>8010</v>
      </c>
      <c r="P440">
        <v>1.05</v>
      </c>
      <c r="Q440">
        <v>8.41</v>
      </c>
      <c r="R440" s="97" t="s">
        <v>1201</v>
      </c>
      <c r="S440" s="97" t="s">
        <v>195</v>
      </c>
    </row>
    <row r="441" spans="1:19" x14ac:dyDescent="0.3">
      <c r="A441" s="97" t="s">
        <v>354</v>
      </c>
      <c r="B441" s="97" t="s">
        <v>22</v>
      </c>
      <c r="C441">
        <v>2026</v>
      </c>
      <c r="D441">
        <v>1</v>
      </c>
      <c r="E441" s="2">
        <v>46040</v>
      </c>
      <c r="F441" s="97" t="s">
        <v>7</v>
      </c>
      <c r="G441" s="97" t="s">
        <v>8</v>
      </c>
      <c r="H441" s="97" t="s">
        <v>70</v>
      </c>
      <c r="I441" s="97" t="s">
        <v>71</v>
      </c>
      <c r="J441" s="97" t="s">
        <v>72</v>
      </c>
      <c r="K441" s="97" t="s">
        <v>73</v>
      </c>
      <c r="L441">
        <v>701000</v>
      </c>
      <c r="M441" s="97" t="s">
        <v>62</v>
      </c>
      <c r="N441" s="97" t="s">
        <v>33</v>
      </c>
      <c r="O441">
        <v>2412</v>
      </c>
      <c r="P441">
        <v>1.05</v>
      </c>
      <c r="Q441">
        <v>2.5299999999999998</v>
      </c>
      <c r="R441" s="97" t="s">
        <v>1203</v>
      </c>
      <c r="S441" s="97" t="s">
        <v>195</v>
      </c>
    </row>
    <row r="442" spans="1:19" x14ac:dyDescent="0.3">
      <c r="A442" s="97" t="s">
        <v>355</v>
      </c>
      <c r="B442" s="97" t="s">
        <v>22</v>
      </c>
      <c r="C442">
        <v>2026</v>
      </c>
      <c r="D442">
        <v>1</v>
      </c>
      <c r="E442" s="2">
        <v>46040</v>
      </c>
      <c r="F442" s="97" t="s">
        <v>7</v>
      </c>
      <c r="G442" s="97" t="s">
        <v>8</v>
      </c>
      <c r="H442" s="97" t="s">
        <v>74</v>
      </c>
      <c r="I442" s="97" t="s">
        <v>71</v>
      </c>
      <c r="J442" s="97" t="s">
        <v>72</v>
      </c>
      <c r="K442" s="97" t="s">
        <v>73</v>
      </c>
      <c r="L442">
        <v>701000</v>
      </c>
      <c r="M442" s="97" t="s">
        <v>62</v>
      </c>
      <c r="N442" s="97" t="s">
        <v>33</v>
      </c>
      <c r="O442">
        <v>3922</v>
      </c>
      <c r="P442">
        <v>1.05</v>
      </c>
      <c r="Q442">
        <v>4.12</v>
      </c>
      <c r="R442" s="97" t="s">
        <v>1205</v>
      </c>
      <c r="S442" s="97" t="s">
        <v>195</v>
      </c>
    </row>
    <row r="443" spans="1:19" x14ac:dyDescent="0.3">
      <c r="A443" s="97" t="s">
        <v>356</v>
      </c>
      <c r="B443" s="97" t="s">
        <v>22</v>
      </c>
      <c r="C443">
        <v>2026</v>
      </c>
      <c r="D443">
        <v>1</v>
      </c>
      <c r="E443" s="2">
        <v>46040</v>
      </c>
      <c r="F443" s="97" t="s">
        <v>7</v>
      </c>
      <c r="G443" s="97" t="s">
        <v>8</v>
      </c>
      <c r="H443" s="97" t="s">
        <v>74</v>
      </c>
      <c r="I443" s="97" t="s">
        <v>71</v>
      </c>
      <c r="J443" s="97" t="s">
        <v>72</v>
      </c>
      <c r="K443" s="97" t="s">
        <v>73</v>
      </c>
      <c r="L443">
        <v>701000</v>
      </c>
      <c r="M443" s="97" t="s">
        <v>62</v>
      </c>
      <c r="N443" s="97" t="s">
        <v>33</v>
      </c>
      <c r="O443">
        <v>6095</v>
      </c>
      <c r="P443">
        <v>1.05</v>
      </c>
      <c r="Q443">
        <v>6.4</v>
      </c>
      <c r="R443" s="97" t="s">
        <v>1201</v>
      </c>
      <c r="S443" s="97" t="s">
        <v>195</v>
      </c>
    </row>
    <row r="444" spans="1:19" x14ac:dyDescent="0.3">
      <c r="A444" s="97" t="s">
        <v>357</v>
      </c>
      <c r="B444" s="97" t="s">
        <v>22</v>
      </c>
      <c r="C444">
        <v>2026</v>
      </c>
      <c r="D444">
        <v>1</v>
      </c>
      <c r="E444" s="2">
        <v>46040</v>
      </c>
      <c r="F444" s="97" t="s">
        <v>7</v>
      </c>
      <c r="G444" s="97" t="s">
        <v>8</v>
      </c>
      <c r="H444" s="97" t="s">
        <v>74</v>
      </c>
      <c r="I444" s="97" t="s">
        <v>71</v>
      </c>
      <c r="J444" s="97" t="s">
        <v>72</v>
      </c>
      <c r="K444" s="97" t="s">
        <v>73</v>
      </c>
      <c r="L444">
        <v>701000</v>
      </c>
      <c r="M444" s="97" t="s">
        <v>62</v>
      </c>
      <c r="N444" s="97" t="s">
        <v>33</v>
      </c>
      <c r="O444">
        <v>3156</v>
      </c>
      <c r="P444">
        <v>1.05</v>
      </c>
      <c r="Q444">
        <v>3.31</v>
      </c>
      <c r="R444" s="97" t="s">
        <v>1197</v>
      </c>
      <c r="S444" s="97" t="s">
        <v>195</v>
      </c>
    </row>
    <row r="445" spans="1:19" x14ac:dyDescent="0.3">
      <c r="A445" s="97" t="s">
        <v>358</v>
      </c>
      <c r="B445" s="97" t="s">
        <v>22</v>
      </c>
      <c r="C445">
        <v>2026</v>
      </c>
      <c r="D445">
        <v>1</v>
      </c>
      <c r="E445" s="2">
        <v>46040</v>
      </c>
      <c r="F445" s="97" t="s">
        <v>7</v>
      </c>
      <c r="G445" s="97" t="s">
        <v>8</v>
      </c>
      <c r="H445" s="97" t="s">
        <v>74</v>
      </c>
      <c r="I445" s="97" t="s">
        <v>71</v>
      </c>
      <c r="J445" s="97" t="s">
        <v>72</v>
      </c>
      <c r="K445" s="97" t="s">
        <v>73</v>
      </c>
      <c r="L445">
        <v>701000</v>
      </c>
      <c r="M445" s="97" t="s">
        <v>62</v>
      </c>
      <c r="N445" s="97" t="s">
        <v>33</v>
      </c>
      <c r="O445">
        <v>4580</v>
      </c>
      <c r="P445">
        <v>1.05</v>
      </c>
      <c r="Q445">
        <v>4.8099999999999996</v>
      </c>
      <c r="R445" s="97" t="s">
        <v>1200</v>
      </c>
      <c r="S445" s="97" t="s">
        <v>195</v>
      </c>
    </row>
    <row r="446" spans="1:19" x14ac:dyDescent="0.3">
      <c r="A446" s="97" t="s">
        <v>359</v>
      </c>
      <c r="B446" s="97" t="s">
        <v>22</v>
      </c>
      <c r="C446">
        <v>2026</v>
      </c>
      <c r="D446">
        <v>1</v>
      </c>
      <c r="E446" s="2">
        <v>46040</v>
      </c>
      <c r="F446" s="97" t="s">
        <v>7</v>
      </c>
      <c r="G446" s="97" t="s">
        <v>8</v>
      </c>
      <c r="H446" s="97" t="s">
        <v>74</v>
      </c>
      <c r="I446" s="97" t="s">
        <v>71</v>
      </c>
      <c r="J446" s="97" t="s">
        <v>72</v>
      </c>
      <c r="K446" s="97" t="s">
        <v>73</v>
      </c>
      <c r="L446">
        <v>701000</v>
      </c>
      <c r="M446" s="97" t="s">
        <v>62</v>
      </c>
      <c r="N446" s="97" t="s">
        <v>33</v>
      </c>
      <c r="O446">
        <v>2317</v>
      </c>
      <c r="P446">
        <v>1.05</v>
      </c>
      <c r="Q446">
        <v>2.4300000000000002</v>
      </c>
      <c r="R446" s="97" t="s">
        <v>1198</v>
      </c>
      <c r="S446" s="97" t="s">
        <v>195</v>
      </c>
    </row>
    <row r="447" spans="1:19" x14ac:dyDescent="0.3">
      <c r="A447" s="97" t="s">
        <v>510</v>
      </c>
      <c r="B447" s="97" t="s">
        <v>22</v>
      </c>
      <c r="C447">
        <v>2026</v>
      </c>
      <c r="D447">
        <v>1</v>
      </c>
      <c r="E447" s="2">
        <v>46040</v>
      </c>
      <c r="F447" s="97" t="s">
        <v>7</v>
      </c>
      <c r="G447" s="97" t="s">
        <v>8</v>
      </c>
      <c r="H447" s="97" t="s">
        <v>74</v>
      </c>
      <c r="I447" s="97" t="s">
        <v>77</v>
      </c>
      <c r="J447" s="97" t="s">
        <v>78</v>
      </c>
      <c r="K447" s="97" t="s">
        <v>73</v>
      </c>
      <c r="L447">
        <v>701000</v>
      </c>
      <c r="M447" s="97" t="s">
        <v>62</v>
      </c>
      <c r="N447" s="97" t="s">
        <v>33</v>
      </c>
      <c r="O447">
        <v>803</v>
      </c>
      <c r="P447">
        <v>1.79</v>
      </c>
      <c r="Q447">
        <v>1.44</v>
      </c>
      <c r="R447" s="97" t="s">
        <v>1205</v>
      </c>
      <c r="S447" s="97" t="s">
        <v>195</v>
      </c>
    </row>
    <row r="448" spans="1:19" x14ac:dyDescent="0.3">
      <c r="A448" s="97" t="s">
        <v>511</v>
      </c>
      <c r="B448" s="97" t="s">
        <v>22</v>
      </c>
      <c r="C448">
        <v>2026</v>
      </c>
      <c r="D448">
        <v>1</v>
      </c>
      <c r="E448" s="2">
        <v>46040</v>
      </c>
      <c r="F448" s="97" t="s">
        <v>7</v>
      </c>
      <c r="G448" s="97" t="s">
        <v>8</v>
      </c>
      <c r="H448" s="97" t="s">
        <v>74</v>
      </c>
      <c r="I448" s="97" t="s">
        <v>77</v>
      </c>
      <c r="J448" s="97" t="s">
        <v>78</v>
      </c>
      <c r="K448" s="97" t="s">
        <v>73</v>
      </c>
      <c r="L448">
        <v>701000</v>
      </c>
      <c r="M448" s="97" t="s">
        <v>62</v>
      </c>
      <c r="N448" s="97" t="s">
        <v>33</v>
      </c>
      <c r="O448">
        <v>354</v>
      </c>
      <c r="P448">
        <v>1.81</v>
      </c>
      <c r="Q448">
        <v>0.64</v>
      </c>
      <c r="R448" s="97" t="s">
        <v>1198</v>
      </c>
      <c r="S448" s="97" t="s">
        <v>195</v>
      </c>
    </row>
    <row r="449" spans="1:19" x14ac:dyDescent="0.3">
      <c r="A449" s="97" t="s">
        <v>512</v>
      </c>
      <c r="B449" s="97" t="s">
        <v>22</v>
      </c>
      <c r="C449">
        <v>2026</v>
      </c>
      <c r="D449">
        <v>1</v>
      </c>
      <c r="E449" s="2">
        <v>46040</v>
      </c>
      <c r="F449" s="97" t="s">
        <v>7</v>
      </c>
      <c r="G449" s="97" t="s">
        <v>8</v>
      </c>
      <c r="H449" s="97" t="s">
        <v>74</v>
      </c>
      <c r="I449" s="97" t="s">
        <v>77</v>
      </c>
      <c r="J449" s="97" t="s">
        <v>78</v>
      </c>
      <c r="K449" s="97" t="s">
        <v>73</v>
      </c>
      <c r="L449">
        <v>701000</v>
      </c>
      <c r="M449" s="97" t="s">
        <v>62</v>
      </c>
      <c r="N449" s="97" t="s">
        <v>33</v>
      </c>
      <c r="O449">
        <v>412</v>
      </c>
      <c r="P449">
        <v>1.8</v>
      </c>
      <c r="Q449">
        <v>0.74</v>
      </c>
      <c r="R449" s="97" t="s">
        <v>1200</v>
      </c>
      <c r="S449" s="97" t="s">
        <v>195</v>
      </c>
    </row>
    <row r="450" spans="1:19" x14ac:dyDescent="0.3">
      <c r="A450" s="97" t="s">
        <v>513</v>
      </c>
      <c r="B450" s="97" t="s">
        <v>22</v>
      </c>
      <c r="C450">
        <v>2026</v>
      </c>
      <c r="D450">
        <v>1</v>
      </c>
      <c r="E450" s="2">
        <v>46040</v>
      </c>
      <c r="F450" s="97" t="s">
        <v>7</v>
      </c>
      <c r="G450" s="97" t="s">
        <v>8</v>
      </c>
      <c r="H450" s="97" t="s">
        <v>74</v>
      </c>
      <c r="I450" s="97" t="s">
        <v>77</v>
      </c>
      <c r="J450" s="97" t="s">
        <v>78</v>
      </c>
      <c r="K450" s="97" t="s">
        <v>73</v>
      </c>
      <c r="L450">
        <v>701000</v>
      </c>
      <c r="M450" s="97" t="s">
        <v>62</v>
      </c>
      <c r="N450" s="97" t="s">
        <v>33</v>
      </c>
      <c r="O450">
        <v>829</v>
      </c>
      <c r="P450">
        <v>1.8</v>
      </c>
      <c r="Q450">
        <v>1.49</v>
      </c>
      <c r="R450" s="97" t="s">
        <v>1201</v>
      </c>
      <c r="S450" s="97" t="s">
        <v>195</v>
      </c>
    </row>
    <row r="451" spans="1:19" x14ac:dyDescent="0.3">
      <c r="A451" s="97" t="s">
        <v>514</v>
      </c>
      <c r="B451" s="97" t="s">
        <v>22</v>
      </c>
      <c r="C451">
        <v>2026</v>
      </c>
      <c r="D451">
        <v>1</v>
      </c>
      <c r="E451" s="2">
        <v>46040</v>
      </c>
      <c r="F451" s="97" t="s">
        <v>7</v>
      </c>
      <c r="G451" s="97" t="s">
        <v>8</v>
      </c>
      <c r="H451" s="97" t="s">
        <v>74</v>
      </c>
      <c r="I451" s="97" t="s">
        <v>77</v>
      </c>
      <c r="J451" s="97" t="s">
        <v>78</v>
      </c>
      <c r="K451" s="97" t="s">
        <v>73</v>
      </c>
      <c r="L451">
        <v>701000</v>
      </c>
      <c r="M451" s="97" t="s">
        <v>62</v>
      </c>
      <c r="N451" s="97" t="s">
        <v>33</v>
      </c>
      <c r="O451">
        <v>1080</v>
      </c>
      <c r="P451">
        <v>1.81</v>
      </c>
      <c r="Q451">
        <v>1.95</v>
      </c>
      <c r="R451" s="97" t="s">
        <v>1197</v>
      </c>
      <c r="S451" s="97" t="s">
        <v>195</v>
      </c>
    </row>
    <row r="452" spans="1:19" x14ac:dyDescent="0.3">
      <c r="A452" s="97" t="s">
        <v>530</v>
      </c>
      <c r="B452" s="97" t="s">
        <v>22</v>
      </c>
      <c r="C452">
        <v>2026</v>
      </c>
      <c r="D452">
        <v>1</v>
      </c>
      <c r="E452" s="2">
        <v>46040</v>
      </c>
      <c r="F452" s="97" t="s">
        <v>7</v>
      </c>
      <c r="G452" s="97" t="s">
        <v>8</v>
      </c>
      <c r="H452" s="97" t="s">
        <v>74</v>
      </c>
      <c r="I452" s="97" t="s">
        <v>77</v>
      </c>
      <c r="J452" s="97" t="s">
        <v>78</v>
      </c>
      <c r="K452" s="97" t="s">
        <v>73</v>
      </c>
      <c r="L452">
        <v>701000</v>
      </c>
      <c r="M452" s="97" t="s">
        <v>62</v>
      </c>
      <c r="N452" s="97" t="s">
        <v>33</v>
      </c>
      <c r="O452">
        <v>514</v>
      </c>
      <c r="P452">
        <v>1.79</v>
      </c>
      <c r="Q452">
        <v>0.92</v>
      </c>
      <c r="R452" s="97" t="s">
        <v>1203</v>
      </c>
      <c r="S452" s="97" t="s">
        <v>195</v>
      </c>
    </row>
    <row r="453" spans="1:19" x14ac:dyDescent="0.3">
      <c r="A453" s="97" t="s">
        <v>531</v>
      </c>
      <c r="B453" s="97" t="s">
        <v>22</v>
      </c>
      <c r="C453">
        <v>2026</v>
      </c>
      <c r="D453">
        <v>1</v>
      </c>
      <c r="E453" s="2">
        <v>46040</v>
      </c>
      <c r="F453" s="97" t="s">
        <v>7</v>
      </c>
      <c r="G453" s="97" t="s">
        <v>8</v>
      </c>
      <c r="H453" s="97" t="s">
        <v>74</v>
      </c>
      <c r="I453" s="97" t="s">
        <v>77</v>
      </c>
      <c r="J453" s="97" t="s">
        <v>78</v>
      </c>
      <c r="K453" s="97" t="s">
        <v>73</v>
      </c>
      <c r="L453">
        <v>701000</v>
      </c>
      <c r="M453" s="97" t="s">
        <v>62</v>
      </c>
      <c r="N453" s="97" t="s">
        <v>33</v>
      </c>
      <c r="O453">
        <v>528</v>
      </c>
      <c r="P453">
        <v>1.8</v>
      </c>
      <c r="Q453">
        <v>0.95</v>
      </c>
      <c r="R453" s="97" t="s">
        <v>1200</v>
      </c>
      <c r="S453" s="97" t="s">
        <v>195</v>
      </c>
    </row>
    <row r="454" spans="1:19" x14ac:dyDescent="0.3">
      <c r="A454" s="97" t="s">
        <v>532</v>
      </c>
      <c r="B454" s="97" t="s">
        <v>22</v>
      </c>
      <c r="C454">
        <v>2026</v>
      </c>
      <c r="D454">
        <v>1</v>
      </c>
      <c r="E454" s="2">
        <v>46040</v>
      </c>
      <c r="F454" s="97" t="s">
        <v>7</v>
      </c>
      <c r="G454" s="97" t="s">
        <v>8</v>
      </c>
      <c r="H454" s="97" t="s">
        <v>74</v>
      </c>
      <c r="I454" s="97" t="s">
        <v>77</v>
      </c>
      <c r="J454" s="97" t="s">
        <v>78</v>
      </c>
      <c r="K454" s="97" t="s">
        <v>73</v>
      </c>
      <c r="L454">
        <v>701000</v>
      </c>
      <c r="M454" s="97" t="s">
        <v>62</v>
      </c>
      <c r="N454" s="97" t="s">
        <v>33</v>
      </c>
      <c r="O454">
        <v>1051</v>
      </c>
      <c r="P454">
        <v>1.8</v>
      </c>
      <c r="Q454">
        <v>1.89</v>
      </c>
      <c r="R454" s="97" t="s">
        <v>1202</v>
      </c>
      <c r="S454" s="97" t="s">
        <v>195</v>
      </c>
    </row>
    <row r="455" spans="1:19" x14ac:dyDescent="0.3">
      <c r="A455" s="97" t="s">
        <v>533</v>
      </c>
      <c r="B455" s="97" t="s">
        <v>22</v>
      </c>
      <c r="C455">
        <v>2026</v>
      </c>
      <c r="D455">
        <v>1</v>
      </c>
      <c r="E455" s="2">
        <v>46040</v>
      </c>
      <c r="F455" s="97" t="s">
        <v>7</v>
      </c>
      <c r="G455" s="97" t="s">
        <v>8</v>
      </c>
      <c r="H455" s="97" t="s">
        <v>74</v>
      </c>
      <c r="I455" s="97" t="s">
        <v>77</v>
      </c>
      <c r="J455" s="97" t="s">
        <v>78</v>
      </c>
      <c r="K455" s="97" t="s">
        <v>73</v>
      </c>
      <c r="L455">
        <v>701000</v>
      </c>
      <c r="M455" s="97" t="s">
        <v>62</v>
      </c>
      <c r="N455" s="97" t="s">
        <v>33</v>
      </c>
      <c r="O455">
        <v>1150</v>
      </c>
      <c r="P455">
        <v>1.8</v>
      </c>
      <c r="Q455">
        <v>2.0699999999999998</v>
      </c>
      <c r="R455" s="97" t="s">
        <v>1201</v>
      </c>
      <c r="S455" s="97" t="s">
        <v>195</v>
      </c>
    </row>
    <row r="456" spans="1:19" x14ac:dyDescent="0.3">
      <c r="A456" s="97" t="s">
        <v>534</v>
      </c>
      <c r="B456" s="97" t="s">
        <v>22</v>
      </c>
      <c r="C456">
        <v>2026</v>
      </c>
      <c r="D456">
        <v>1</v>
      </c>
      <c r="E456" s="2">
        <v>46040</v>
      </c>
      <c r="F456" s="97" t="s">
        <v>7</v>
      </c>
      <c r="G456" s="97" t="s">
        <v>8</v>
      </c>
      <c r="H456" s="97" t="s">
        <v>74</v>
      </c>
      <c r="I456" s="97" t="s">
        <v>77</v>
      </c>
      <c r="J456" s="97" t="s">
        <v>78</v>
      </c>
      <c r="K456" s="97" t="s">
        <v>73</v>
      </c>
      <c r="L456">
        <v>701000</v>
      </c>
      <c r="M456" s="97" t="s">
        <v>62</v>
      </c>
      <c r="N456" s="97" t="s">
        <v>33</v>
      </c>
      <c r="O456">
        <v>340</v>
      </c>
      <c r="P456">
        <v>1.82</v>
      </c>
      <c r="Q456">
        <v>0.62</v>
      </c>
      <c r="R456" s="97" t="s">
        <v>1199</v>
      </c>
      <c r="S456" s="97" t="s">
        <v>195</v>
      </c>
    </row>
    <row r="457" spans="1:19" x14ac:dyDescent="0.3">
      <c r="A457" s="97" t="s">
        <v>540</v>
      </c>
      <c r="B457" s="97" t="s">
        <v>22</v>
      </c>
      <c r="C457">
        <v>2026</v>
      </c>
      <c r="D457">
        <v>1</v>
      </c>
      <c r="E457" s="2">
        <v>46040</v>
      </c>
      <c r="F457" s="97" t="s">
        <v>7</v>
      </c>
      <c r="G457" s="97" t="s">
        <v>8</v>
      </c>
      <c r="H457" s="97" t="s">
        <v>74</v>
      </c>
      <c r="I457" s="97" t="s">
        <v>77</v>
      </c>
      <c r="J457" s="97" t="s">
        <v>78</v>
      </c>
      <c r="K457" s="97" t="s">
        <v>73</v>
      </c>
      <c r="L457">
        <v>701000</v>
      </c>
      <c r="M457" s="97" t="s">
        <v>62</v>
      </c>
      <c r="N457" s="97" t="s">
        <v>33</v>
      </c>
      <c r="O457">
        <v>1464</v>
      </c>
      <c r="P457">
        <v>1.8</v>
      </c>
      <c r="Q457">
        <v>2.64</v>
      </c>
      <c r="R457" s="97" t="s">
        <v>1203</v>
      </c>
      <c r="S457" s="97" t="s">
        <v>195</v>
      </c>
    </row>
    <row r="458" spans="1:19" x14ac:dyDescent="0.3">
      <c r="A458" s="97" t="s">
        <v>541</v>
      </c>
      <c r="B458" s="97" t="s">
        <v>22</v>
      </c>
      <c r="C458">
        <v>2026</v>
      </c>
      <c r="D458">
        <v>1</v>
      </c>
      <c r="E458" s="2">
        <v>46040</v>
      </c>
      <c r="F458" s="97" t="s">
        <v>7</v>
      </c>
      <c r="G458" s="97" t="s">
        <v>8</v>
      </c>
      <c r="H458" s="97" t="s">
        <v>74</v>
      </c>
      <c r="I458" s="97" t="s">
        <v>77</v>
      </c>
      <c r="J458" s="97" t="s">
        <v>78</v>
      </c>
      <c r="K458" s="97" t="s">
        <v>73</v>
      </c>
      <c r="L458">
        <v>701000</v>
      </c>
      <c r="M458" s="97" t="s">
        <v>62</v>
      </c>
      <c r="N458" s="97" t="s">
        <v>33</v>
      </c>
      <c r="O458">
        <v>453</v>
      </c>
      <c r="P458">
        <v>1.81</v>
      </c>
      <c r="Q458">
        <v>0.82</v>
      </c>
      <c r="R458" s="97" t="s">
        <v>1200</v>
      </c>
      <c r="S458" s="97" t="s">
        <v>195</v>
      </c>
    </row>
    <row r="459" spans="1:19" x14ac:dyDescent="0.3">
      <c r="A459" s="97" t="s">
        <v>542</v>
      </c>
      <c r="B459" s="97" t="s">
        <v>22</v>
      </c>
      <c r="C459">
        <v>2026</v>
      </c>
      <c r="D459">
        <v>1</v>
      </c>
      <c r="E459" s="2">
        <v>46040</v>
      </c>
      <c r="F459" s="97" t="s">
        <v>7</v>
      </c>
      <c r="G459" s="97" t="s">
        <v>8</v>
      </c>
      <c r="H459" s="97" t="s">
        <v>74</v>
      </c>
      <c r="I459" s="97" t="s">
        <v>77</v>
      </c>
      <c r="J459" s="97" t="s">
        <v>78</v>
      </c>
      <c r="K459" s="97" t="s">
        <v>73</v>
      </c>
      <c r="L459">
        <v>701000</v>
      </c>
      <c r="M459" s="97" t="s">
        <v>62</v>
      </c>
      <c r="N459" s="97" t="s">
        <v>33</v>
      </c>
      <c r="O459">
        <v>552</v>
      </c>
      <c r="P459">
        <v>1.79</v>
      </c>
      <c r="Q459">
        <v>0.99</v>
      </c>
      <c r="R459" s="97" t="s">
        <v>1204</v>
      </c>
      <c r="S459" s="97" t="s">
        <v>195</v>
      </c>
    </row>
    <row r="460" spans="1:19" x14ac:dyDescent="0.3">
      <c r="A460" s="97" t="s">
        <v>543</v>
      </c>
      <c r="B460" s="97" t="s">
        <v>22</v>
      </c>
      <c r="C460">
        <v>2026</v>
      </c>
      <c r="D460">
        <v>1</v>
      </c>
      <c r="E460" s="2">
        <v>46040</v>
      </c>
      <c r="F460" s="97" t="s">
        <v>7</v>
      </c>
      <c r="G460" s="97" t="s">
        <v>8</v>
      </c>
      <c r="H460" s="97" t="s">
        <v>74</v>
      </c>
      <c r="I460" s="97" t="s">
        <v>77</v>
      </c>
      <c r="J460" s="97" t="s">
        <v>78</v>
      </c>
      <c r="K460" s="97" t="s">
        <v>73</v>
      </c>
      <c r="L460">
        <v>701000</v>
      </c>
      <c r="M460" s="97" t="s">
        <v>62</v>
      </c>
      <c r="N460" s="97" t="s">
        <v>33</v>
      </c>
      <c r="O460">
        <v>1024</v>
      </c>
      <c r="P460">
        <v>1.81</v>
      </c>
      <c r="Q460">
        <v>1.85</v>
      </c>
      <c r="R460" s="97" t="s">
        <v>1199</v>
      </c>
      <c r="S460" s="97" t="s">
        <v>195</v>
      </c>
    </row>
    <row r="461" spans="1:19" x14ac:dyDescent="0.3">
      <c r="A461" s="97" t="s">
        <v>544</v>
      </c>
      <c r="B461" s="97" t="s">
        <v>22</v>
      </c>
      <c r="C461">
        <v>2026</v>
      </c>
      <c r="D461">
        <v>1</v>
      </c>
      <c r="E461" s="2">
        <v>46040</v>
      </c>
      <c r="F461" s="97" t="s">
        <v>7</v>
      </c>
      <c r="G461" s="97" t="s">
        <v>8</v>
      </c>
      <c r="H461" s="97" t="s">
        <v>74</v>
      </c>
      <c r="I461" s="97" t="s">
        <v>77</v>
      </c>
      <c r="J461" s="97" t="s">
        <v>78</v>
      </c>
      <c r="K461" s="97" t="s">
        <v>73</v>
      </c>
      <c r="L461">
        <v>701000</v>
      </c>
      <c r="M461" s="97" t="s">
        <v>62</v>
      </c>
      <c r="N461" s="97" t="s">
        <v>33</v>
      </c>
      <c r="O461">
        <v>299</v>
      </c>
      <c r="P461">
        <v>1.77</v>
      </c>
      <c r="Q461">
        <v>0.53</v>
      </c>
      <c r="R461" s="97" t="s">
        <v>1202</v>
      </c>
      <c r="S461" s="97" t="s">
        <v>195</v>
      </c>
    </row>
    <row r="462" spans="1:19" x14ac:dyDescent="0.3">
      <c r="A462" s="97" t="s">
        <v>710</v>
      </c>
      <c r="B462" s="97" t="s">
        <v>22</v>
      </c>
      <c r="C462">
        <v>2026</v>
      </c>
      <c r="D462">
        <v>1</v>
      </c>
      <c r="E462" s="2">
        <v>46040</v>
      </c>
      <c r="F462" s="97" t="s">
        <v>7</v>
      </c>
      <c r="G462" s="97" t="s">
        <v>8</v>
      </c>
      <c r="H462" s="97" t="s">
        <v>74</v>
      </c>
      <c r="I462" s="97" t="s">
        <v>79</v>
      </c>
      <c r="J462" s="97" t="s">
        <v>80</v>
      </c>
      <c r="K462" s="97" t="s">
        <v>73</v>
      </c>
      <c r="L462">
        <v>701000</v>
      </c>
      <c r="M462" s="97" t="s">
        <v>62</v>
      </c>
      <c r="N462" s="97" t="s">
        <v>33</v>
      </c>
      <c r="O462">
        <v>2019</v>
      </c>
      <c r="P462">
        <v>2.6</v>
      </c>
      <c r="Q462">
        <v>5.25</v>
      </c>
      <c r="R462" s="97" t="s">
        <v>1201</v>
      </c>
      <c r="S462" s="97" t="s">
        <v>195</v>
      </c>
    </row>
    <row r="463" spans="1:19" x14ac:dyDescent="0.3">
      <c r="A463" s="97" t="s">
        <v>711</v>
      </c>
      <c r="B463" s="97" t="s">
        <v>22</v>
      </c>
      <c r="C463">
        <v>2026</v>
      </c>
      <c r="D463">
        <v>1</v>
      </c>
      <c r="E463" s="2">
        <v>46040</v>
      </c>
      <c r="F463" s="97" t="s">
        <v>7</v>
      </c>
      <c r="G463" s="97" t="s">
        <v>8</v>
      </c>
      <c r="H463" s="97" t="s">
        <v>74</v>
      </c>
      <c r="I463" s="97" t="s">
        <v>79</v>
      </c>
      <c r="J463" s="97" t="s">
        <v>80</v>
      </c>
      <c r="K463" s="97" t="s">
        <v>73</v>
      </c>
      <c r="L463">
        <v>701000</v>
      </c>
      <c r="M463" s="97" t="s">
        <v>62</v>
      </c>
      <c r="N463" s="97" t="s">
        <v>33</v>
      </c>
      <c r="O463">
        <v>854</v>
      </c>
      <c r="P463">
        <v>2.6</v>
      </c>
      <c r="Q463">
        <v>2.2200000000000002</v>
      </c>
      <c r="R463" s="97" t="s">
        <v>1203</v>
      </c>
      <c r="S463" s="97" t="s">
        <v>195</v>
      </c>
    </row>
    <row r="464" spans="1:19" x14ac:dyDescent="0.3">
      <c r="A464" s="97" t="s">
        <v>712</v>
      </c>
      <c r="B464" s="97" t="s">
        <v>22</v>
      </c>
      <c r="C464">
        <v>2026</v>
      </c>
      <c r="D464">
        <v>1</v>
      </c>
      <c r="E464" s="2">
        <v>46040</v>
      </c>
      <c r="F464" s="97" t="s">
        <v>7</v>
      </c>
      <c r="G464" s="97" t="s">
        <v>8</v>
      </c>
      <c r="H464" s="97" t="s">
        <v>74</v>
      </c>
      <c r="I464" s="97" t="s">
        <v>79</v>
      </c>
      <c r="J464" s="97" t="s">
        <v>80</v>
      </c>
      <c r="K464" s="97" t="s">
        <v>73</v>
      </c>
      <c r="L464">
        <v>701000</v>
      </c>
      <c r="M464" s="97" t="s">
        <v>62</v>
      </c>
      <c r="N464" s="97" t="s">
        <v>33</v>
      </c>
      <c r="O464">
        <v>3634</v>
      </c>
      <c r="P464">
        <v>2.6</v>
      </c>
      <c r="Q464">
        <v>9.4499999999999993</v>
      </c>
      <c r="R464" s="97" t="s">
        <v>1205</v>
      </c>
      <c r="S464" s="97" t="s">
        <v>195</v>
      </c>
    </row>
    <row r="465" spans="1:19" x14ac:dyDescent="0.3">
      <c r="A465" s="97" t="s">
        <v>713</v>
      </c>
      <c r="B465" s="97" t="s">
        <v>22</v>
      </c>
      <c r="C465">
        <v>2026</v>
      </c>
      <c r="D465">
        <v>1</v>
      </c>
      <c r="E465" s="2">
        <v>46040</v>
      </c>
      <c r="F465" s="97" t="s">
        <v>7</v>
      </c>
      <c r="G465" s="97" t="s">
        <v>8</v>
      </c>
      <c r="H465" s="97" t="s">
        <v>74</v>
      </c>
      <c r="I465" s="97" t="s">
        <v>79</v>
      </c>
      <c r="J465" s="97" t="s">
        <v>80</v>
      </c>
      <c r="K465" s="97" t="s">
        <v>73</v>
      </c>
      <c r="L465">
        <v>701000</v>
      </c>
      <c r="M465" s="97" t="s">
        <v>62</v>
      </c>
      <c r="N465" s="97" t="s">
        <v>33</v>
      </c>
      <c r="O465">
        <v>1139</v>
      </c>
      <c r="P465">
        <v>2.6</v>
      </c>
      <c r="Q465">
        <v>2.96</v>
      </c>
      <c r="R465" s="97" t="s">
        <v>1204</v>
      </c>
      <c r="S465" s="97" t="s">
        <v>195</v>
      </c>
    </row>
    <row r="466" spans="1:19" x14ac:dyDescent="0.3">
      <c r="A466" s="97" t="s">
        <v>714</v>
      </c>
      <c r="B466" s="97" t="s">
        <v>22</v>
      </c>
      <c r="C466">
        <v>2026</v>
      </c>
      <c r="D466">
        <v>1</v>
      </c>
      <c r="E466" s="2">
        <v>46040</v>
      </c>
      <c r="F466" s="97" t="s">
        <v>7</v>
      </c>
      <c r="G466" s="97" t="s">
        <v>8</v>
      </c>
      <c r="H466" s="97" t="s">
        <v>74</v>
      </c>
      <c r="I466" s="97" t="s">
        <v>79</v>
      </c>
      <c r="J466" s="97" t="s">
        <v>80</v>
      </c>
      <c r="K466" s="97" t="s">
        <v>73</v>
      </c>
      <c r="L466">
        <v>701000</v>
      </c>
      <c r="M466" s="97" t="s">
        <v>62</v>
      </c>
      <c r="N466" s="97" t="s">
        <v>33</v>
      </c>
      <c r="O466">
        <v>471</v>
      </c>
      <c r="P466">
        <v>2.59</v>
      </c>
      <c r="Q466">
        <v>1.22</v>
      </c>
      <c r="R466" s="97" t="s">
        <v>1197</v>
      </c>
      <c r="S466" s="97" t="s">
        <v>195</v>
      </c>
    </row>
    <row r="467" spans="1:19" x14ac:dyDescent="0.3">
      <c r="A467" s="97" t="s">
        <v>770</v>
      </c>
      <c r="B467" s="97" t="s">
        <v>22</v>
      </c>
      <c r="C467">
        <v>2026</v>
      </c>
      <c r="D467">
        <v>1</v>
      </c>
      <c r="E467" s="2">
        <v>46040</v>
      </c>
      <c r="F467" s="97" t="s">
        <v>7</v>
      </c>
      <c r="G467" s="97" t="s">
        <v>8</v>
      </c>
      <c r="H467" s="97" t="s">
        <v>70</v>
      </c>
      <c r="I467" s="97" t="s">
        <v>82</v>
      </c>
      <c r="J467" s="97" t="s">
        <v>83</v>
      </c>
      <c r="K467" s="97" t="s">
        <v>73</v>
      </c>
      <c r="L467">
        <v>701000</v>
      </c>
      <c r="M467" s="97" t="s">
        <v>62</v>
      </c>
      <c r="N467" s="97" t="s">
        <v>33</v>
      </c>
      <c r="O467">
        <v>244</v>
      </c>
      <c r="P467">
        <v>18.48</v>
      </c>
      <c r="Q467">
        <v>4.51</v>
      </c>
      <c r="R467" s="97" t="s">
        <v>1201</v>
      </c>
      <c r="S467" s="97" t="s">
        <v>195</v>
      </c>
    </row>
    <row r="468" spans="1:19" x14ac:dyDescent="0.3">
      <c r="A468" s="97" t="s">
        <v>771</v>
      </c>
      <c r="B468" s="97" t="s">
        <v>22</v>
      </c>
      <c r="C468">
        <v>2026</v>
      </c>
      <c r="D468">
        <v>1</v>
      </c>
      <c r="E468" s="2">
        <v>46040</v>
      </c>
      <c r="F468" s="97" t="s">
        <v>7</v>
      </c>
      <c r="G468" s="97" t="s">
        <v>8</v>
      </c>
      <c r="H468" s="97" t="s">
        <v>70</v>
      </c>
      <c r="I468" s="97" t="s">
        <v>82</v>
      </c>
      <c r="J468" s="97" t="s">
        <v>83</v>
      </c>
      <c r="K468" s="97" t="s">
        <v>73</v>
      </c>
      <c r="L468">
        <v>701000</v>
      </c>
      <c r="M468" s="97" t="s">
        <v>62</v>
      </c>
      <c r="N468" s="97" t="s">
        <v>33</v>
      </c>
      <c r="O468">
        <v>74</v>
      </c>
      <c r="P468">
        <v>18.38</v>
      </c>
      <c r="Q468">
        <v>1.36</v>
      </c>
      <c r="R468" s="97" t="s">
        <v>1199</v>
      </c>
      <c r="S468" s="97" t="s">
        <v>195</v>
      </c>
    </row>
    <row r="469" spans="1:19" x14ac:dyDescent="0.3">
      <c r="A469" s="97" t="s">
        <v>772</v>
      </c>
      <c r="B469" s="97" t="s">
        <v>22</v>
      </c>
      <c r="C469">
        <v>2026</v>
      </c>
      <c r="D469">
        <v>1</v>
      </c>
      <c r="E469" s="2">
        <v>46040</v>
      </c>
      <c r="F469" s="97" t="s">
        <v>7</v>
      </c>
      <c r="G469" s="97" t="s">
        <v>8</v>
      </c>
      <c r="H469" s="97" t="s">
        <v>70</v>
      </c>
      <c r="I469" s="97" t="s">
        <v>82</v>
      </c>
      <c r="J469" s="97" t="s">
        <v>83</v>
      </c>
      <c r="K469" s="97" t="s">
        <v>73</v>
      </c>
      <c r="L469">
        <v>701000</v>
      </c>
      <c r="M469" s="97" t="s">
        <v>62</v>
      </c>
      <c r="N469" s="97" t="s">
        <v>33</v>
      </c>
      <c r="O469">
        <v>65</v>
      </c>
      <c r="P469">
        <v>18.62</v>
      </c>
      <c r="Q469">
        <v>1.21</v>
      </c>
      <c r="R469" s="97" t="s">
        <v>1203</v>
      </c>
      <c r="S469" s="97" t="s">
        <v>195</v>
      </c>
    </row>
    <row r="470" spans="1:19" x14ac:dyDescent="0.3">
      <c r="A470" s="97" t="s">
        <v>773</v>
      </c>
      <c r="B470" s="97" t="s">
        <v>22</v>
      </c>
      <c r="C470">
        <v>2026</v>
      </c>
      <c r="D470">
        <v>1</v>
      </c>
      <c r="E470" s="2">
        <v>46040</v>
      </c>
      <c r="F470" s="97" t="s">
        <v>7</v>
      </c>
      <c r="G470" s="97" t="s">
        <v>8</v>
      </c>
      <c r="H470" s="97" t="s">
        <v>70</v>
      </c>
      <c r="I470" s="97" t="s">
        <v>82</v>
      </c>
      <c r="J470" s="97" t="s">
        <v>83</v>
      </c>
      <c r="K470" s="97" t="s">
        <v>73</v>
      </c>
      <c r="L470">
        <v>701000</v>
      </c>
      <c r="M470" s="97" t="s">
        <v>62</v>
      </c>
      <c r="N470" s="97" t="s">
        <v>33</v>
      </c>
      <c r="O470">
        <v>224</v>
      </c>
      <c r="P470">
        <v>18.48</v>
      </c>
      <c r="Q470">
        <v>4.1399999999999997</v>
      </c>
      <c r="R470" s="97" t="s">
        <v>1202</v>
      </c>
      <c r="S470" s="97" t="s">
        <v>195</v>
      </c>
    </row>
    <row r="471" spans="1:19" x14ac:dyDescent="0.3">
      <c r="A471" s="97" t="s">
        <v>774</v>
      </c>
      <c r="B471" s="97" t="s">
        <v>22</v>
      </c>
      <c r="C471">
        <v>2026</v>
      </c>
      <c r="D471">
        <v>1</v>
      </c>
      <c r="E471" s="2">
        <v>46040</v>
      </c>
      <c r="F471" s="97" t="s">
        <v>7</v>
      </c>
      <c r="G471" s="97" t="s">
        <v>8</v>
      </c>
      <c r="H471" s="97" t="s">
        <v>70</v>
      </c>
      <c r="I471" s="97" t="s">
        <v>82</v>
      </c>
      <c r="J471" s="97" t="s">
        <v>83</v>
      </c>
      <c r="K471" s="97" t="s">
        <v>73</v>
      </c>
      <c r="L471">
        <v>701000</v>
      </c>
      <c r="M471" s="97" t="s">
        <v>62</v>
      </c>
      <c r="N471" s="97" t="s">
        <v>33</v>
      </c>
      <c r="O471">
        <v>53</v>
      </c>
      <c r="P471">
        <v>18.68</v>
      </c>
      <c r="Q471">
        <v>0.99</v>
      </c>
      <c r="R471" s="97" t="s">
        <v>1198</v>
      </c>
      <c r="S471" s="97" t="s">
        <v>195</v>
      </c>
    </row>
    <row r="472" spans="1:19" x14ac:dyDescent="0.3">
      <c r="A472" s="97" t="s">
        <v>245</v>
      </c>
      <c r="B472" s="97" t="s">
        <v>22</v>
      </c>
      <c r="C472">
        <v>2026</v>
      </c>
      <c r="D472">
        <v>1</v>
      </c>
      <c r="E472" s="2">
        <v>46041</v>
      </c>
      <c r="F472" s="97" t="s">
        <v>7</v>
      </c>
      <c r="G472" s="97" t="s">
        <v>8</v>
      </c>
      <c r="H472" s="97" t="s">
        <v>74</v>
      </c>
      <c r="I472" s="97" t="s">
        <v>84</v>
      </c>
      <c r="J472" s="97" t="s">
        <v>85</v>
      </c>
      <c r="K472" s="97" t="s">
        <v>73</v>
      </c>
      <c r="L472">
        <v>701000</v>
      </c>
      <c r="M472" s="97" t="s">
        <v>62</v>
      </c>
      <c r="N472" s="97" t="s">
        <v>33</v>
      </c>
      <c r="O472">
        <v>589</v>
      </c>
      <c r="P472">
        <v>0.95</v>
      </c>
      <c r="Q472">
        <v>0.56000000000000005</v>
      </c>
      <c r="R472" s="97" t="s">
        <v>1204</v>
      </c>
      <c r="S472" s="97" t="s">
        <v>195</v>
      </c>
    </row>
    <row r="473" spans="1:19" x14ac:dyDescent="0.3">
      <c r="A473" s="97" t="s">
        <v>246</v>
      </c>
      <c r="B473" s="97" t="s">
        <v>22</v>
      </c>
      <c r="C473">
        <v>2026</v>
      </c>
      <c r="D473">
        <v>1</v>
      </c>
      <c r="E473" s="2">
        <v>46041</v>
      </c>
      <c r="F473" s="97" t="s">
        <v>7</v>
      </c>
      <c r="G473" s="97" t="s">
        <v>8</v>
      </c>
      <c r="H473" s="97" t="s">
        <v>74</v>
      </c>
      <c r="I473" s="97" t="s">
        <v>84</v>
      </c>
      <c r="J473" s="97" t="s">
        <v>85</v>
      </c>
      <c r="K473" s="97" t="s">
        <v>73</v>
      </c>
      <c r="L473">
        <v>701000</v>
      </c>
      <c r="M473" s="97" t="s">
        <v>62</v>
      </c>
      <c r="N473" s="97" t="s">
        <v>33</v>
      </c>
      <c r="O473">
        <v>6997</v>
      </c>
      <c r="P473">
        <v>0.95</v>
      </c>
      <c r="Q473">
        <v>6.65</v>
      </c>
      <c r="R473" s="97" t="s">
        <v>1200</v>
      </c>
      <c r="S473" s="97" t="s">
        <v>195</v>
      </c>
    </row>
    <row r="474" spans="1:19" x14ac:dyDescent="0.3">
      <c r="A474" s="97" t="s">
        <v>247</v>
      </c>
      <c r="B474" s="97" t="s">
        <v>22</v>
      </c>
      <c r="C474">
        <v>2026</v>
      </c>
      <c r="D474">
        <v>1</v>
      </c>
      <c r="E474" s="2">
        <v>46041</v>
      </c>
      <c r="F474" s="97" t="s">
        <v>7</v>
      </c>
      <c r="G474" s="97" t="s">
        <v>8</v>
      </c>
      <c r="H474" s="97" t="s">
        <v>74</v>
      </c>
      <c r="I474" s="97" t="s">
        <v>84</v>
      </c>
      <c r="J474" s="97" t="s">
        <v>85</v>
      </c>
      <c r="K474" s="97" t="s">
        <v>73</v>
      </c>
      <c r="L474">
        <v>701000</v>
      </c>
      <c r="M474" s="97" t="s">
        <v>62</v>
      </c>
      <c r="N474" s="97" t="s">
        <v>33</v>
      </c>
      <c r="O474">
        <v>691</v>
      </c>
      <c r="P474">
        <v>0.96</v>
      </c>
      <c r="Q474">
        <v>0.66</v>
      </c>
      <c r="R474" s="97" t="s">
        <v>1203</v>
      </c>
      <c r="S474" s="97" t="s">
        <v>195</v>
      </c>
    </row>
    <row r="475" spans="1:19" x14ac:dyDescent="0.3">
      <c r="A475" s="97" t="s">
        <v>248</v>
      </c>
      <c r="B475" s="97" t="s">
        <v>22</v>
      </c>
      <c r="C475">
        <v>2026</v>
      </c>
      <c r="D475">
        <v>1</v>
      </c>
      <c r="E475" s="2">
        <v>46041</v>
      </c>
      <c r="F475" s="97" t="s">
        <v>7</v>
      </c>
      <c r="G475" s="97" t="s">
        <v>8</v>
      </c>
      <c r="H475" s="97" t="s">
        <v>74</v>
      </c>
      <c r="I475" s="97" t="s">
        <v>84</v>
      </c>
      <c r="J475" s="97" t="s">
        <v>85</v>
      </c>
      <c r="K475" s="97" t="s">
        <v>73</v>
      </c>
      <c r="L475">
        <v>701000</v>
      </c>
      <c r="M475" s="97" t="s">
        <v>62</v>
      </c>
      <c r="N475" s="97" t="s">
        <v>33</v>
      </c>
      <c r="O475">
        <v>8782</v>
      </c>
      <c r="P475">
        <v>0.95</v>
      </c>
      <c r="Q475">
        <v>8.34</v>
      </c>
      <c r="R475" s="97" t="s">
        <v>1198</v>
      </c>
      <c r="S475" s="97" t="s">
        <v>195</v>
      </c>
    </row>
    <row r="476" spans="1:19" x14ac:dyDescent="0.3">
      <c r="A476" s="97" t="s">
        <v>249</v>
      </c>
      <c r="B476" s="97" t="s">
        <v>22</v>
      </c>
      <c r="C476">
        <v>2026</v>
      </c>
      <c r="D476">
        <v>1</v>
      </c>
      <c r="E476" s="2">
        <v>46041</v>
      </c>
      <c r="F476" s="97" t="s">
        <v>7</v>
      </c>
      <c r="G476" s="97" t="s">
        <v>8</v>
      </c>
      <c r="H476" s="97" t="s">
        <v>74</v>
      </c>
      <c r="I476" s="97" t="s">
        <v>84</v>
      </c>
      <c r="J476" s="97" t="s">
        <v>85</v>
      </c>
      <c r="K476" s="97" t="s">
        <v>73</v>
      </c>
      <c r="L476">
        <v>701000</v>
      </c>
      <c r="M476" s="97" t="s">
        <v>62</v>
      </c>
      <c r="N476" s="97" t="s">
        <v>33</v>
      </c>
      <c r="O476">
        <v>1793</v>
      </c>
      <c r="P476">
        <v>0.95</v>
      </c>
      <c r="Q476">
        <v>1.7</v>
      </c>
      <c r="R476" s="97" t="s">
        <v>1197</v>
      </c>
      <c r="S476" s="97" t="s">
        <v>195</v>
      </c>
    </row>
    <row r="477" spans="1:19" x14ac:dyDescent="0.3">
      <c r="A477" s="97" t="s">
        <v>375</v>
      </c>
      <c r="B477" s="97" t="s">
        <v>22</v>
      </c>
      <c r="C477">
        <v>2026</v>
      </c>
      <c r="D477">
        <v>1</v>
      </c>
      <c r="E477" s="2">
        <v>46041</v>
      </c>
      <c r="F477" s="97" t="s">
        <v>7</v>
      </c>
      <c r="G477" s="97" t="s">
        <v>8</v>
      </c>
      <c r="H477" s="97" t="s">
        <v>74</v>
      </c>
      <c r="I477" s="97" t="s">
        <v>71</v>
      </c>
      <c r="J477" s="97" t="s">
        <v>72</v>
      </c>
      <c r="K477" s="97" t="s">
        <v>73</v>
      </c>
      <c r="L477">
        <v>701000</v>
      </c>
      <c r="M477" s="97" t="s">
        <v>62</v>
      </c>
      <c r="N477" s="97" t="s">
        <v>33</v>
      </c>
      <c r="O477">
        <v>6119</v>
      </c>
      <c r="P477">
        <v>1.05</v>
      </c>
      <c r="Q477">
        <v>6.43</v>
      </c>
      <c r="R477" s="97" t="s">
        <v>1204</v>
      </c>
      <c r="S477" s="97" t="s">
        <v>195</v>
      </c>
    </row>
    <row r="478" spans="1:19" x14ac:dyDescent="0.3">
      <c r="A478" s="97" t="s">
        <v>376</v>
      </c>
      <c r="B478" s="97" t="s">
        <v>22</v>
      </c>
      <c r="C478">
        <v>2026</v>
      </c>
      <c r="D478">
        <v>1</v>
      </c>
      <c r="E478" s="2">
        <v>46041</v>
      </c>
      <c r="F478" s="97" t="s">
        <v>7</v>
      </c>
      <c r="G478" s="97" t="s">
        <v>8</v>
      </c>
      <c r="H478" s="97" t="s">
        <v>74</v>
      </c>
      <c r="I478" s="97" t="s">
        <v>71</v>
      </c>
      <c r="J478" s="97" t="s">
        <v>72</v>
      </c>
      <c r="K478" s="97" t="s">
        <v>73</v>
      </c>
      <c r="L478">
        <v>701000</v>
      </c>
      <c r="M478" s="97" t="s">
        <v>62</v>
      </c>
      <c r="N478" s="97" t="s">
        <v>33</v>
      </c>
      <c r="O478">
        <v>5394</v>
      </c>
      <c r="P478">
        <v>1.05</v>
      </c>
      <c r="Q478">
        <v>5.66</v>
      </c>
      <c r="R478" s="97" t="s">
        <v>1198</v>
      </c>
      <c r="S478" s="97" t="s">
        <v>195</v>
      </c>
    </row>
    <row r="479" spans="1:19" x14ac:dyDescent="0.3">
      <c r="A479" s="97" t="s">
        <v>377</v>
      </c>
      <c r="B479" s="97" t="s">
        <v>22</v>
      </c>
      <c r="C479">
        <v>2026</v>
      </c>
      <c r="D479">
        <v>1</v>
      </c>
      <c r="E479" s="2">
        <v>46041</v>
      </c>
      <c r="F479" s="97" t="s">
        <v>7</v>
      </c>
      <c r="G479" s="97" t="s">
        <v>8</v>
      </c>
      <c r="H479" s="97" t="s">
        <v>74</v>
      </c>
      <c r="I479" s="97" t="s">
        <v>71</v>
      </c>
      <c r="J479" s="97" t="s">
        <v>72</v>
      </c>
      <c r="K479" s="97" t="s">
        <v>73</v>
      </c>
      <c r="L479">
        <v>701000</v>
      </c>
      <c r="M479" s="97" t="s">
        <v>62</v>
      </c>
      <c r="N479" s="97" t="s">
        <v>33</v>
      </c>
      <c r="O479">
        <v>761</v>
      </c>
      <c r="P479">
        <v>1.05</v>
      </c>
      <c r="Q479">
        <v>0.8</v>
      </c>
      <c r="R479" s="97" t="s">
        <v>1197</v>
      </c>
      <c r="S479" s="97" t="s">
        <v>195</v>
      </c>
    </row>
    <row r="480" spans="1:19" x14ac:dyDescent="0.3">
      <c r="A480" s="97" t="s">
        <v>378</v>
      </c>
      <c r="B480" s="97" t="s">
        <v>22</v>
      </c>
      <c r="C480">
        <v>2026</v>
      </c>
      <c r="D480">
        <v>1</v>
      </c>
      <c r="E480" s="2">
        <v>46041</v>
      </c>
      <c r="F480" s="97" t="s">
        <v>7</v>
      </c>
      <c r="G480" s="97" t="s">
        <v>8</v>
      </c>
      <c r="H480" s="97" t="s">
        <v>74</v>
      </c>
      <c r="I480" s="97" t="s">
        <v>71</v>
      </c>
      <c r="J480" s="97" t="s">
        <v>72</v>
      </c>
      <c r="K480" s="97" t="s">
        <v>73</v>
      </c>
      <c r="L480">
        <v>701000</v>
      </c>
      <c r="M480" s="97" t="s">
        <v>62</v>
      </c>
      <c r="N480" s="97" t="s">
        <v>33</v>
      </c>
      <c r="O480">
        <v>2616</v>
      </c>
      <c r="P480">
        <v>1.05</v>
      </c>
      <c r="Q480">
        <v>2.75</v>
      </c>
      <c r="R480" s="97" t="s">
        <v>1199</v>
      </c>
      <c r="S480" s="97" t="s">
        <v>195</v>
      </c>
    </row>
    <row r="481" spans="1:19" x14ac:dyDescent="0.3">
      <c r="A481" s="97" t="s">
        <v>379</v>
      </c>
      <c r="B481" s="97" t="s">
        <v>22</v>
      </c>
      <c r="C481">
        <v>2026</v>
      </c>
      <c r="D481">
        <v>1</v>
      </c>
      <c r="E481" s="2">
        <v>46041</v>
      </c>
      <c r="F481" s="97" t="s">
        <v>7</v>
      </c>
      <c r="G481" s="97" t="s">
        <v>8</v>
      </c>
      <c r="H481" s="97" t="s">
        <v>74</v>
      </c>
      <c r="I481" s="97" t="s">
        <v>71</v>
      </c>
      <c r="J481" s="97" t="s">
        <v>72</v>
      </c>
      <c r="K481" s="97" t="s">
        <v>73</v>
      </c>
      <c r="L481">
        <v>701000</v>
      </c>
      <c r="M481" s="97" t="s">
        <v>62</v>
      </c>
      <c r="N481" s="97" t="s">
        <v>33</v>
      </c>
      <c r="O481">
        <v>2146</v>
      </c>
      <c r="P481">
        <v>1.05</v>
      </c>
      <c r="Q481">
        <v>2.25</v>
      </c>
      <c r="R481" s="97" t="s">
        <v>1205</v>
      </c>
      <c r="S481" s="97" t="s">
        <v>195</v>
      </c>
    </row>
    <row r="482" spans="1:19" x14ac:dyDescent="0.3">
      <c r="A482" s="97" t="s">
        <v>465</v>
      </c>
      <c r="B482" s="97" t="s">
        <v>22</v>
      </c>
      <c r="C482">
        <v>2026</v>
      </c>
      <c r="D482">
        <v>1</v>
      </c>
      <c r="E482" s="2">
        <v>46041</v>
      </c>
      <c r="F482" s="97" t="s">
        <v>7</v>
      </c>
      <c r="G482" s="97" t="s">
        <v>8</v>
      </c>
      <c r="H482" s="97" t="s">
        <v>70</v>
      </c>
      <c r="I482" s="97" t="s">
        <v>75</v>
      </c>
      <c r="J482" s="97" t="s">
        <v>76</v>
      </c>
      <c r="K482" s="97" t="s">
        <v>73</v>
      </c>
      <c r="L482">
        <v>701000</v>
      </c>
      <c r="M482" s="97" t="s">
        <v>62</v>
      </c>
      <c r="N482" s="97" t="s">
        <v>33</v>
      </c>
      <c r="O482">
        <v>4512</v>
      </c>
      <c r="P482">
        <v>1.4</v>
      </c>
      <c r="Q482">
        <v>6.32</v>
      </c>
      <c r="R482" s="97" t="s">
        <v>1200</v>
      </c>
      <c r="S482" s="97" t="s">
        <v>195</v>
      </c>
    </row>
    <row r="483" spans="1:19" x14ac:dyDescent="0.3">
      <c r="A483" s="97" t="s">
        <v>466</v>
      </c>
      <c r="B483" s="97" t="s">
        <v>22</v>
      </c>
      <c r="C483">
        <v>2026</v>
      </c>
      <c r="D483">
        <v>1</v>
      </c>
      <c r="E483" s="2">
        <v>46041</v>
      </c>
      <c r="F483" s="97" t="s">
        <v>7</v>
      </c>
      <c r="G483" s="97" t="s">
        <v>8</v>
      </c>
      <c r="H483" s="97" t="s">
        <v>70</v>
      </c>
      <c r="I483" s="97" t="s">
        <v>75</v>
      </c>
      <c r="J483" s="97" t="s">
        <v>76</v>
      </c>
      <c r="K483" s="97" t="s">
        <v>73</v>
      </c>
      <c r="L483">
        <v>701000</v>
      </c>
      <c r="M483" s="97" t="s">
        <v>62</v>
      </c>
      <c r="N483" s="97" t="s">
        <v>33</v>
      </c>
      <c r="O483">
        <v>2356</v>
      </c>
      <c r="P483">
        <v>1.4</v>
      </c>
      <c r="Q483">
        <v>3.3</v>
      </c>
      <c r="R483" s="97" t="s">
        <v>1203</v>
      </c>
      <c r="S483" s="97" t="s">
        <v>195</v>
      </c>
    </row>
    <row r="484" spans="1:19" x14ac:dyDescent="0.3">
      <c r="A484" s="97" t="s">
        <v>467</v>
      </c>
      <c r="B484" s="97" t="s">
        <v>22</v>
      </c>
      <c r="C484">
        <v>2026</v>
      </c>
      <c r="D484">
        <v>1</v>
      </c>
      <c r="E484" s="2">
        <v>46041</v>
      </c>
      <c r="F484" s="97" t="s">
        <v>7</v>
      </c>
      <c r="G484" s="97" t="s">
        <v>8</v>
      </c>
      <c r="H484" s="97" t="s">
        <v>70</v>
      </c>
      <c r="I484" s="97" t="s">
        <v>75</v>
      </c>
      <c r="J484" s="97" t="s">
        <v>76</v>
      </c>
      <c r="K484" s="97" t="s">
        <v>73</v>
      </c>
      <c r="L484">
        <v>701000</v>
      </c>
      <c r="M484" s="97" t="s">
        <v>62</v>
      </c>
      <c r="N484" s="97" t="s">
        <v>33</v>
      </c>
      <c r="O484">
        <v>1013</v>
      </c>
      <c r="P484">
        <v>1.4</v>
      </c>
      <c r="Q484">
        <v>1.42</v>
      </c>
      <c r="R484" s="97" t="s">
        <v>1197</v>
      </c>
      <c r="S484" s="97" t="s">
        <v>195</v>
      </c>
    </row>
    <row r="485" spans="1:19" x14ac:dyDescent="0.3">
      <c r="A485" s="97" t="s">
        <v>468</v>
      </c>
      <c r="B485" s="97" t="s">
        <v>22</v>
      </c>
      <c r="C485">
        <v>2026</v>
      </c>
      <c r="D485">
        <v>1</v>
      </c>
      <c r="E485" s="2">
        <v>46041</v>
      </c>
      <c r="F485" s="97" t="s">
        <v>7</v>
      </c>
      <c r="G485" s="97" t="s">
        <v>8</v>
      </c>
      <c r="H485" s="97" t="s">
        <v>70</v>
      </c>
      <c r="I485" s="97" t="s">
        <v>75</v>
      </c>
      <c r="J485" s="97" t="s">
        <v>76</v>
      </c>
      <c r="K485" s="97" t="s">
        <v>73</v>
      </c>
      <c r="L485">
        <v>701000</v>
      </c>
      <c r="M485" s="97" t="s">
        <v>62</v>
      </c>
      <c r="N485" s="97" t="s">
        <v>33</v>
      </c>
      <c r="O485">
        <v>950</v>
      </c>
      <c r="P485">
        <v>1.4</v>
      </c>
      <c r="Q485">
        <v>1.33</v>
      </c>
      <c r="R485" s="97" t="s">
        <v>1202</v>
      </c>
      <c r="S485" s="97" t="s">
        <v>195</v>
      </c>
    </row>
    <row r="486" spans="1:19" x14ac:dyDescent="0.3">
      <c r="A486" s="97" t="s">
        <v>469</v>
      </c>
      <c r="B486" s="97" t="s">
        <v>22</v>
      </c>
      <c r="C486">
        <v>2026</v>
      </c>
      <c r="D486">
        <v>1</v>
      </c>
      <c r="E486" s="2">
        <v>46041</v>
      </c>
      <c r="F486" s="97" t="s">
        <v>7</v>
      </c>
      <c r="G486" s="97" t="s">
        <v>8</v>
      </c>
      <c r="H486" s="97" t="s">
        <v>70</v>
      </c>
      <c r="I486" s="97" t="s">
        <v>75</v>
      </c>
      <c r="J486" s="97" t="s">
        <v>76</v>
      </c>
      <c r="K486" s="97" t="s">
        <v>73</v>
      </c>
      <c r="L486">
        <v>701000</v>
      </c>
      <c r="M486" s="97" t="s">
        <v>62</v>
      </c>
      <c r="N486" s="97" t="s">
        <v>33</v>
      </c>
      <c r="O486">
        <v>650</v>
      </c>
      <c r="P486">
        <v>1.38</v>
      </c>
      <c r="Q486">
        <v>0.9</v>
      </c>
      <c r="R486" s="97" t="s">
        <v>1199</v>
      </c>
      <c r="S486" s="97" t="s">
        <v>195</v>
      </c>
    </row>
    <row r="487" spans="1:19" x14ac:dyDescent="0.3">
      <c r="A487" s="97" t="s">
        <v>500</v>
      </c>
      <c r="B487" s="97" t="s">
        <v>22</v>
      </c>
      <c r="C487">
        <v>2026</v>
      </c>
      <c r="D487">
        <v>1</v>
      </c>
      <c r="E487" s="2">
        <v>46041</v>
      </c>
      <c r="F487" s="97" t="s">
        <v>7</v>
      </c>
      <c r="G487" s="97" t="s">
        <v>8</v>
      </c>
      <c r="H487" s="97" t="s">
        <v>70</v>
      </c>
      <c r="I487" s="97" t="s">
        <v>77</v>
      </c>
      <c r="J487" s="97" t="s">
        <v>78</v>
      </c>
      <c r="K487" s="97" t="s">
        <v>73</v>
      </c>
      <c r="L487">
        <v>701000</v>
      </c>
      <c r="M487" s="97" t="s">
        <v>62</v>
      </c>
      <c r="N487" s="97" t="s">
        <v>33</v>
      </c>
      <c r="O487">
        <v>1711</v>
      </c>
      <c r="P487">
        <v>1.8</v>
      </c>
      <c r="Q487">
        <v>3.08</v>
      </c>
      <c r="R487" s="97" t="s">
        <v>1204</v>
      </c>
      <c r="S487" s="97" t="s">
        <v>195</v>
      </c>
    </row>
    <row r="488" spans="1:19" x14ac:dyDescent="0.3">
      <c r="A488" s="97" t="s">
        <v>501</v>
      </c>
      <c r="B488" s="97" t="s">
        <v>22</v>
      </c>
      <c r="C488">
        <v>2026</v>
      </c>
      <c r="D488">
        <v>1</v>
      </c>
      <c r="E488" s="2">
        <v>46041</v>
      </c>
      <c r="F488" s="97" t="s">
        <v>7</v>
      </c>
      <c r="G488" s="97" t="s">
        <v>8</v>
      </c>
      <c r="H488" s="97" t="s">
        <v>70</v>
      </c>
      <c r="I488" s="97" t="s">
        <v>77</v>
      </c>
      <c r="J488" s="97" t="s">
        <v>78</v>
      </c>
      <c r="K488" s="97" t="s">
        <v>73</v>
      </c>
      <c r="L488">
        <v>701000</v>
      </c>
      <c r="M488" s="97" t="s">
        <v>62</v>
      </c>
      <c r="N488" s="97" t="s">
        <v>33</v>
      </c>
      <c r="O488">
        <v>524</v>
      </c>
      <c r="P488">
        <v>1.79</v>
      </c>
      <c r="Q488">
        <v>0.94</v>
      </c>
      <c r="R488" s="97" t="s">
        <v>1203</v>
      </c>
      <c r="S488" s="97" t="s">
        <v>195</v>
      </c>
    </row>
    <row r="489" spans="1:19" x14ac:dyDescent="0.3">
      <c r="A489" s="97" t="s">
        <v>502</v>
      </c>
      <c r="B489" s="97" t="s">
        <v>22</v>
      </c>
      <c r="C489">
        <v>2026</v>
      </c>
      <c r="D489">
        <v>1</v>
      </c>
      <c r="E489" s="2">
        <v>46041</v>
      </c>
      <c r="F489" s="97" t="s">
        <v>7</v>
      </c>
      <c r="G489" s="97" t="s">
        <v>8</v>
      </c>
      <c r="H489" s="97" t="s">
        <v>70</v>
      </c>
      <c r="I489" s="97" t="s">
        <v>77</v>
      </c>
      <c r="J489" s="97" t="s">
        <v>78</v>
      </c>
      <c r="K489" s="97" t="s">
        <v>73</v>
      </c>
      <c r="L489">
        <v>701000</v>
      </c>
      <c r="M489" s="97" t="s">
        <v>62</v>
      </c>
      <c r="N489" s="97" t="s">
        <v>33</v>
      </c>
      <c r="O489">
        <v>1369</v>
      </c>
      <c r="P489">
        <v>1.8</v>
      </c>
      <c r="Q489">
        <v>2.46</v>
      </c>
      <c r="R489" s="97" t="s">
        <v>1197</v>
      </c>
      <c r="S489" s="97" t="s">
        <v>195</v>
      </c>
    </row>
    <row r="490" spans="1:19" x14ac:dyDescent="0.3">
      <c r="A490" s="97" t="s">
        <v>503</v>
      </c>
      <c r="B490" s="97" t="s">
        <v>22</v>
      </c>
      <c r="C490">
        <v>2026</v>
      </c>
      <c r="D490">
        <v>1</v>
      </c>
      <c r="E490" s="2">
        <v>46041</v>
      </c>
      <c r="F490" s="97" t="s">
        <v>7</v>
      </c>
      <c r="G490" s="97" t="s">
        <v>8</v>
      </c>
      <c r="H490" s="97" t="s">
        <v>70</v>
      </c>
      <c r="I490" s="97" t="s">
        <v>77</v>
      </c>
      <c r="J490" s="97" t="s">
        <v>78</v>
      </c>
      <c r="K490" s="97" t="s">
        <v>73</v>
      </c>
      <c r="L490">
        <v>701000</v>
      </c>
      <c r="M490" s="97" t="s">
        <v>62</v>
      </c>
      <c r="N490" s="97" t="s">
        <v>33</v>
      </c>
      <c r="O490">
        <v>469</v>
      </c>
      <c r="P490">
        <v>1.79</v>
      </c>
      <c r="Q490">
        <v>0.84</v>
      </c>
      <c r="R490" s="97" t="s">
        <v>1202</v>
      </c>
      <c r="S490" s="97" t="s">
        <v>195</v>
      </c>
    </row>
    <row r="491" spans="1:19" x14ac:dyDescent="0.3">
      <c r="A491" s="97" t="s">
        <v>504</v>
      </c>
      <c r="B491" s="97" t="s">
        <v>22</v>
      </c>
      <c r="C491">
        <v>2026</v>
      </c>
      <c r="D491">
        <v>1</v>
      </c>
      <c r="E491" s="2">
        <v>46041</v>
      </c>
      <c r="F491" s="97" t="s">
        <v>7</v>
      </c>
      <c r="G491" s="97" t="s">
        <v>8</v>
      </c>
      <c r="H491" s="97" t="s">
        <v>70</v>
      </c>
      <c r="I491" s="97" t="s">
        <v>77</v>
      </c>
      <c r="J491" s="97" t="s">
        <v>78</v>
      </c>
      <c r="K491" s="97" t="s">
        <v>73</v>
      </c>
      <c r="L491">
        <v>701000</v>
      </c>
      <c r="M491" s="97" t="s">
        <v>62</v>
      </c>
      <c r="N491" s="97" t="s">
        <v>33</v>
      </c>
      <c r="O491">
        <v>599</v>
      </c>
      <c r="P491">
        <v>1.82</v>
      </c>
      <c r="Q491">
        <v>1.0900000000000001</v>
      </c>
      <c r="R491" s="97" t="s">
        <v>1201</v>
      </c>
      <c r="S491" s="97" t="s">
        <v>195</v>
      </c>
    </row>
    <row r="492" spans="1:19" x14ac:dyDescent="0.3">
      <c r="A492" s="97" t="s">
        <v>640</v>
      </c>
      <c r="B492" s="97" t="s">
        <v>22</v>
      </c>
      <c r="C492">
        <v>2026</v>
      </c>
      <c r="D492">
        <v>1</v>
      </c>
      <c r="E492" s="2">
        <v>46041</v>
      </c>
      <c r="F492" s="97" t="s">
        <v>7</v>
      </c>
      <c r="G492" s="97" t="s">
        <v>8</v>
      </c>
      <c r="H492" s="97" t="s">
        <v>70</v>
      </c>
      <c r="I492" s="97" t="s">
        <v>77</v>
      </c>
      <c r="J492" s="97" t="s">
        <v>78</v>
      </c>
      <c r="K492" s="97" t="s">
        <v>73</v>
      </c>
      <c r="L492">
        <v>701000</v>
      </c>
      <c r="M492" s="97" t="s">
        <v>62</v>
      </c>
      <c r="N492" s="97" t="s">
        <v>33</v>
      </c>
      <c r="O492">
        <v>1993</v>
      </c>
      <c r="P492">
        <v>1.8</v>
      </c>
      <c r="Q492">
        <v>3.59</v>
      </c>
      <c r="R492" s="97" t="s">
        <v>1204</v>
      </c>
      <c r="S492" s="97" t="s">
        <v>195</v>
      </c>
    </row>
    <row r="493" spans="1:19" x14ac:dyDescent="0.3">
      <c r="A493" s="97" t="s">
        <v>641</v>
      </c>
      <c r="B493" s="97" t="s">
        <v>22</v>
      </c>
      <c r="C493">
        <v>2026</v>
      </c>
      <c r="D493">
        <v>1</v>
      </c>
      <c r="E493" s="2">
        <v>46041</v>
      </c>
      <c r="F493" s="97" t="s">
        <v>7</v>
      </c>
      <c r="G493" s="97" t="s">
        <v>8</v>
      </c>
      <c r="H493" s="97" t="s">
        <v>70</v>
      </c>
      <c r="I493" s="97" t="s">
        <v>77</v>
      </c>
      <c r="J493" s="97" t="s">
        <v>78</v>
      </c>
      <c r="K493" s="97" t="s">
        <v>73</v>
      </c>
      <c r="L493">
        <v>701000</v>
      </c>
      <c r="M493" s="97" t="s">
        <v>62</v>
      </c>
      <c r="N493" s="97" t="s">
        <v>33</v>
      </c>
      <c r="O493">
        <v>1123</v>
      </c>
      <c r="P493">
        <v>1.8</v>
      </c>
      <c r="Q493">
        <v>2.02</v>
      </c>
      <c r="R493" s="97" t="s">
        <v>1200</v>
      </c>
      <c r="S493" s="97" t="s">
        <v>195</v>
      </c>
    </row>
    <row r="494" spans="1:19" x14ac:dyDescent="0.3">
      <c r="A494" s="97" t="s">
        <v>642</v>
      </c>
      <c r="B494" s="97" t="s">
        <v>22</v>
      </c>
      <c r="C494">
        <v>2026</v>
      </c>
      <c r="D494">
        <v>1</v>
      </c>
      <c r="E494" s="2">
        <v>46041</v>
      </c>
      <c r="F494" s="97" t="s">
        <v>7</v>
      </c>
      <c r="G494" s="97" t="s">
        <v>8</v>
      </c>
      <c r="H494" s="97" t="s">
        <v>70</v>
      </c>
      <c r="I494" s="97" t="s">
        <v>77</v>
      </c>
      <c r="J494" s="97" t="s">
        <v>78</v>
      </c>
      <c r="K494" s="97" t="s">
        <v>73</v>
      </c>
      <c r="L494">
        <v>701000</v>
      </c>
      <c r="M494" s="97" t="s">
        <v>62</v>
      </c>
      <c r="N494" s="97" t="s">
        <v>33</v>
      </c>
      <c r="O494">
        <v>691</v>
      </c>
      <c r="P494">
        <v>1.79</v>
      </c>
      <c r="Q494">
        <v>1.24</v>
      </c>
      <c r="R494" s="97" t="s">
        <v>1201</v>
      </c>
      <c r="S494" s="97" t="s">
        <v>195</v>
      </c>
    </row>
    <row r="495" spans="1:19" x14ac:dyDescent="0.3">
      <c r="A495" s="97" t="s">
        <v>643</v>
      </c>
      <c r="B495" s="97" t="s">
        <v>22</v>
      </c>
      <c r="C495">
        <v>2026</v>
      </c>
      <c r="D495">
        <v>1</v>
      </c>
      <c r="E495" s="2">
        <v>46041</v>
      </c>
      <c r="F495" s="97" t="s">
        <v>7</v>
      </c>
      <c r="G495" s="97" t="s">
        <v>8</v>
      </c>
      <c r="H495" s="97" t="s">
        <v>70</v>
      </c>
      <c r="I495" s="97" t="s">
        <v>77</v>
      </c>
      <c r="J495" s="97" t="s">
        <v>78</v>
      </c>
      <c r="K495" s="97" t="s">
        <v>73</v>
      </c>
      <c r="L495">
        <v>701000</v>
      </c>
      <c r="M495" s="97" t="s">
        <v>62</v>
      </c>
      <c r="N495" s="97" t="s">
        <v>33</v>
      </c>
      <c r="O495">
        <v>670</v>
      </c>
      <c r="P495">
        <v>1.81</v>
      </c>
      <c r="Q495">
        <v>1.21</v>
      </c>
      <c r="R495" s="97" t="s">
        <v>1203</v>
      </c>
      <c r="S495" s="97" t="s">
        <v>195</v>
      </c>
    </row>
    <row r="496" spans="1:19" x14ac:dyDescent="0.3">
      <c r="A496" s="97" t="s">
        <v>644</v>
      </c>
      <c r="B496" s="97" t="s">
        <v>22</v>
      </c>
      <c r="C496">
        <v>2026</v>
      </c>
      <c r="D496">
        <v>1</v>
      </c>
      <c r="E496" s="2">
        <v>46041</v>
      </c>
      <c r="F496" s="97" t="s">
        <v>7</v>
      </c>
      <c r="G496" s="97" t="s">
        <v>8</v>
      </c>
      <c r="H496" s="97" t="s">
        <v>70</v>
      </c>
      <c r="I496" s="97" t="s">
        <v>77</v>
      </c>
      <c r="J496" s="97" t="s">
        <v>78</v>
      </c>
      <c r="K496" s="97" t="s">
        <v>73</v>
      </c>
      <c r="L496">
        <v>701000</v>
      </c>
      <c r="M496" s="97" t="s">
        <v>62</v>
      </c>
      <c r="N496" s="97" t="s">
        <v>33</v>
      </c>
      <c r="O496">
        <v>87</v>
      </c>
      <c r="P496">
        <v>1.84</v>
      </c>
      <c r="Q496">
        <v>0.16</v>
      </c>
      <c r="R496" s="97" t="s">
        <v>1202</v>
      </c>
      <c r="S496" s="97" t="s">
        <v>195</v>
      </c>
    </row>
    <row r="497" spans="1:19" x14ac:dyDescent="0.3">
      <c r="A497" s="97" t="s">
        <v>845</v>
      </c>
      <c r="B497" s="97" t="s">
        <v>22</v>
      </c>
      <c r="C497">
        <v>2026</v>
      </c>
      <c r="D497">
        <v>1</v>
      </c>
      <c r="E497" s="2">
        <v>46041</v>
      </c>
      <c r="F497" s="97" t="s">
        <v>7</v>
      </c>
      <c r="G497" s="97" t="s">
        <v>8</v>
      </c>
      <c r="H497" s="97" t="s">
        <v>74</v>
      </c>
      <c r="I497" s="97" t="s">
        <v>82</v>
      </c>
      <c r="J497" s="97" t="s">
        <v>83</v>
      </c>
      <c r="K497" s="97" t="s">
        <v>73</v>
      </c>
      <c r="L497">
        <v>707000</v>
      </c>
      <c r="M497" s="97" t="s">
        <v>81</v>
      </c>
      <c r="N497" s="97" t="s">
        <v>33</v>
      </c>
      <c r="O497">
        <v>186</v>
      </c>
      <c r="P497">
        <v>18.489999999999998</v>
      </c>
      <c r="Q497">
        <v>3.44</v>
      </c>
      <c r="R497" s="97" t="s">
        <v>1203</v>
      </c>
      <c r="S497" s="97" t="s">
        <v>195</v>
      </c>
    </row>
    <row r="498" spans="1:19" x14ac:dyDescent="0.3">
      <c r="A498" s="97" t="s">
        <v>846</v>
      </c>
      <c r="B498" s="97" t="s">
        <v>22</v>
      </c>
      <c r="C498">
        <v>2026</v>
      </c>
      <c r="D498">
        <v>1</v>
      </c>
      <c r="E498" s="2">
        <v>46041</v>
      </c>
      <c r="F498" s="97" t="s">
        <v>7</v>
      </c>
      <c r="G498" s="97" t="s">
        <v>8</v>
      </c>
      <c r="H498" s="97" t="s">
        <v>74</v>
      </c>
      <c r="I498" s="97" t="s">
        <v>82</v>
      </c>
      <c r="J498" s="97" t="s">
        <v>83</v>
      </c>
      <c r="K498" s="97" t="s">
        <v>73</v>
      </c>
      <c r="L498">
        <v>707000</v>
      </c>
      <c r="M498" s="97" t="s">
        <v>81</v>
      </c>
      <c r="N498" s="97" t="s">
        <v>33</v>
      </c>
      <c r="O498">
        <v>87</v>
      </c>
      <c r="P498">
        <v>18.39</v>
      </c>
      <c r="Q498">
        <v>1.6</v>
      </c>
      <c r="R498" s="97" t="s">
        <v>1201</v>
      </c>
      <c r="S498" s="97" t="s">
        <v>195</v>
      </c>
    </row>
    <row r="499" spans="1:19" x14ac:dyDescent="0.3">
      <c r="A499" s="97" t="s">
        <v>847</v>
      </c>
      <c r="B499" s="97" t="s">
        <v>22</v>
      </c>
      <c r="C499">
        <v>2026</v>
      </c>
      <c r="D499">
        <v>1</v>
      </c>
      <c r="E499" s="2">
        <v>46041</v>
      </c>
      <c r="F499" s="97" t="s">
        <v>7</v>
      </c>
      <c r="G499" s="97" t="s">
        <v>8</v>
      </c>
      <c r="H499" s="97" t="s">
        <v>74</v>
      </c>
      <c r="I499" s="97" t="s">
        <v>82</v>
      </c>
      <c r="J499" s="97" t="s">
        <v>83</v>
      </c>
      <c r="K499" s="97" t="s">
        <v>73</v>
      </c>
      <c r="L499">
        <v>707000</v>
      </c>
      <c r="M499" s="97" t="s">
        <v>81</v>
      </c>
      <c r="N499" s="97" t="s">
        <v>33</v>
      </c>
      <c r="O499">
        <v>58</v>
      </c>
      <c r="P499">
        <v>18.45</v>
      </c>
      <c r="Q499">
        <v>1.07</v>
      </c>
      <c r="R499" s="97" t="s">
        <v>1198</v>
      </c>
      <c r="S499" s="97" t="s">
        <v>195</v>
      </c>
    </row>
    <row r="500" spans="1:19" x14ac:dyDescent="0.3">
      <c r="A500" s="97" t="s">
        <v>848</v>
      </c>
      <c r="B500" s="97" t="s">
        <v>22</v>
      </c>
      <c r="C500">
        <v>2026</v>
      </c>
      <c r="D500">
        <v>1</v>
      </c>
      <c r="E500" s="2">
        <v>46041</v>
      </c>
      <c r="F500" s="97" t="s">
        <v>7</v>
      </c>
      <c r="G500" s="97" t="s">
        <v>8</v>
      </c>
      <c r="H500" s="97" t="s">
        <v>74</v>
      </c>
      <c r="I500" s="97" t="s">
        <v>82</v>
      </c>
      <c r="J500" s="97" t="s">
        <v>83</v>
      </c>
      <c r="K500" s="97" t="s">
        <v>73</v>
      </c>
      <c r="L500">
        <v>707000</v>
      </c>
      <c r="M500" s="97" t="s">
        <v>81</v>
      </c>
      <c r="N500" s="97" t="s">
        <v>33</v>
      </c>
      <c r="O500">
        <v>129</v>
      </c>
      <c r="P500">
        <v>18.53</v>
      </c>
      <c r="Q500">
        <v>2.39</v>
      </c>
      <c r="R500" s="97" t="s">
        <v>1200</v>
      </c>
      <c r="S500" s="97" t="s">
        <v>195</v>
      </c>
    </row>
    <row r="501" spans="1:19" x14ac:dyDescent="0.3">
      <c r="A501" s="97" t="s">
        <v>849</v>
      </c>
      <c r="B501" s="97" t="s">
        <v>22</v>
      </c>
      <c r="C501">
        <v>2026</v>
      </c>
      <c r="D501">
        <v>1</v>
      </c>
      <c r="E501" s="2">
        <v>46041</v>
      </c>
      <c r="F501" s="97" t="s">
        <v>7</v>
      </c>
      <c r="G501" s="97" t="s">
        <v>8</v>
      </c>
      <c r="H501" s="97" t="s">
        <v>74</v>
      </c>
      <c r="I501" s="97" t="s">
        <v>82</v>
      </c>
      <c r="J501" s="97" t="s">
        <v>83</v>
      </c>
      <c r="K501" s="97" t="s">
        <v>73</v>
      </c>
      <c r="L501">
        <v>707000</v>
      </c>
      <c r="M501" s="97" t="s">
        <v>81</v>
      </c>
      <c r="N501" s="97" t="s">
        <v>33</v>
      </c>
      <c r="O501">
        <v>150</v>
      </c>
      <c r="P501">
        <v>18.53</v>
      </c>
      <c r="Q501">
        <v>2.78</v>
      </c>
      <c r="R501" s="97" t="s">
        <v>1205</v>
      </c>
      <c r="S501" s="97" t="s">
        <v>195</v>
      </c>
    </row>
    <row r="502" spans="1:19" x14ac:dyDescent="0.3">
      <c r="A502" s="97" t="s">
        <v>250</v>
      </c>
      <c r="B502" s="97" t="s">
        <v>22</v>
      </c>
      <c r="C502">
        <v>2026</v>
      </c>
      <c r="D502">
        <v>1</v>
      </c>
      <c r="E502" s="2">
        <v>46042</v>
      </c>
      <c r="F502" s="97" t="s">
        <v>7</v>
      </c>
      <c r="G502" s="97" t="s">
        <v>8</v>
      </c>
      <c r="H502" s="97" t="s">
        <v>74</v>
      </c>
      <c r="I502" s="97" t="s">
        <v>84</v>
      </c>
      <c r="J502" s="97" t="s">
        <v>85</v>
      </c>
      <c r="K502" s="97" t="s">
        <v>73</v>
      </c>
      <c r="L502">
        <v>701000</v>
      </c>
      <c r="M502" s="97" t="s">
        <v>62</v>
      </c>
      <c r="N502" s="97" t="s">
        <v>33</v>
      </c>
      <c r="O502">
        <v>3181</v>
      </c>
      <c r="P502">
        <v>0.95</v>
      </c>
      <c r="Q502">
        <v>3.02</v>
      </c>
      <c r="R502" s="97" t="s">
        <v>1202</v>
      </c>
      <c r="S502" s="97" t="s">
        <v>195</v>
      </c>
    </row>
    <row r="503" spans="1:19" x14ac:dyDescent="0.3">
      <c r="A503" s="97" t="s">
        <v>251</v>
      </c>
      <c r="B503" s="97" t="s">
        <v>22</v>
      </c>
      <c r="C503">
        <v>2026</v>
      </c>
      <c r="D503">
        <v>1</v>
      </c>
      <c r="E503" s="2">
        <v>46042</v>
      </c>
      <c r="F503" s="97" t="s">
        <v>7</v>
      </c>
      <c r="G503" s="97" t="s">
        <v>8</v>
      </c>
      <c r="H503" s="97" t="s">
        <v>74</v>
      </c>
      <c r="I503" s="97" t="s">
        <v>84</v>
      </c>
      <c r="J503" s="97" t="s">
        <v>85</v>
      </c>
      <c r="K503" s="97" t="s">
        <v>73</v>
      </c>
      <c r="L503">
        <v>701000</v>
      </c>
      <c r="M503" s="97" t="s">
        <v>62</v>
      </c>
      <c r="N503" s="97" t="s">
        <v>33</v>
      </c>
      <c r="O503">
        <v>1703</v>
      </c>
      <c r="P503">
        <v>0.95</v>
      </c>
      <c r="Q503">
        <v>1.62</v>
      </c>
      <c r="R503" s="97" t="s">
        <v>1200</v>
      </c>
      <c r="S503" s="97" t="s">
        <v>195</v>
      </c>
    </row>
    <row r="504" spans="1:19" x14ac:dyDescent="0.3">
      <c r="A504" s="97" t="s">
        <v>252</v>
      </c>
      <c r="B504" s="97" t="s">
        <v>22</v>
      </c>
      <c r="C504">
        <v>2026</v>
      </c>
      <c r="D504">
        <v>1</v>
      </c>
      <c r="E504" s="2">
        <v>46042</v>
      </c>
      <c r="F504" s="97" t="s">
        <v>7</v>
      </c>
      <c r="G504" s="97" t="s">
        <v>8</v>
      </c>
      <c r="H504" s="97" t="s">
        <v>74</v>
      </c>
      <c r="I504" s="97" t="s">
        <v>84</v>
      </c>
      <c r="J504" s="97" t="s">
        <v>85</v>
      </c>
      <c r="K504" s="97" t="s">
        <v>73</v>
      </c>
      <c r="L504">
        <v>701000</v>
      </c>
      <c r="M504" s="97" t="s">
        <v>62</v>
      </c>
      <c r="N504" s="97" t="s">
        <v>33</v>
      </c>
      <c r="O504">
        <v>6089</v>
      </c>
      <c r="P504">
        <v>0.95</v>
      </c>
      <c r="Q504">
        <v>5.79</v>
      </c>
      <c r="R504" s="97" t="s">
        <v>1197</v>
      </c>
      <c r="S504" s="97" t="s">
        <v>195</v>
      </c>
    </row>
    <row r="505" spans="1:19" x14ac:dyDescent="0.3">
      <c r="A505" s="97" t="s">
        <v>253</v>
      </c>
      <c r="B505" s="97" t="s">
        <v>22</v>
      </c>
      <c r="C505">
        <v>2026</v>
      </c>
      <c r="D505">
        <v>1</v>
      </c>
      <c r="E505" s="2">
        <v>46042</v>
      </c>
      <c r="F505" s="97" t="s">
        <v>7</v>
      </c>
      <c r="G505" s="97" t="s">
        <v>8</v>
      </c>
      <c r="H505" s="97" t="s">
        <v>74</v>
      </c>
      <c r="I505" s="97" t="s">
        <v>84</v>
      </c>
      <c r="J505" s="97" t="s">
        <v>85</v>
      </c>
      <c r="K505" s="97" t="s">
        <v>73</v>
      </c>
      <c r="L505">
        <v>701000</v>
      </c>
      <c r="M505" s="97" t="s">
        <v>62</v>
      </c>
      <c r="N505" s="97" t="s">
        <v>33</v>
      </c>
      <c r="O505">
        <v>3012</v>
      </c>
      <c r="P505">
        <v>0.95</v>
      </c>
      <c r="Q505">
        <v>2.86</v>
      </c>
      <c r="R505" s="97" t="s">
        <v>1201</v>
      </c>
      <c r="S505" s="97" t="s">
        <v>195</v>
      </c>
    </row>
    <row r="506" spans="1:19" x14ac:dyDescent="0.3">
      <c r="A506" s="97" t="s">
        <v>254</v>
      </c>
      <c r="B506" s="97" t="s">
        <v>22</v>
      </c>
      <c r="C506">
        <v>2026</v>
      </c>
      <c r="D506">
        <v>1</v>
      </c>
      <c r="E506" s="2">
        <v>46042</v>
      </c>
      <c r="F506" s="97" t="s">
        <v>7</v>
      </c>
      <c r="G506" s="97" t="s">
        <v>8</v>
      </c>
      <c r="H506" s="97" t="s">
        <v>74</v>
      </c>
      <c r="I506" s="97" t="s">
        <v>84</v>
      </c>
      <c r="J506" s="97" t="s">
        <v>85</v>
      </c>
      <c r="K506" s="97" t="s">
        <v>73</v>
      </c>
      <c r="L506">
        <v>701000</v>
      </c>
      <c r="M506" s="97" t="s">
        <v>62</v>
      </c>
      <c r="N506" s="97" t="s">
        <v>33</v>
      </c>
      <c r="O506">
        <v>2684</v>
      </c>
      <c r="P506">
        <v>0.95</v>
      </c>
      <c r="Q506">
        <v>2.5499999999999998</v>
      </c>
      <c r="R506" s="97" t="s">
        <v>1203</v>
      </c>
      <c r="S506" s="97" t="s">
        <v>195</v>
      </c>
    </row>
    <row r="507" spans="1:19" x14ac:dyDescent="0.3">
      <c r="A507" s="97" t="s">
        <v>470</v>
      </c>
      <c r="B507" s="97" t="s">
        <v>22</v>
      </c>
      <c r="C507">
        <v>2026</v>
      </c>
      <c r="D507">
        <v>1</v>
      </c>
      <c r="E507" s="2">
        <v>46042</v>
      </c>
      <c r="F507" s="97" t="s">
        <v>7</v>
      </c>
      <c r="G507" s="97" t="s">
        <v>8</v>
      </c>
      <c r="H507" s="97" t="s">
        <v>70</v>
      </c>
      <c r="I507" s="97" t="s">
        <v>75</v>
      </c>
      <c r="J507" s="97" t="s">
        <v>76</v>
      </c>
      <c r="K507" s="97" t="s">
        <v>73</v>
      </c>
      <c r="L507">
        <v>701000</v>
      </c>
      <c r="M507" s="97" t="s">
        <v>62</v>
      </c>
      <c r="N507" s="97" t="s">
        <v>33</v>
      </c>
      <c r="O507">
        <v>2188</v>
      </c>
      <c r="P507">
        <v>1.4</v>
      </c>
      <c r="Q507">
        <v>3.06</v>
      </c>
      <c r="R507" s="97" t="s">
        <v>1205</v>
      </c>
      <c r="S507" s="97" t="s">
        <v>195</v>
      </c>
    </row>
    <row r="508" spans="1:19" x14ac:dyDescent="0.3">
      <c r="A508" s="97" t="s">
        <v>471</v>
      </c>
      <c r="B508" s="97" t="s">
        <v>22</v>
      </c>
      <c r="C508">
        <v>2026</v>
      </c>
      <c r="D508">
        <v>1</v>
      </c>
      <c r="E508" s="2">
        <v>46042</v>
      </c>
      <c r="F508" s="97" t="s">
        <v>7</v>
      </c>
      <c r="G508" s="97" t="s">
        <v>8</v>
      </c>
      <c r="H508" s="97" t="s">
        <v>70</v>
      </c>
      <c r="I508" s="97" t="s">
        <v>75</v>
      </c>
      <c r="J508" s="97" t="s">
        <v>76</v>
      </c>
      <c r="K508" s="97" t="s">
        <v>73</v>
      </c>
      <c r="L508">
        <v>701000</v>
      </c>
      <c r="M508" s="97" t="s">
        <v>62</v>
      </c>
      <c r="N508" s="97" t="s">
        <v>33</v>
      </c>
      <c r="O508">
        <v>1732</v>
      </c>
      <c r="P508">
        <v>1.4</v>
      </c>
      <c r="Q508">
        <v>2.4300000000000002</v>
      </c>
      <c r="R508" s="97" t="s">
        <v>1203</v>
      </c>
      <c r="S508" s="97" t="s">
        <v>195</v>
      </c>
    </row>
    <row r="509" spans="1:19" x14ac:dyDescent="0.3">
      <c r="A509" s="97" t="s">
        <v>472</v>
      </c>
      <c r="B509" s="97" t="s">
        <v>22</v>
      </c>
      <c r="C509">
        <v>2026</v>
      </c>
      <c r="D509">
        <v>1</v>
      </c>
      <c r="E509" s="2">
        <v>46042</v>
      </c>
      <c r="F509" s="97" t="s">
        <v>7</v>
      </c>
      <c r="G509" s="97" t="s">
        <v>8</v>
      </c>
      <c r="H509" s="97" t="s">
        <v>70</v>
      </c>
      <c r="I509" s="97" t="s">
        <v>75</v>
      </c>
      <c r="J509" s="97" t="s">
        <v>76</v>
      </c>
      <c r="K509" s="97" t="s">
        <v>73</v>
      </c>
      <c r="L509">
        <v>701000</v>
      </c>
      <c r="M509" s="97" t="s">
        <v>62</v>
      </c>
      <c r="N509" s="97" t="s">
        <v>33</v>
      </c>
      <c r="O509">
        <v>1048</v>
      </c>
      <c r="P509">
        <v>1.4</v>
      </c>
      <c r="Q509">
        <v>1.47</v>
      </c>
      <c r="R509" s="97" t="s">
        <v>1200</v>
      </c>
      <c r="S509" s="97" t="s">
        <v>195</v>
      </c>
    </row>
    <row r="510" spans="1:19" x14ac:dyDescent="0.3">
      <c r="A510" s="97" t="s">
        <v>473</v>
      </c>
      <c r="B510" s="97" t="s">
        <v>22</v>
      </c>
      <c r="C510">
        <v>2026</v>
      </c>
      <c r="D510">
        <v>1</v>
      </c>
      <c r="E510" s="2">
        <v>46042</v>
      </c>
      <c r="F510" s="97" t="s">
        <v>7</v>
      </c>
      <c r="G510" s="97" t="s">
        <v>8</v>
      </c>
      <c r="H510" s="97" t="s">
        <v>70</v>
      </c>
      <c r="I510" s="97" t="s">
        <v>75</v>
      </c>
      <c r="J510" s="97" t="s">
        <v>76</v>
      </c>
      <c r="K510" s="97" t="s">
        <v>73</v>
      </c>
      <c r="L510">
        <v>701000</v>
      </c>
      <c r="M510" s="97" t="s">
        <v>62</v>
      </c>
      <c r="N510" s="97" t="s">
        <v>33</v>
      </c>
      <c r="O510">
        <v>1809</v>
      </c>
      <c r="P510">
        <v>1.4</v>
      </c>
      <c r="Q510">
        <v>2.5299999999999998</v>
      </c>
      <c r="R510" s="97" t="s">
        <v>1197</v>
      </c>
      <c r="S510" s="97" t="s">
        <v>195</v>
      </c>
    </row>
    <row r="511" spans="1:19" x14ac:dyDescent="0.3">
      <c r="A511" s="97" t="s">
        <v>474</v>
      </c>
      <c r="B511" s="97" t="s">
        <v>22</v>
      </c>
      <c r="C511">
        <v>2026</v>
      </c>
      <c r="D511">
        <v>1</v>
      </c>
      <c r="E511" s="2">
        <v>46042</v>
      </c>
      <c r="F511" s="97" t="s">
        <v>7</v>
      </c>
      <c r="G511" s="97" t="s">
        <v>8</v>
      </c>
      <c r="H511" s="97" t="s">
        <v>70</v>
      </c>
      <c r="I511" s="97" t="s">
        <v>75</v>
      </c>
      <c r="J511" s="97" t="s">
        <v>76</v>
      </c>
      <c r="K511" s="97" t="s">
        <v>73</v>
      </c>
      <c r="L511">
        <v>701000</v>
      </c>
      <c r="M511" s="97" t="s">
        <v>62</v>
      </c>
      <c r="N511" s="97" t="s">
        <v>33</v>
      </c>
      <c r="O511">
        <v>1163</v>
      </c>
      <c r="P511">
        <v>1.4</v>
      </c>
      <c r="Q511">
        <v>1.63</v>
      </c>
      <c r="R511" s="97" t="s">
        <v>1202</v>
      </c>
      <c r="S511" s="97" t="s">
        <v>195</v>
      </c>
    </row>
    <row r="512" spans="1:19" x14ac:dyDescent="0.3">
      <c r="A512" s="97" t="s">
        <v>680</v>
      </c>
      <c r="B512" s="97" t="s">
        <v>22</v>
      </c>
      <c r="C512">
        <v>2026</v>
      </c>
      <c r="D512">
        <v>1</v>
      </c>
      <c r="E512" s="2">
        <v>46042</v>
      </c>
      <c r="F512" s="97" t="s">
        <v>7</v>
      </c>
      <c r="G512" s="97" t="s">
        <v>8</v>
      </c>
      <c r="H512" s="97" t="s">
        <v>70</v>
      </c>
      <c r="I512" s="97" t="s">
        <v>79</v>
      </c>
      <c r="J512" s="97" t="s">
        <v>80</v>
      </c>
      <c r="K512" s="97" t="s">
        <v>73</v>
      </c>
      <c r="L512">
        <v>701000</v>
      </c>
      <c r="M512" s="97" t="s">
        <v>62</v>
      </c>
      <c r="N512" s="97" t="s">
        <v>33</v>
      </c>
      <c r="O512">
        <v>669</v>
      </c>
      <c r="P512">
        <v>2.6</v>
      </c>
      <c r="Q512">
        <v>1.74</v>
      </c>
      <c r="R512" s="97" t="s">
        <v>1202</v>
      </c>
      <c r="S512" s="97" t="s">
        <v>195</v>
      </c>
    </row>
    <row r="513" spans="1:19" x14ac:dyDescent="0.3">
      <c r="A513" s="97" t="s">
        <v>681</v>
      </c>
      <c r="B513" s="97" t="s">
        <v>22</v>
      </c>
      <c r="C513">
        <v>2026</v>
      </c>
      <c r="D513">
        <v>1</v>
      </c>
      <c r="E513" s="2">
        <v>46042</v>
      </c>
      <c r="F513" s="97" t="s">
        <v>7</v>
      </c>
      <c r="G513" s="97" t="s">
        <v>8</v>
      </c>
      <c r="H513" s="97" t="s">
        <v>70</v>
      </c>
      <c r="I513" s="97" t="s">
        <v>79</v>
      </c>
      <c r="J513" s="97" t="s">
        <v>80</v>
      </c>
      <c r="K513" s="97" t="s">
        <v>73</v>
      </c>
      <c r="L513">
        <v>701000</v>
      </c>
      <c r="M513" s="97" t="s">
        <v>62</v>
      </c>
      <c r="N513" s="97" t="s">
        <v>33</v>
      </c>
      <c r="O513">
        <v>939</v>
      </c>
      <c r="P513">
        <v>2.6</v>
      </c>
      <c r="Q513">
        <v>2.44</v>
      </c>
      <c r="R513" s="97" t="s">
        <v>1198</v>
      </c>
      <c r="S513" s="97" t="s">
        <v>195</v>
      </c>
    </row>
    <row r="514" spans="1:19" x14ac:dyDescent="0.3">
      <c r="A514" s="97" t="s">
        <v>682</v>
      </c>
      <c r="B514" s="97" t="s">
        <v>22</v>
      </c>
      <c r="C514">
        <v>2026</v>
      </c>
      <c r="D514">
        <v>1</v>
      </c>
      <c r="E514" s="2">
        <v>46042</v>
      </c>
      <c r="F514" s="97" t="s">
        <v>7</v>
      </c>
      <c r="G514" s="97" t="s">
        <v>8</v>
      </c>
      <c r="H514" s="97" t="s">
        <v>70</v>
      </c>
      <c r="I514" s="97" t="s">
        <v>79</v>
      </c>
      <c r="J514" s="97" t="s">
        <v>80</v>
      </c>
      <c r="K514" s="97" t="s">
        <v>73</v>
      </c>
      <c r="L514">
        <v>701000</v>
      </c>
      <c r="M514" s="97" t="s">
        <v>62</v>
      </c>
      <c r="N514" s="97" t="s">
        <v>33</v>
      </c>
      <c r="O514">
        <v>1527</v>
      </c>
      <c r="P514">
        <v>2.6</v>
      </c>
      <c r="Q514">
        <v>3.97</v>
      </c>
      <c r="R514" s="97" t="s">
        <v>1205</v>
      </c>
      <c r="S514" s="97" t="s">
        <v>195</v>
      </c>
    </row>
    <row r="515" spans="1:19" x14ac:dyDescent="0.3">
      <c r="A515" s="97" t="s">
        <v>683</v>
      </c>
      <c r="B515" s="97" t="s">
        <v>22</v>
      </c>
      <c r="C515">
        <v>2026</v>
      </c>
      <c r="D515">
        <v>1</v>
      </c>
      <c r="E515" s="2">
        <v>46042</v>
      </c>
      <c r="F515" s="97" t="s">
        <v>7</v>
      </c>
      <c r="G515" s="97" t="s">
        <v>8</v>
      </c>
      <c r="H515" s="97" t="s">
        <v>70</v>
      </c>
      <c r="I515" s="97" t="s">
        <v>79</v>
      </c>
      <c r="J515" s="97" t="s">
        <v>80</v>
      </c>
      <c r="K515" s="97" t="s">
        <v>73</v>
      </c>
      <c r="L515">
        <v>701000</v>
      </c>
      <c r="M515" s="97" t="s">
        <v>62</v>
      </c>
      <c r="N515" s="97" t="s">
        <v>33</v>
      </c>
      <c r="O515">
        <v>1479</v>
      </c>
      <c r="P515">
        <v>2.6</v>
      </c>
      <c r="Q515">
        <v>3.84</v>
      </c>
      <c r="R515" s="97" t="s">
        <v>1197</v>
      </c>
      <c r="S515" s="97" t="s">
        <v>195</v>
      </c>
    </row>
    <row r="516" spans="1:19" x14ac:dyDescent="0.3">
      <c r="A516" s="97" t="s">
        <v>684</v>
      </c>
      <c r="B516" s="97" t="s">
        <v>22</v>
      </c>
      <c r="C516">
        <v>2026</v>
      </c>
      <c r="D516">
        <v>1</v>
      </c>
      <c r="E516" s="2">
        <v>46042</v>
      </c>
      <c r="F516" s="97" t="s">
        <v>7</v>
      </c>
      <c r="G516" s="97" t="s">
        <v>8</v>
      </c>
      <c r="H516" s="97" t="s">
        <v>70</v>
      </c>
      <c r="I516" s="97" t="s">
        <v>79</v>
      </c>
      <c r="J516" s="97" t="s">
        <v>80</v>
      </c>
      <c r="K516" s="97" t="s">
        <v>73</v>
      </c>
      <c r="L516">
        <v>701000</v>
      </c>
      <c r="M516" s="97" t="s">
        <v>62</v>
      </c>
      <c r="N516" s="97" t="s">
        <v>33</v>
      </c>
      <c r="O516">
        <v>2586</v>
      </c>
      <c r="P516">
        <v>2.6</v>
      </c>
      <c r="Q516">
        <v>6.73</v>
      </c>
      <c r="R516" s="97" t="s">
        <v>1203</v>
      </c>
      <c r="S516" s="97" t="s">
        <v>195</v>
      </c>
    </row>
    <row r="517" spans="1:19" x14ac:dyDescent="0.3">
      <c r="A517" s="97" t="s">
        <v>240</v>
      </c>
      <c r="B517" s="97" t="s">
        <v>22</v>
      </c>
      <c r="C517">
        <v>2026</v>
      </c>
      <c r="D517">
        <v>1</v>
      </c>
      <c r="E517" s="2">
        <v>46043</v>
      </c>
      <c r="F517" s="97" t="s">
        <v>7</v>
      </c>
      <c r="G517" s="97" t="s">
        <v>8</v>
      </c>
      <c r="H517" s="97" t="s">
        <v>70</v>
      </c>
      <c r="I517" s="97" t="s">
        <v>84</v>
      </c>
      <c r="J517" s="97" t="s">
        <v>85</v>
      </c>
      <c r="K517" s="97" t="s">
        <v>73</v>
      </c>
      <c r="L517">
        <v>706000</v>
      </c>
      <c r="M517" s="97" t="s">
        <v>63</v>
      </c>
      <c r="N517" s="97" t="s">
        <v>33</v>
      </c>
      <c r="O517">
        <v>3718</v>
      </c>
      <c r="P517">
        <v>0.95</v>
      </c>
      <c r="Q517">
        <v>3.53</v>
      </c>
      <c r="R517" s="97" t="s">
        <v>1205</v>
      </c>
      <c r="S517" s="97" t="s">
        <v>195</v>
      </c>
    </row>
    <row r="518" spans="1:19" x14ac:dyDescent="0.3">
      <c r="A518" s="97" t="s">
        <v>241</v>
      </c>
      <c r="B518" s="97" t="s">
        <v>22</v>
      </c>
      <c r="C518">
        <v>2026</v>
      </c>
      <c r="D518">
        <v>1</v>
      </c>
      <c r="E518" s="2">
        <v>46043</v>
      </c>
      <c r="F518" s="97" t="s">
        <v>7</v>
      </c>
      <c r="G518" s="97" t="s">
        <v>8</v>
      </c>
      <c r="H518" s="97" t="s">
        <v>70</v>
      </c>
      <c r="I518" s="97" t="s">
        <v>84</v>
      </c>
      <c r="J518" s="97" t="s">
        <v>85</v>
      </c>
      <c r="K518" s="97" t="s">
        <v>73</v>
      </c>
      <c r="L518">
        <v>706000</v>
      </c>
      <c r="M518" s="97" t="s">
        <v>63</v>
      </c>
      <c r="N518" s="97" t="s">
        <v>33</v>
      </c>
      <c r="O518">
        <v>3771</v>
      </c>
      <c r="P518">
        <v>0.95</v>
      </c>
      <c r="Q518">
        <v>3.58</v>
      </c>
      <c r="R518" s="97" t="s">
        <v>1201</v>
      </c>
      <c r="S518" s="97" t="s">
        <v>195</v>
      </c>
    </row>
    <row r="519" spans="1:19" x14ac:dyDescent="0.3">
      <c r="A519" s="97" t="s">
        <v>242</v>
      </c>
      <c r="B519" s="97" t="s">
        <v>22</v>
      </c>
      <c r="C519">
        <v>2026</v>
      </c>
      <c r="D519">
        <v>1</v>
      </c>
      <c r="E519" s="2">
        <v>46043</v>
      </c>
      <c r="F519" s="97" t="s">
        <v>7</v>
      </c>
      <c r="G519" s="97" t="s">
        <v>8</v>
      </c>
      <c r="H519" s="97" t="s">
        <v>70</v>
      </c>
      <c r="I519" s="97" t="s">
        <v>84</v>
      </c>
      <c r="J519" s="97" t="s">
        <v>85</v>
      </c>
      <c r="K519" s="97" t="s">
        <v>73</v>
      </c>
      <c r="L519">
        <v>706000</v>
      </c>
      <c r="M519" s="97" t="s">
        <v>63</v>
      </c>
      <c r="N519" s="97" t="s">
        <v>33</v>
      </c>
      <c r="O519">
        <v>5064</v>
      </c>
      <c r="P519">
        <v>0.95</v>
      </c>
      <c r="Q519">
        <v>4.8099999999999996</v>
      </c>
      <c r="R519" s="97" t="s">
        <v>1199</v>
      </c>
      <c r="S519" s="97" t="s">
        <v>195</v>
      </c>
    </row>
    <row r="520" spans="1:19" x14ac:dyDescent="0.3">
      <c r="A520" s="97" t="s">
        <v>243</v>
      </c>
      <c r="B520" s="97" t="s">
        <v>22</v>
      </c>
      <c r="C520">
        <v>2026</v>
      </c>
      <c r="D520">
        <v>1</v>
      </c>
      <c r="E520" s="2">
        <v>46043</v>
      </c>
      <c r="F520" s="97" t="s">
        <v>7</v>
      </c>
      <c r="G520" s="97" t="s">
        <v>8</v>
      </c>
      <c r="H520" s="97" t="s">
        <v>70</v>
      </c>
      <c r="I520" s="97" t="s">
        <v>84</v>
      </c>
      <c r="J520" s="97" t="s">
        <v>85</v>
      </c>
      <c r="K520" s="97" t="s">
        <v>73</v>
      </c>
      <c r="L520">
        <v>706000</v>
      </c>
      <c r="M520" s="97" t="s">
        <v>63</v>
      </c>
      <c r="N520" s="97" t="s">
        <v>33</v>
      </c>
      <c r="O520">
        <v>3140</v>
      </c>
      <c r="P520">
        <v>0.95</v>
      </c>
      <c r="Q520">
        <v>2.98</v>
      </c>
      <c r="R520" s="97" t="s">
        <v>1202</v>
      </c>
      <c r="S520" s="97" t="s">
        <v>195</v>
      </c>
    </row>
    <row r="521" spans="1:19" x14ac:dyDescent="0.3">
      <c r="A521" s="97" t="s">
        <v>244</v>
      </c>
      <c r="B521" s="97" t="s">
        <v>22</v>
      </c>
      <c r="C521">
        <v>2026</v>
      </c>
      <c r="D521">
        <v>1</v>
      </c>
      <c r="E521" s="2">
        <v>46043</v>
      </c>
      <c r="F521" s="97" t="s">
        <v>7</v>
      </c>
      <c r="G521" s="97" t="s">
        <v>8</v>
      </c>
      <c r="H521" s="97" t="s">
        <v>70</v>
      </c>
      <c r="I521" s="97" t="s">
        <v>84</v>
      </c>
      <c r="J521" s="97" t="s">
        <v>85</v>
      </c>
      <c r="K521" s="97" t="s">
        <v>73</v>
      </c>
      <c r="L521">
        <v>706000</v>
      </c>
      <c r="M521" s="97" t="s">
        <v>63</v>
      </c>
      <c r="N521" s="97" t="s">
        <v>33</v>
      </c>
      <c r="O521">
        <v>4311</v>
      </c>
      <c r="P521">
        <v>0.95</v>
      </c>
      <c r="Q521">
        <v>4.0999999999999996</v>
      </c>
      <c r="R521" s="97" t="s">
        <v>1204</v>
      </c>
      <c r="S521" s="97" t="s">
        <v>195</v>
      </c>
    </row>
    <row r="522" spans="1:19" x14ac:dyDescent="0.3">
      <c r="A522" s="97" t="s">
        <v>390</v>
      </c>
      <c r="B522" s="97" t="s">
        <v>22</v>
      </c>
      <c r="C522">
        <v>2026</v>
      </c>
      <c r="D522">
        <v>1</v>
      </c>
      <c r="E522" s="2">
        <v>46043</v>
      </c>
      <c r="F522" s="97" t="s">
        <v>7</v>
      </c>
      <c r="G522" s="97" t="s">
        <v>8</v>
      </c>
      <c r="H522" s="97" t="s">
        <v>74</v>
      </c>
      <c r="I522" s="97" t="s">
        <v>75</v>
      </c>
      <c r="J522" s="97" t="s">
        <v>76</v>
      </c>
      <c r="K522" s="97" t="s">
        <v>73</v>
      </c>
      <c r="L522">
        <v>701000</v>
      </c>
      <c r="M522" s="97" t="s">
        <v>62</v>
      </c>
      <c r="N522" s="97" t="s">
        <v>33</v>
      </c>
      <c r="O522">
        <v>703</v>
      </c>
      <c r="P522">
        <v>1.39</v>
      </c>
      <c r="Q522">
        <v>0.98</v>
      </c>
      <c r="R522" s="97" t="s">
        <v>1198</v>
      </c>
      <c r="S522" s="97" t="s">
        <v>195</v>
      </c>
    </row>
    <row r="523" spans="1:19" x14ac:dyDescent="0.3">
      <c r="A523" s="97" t="s">
        <v>391</v>
      </c>
      <c r="B523" s="97" t="s">
        <v>22</v>
      </c>
      <c r="C523">
        <v>2026</v>
      </c>
      <c r="D523">
        <v>1</v>
      </c>
      <c r="E523" s="2">
        <v>46043</v>
      </c>
      <c r="F523" s="97" t="s">
        <v>7</v>
      </c>
      <c r="G523" s="97" t="s">
        <v>8</v>
      </c>
      <c r="H523" s="97" t="s">
        <v>74</v>
      </c>
      <c r="I523" s="97" t="s">
        <v>75</v>
      </c>
      <c r="J523" s="97" t="s">
        <v>76</v>
      </c>
      <c r="K523" s="97" t="s">
        <v>73</v>
      </c>
      <c r="L523">
        <v>701000</v>
      </c>
      <c r="M523" s="97" t="s">
        <v>62</v>
      </c>
      <c r="N523" s="97" t="s">
        <v>33</v>
      </c>
      <c r="O523">
        <v>1987</v>
      </c>
      <c r="P523">
        <v>1.4</v>
      </c>
      <c r="Q523">
        <v>2.78</v>
      </c>
      <c r="R523" s="97" t="s">
        <v>1201</v>
      </c>
      <c r="S523" s="97" t="s">
        <v>195</v>
      </c>
    </row>
    <row r="524" spans="1:19" x14ac:dyDescent="0.3">
      <c r="A524" s="97" t="s">
        <v>392</v>
      </c>
      <c r="B524" s="97" t="s">
        <v>22</v>
      </c>
      <c r="C524">
        <v>2026</v>
      </c>
      <c r="D524">
        <v>1</v>
      </c>
      <c r="E524" s="2">
        <v>46043</v>
      </c>
      <c r="F524" s="97" t="s">
        <v>7</v>
      </c>
      <c r="G524" s="97" t="s">
        <v>8</v>
      </c>
      <c r="H524" s="97" t="s">
        <v>74</v>
      </c>
      <c r="I524" s="97" t="s">
        <v>75</v>
      </c>
      <c r="J524" s="97" t="s">
        <v>76</v>
      </c>
      <c r="K524" s="97" t="s">
        <v>73</v>
      </c>
      <c r="L524">
        <v>701000</v>
      </c>
      <c r="M524" s="97" t="s">
        <v>62</v>
      </c>
      <c r="N524" s="97" t="s">
        <v>33</v>
      </c>
      <c r="O524">
        <v>2343</v>
      </c>
      <c r="P524">
        <v>1.4</v>
      </c>
      <c r="Q524">
        <v>3.28</v>
      </c>
      <c r="R524" s="97" t="s">
        <v>1205</v>
      </c>
      <c r="S524" s="97" t="s">
        <v>195</v>
      </c>
    </row>
    <row r="525" spans="1:19" x14ac:dyDescent="0.3">
      <c r="A525" s="97" t="s">
        <v>393</v>
      </c>
      <c r="B525" s="97" t="s">
        <v>22</v>
      </c>
      <c r="C525">
        <v>2026</v>
      </c>
      <c r="D525">
        <v>1</v>
      </c>
      <c r="E525" s="2">
        <v>46043</v>
      </c>
      <c r="F525" s="97" t="s">
        <v>7</v>
      </c>
      <c r="G525" s="97" t="s">
        <v>8</v>
      </c>
      <c r="H525" s="97" t="s">
        <v>74</v>
      </c>
      <c r="I525" s="97" t="s">
        <v>75</v>
      </c>
      <c r="J525" s="97" t="s">
        <v>76</v>
      </c>
      <c r="K525" s="97" t="s">
        <v>73</v>
      </c>
      <c r="L525">
        <v>701000</v>
      </c>
      <c r="M525" s="97" t="s">
        <v>62</v>
      </c>
      <c r="N525" s="97" t="s">
        <v>33</v>
      </c>
      <c r="O525">
        <v>2877</v>
      </c>
      <c r="P525">
        <v>1.4</v>
      </c>
      <c r="Q525">
        <v>4.03</v>
      </c>
      <c r="R525" s="97" t="s">
        <v>1204</v>
      </c>
      <c r="S525" s="97" t="s">
        <v>195</v>
      </c>
    </row>
    <row r="526" spans="1:19" x14ac:dyDescent="0.3">
      <c r="A526" s="97" t="s">
        <v>394</v>
      </c>
      <c r="B526" s="97" t="s">
        <v>22</v>
      </c>
      <c r="C526">
        <v>2026</v>
      </c>
      <c r="D526">
        <v>1</v>
      </c>
      <c r="E526" s="2">
        <v>46043</v>
      </c>
      <c r="F526" s="97" t="s">
        <v>7</v>
      </c>
      <c r="G526" s="97" t="s">
        <v>8</v>
      </c>
      <c r="H526" s="97" t="s">
        <v>74</v>
      </c>
      <c r="I526" s="97" t="s">
        <v>75</v>
      </c>
      <c r="J526" s="97" t="s">
        <v>76</v>
      </c>
      <c r="K526" s="97" t="s">
        <v>73</v>
      </c>
      <c r="L526">
        <v>701000</v>
      </c>
      <c r="M526" s="97" t="s">
        <v>62</v>
      </c>
      <c r="N526" s="97" t="s">
        <v>33</v>
      </c>
      <c r="O526">
        <v>1175</v>
      </c>
      <c r="P526">
        <v>1.4</v>
      </c>
      <c r="Q526">
        <v>1.65</v>
      </c>
      <c r="R526" s="97" t="s">
        <v>1197</v>
      </c>
      <c r="S526" s="97" t="s">
        <v>195</v>
      </c>
    </row>
    <row r="527" spans="1:19" x14ac:dyDescent="0.3">
      <c r="A527" s="97" t="s">
        <v>420</v>
      </c>
      <c r="B527" s="97" t="s">
        <v>22</v>
      </c>
      <c r="C527">
        <v>2026</v>
      </c>
      <c r="D527">
        <v>1</v>
      </c>
      <c r="E527" s="2">
        <v>46043</v>
      </c>
      <c r="F527" s="97" t="s">
        <v>7</v>
      </c>
      <c r="G527" s="97" t="s">
        <v>8</v>
      </c>
      <c r="H527" s="97" t="s">
        <v>70</v>
      </c>
      <c r="I527" s="97" t="s">
        <v>75</v>
      </c>
      <c r="J527" s="97" t="s">
        <v>76</v>
      </c>
      <c r="K527" s="97" t="s">
        <v>73</v>
      </c>
      <c r="L527">
        <v>701000</v>
      </c>
      <c r="M527" s="97" t="s">
        <v>62</v>
      </c>
      <c r="N527" s="97" t="s">
        <v>33</v>
      </c>
      <c r="O527">
        <v>454</v>
      </c>
      <c r="P527">
        <v>1.41</v>
      </c>
      <c r="Q527">
        <v>0.64</v>
      </c>
      <c r="R527" s="97" t="s">
        <v>1205</v>
      </c>
      <c r="S527" s="97" t="s">
        <v>195</v>
      </c>
    </row>
    <row r="528" spans="1:19" x14ac:dyDescent="0.3">
      <c r="A528" s="97" t="s">
        <v>421</v>
      </c>
      <c r="B528" s="97" t="s">
        <v>22</v>
      </c>
      <c r="C528">
        <v>2026</v>
      </c>
      <c r="D528">
        <v>1</v>
      </c>
      <c r="E528" s="2">
        <v>46043</v>
      </c>
      <c r="F528" s="97" t="s">
        <v>7</v>
      </c>
      <c r="G528" s="97" t="s">
        <v>8</v>
      </c>
      <c r="H528" s="97" t="s">
        <v>70</v>
      </c>
      <c r="I528" s="97" t="s">
        <v>75</v>
      </c>
      <c r="J528" s="97" t="s">
        <v>76</v>
      </c>
      <c r="K528" s="97" t="s">
        <v>73</v>
      </c>
      <c r="L528">
        <v>701000</v>
      </c>
      <c r="M528" s="97" t="s">
        <v>62</v>
      </c>
      <c r="N528" s="97" t="s">
        <v>33</v>
      </c>
      <c r="O528">
        <v>2815</v>
      </c>
      <c r="P528">
        <v>1.4</v>
      </c>
      <c r="Q528">
        <v>3.94</v>
      </c>
      <c r="R528" s="97" t="s">
        <v>1199</v>
      </c>
      <c r="S528" s="97" t="s">
        <v>195</v>
      </c>
    </row>
    <row r="529" spans="1:19" x14ac:dyDescent="0.3">
      <c r="A529" s="97" t="s">
        <v>422</v>
      </c>
      <c r="B529" s="97" t="s">
        <v>22</v>
      </c>
      <c r="C529">
        <v>2026</v>
      </c>
      <c r="D529">
        <v>1</v>
      </c>
      <c r="E529" s="2">
        <v>46043</v>
      </c>
      <c r="F529" s="97" t="s">
        <v>7</v>
      </c>
      <c r="G529" s="97" t="s">
        <v>8</v>
      </c>
      <c r="H529" s="97" t="s">
        <v>70</v>
      </c>
      <c r="I529" s="97" t="s">
        <v>75</v>
      </c>
      <c r="J529" s="97" t="s">
        <v>76</v>
      </c>
      <c r="K529" s="97" t="s">
        <v>73</v>
      </c>
      <c r="L529">
        <v>701000</v>
      </c>
      <c r="M529" s="97" t="s">
        <v>62</v>
      </c>
      <c r="N529" s="97" t="s">
        <v>33</v>
      </c>
      <c r="O529">
        <v>1137</v>
      </c>
      <c r="P529">
        <v>1.4</v>
      </c>
      <c r="Q529">
        <v>1.59</v>
      </c>
      <c r="R529" s="97" t="s">
        <v>1198</v>
      </c>
      <c r="S529" s="97" t="s">
        <v>195</v>
      </c>
    </row>
    <row r="530" spans="1:19" x14ac:dyDescent="0.3">
      <c r="A530" s="97" t="s">
        <v>423</v>
      </c>
      <c r="B530" s="97" t="s">
        <v>22</v>
      </c>
      <c r="C530">
        <v>2026</v>
      </c>
      <c r="D530">
        <v>1</v>
      </c>
      <c r="E530" s="2">
        <v>46043</v>
      </c>
      <c r="F530" s="97" t="s">
        <v>7</v>
      </c>
      <c r="G530" s="97" t="s">
        <v>8</v>
      </c>
      <c r="H530" s="97" t="s">
        <v>70</v>
      </c>
      <c r="I530" s="97" t="s">
        <v>75</v>
      </c>
      <c r="J530" s="97" t="s">
        <v>76</v>
      </c>
      <c r="K530" s="97" t="s">
        <v>73</v>
      </c>
      <c r="L530">
        <v>701000</v>
      </c>
      <c r="M530" s="97" t="s">
        <v>62</v>
      </c>
      <c r="N530" s="97" t="s">
        <v>33</v>
      </c>
      <c r="O530">
        <v>1660</v>
      </c>
      <c r="P530">
        <v>1.4</v>
      </c>
      <c r="Q530">
        <v>2.3199999999999998</v>
      </c>
      <c r="R530" s="97" t="s">
        <v>1202</v>
      </c>
      <c r="S530" s="97" t="s">
        <v>195</v>
      </c>
    </row>
    <row r="531" spans="1:19" x14ac:dyDescent="0.3">
      <c r="A531" s="97" t="s">
        <v>424</v>
      </c>
      <c r="B531" s="97" t="s">
        <v>22</v>
      </c>
      <c r="C531">
        <v>2026</v>
      </c>
      <c r="D531">
        <v>1</v>
      </c>
      <c r="E531" s="2">
        <v>46043</v>
      </c>
      <c r="F531" s="97" t="s">
        <v>7</v>
      </c>
      <c r="G531" s="97" t="s">
        <v>8</v>
      </c>
      <c r="H531" s="97" t="s">
        <v>70</v>
      </c>
      <c r="I531" s="97" t="s">
        <v>75</v>
      </c>
      <c r="J531" s="97" t="s">
        <v>76</v>
      </c>
      <c r="K531" s="97" t="s">
        <v>73</v>
      </c>
      <c r="L531">
        <v>701000</v>
      </c>
      <c r="M531" s="97" t="s">
        <v>62</v>
      </c>
      <c r="N531" s="97" t="s">
        <v>33</v>
      </c>
      <c r="O531">
        <v>1849</v>
      </c>
      <c r="P531">
        <v>1.4</v>
      </c>
      <c r="Q531">
        <v>2.59</v>
      </c>
      <c r="R531" s="97" t="s">
        <v>1204</v>
      </c>
      <c r="S531" s="97" t="s">
        <v>195</v>
      </c>
    </row>
    <row r="532" spans="1:19" x14ac:dyDescent="0.3">
      <c r="A532" s="97" t="s">
        <v>445</v>
      </c>
      <c r="B532" s="97" t="s">
        <v>22</v>
      </c>
      <c r="C532">
        <v>2026</v>
      </c>
      <c r="D532">
        <v>1</v>
      </c>
      <c r="E532" s="2">
        <v>46043</v>
      </c>
      <c r="F532" s="97" t="s">
        <v>7</v>
      </c>
      <c r="G532" s="97" t="s">
        <v>8</v>
      </c>
      <c r="H532" s="97" t="s">
        <v>70</v>
      </c>
      <c r="I532" s="97" t="s">
        <v>75</v>
      </c>
      <c r="J532" s="97" t="s">
        <v>76</v>
      </c>
      <c r="K532" s="97" t="s">
        <v>73</v>
      </c>
      <c r="L532">
        <v>701000</v>
      </c>
      <c r="M532" s="97" t="s">
        <v>62</v>
      </c>
      <c r="N532" s="97" t="s">
        <v>33</v>
      </c>
      <c r="O532">
        <v>1951</v>
      </c>
      <c r="P532">
        <v>1.4</v>
      </c>
      <c r="Q532">
        <v>2.73</v>
      </c>
      <c r="R532" s="97" t="s">
        <v>1197</v>
      </c>
      <c r="S532" s="97" t="s">
        <v>195</v>
      </c>
    </row>
    <row r="533" spans="1:19" x14ac:dyDescent="0.3">
      <c r="A533" s="97" t="s">
        <v>446</v>
      </c>
      <c r="B533" s="97" t="s">
        <v>22</v>
      </c>
      <c r="C533">
        <v>2026</v>
      </c>
      <c r="D533">
        <v>1</v>
      </c>
      <c r="E533" s="2">
        <v>46043</v>
      </c>
      <c r="F533" s="97" t="s">
        <v>7</v>
      </c>
      <c r="G533" s="97" t="s">
        <v>8</v>
      </c>
      <c r="H533" s="97" t="s">
        <v>70</v>
      </c>
      <c r="I533" s="97" t="s">
        <v>75</v>
      </c>
      <c r="J533" s="97" t="s">
        <v>76</v>
      </c>
      <c r="K533" s="97" t="s">
        <v>73</v>
      </c>
      <c r="L533">
        <v>701000</v>
      </c>
      <c r="M533" s="97" t="s">
        <v>62</v>
      </c>
      <c r="N533" s="97" t="s">
        <v>33</v>
      </c>
      <c r="O533">
        <v>1684</v>
      </c>
      <c r="P533">
        <v>1.4</v>
      </c>
      <c r="Q533">
        <v>2.36</v>
      </c>
      <c r="R533" s="97" t="s">
        <v>1204</v>
      </c>
      <c r="S533" s="97" t="s">
        <v>195</v>
      </c>
    </row>
    <row r="534" spans="1:19" x14ac:dyDescent="0.3">
      <c r="A534" s="97" t="s">
        <v>447</v>
      </c>
      <c r="B534" s="97" t="s">
        <v>22</v>
      </c>
      <c r="C534">
        <v>2026</v>
      </c>
      <c r="D534">
        <v>1</v>
      </c>
      <c r="E534" s="2">
        <v>46043</v>
      </c>
      <c r="F534" s="97" t="s">
        <v>7</v>
      </c>
      <c r="G534" s="97" t="s">
        <v>8</v>
      </c>
      <c r="H534" s="97" t="s">
        <v>70</v>
      </c>
      <c r="I534" s="97" t="s">
        <v>75</v>
      </c>
      <c r="J534" s="97" t="s">
        <v>76</v>
      </c>
      <c r="K534" s="97" t="s">
        <v>73</v>
      </c>
      <c r="L534">
        <v>701000</v>
      </c>
      <c r="M534" s="97" t="s">
        <v>62</v>
      </c>
      <c r="N534" s="97" t="s">
        <v>33</v>
      </c>
      <c r="O534">
        <v>1195</v>
      </c>
      <c r="P534">
        <v>1.4</v>
      </c>
      <c r="Q534">
        <v>1.67</v>
      </c>
      <c r="R534" s="97" t="s">
        <v>1199</v>
      </c>
      <c r="S534" s="97" t="s">
        <v>195</v>
      </c>
    </row>
    <row r="535" spans="1:19" x14ac:dyDescent="0.3">
      <c r="A535" s="97" t="s">
        <v>448</v>
      </c>
      <c r="B535" s="97" t="s">
        <v>22</v>
      </c>
      <c r="C535">
        <v>2026</v>
      </c>
      <c r="D535">
        <v>1</v>
      </c>
      <c r="E535" s="2">
        <v>46043</v>
      </c>
      <c r="F535" s="97" t="s">
        <v>7</v>
      </c>
      <c r="G535" s="97" t="s">
        <v>8</v>
      </c>
      <c r="H535" s="97" t="s">
        <v>70</v>
      </c>
      <c r="I535" s="97" t="s">
        <v>75</v>
      </c>
      <c r="J535" s="97" t="s">
        <v>76</v>
      </c>
      <c r="K535" s="97" t="s">
        <v>73</v>
      </c>
      <c r="L535">
        <v>701000</v>
      </c>
      <c r="M535" s="97" t="s">
        <v>62</v>
      </c>
      <c r="N535" s="97" t="s">
        <v>33</v>
      </c>
      <c r="O535">
        <v>2995</v>
      </c>
      <c r="P535">
        <v>1.4</v>
      </c>
      <c r="Q535">
        <v>4.1900000000000004</v>
      </c>
      <c r="R535" s="97" t="s">
        <v>1205</v>
      </c>
      <c r="S535" s="97" t="s">
        <v>195</v>
      </c>
    </row>
    <row r="536" spans="1:19" x14ac:dyDescent="0.3">
      <c r="A536" s="97" t="s">
        <v>449</v>
      </c>
      <c r="B536" s="97" t="s">
        <v>22</v>
      </c>
      <c r="C536">
        <v>2026</v>
      </c>
      <c r="D536">
        <v>1</v>
      </c>
      <c r="E536" s="2">
        <v>46043</v>
      </c>
      <c r="F536" s="97" t="s">
        <v>7</v>
      </c>
      <c r="G536" s="97" t="s">
        <v>8</v>
      </c>
      <c r="H536" s="97" t="s">
        <v>70</v>
      </c>
      <c r="I536" s="97" t="s">
        <v>75</v>
      </c>
      <c r="J536" s="97" t="s">
        <v>76</v>
      </c>
      <c r="K536" s="97" t="s">
        <v>73</v>
      </c>
      <c r="L536">
        <v>701000</v>
      </c>
      <c r="M536" s="97" t="s">
        <v>62</v>
      </c>
      <c r="N536" s="97" t="s">
        <v>33</v>
      </c>
      <c r="O536">
        <v>1556</v>
      </c>
      <c r="P536">
        <v>1.4</v>
      </c>
      <c r="Q536">
        <v>2.1800000000000002</v>
      </c>
      <c r="R536" s="97" t="s">
        <v>1203</v>
      </c>
      <c r="S536" s="97" t="s">
        <v>195</v>
      </c>
    </row>
    <row r="537" spans="1:19" x14ac:dyDescent="0.3">
      <c r="A537" s="97" t="s">
        <v>550</v>
      </c>
      <c r="B537" s="97" t="s">
        <v>22</v>
      </c>
      <c r="C537">
        <v>2026</v>
      </c>
      <c r="D537">
        <v>1</v>
      </c>
      <c r="E537" s="2">
        <v>46043</v>
      </c>
      <c r="F537" s="97" t="s">
        <v>7</v>
      </c>
      <c r="G537" s="97" t="s">
        <v>8</v>
      </c>
      <c r="H537" s="97" t="s">
        <v>74</v>
      </c>
      <c r="I537" s="97" t="s">
        <v>77</v>
      </c>
      <c r="J537" s="97" t="s">
        <v>78</v>
      </c>
      <c r="K537" s="97" t="s">
        <v>73</v>
      </c>
      <c r="L537">
        <v>707000</v>
      </c>
      <c r="M537" s="97" t="s">
        <v>81</v>
      </c>
      <c r="N537" s="97" t="s">
        <v>33</v>
      </c>
      <c r="O537">
        <v>1085</v>
      </c>
      <c r="P537">
        <v>1.8</v>
      </c>
      <c r="Q537">
        <v>1.95</v>
      </c>
      <c r="R537" s="97" t="s">
        <v>1202</v>
      </c>
      <c r="S537" s="97" t="s">
        <v>195</v>
      </c>
    </row>
    <row r="538" spans="1:19" x14ac:dyDescent="0.3">
      <c r="A538" s="97" t="s">
        <v>551</v>
      </c>
      <c r="B538" s="97" t="s">
        <v>22</v>
      </c>
      <c r="C538">
        <v>2026</v>
      </c>
      <c r="D538">
        <v>1</v>
      </c>
      <c r="E538" s="2">
        <v>46043</v>
      </c>
      <c r="F538" s="97" t="s">
        <v>7</v>
      </c>
      <c r="G538" s="97" t="s">
        <v>8</v>
      </c>
      <c r="H538" s="97" t="s">
        <v>74</v>
      </c>
      <c r="I538" s="97" t="s">
        <v>77</v>
      </c>
      <c r="J538" s="97" t="s">
        <v>78</v>
      </c>
      <c r="K538" s="97" t="s">
        <v>73</v>
      </c>
      <c r="L538">
        <v>707000</v>
      </c>
      <c r="M538" s="97" t="s">
        <v>81</v>
      </c>
      <c r="N538" s="97" t="s">
        <v>33</v>
      </c>
      <c r="O538">
        <v>1244</v>
      </c>
      <c r="P538">
        <v>1.8</v>
      </c>
      <c r="Q538">
        <v>2.2400000000000002</v>
      </c>
      <c r="R538" s="97" t="s">
        <v>1198</v>
      </c>
      <c r="S538" s="97" t="s">
        <v>195</v>
      </c>
    </row>
    <row r="539" spans="1:19" x14ac:dyDescent="0.3">
      <c r="A539" s="97" t="s">
        <v>552</v>
      </c>
      <c r="B539" s="97" t="s">
        <v>22</v>
      </c>
      <c r="C539">
        <v>2026</v>
      </c>
      <c r="D539">
        <v>1</v>
      </c>
      <c r="E539" s="2">
        <v>46043</v>
      </c>
      <c r="F539" s="97" t="s">
        <v>7</v>
      </c>
      <c r="G539" s="97" t="s">
        <v>8</v>
      </c>
      <c r="H539" s="97" t="s">
        <v>74</v>
      </c>
      <c r="I539" s="97" t="s">
        <v>77</v>
      </c>
      <c r="J539" s="97" t="s">
        <v>78</v>
      </c>
      <c r="K539" s="97" t="s">
        <v>73</v>
      </c>
      <c r="L539">
        <v>707000</v>
      </c>
      <c r="M539" s="97" t="s">
        <v>81</v>
      </c>
      <c r="N539" s="97" t="s">
        <v>33</v>
      </c>
      <c r="O539">
        <v>545</v>
      </c>
      <c r="P539">
        <v>1.8</v>
      </c>
      <c r="Q539">
        <v>0.98</v>
      </c>
      <c r="R539" s="97" t="s">
        <v>1201</v>
      </c>
      <c r="S539" s="97" t="s">
        <v>195</v>
      </c>
    </row>
    <row r="540" spans="1:19" x14ac:dyDescent="0.3">
      <c r="A540" s="97" t="s">
        <v>553</v>
      </c>
      <c r="B540" s="97" t="s">
        <v>22</v>
      </c>
      <c r="C540">
        <v>2026</v>
      </c>
      <c r="D540">
        <v>1</v>
      </c>
      <c r="E540" s="2">
        <v>46043</v>
      </c>
      <c r="F540" s="97" t="s">
        <v>7</v>
      </c>
      <c r="G540" s="97" t="s">
        <v>8</v>
      </c>
      <c r="H540" s="97" t="s">
        <v>74</v>
      </c>
      <c r="I540" s="97" t="s">
        <v>77</v>
      </c>
      <c r="J540" s="97" t="s">
        <v>78</v>
      </c>
      <c r="K540" s="97" t="s">
        <v>73</v>
      </c>
      <c r="L540">
        <v>707000</v>
      </c>
      <c r="M540" s="97" t="s">
        <v>81</v>
      </c>
      <c r="N540" s="97" t="s">
        <v>33</v>
      </c>
      <c r="O540">
        <v>553</v>
      </c>
      <c r="P540">
        <v>1.79</v>
      </c>
      <c r="Q540">
        <v>0.99</v>
      </c>
      <c r="R540" s="97" t="s">
        <v>1205</v>
      </c>
      <c r="S540" s="97" t="s">
        <v>195</v>
      </c>
    </row>
    <row r="541" spans="1:19" x14ac:dyDescent="0.3">
      <c r="A541" s="97" t="s">
        <v>554</v>
      </c>
      <c r="B541" s="97" t="s">
        <v>22</v>
      </c>
      <c r="C541">
        <v>2026</v>
      </c>
      <c r="D541">
        <v>1</v>
      </c>
      <c r="E541" s="2">
        <v>46043</v>
      </c>
      <c r="F541" s="97" t="s">
        <v>7</v>
      </c>
      <c r="G541" s="97" t="s">
        <v>8</v>
      </c>
      <c r="H541" s="97" t="s">
        <v>74</v>
      </c>
      <c r="I541" s="97" t="s">
        <v>77</v>
      </c>
      <c r="J541" s="97" t="s">
        <v>78</v>
      </c>
      <c r="K541" s="97" t="s">
        <v>73</v>
      </c>
      <c r="L541">
        <v>707000</v>
      </c>
      <c r="M541" s="97" t="s">
        <v>81</v>
      </c>
      <c r="N541" s="97" t="s">
        <v>33</v>
      </c>
      <c r="O541">
        <v>1319</v>
      </c>
      <c r="P541">
        <v>1.8</v>
      </c>
      <c r="Q541">
        <v>2.38</v>
      </c>
      <c r="R541" s="97" t="s">
        <v>1199</v>
      </c>
      <c r="S541" s="97" t="s">
        <v>195</v>
      </c>
    </row>
    <row r="542" spans="1:19" x14ac:dyDescent="0.3">
      <c r="A542" s="97" t="s">
        <v>570</v>
      </c>
      <c r="B542" s="97" t="s">
        <v>22</v>
      </c>
      <c r="C542">
        <v>2026</v>
      </c>
      <c r="D542">
        <v>1</v>
      </c>
      <c r="E542" s="2">
        <v>46043</v>
      </c>
      <c r="F542" s="97" t="s">
        <v>7</v>
      </c>
      <c r="G542" s="97" t="s">
        <v>8</v>
      </c>
      <c r="H542" s="97" t="s">
        <v>70</v>
      </c>
      <c r="I542" s="97" t="s">
        <v>77</v>
      </c>
      <c r="J542" s="97" t="s">
        <v>78</v>
      </c>
      <c r="K542" s="97" t="s">
        <v>73</v>
      </c>
      <c r="L542">
        <v>701000</v>
      </c>
      <c r="M542" s="97" t="s">
        <v>62</v>
      </c>
      <c r="N542" s="97" t="s">
        <v>33</v>
      </c>
      <c r="O542">
        <v>524</v>
      </c>
      <c r="P542">
        <v>1.79</v>
      </c>
      <c r="Q542">
        <v>0.94</v>
      </c>
      <c r="R542" s="97" t="s">
        <v>1202</v>
      </c>
      <c r="S542" s="97" t="s">
        <v>195</v>
      </c>
    </row>
    <row r="543" spans="1:19" x14ac:dyDescent="0.3">
      <c r="A543" s="97" t="s">
        <v>571</v>
      </c>
      <c r="B543" s="97" t="s">
        <v>22</v>
      </c>
      <c r="C543">
        <v>2026</v>
      </c>
      <c r="D543">
        <v>1</v>
      </c>
      <c r="E543" s="2">
        <v>46043</v>
      </c>
      <c r="F543" s="97" t="s">
        <v>7</v>
      </c>
      <c r="G543" s="97" t="s">
        <v>8</v>
      </c>
      <c r="H543" s="97" t="s">
        <v>70</v>
      </c>
      <c r="I543" s="97" t="s">
        <v>77</v>
      </c>
      <c r="J543" s="97" t="s">
        <v>78</v>
      </c>
      <c r="K543" s="97" t="s">
        <v>73</v>
      </c>
      <c r="L543">
        <v>701000</v>
      </c>
      <c r="M543" s="97" t="s">
        <v>62</v>
      </c>
      <c r="N543" s="97" t="s">
        <v>33</v>
      </c>
      <c r="O543">
        <v>597</v>
      </c>
      <c r="P543">
        <v>1.79</v>
      </c>
      <c r="Q543">
        <v>1.07</v>
      </c>
      <c r="R543" s="97" t="s">
        <v>1203</v>
      </c>
      <c r="S543" s="97" t="s">
        <v>195</v>
      </c>
    </row>
    <row r="544" spans="1:19" x14ac:dyDescent="0.3">
      <c r="A544" s="97" t="s">
        <v>572</v>
      </c>
      <c r="B544" s="97" t="s">
        <v>22</v>
      </c>
      <c r="C544">
        <v>2026</v>
      </c>
      <c r="D544">
        <v>1</v>
      </c>
      <c r="E544" s="2">
        <v>46043</v>
      </c>
      <c r="F544" s="97" t="s">
        <v>7</v>
      </c>
      <c r="G544" s="97" t="s">
        <v>8</v>
      </c>
      <c r="H544" s="97" t="s">
        <v>70</v>
      </c>
      <c r="I544" s="97" t="s">
        <v>77</v>
      </c>
      <c r="J544" s="97" t="s">
        <v>78</v>
      </c>
      <c r="K544" s="97" t="s">
        <v>73</v>
      </c>
      <c r="L544">
        <v>701000</v>
      </c>
      <c r="M544" s="97" t="s">
        <v>62</v>
      </c>
      <c r="N544" s="97" t="s">
        <v>33</v>
      </c>
      <c r="O544">
        <v>778</v>
      </c>
      <c r="P544">
        <v>1.8</v>
      </c>
      <c r="Q544">
        <v>1.4</v>
      </c>
      <c r="R544" s="97" t="s">
        <v>1197</v>
      </c>
      <c r="S544" s="97" t="s">
        <v>195</v>
      </c>
    </row>
    <row r="545" spans="1:19" x14ac:dyDescent="0.3">
      <c r="A545" s="97" t="s">
        <v>573</v>
      </c>
      <c r="B545" s="97" t="s">
        <v>22</v>
      </c>
      <c r="C545">
        <v>2026</v>
      </c>
      <c r="D545">
        <v>1</v>
      </c>
      <c r="E545" s="2">
        <v>46043</v>
      </c>
      <c r="F545" s="97" t="s">
        <v>7</v>
      </c>
      <c r="G545" s="97" t="s">
        <v>8</v>
      </c>
      <c r="H545" s="97" t="s">
        <v>70</v>
      </c>
      <c r="I545" s="97" t="s">
        <v>77</v>
      </c>
      <c r="J545" s="97" t="s">
        <v>78</v>
      </c>
      <c r="K545" s="97" t="s">
        <v>73</v>
      </c>
      <c r="L545">
        <v>701000</v>
      </c>
      <c r="M545" s="97" t="s">
        <v>62</v>
      </c>
      <c r="N545" s="97" t="s">
        <v>33</v>
      </c>
      <c r="O545">
        <v>1127</v>
      </c>
      <c r="P545">
        <v>1.8</v>
      </c>
      <c r="Q545">
        <v>2.0299999999999998</v>
      </c>
      <c r="R545" s="97" t="s">
        <v>1205</v>
      </c>
      <c r="S545" s="97" t="s">
        <v>195</v>
      </c>
    </row>
    <row r="546" spans="1:19" x14ac:dyDescent="0.3">
      <c r="A546" s="97" t="s">
        <v>574</v>
      </c>
      <c r="B546" s="97" t="s">
        <v>22</v>
      </c>
      <c r="C546">
        <v>2026</v>
      </c>
      <c r="D546">
        <v>1</v>
      </c>
      <c r="E546" s="2">
        <v>46043</v>
      </c>
      <c r="F546" s="97" t="s">
        <v>7</v>
      </c>
      <c r="G546" s="97" t="s">
        <v>8</v>
      </c>
      <c r="H546" s="97" t="s">
        <v>70</v>
      </c>
      <c r="I546" s="97" t="s">
        <v>77</v>
      </c>
      <c r="J546" s="97" t="s">
        <v>78</v>
      </c>
      <c r="K546" s="97" t="s">
        <v>73</v>
      </c>
      <c r="L546">
        <v>701000</v>
      </c>
      <c r="M546" s="97" t="s">
        <v>62</v>
      </c>
      <c r="N546" s="97" t="s">
        <v>33</v>
      </c>
      <c r="O546">
        <v>588</v>
      </c>
      <c r="P546">
        <v>1.82</v>
      </c>
      <c r="Q546">
        <v>1.07</v>
      </c>
      <c r="R546" s="97" t="s">
        <v>1204</v>
      </c>
      <c r="S546" s="97" t="s">
        <v>195</v>
      </c>
    </row>
    <row r="547" spans="1:19" x14ac:dyDescent="0.3">
      <c r="A547" s="97" t="s">
        <v>610</v>
      </c>
      <c r="B547" s="97" t="s">
        <v>22</v>
      </c>
      <c r="C547">
        <v>2026</v>
      </c>
      <c r="D547">
        <v>1</v>
      </c>
      <c r="E547" s="2">
        <v>46043</v>
      </c>
      <c r="F547" s="97" t="s">
        <v>7</v>
      </c>
      <c r="G547" s="97" t="s">
        <v>8</v>
      </c>
      <c r="H547" s="97" t="s">
        <v>70</v>
      </c>
      <c r="I547" s="97" t="s">
        <v>77</v>
      </c>
      <c r="J547" s="97" t="s">
        <v>78</v>
      </c>
      <c r="K547" s="97" t="s">
        <v>73</v>
      </c>
      <c r="L547">
        <v>701000</v>
      </c>
      <c r="M547" s="97" t="s">
        <v>62</v>
      </c>
      <c r="N547" s="97" t="s">
        <v>33</v>
      </c>
      <c r="O547">
        <v>149</v>
      </c>
      <c r="P547">
        <v>1.81</v>
      </c>
      <c r="Q547">
        <v>0.27</v>
      </c>
      <c r="R547" s="97" t="s">
        <v>1201</v>
      </c>
      <c r="S547" s="97" t="s">
        <v>195</v>
      </c>
    </row>
    <row r="548" spans="1:19" x14ac:dyDescent="0.3">
      <c r="A548" s="97" t="s">
        <v>611</v>
      </c>
      <c r="B548" s="97" t="s">
        <v>22</v>
      </c>
      <c r="C548">
        <v>2026</v>
      </c>
      <c r="D548">
        <v>1</v>
      </c>
      <c r="E548" s="2">
        <v>46043</v>
      </c>
      <c r="F548" s="97" t="s">
        <v>7</v>
      </c>
      <c r="G548" s="97" t="s">
        <v>8</v>
      </c>
      <c r="H548" s="97" t="s">
        <v>70</v>
      </c>
      <c r="I548" s="97" t="s">
        <v>77</v>
      </c>
      <c r="J548" s="97" t="s">
        <v>78</v>
      </c>
      <c r="K548" s="97" t="s">
        <v>73</v>
      </c>
      <c r="L548">
        <v>701000</v>
      </c>
      <c r="M548" s="97" t="s">
        <v>62</v>
      </c>
      <c r="N548" s="97" t="s">
        <v>33</v>
      </c>
      <c r="O548">
        <v>1083</v>
      </c>
      <c r="P548">
        <v>1.8</v>
      </c>
      <c r="Q548">
        <v>1.95</v>
      </c>
      <c r="R548" s="97" t="s">
        <v>1203</v>
      </c>
      <c r="S548" s="97" t="s">
        <v>195</v>
      </c>
    </row>
    <row r="549" spans="1:19" x14ac:dyDescent="0.3">
      <c r="A549" s="97" t="s">
        <v>612</v>
      </c>
      <c r="B549" s="97" t="s">
        <v>22</v>
      </c>
      <c r="C549">
        <v>2026</v>
      </c>
      <c r="D549">
        <v>1</v>
      </c>
      <c r="E549" s="2">
        <v>46043</v>
      </c>
      <c r="F549" s="97" t="s">
        <v>7</v>
      </c>
      <c r="G549" s="97" t="s">
        <v>8</v>
      </c>
      <c r="H549" s="97" t="s">
        <v>70</v>
      </c>
      <c r="I549" s="97" t="s">
        <v>77</v>
      </c>
      <c r="J549" s="97" t="s">
        <v>78</v>
      </c>
      <c r="K549" s="97" t="s">
        <v>73</v>
      </c>
      <c r="L549">
        <v>701000</v>
      </c>
      <c r="M549" s="97" t="s">
        <v>62</v>
      </c>
      <c r="N549" s="97" t="s">
        <v>33</v>
      </c>
      <c r="O549">
        <v>1059</v>
      </c>
      <c r="P549">
        <v>1.8</v>
      </c>
      <c r="Q549">
        <v>1.91</v>
      </c>
      <c r="R549" s="97" t="s">
        <v>1197</v>
      </c>
      <c r="S549" s="97" t="s">
        <v>195</v>
      </c>
    </row>
    <row r="550" spans="1:19" x14ac:dyDescent="0.3">
      <c r="A550" s="97" t="s">
        <v>613</v>
      </c>
      <c r="B550" s="97" t="s">
        <v>22</v>
      </c>
      <c r="C550">
        <v>2026</v>
      </c>
      <c r="D550">
        <v>1</v>
      </c>
      <c r="E550" s="2">
        <v>46043</v>
      </c>
      <c r="F550" s="97" t="s">
        <v>7</v>
      </c>
      <c r="G550" s="97" t="s">
        <v>8</v>
      </c>
      <c r="H550" s="97" t="s">
        <v>70</v>
      </c>
      <c r="I550" s="97" t="s">
        <v>77</v>
      </c>
      <c r="J550" s="97" t="s">
        <v>78</v>
      </c>
      <c r="K550" s="97" t="s">
        <v>73</v>
      </c>
      <c r="L550">
        <v>701000</v>
      </c>
      <c r="M550" s="97" t="s">
        <v>62</v>
      </c>
      <c r="N550" s="97" t="s">
        <v>33</v>
      </c>
      <c r="O550">
        <v>1026</v>
      </c>
      <c r="P550">
        <v>1.8</v>
      </c>
      <c r="Q550">
        <v>1.85</v>
      </c>
      <c r="R550" s="97" t="s">
        <v>1200</v>
      </c>
      <c r="S550" s="97" t="s">
        <v>195</v>
      </c>
    </row>
    <row r="551" spans="1:19" x14ac:dyDescent="0.3">
      <c r="A551" s="97" t="s">
        <v>614</v>
      </c>
      <c r="B551" s="97" t="s">
        <v>22</v>
      </c>
      <c r="C551">
        <v>2026</v>
      </c>
      <c r="D551">
        <v>1</v>
      </c>
      <c r="E551" s="2">
        <v>46043</v>
      </c>
      <c r="F551" s="97" t="s">
        <v>7</v>
      </c>
      <c r="G551" s="97" t="s">
        <v>8</v>
      </c>
      <c r="H551" s="97" t="s">
        <v>70</v>
      </c>
      <c r="I551" s="97" t="s">
        <v>77</v>
      </c>
      <c r="J551" s="97" t="s">
        <v>78</v>
      </c>
      <c r="K551" s="97" t="s">
        <v>73</v>
      </c>
      <c r="L551">
        <v>701000</v>
      </c>
      <c r="M551" s="97" t="s">
        <v>62</v>
      </c>
      <c r="N551" s="97" t="s">
        <v>33</v>
      </c>
      <c r="O551">
        <v>979</v>
      </c>
      <c r="P551">
        <v>1.79</v>
      </c>
      <c r="Q551">
        <v>1.75</v>
      </c>
      <c r="R551" s="97" t="s">
        <v>1205</v>
      </c>
      <c r="S551" s="97" t="s">
        <v>195</v>
      </c>
    </row>
    <row r="552" spans="1:19" x14ac:dyDescent="0.3">
      <c r="A552" s="97" t="s">
        <v>255</v>
      </c>
      <c r="B552" s="97" t="s">
        <v>22</v>
      </c>
      <c r="C552">
        <v>2026</v>
      </c>
      <c r="D552">
        <v>1</v>
      </c>
      <c r="E552" s="2">
        <v>46044</v>
      </c>
      <c r="F552" s="97" t="s">
        <v>7</v>
      </c>
      <c r="G552" s="97" t="s">
        <v>8</v>
      </c>
      <c r="H552" s="97" t="s">
        <v>74</v>
      </c>
      <c r="I552" s="97" t="s">
        <v>84</v>
      </c>
      <c r="J552" s="97" t="s">
        <v>85</v>
      </c>
      <c r="K552" s="97" t="s">
        <v>73</v>
      </c>
      <c r="L552">
        <v>701000</v>
      </c>
      <c r="M552" s="97" t="s">
        <v>62</v>
      </c>
      <c r="N552" s="97" t="s">
        <v>33</v>
      </c>
      <c r="O552">
        <v>4766</v>
      </c>
      <c r="P552">
        <v>0.95</v>
      </c>
      <c r="Q552">
        <v>4.53</v>
      </c>
      <c r="R552" s="97" t="s">
        <v>1202</v>
      </c>
      <c r="S552" s="97" t="s">
        <v>195</v>
      </c>
    </row>
    <row r="553" spans="1:19" x14ac:dyDescent="0.3">
      <c r="A553" s="97" t="s">
        <v>256</v>
      </c>
      <c r="B553" s="97" t="s">
        <v>22</v>
      </c>
      <c r="C553">
        <v>2026</v>
      </c>
      <c r="D553">
        <v>1</v>
      </c>
      <c r="E553" s="2">
        <v>46044</v>
      </c>
      <c r="F553" s="97" t="s">
        <v>7</v>
      </c>
      <c r="G553" s="97" t="s">
        <v>8</v>
      </c>
      <c r="H553" s="97" t="s">
        <v>74</v>
      </c>
      <c r="I553" s="97" t="s">
        <v>84</v>
      </c>
      <c r="J553" s="97" t="s">
        <v>85</v>
      </c>
      <c r="K553" s="97" t="s">
        <v>73</v>
      </c>
      <c r="L553">
        <v>701000</v>
      </c>
      <c r="M553" s="97" t="s">
        <v>62</v>
      </c>
      <c r="N553" s="97" t="s">
        <v>33</v>
      </c>
      <c r="O553">
        <v>4584</v>
      </c>
      <c r="P553">
        <v>0.95</v>
      </c>
      <c r="Q553">
        <v>4.3499999999999996</v>
      </c>
      <c r="R553" s="97" t="s">
        <v>1201</v>
      </c>
      <c r="S553" s="97" t="s">
        <v>195</v>
      </c>
    </row>
    <row r="554" spans="1:19" x14ac:dyDescent="0.3">
      <c r="A554" s="97" t="s">
        <v>257</v>
      </c>
      <c r="B554" s="97" t="s">
        <v>22</v>
      </c>
      <c r="C554">
        <v>2026</v>
      </c>
      <c r="D554">
        <v>1</v>
      </c>
      <c r="E554" s="2">
        <v>46044</v>
      </c>
      <c r="F554" s="97" t="s">
        <v>7</v>
      </c>
      <c r="G554" s="97" t="s">
        <v>8</v>
      </c>
      <c r="H554" s="97" t="s">
        <v>74</v>
      </c>
      <c r="I554" s="97" t="s">
        <v>84</v>
      </c>
      <c r="J554" s="97" t="s">
        <v>85</v>
      </c>
      <c r="K554" s="97" t="s">
        <v>73</v>
      </c>
      <c r="L554">
        <v>701000</v>
      </c>
      <c r="M554" s="97" t="s">
        <v>62</v>
      </c>
      <c r="N554" s="97" t="s">
        <v>33</v>
      </c>
      <c r="O554">
        <v>2329</v>
      </c>
      <c r="P554">
        <v>0.95</v>
      </c>
      <c r="Q554">
        <v>2.21</v>
      </c>
      <c r="R554" s="97" t="s">
        <v>1200</v>
      </c>
      <c r="S554" s="97" t="s">
        <v>195</v>
      </c>
    </row>
    <row r="555" spans="1:19" x14ac:dyDescent="0.3">
      <c r="A555" s="97" t="s">
        <v>258</v>
      </c>
      <c r="B555" s="97" t="s">
        <v>22</v>
      </c>
      <c r="C555">
        <v>2026</v>
      </c>
      <c r="D555">
        <v>1</v>
      </c>
      <c r="E555" s="2">
        <v>46044</v>
      </c>
      <c r="F555" s="97" t="s">
        <v>7</v>
      </c>
      <c r="G555" s="97" t="s">
        <v>8</v>
      </c>
      <c r="H555" s="97" t="s">
        <v>74</v>
      </c>
      <c r="I555" s="97" t="s">
        <v>84</v>
      </c>
      <c r="J555" s="97" t="s">
        <v>85</v>
      </c>
      <c r="K555" s="97" t="s">
        <v>73</v>
      </c>
      <c r="L555">
        <v>701000</v>
      </c>
      <c r="M555" s="97" t="s">
        <v>62</v>
      </c>
      <c r="N555" s="97" t="s">
        <v>33</v>
      </c>
      <c r="O555">
        <v>3964</v>
      </c>
      <c r="P555">
        <v>0.95</v>
      </c>
      <c r="Q555">
        <v>3.77</v>
      </c>
      <c r="R555" s="97" t="s">
        <v>1205</v>
      </c>
      <c r="S555" s="97" t="s">
        <v>195</v>
      </c>
    </row>
    <row r="556" spans="1:19" x14ac:dyDescent="0.3">
      <c r="A556" s="97" t="s">
        <v>259</v>
      </c>
      <c r="B556" s="97" t="s">
        <v>22</v>
      </c>
      <c r="C556">
        <v>2026</v>
      </c>
      <c r="D556">
        <v>1</v>
      </c>
      <c r="E556" s="2">
        <v>46044</v>
      </c>
      <c r="F556" s="97" t="s">
        <v>7</v>
      </c>
      <c r="G556" s="97" t="s">
        <v>8</v>
      </c>
      <c r="H556" s="97" t="s">
        <v>74</v>
      </c>
      <c r="I556" s="97" t="s">
        <v>84</v>
      </c>
      <c r="J556" s="97" t="s">
        <v>85</v>
      </c>
      <c r="K556" s="97" t="s">
        <v>73</v>
      </c>
      <c r="L556">
        <v>701000</v>
      </c>
      <c r="M556" s="97" t="s">
        <v>62</v>
      </c>
      <c r="N556" s="97" t="s">
        <v>33</v>
      </c>
      <c r="O556">
        <v>3965</v>
      </c>
      <c r="P556">
        <v>0.95</v>
      </c>
      <c r="Q556">
        <v>3.77</v>
      </c>
      <c r="R556" s="97" t="s">
        <v>1197</v>
      </c>
      <c r="S556" s="97" t="s">
        <v>195</v>
      </c>
    </row>
    <row r="557" spans="1:19" x14ac:dyDescent="0.3">
      <c r="A557" s="97" t="s">
        <v>520</v>
      </c>
      <c r="B557" s="97" t="s">
        <v>22</v>
      </c>
      <c r="C557">
        <v>2026</v>
      </c>
      <c r="D557">
        <v>1</v>
      </c>
      <c r="E557" s="2">
        <v>46044</v>
      </c>
      <c r="F557" s="97" t="s">
        <v>7</v>
      </c>
      <c r="G557" s="97" t="s">
        <v>8</v>
      </c>
      <c r="H557" s="97" t="s">
        <v>74</v>
      </c>
      <c r="I557" s="97" t="s">
        <v>77</v>
      </c>
      <c r="J557" s="97" t="s">
        <v>78</v>
      </c>
      <c r="K557" s="97" t="s">
        <v>73</v>
      </c>
      <c r="L557">
        <v>701000</v>
      </c>
      <c r="M557" s="97" t="s">
        <v>62</v>
      </c>
      <c r="N557" s="97" t="s">
        <v>33</v>
      </c>
      <c r="O557">
        <v>412</v>
      </c>
      <c r="P557">
        <v>1.8</v>
      </c>
      <c r="Q557">
        <v>0.74</v>
      </c>
      <c r="R557" s="97" t="s">
        <v>1202</v>
      </c>
      <c r="S557" s="97" t="s">
        <v>195</v>
      </c>
    </row>
    <row r="558" spans="1:19" x14ac:dyDescent="0.3">
      <c r="A558" s="97" t="s">
        <v>521</v>
      </c>
      <c r="B558" s="97" t="s">
        <v>22</v>
      </c>
      <c r="C558">
        <v>2026</v>
      </c>
      <c r="D558">
        <v>1</v>
      </c>
      <c r="E558" s="2">
        <v>46044</v>
      </c>
      <c r="F558" s="97" t="s">
        <v>7</v>
      </c>
      <c r="G558" s="97" t="s">
        <v>8</v>
      </c>
      <c r="H558" s="97" t="s">
        <v>74</v>
      </c>
      <c r="I558" s="97" t="s">
        <v>77</v>
      </c>
      <c r="J558" s="97" t="s">
        <v>78</v>
      </c>
      <c r="K558" s="97" t="s">
        <v>73</v>
      </c>
      <c r="L558">
        <v>701000</v>
      </c>
      <c r="M558" s="97" t="s">
        <v>62</v>
      </c>
      <c r="N558" s="97" t="s">
        <v>33</v>
      </c>
      <c r="O558">
        <v>1078</v>
      </c>
      <c r="P558">
        <v>1.8</v>
      </c>
      <c r="Q558">
        <v>1.94</v>
      </c>
      <c r="R558" s="97" t="s">
        <v>1201</v>
      </c>
      <c r="S558" s="97" t="s">
        <v>195</v>
      </c>
    </row>
    <row r="559" spans="1:19" x14ac:dyDescent="0.3">
      <c r="A559" s="97" t="s">
        <v>522</v>
      </c>
      <c r="B559" s="97" t="s">
        <v>22</v>
      </c>
      <c r="C559">
        <v>2026</v>
      </c>
      <c r="D559">
        <v>1</v>
      </c>
      <c r="E559" s="2">
        <v>46044</v>
      </c>
      <c r="F559" s="97" t="s">
        <v>7</v>
      </c>
      <c r="G559" s="97" t="s">
        <v>8</v>
      </c>
      <c r="H559" s="97" t="s">
        <v>74</v>
      </c>
      <c r="I559" s="97" t="s">
        <v>77</v>
      </c>
      <c r="J559" s="97" t="s">
        <v>78</v>
      </c>
      <c r="K559" s="97" t="s">
        <v>73</v>
      </c>
      <c r="L559">
        <v>701000</v>
      </c>
      <c r="M559" s="97" t="s">
        <v>62</v>
      </c>
      <c r="N559" s="97" t="s">
        <v>33</v>
      </c>
      <c r="O559">
        <v>605</v>
      </c>
      <c r="P559">
        <v>1.8</v>
      </c>
      <c r="Q559">
        <v>1.0900000000000001</v>
      </c>
      <c r="R559" s="97" t="s">
        <v>1205</v>
      </c>
      <c r="S559" s="97" t="s">
        <v>195</v>
      </c>
    </row>
    <row r="560" spans="1:19" x14ac:dyDescent="0.3">
      <c r="A560" s="97" t="s">
        <v>523</v>
      </c>
      <c r="B560" s="97" t="s">
        <v>22</v>
      </c>
      <c r="C560">
        <v>2026</v>
      </c>
      <c r="D560">
        <v>1</v>
      </c>
      <c r="E560" s="2">
        <v>46044</v>
      </c>
      <c r="F560" s="97" t="s">
        <v>7</v>
      </c>
      <c r="G560" s="97" t="s">
        <v>8</v>
      </c>
      <c r="H560" s="97" t="s">
        <v>74</v>
      </c>
      <c r="I560" s="97" t="s">
        <v>77</v>
      </c>
      <c r="J560" s="97" t="s">
        <v>78</v>
      </c>
      <c r="K560" s="97" t="s">
        <v>73</v>
      </c>
      <c r="L560">
        <v>701000</v>
      </c>
      <c r="M560" s="97" t="s">
        <v>62</v>
      </c>
      <c r="N560" s="97" t="s">
        <v>33</v>
      </c>
      <c r="O560">
        <v>1463</v>
      </c>
      <c r="P560">
        <v>1.8</v>
      </c>
      <c r="Q560">
        <v>2.63</v>
      </c>
      <c r="R560" s="97" t="s">
        <v>1198</v>
      </c>
      <c r="S560" s="97" t="s">
        <v>195</v>
      </c>
    </row>
    <row r="561" spans="1:19" x14ac:dyDescent="0.3">
      <c r="A561" s="97" t="s">
        <v>524</v>
      </c>
      <c r="B561" s="97" t="s">
        <v>22</v>
      </c>
      <c r="C561">
        <v>2026</v>
      </c>
      <c r="D561">
        <v>1</v>
      </c>
      <c r="E561" s="2">
        <v>46044</v>
      </c>
      <c r="F561" s="97" t="s">
        <v>7</v>
      </c>
      <c r="G561" s="97" t="s">
        <v>8</v>
      </c>
      <c r="H561" s="97" t="s">
        <v>74</v>
      </c>
      <c r="I561" s="97" t="s">
        <v>77</v>
      </c>
      <c r="J561" s="97" t="s">
        <v>78</v>
      </c>
      <c r="K561" s="97" t="s">
        <v>73</v>
      </c>
      <c r="L561">
        <v>701000</v>
      </c>
      <c r="M561" s="97" t="s">
        <v>62</v>
      </c>
      <c r="N561" s="97" t="s">
        <v>33</v>
      </c>
      <c r="O561">
        <v>447</v>
      </c>
      <c r="P561">
        <v>1.81</v>
      </c>
      <c r="Q561">
        <v>0.81</v>
      </c>
      <c r="R561" s="97" t="s">
        <v>1199</v>
      </c>
      <c r="S561" s="97" t="s">
        <v>195</v>
      </c>
    </row>
    <row r="562" spans="1:19" x14ac:dyDescent="0.3">
      <c r="A562" s="97" t="s">
        <v>565</v>
      </c>
      <c r="B562" s="97" t="s">
        <v>22</v>
      </c>
      <c r="C562">
        <v>2026</v>
      </c>
      <c r="D562">
        <v>1</v>
      </c>
      <c r="E562" s="2">
        <v>46044</v>
      </c>
      <c r="F562" s="97" t="s">
        <v>7</v>
      </c>
      <c r="G562" s="97" t="s">
        <v>8</v>
      </c>
      <c r="H562" s="97" t="s">
        <v>74</v>
      </c>
      <c r="I562" s="97" t="s">
        <v>77</v>
      </c>
      <c r="J562" s="97" t="s">
        <v>78</v>
      </c>
      <c r="K562" s="97" t="s">
        <v>73</v>
      </c>
      <c r="L562">
        <v>701000</v>
      </c>
      <c r="M562" s="97" t="s">
        <v>62</v>
      </c>
      <c r="N562" s="97" t="s">
        <v>33</v>
      </c>
      <c r="O562">
        <v>1126</v>
      </c>
      <c r="P562">
        <v>1.8</v>
      </c>
      <c r="Q562">
        <v>2.0299999999999998</v>
      </c>
      <c r="R562" s="97" t="s">
        <v>1197</v>
      </c>
      <c r="S562" s="97" t="s">
        <v>195</v>
      </c>
    </row>
    <row r="563" spans="1:19" x14ac:dyDescent="0.3">
      <c r="A563" s="97" t="s">
        <v>566</v>
      </c>
      <c r="B563" s="97" t="s">
        <v>22</v>
      </c>
      <c r="C563">
        <v>2026</v>
      </c>
      <c r="D563">
        <v>1</v>
      </c>
      <c r="E563" s="2">
        <v>46044</v>
      </c>
      <c r="F563" s="97" t="s">
        <v>7</v>
      </c>
      <c r="G563" s="97" t="s">
        <v>8</v>
      </c>
      <c r="H563" s="97" t="s">
        <v>74</v>
      </c>
      <c r="I563" s="97" t="s">
        <v>77</v>
      </c>
      <c r="J563" s="97" t="s">
        <v>78</v>
      </c>
      <c r="K563" s="97" t="s">
        <v>73</v>
      </c>
      <c r="L563">
        <v>701000</v>
      </c>
      <c r="M563" s="97" t="s">
        <v>62</v>
      </c>
      <c r="N563" s="97" t="s">
        <v>33</v>
      </c>
      <c r="O563">
        <v>639</v>
      </c>
      <c r="P563">
        <v>1.8</v>
      </c>
      <c r="Q563">
        <v>1.1499999999999999</v>
      </c>
      <c r="R563" s="97" t="s">
        <v>1202</v>
      </c>
      <c r="S563" s="97" t="s">
        <v>195</v>
      </c>
    </row>
    <row r="564" spans="1:19" x14ac:dyDescent="0.3">
      <c r="A564" s="97" t="s">
        <v>567</v>
      </c>
      <c r="B564" s="97" t="s">
        <v>22</v>
      </c>
      <c r="C564">
        <v>2026</v>
      </c>
      <c r="D564">
        <v>1</v>
      </c>
      <c r="E564" s="2">
        <v>46044</v>
      </c>
      <c r="F564" s="97" t="s">
        <v>7</v>
      </c>
      <c r="G564" s="97" t="s">
        <v>8</v>
      </c>
      <c r="H564" s="97" t="s">
        <v>74</v>
      </c>
      <c r="I564" s="97" t="s">
        <v>77</v>
      </c>
      <c r="J564" s="97" t="s">
        <v>78</v>
      </c>
      <c r="K564" s="97" t="s">
        <v>73</v>
      </c>
      <c r="L564">
        <v>701000</v>
      </c>
      <c r="M564" s="97" t="s">
        <v>62</v>
      </c>
      <c r="N564" s="97" t="s">
        <v>33</v>
      </c>
      <c r="O564">
        <v>807</v>
      </c>
      <c r="P564">
        <v>1.8</v>
      </c>
      <c r="Q564">
        <v>1.45</v>
      </c>
      <c r="R564" s="97" t="s">
        <v>1199</v>
      </c>
      <c r="S564" s="97" t="s">
        <v>195</v>
      </c>
    </row>
    <row r="565" spans="1:19" x14ac:dyDescent="0.3">
      <c r="A565" s="97" t="s">
        <v>568</v>
      </c>
      <c r="B565" s="97" t="s">
        <v>22</v>
      </c>
      <c r="C565">
        <v>2026</v>
      </c>
      <c r="D565">
        <v>1</v>
      </c>
      <c r="E565" s="2">
        <v>46044</v>
      </c>
      <c r="F565" s="97" t="s">
        <v>7</v>
      </c>
      <c r="G565" s="97" t="s">
        <v>8</v>
      </c>
      <c r="H565" s="97" t="s">
        <v>74</v>
      </c>
      <c r="I565" s="97" t="s">
        <v>77</v>
      </c>
      <c r="J565" s="97" t="s">
        <v>78</v>
      </c>
      <c r="K565" s="97" t="s">
        <v>73</v>
      </c>
      <c r="L565">
        <v>701000</v>
      </c>
      <c r="M565" s="97" t="s">
        <v>62</v>
      </c>
      <c r="N565" s="97" t="s">
        <v>33</v>
      </c>
      <c r="O565">
        <v>510</v>
      </c>
      <c r="P565">
        <v>1.8</v>
      </c>
      <c r="Q565">
        <v>0.92</v>
      </c>
      <c r="R565" s="97" t="s">
        <v>1205</v>
      </c>
      <c r="S565" s="97" t="s">
        <v>195</v>
      </c>
    </row>
    <row r="566" spans="1:19" x14ac:dyDescent="0.3">
      <c r="A566" s="97" t="s">
        <v>569</v>
      </c>
      <c r="B566" s="97" t="s">
        <v>22</v>
      </c>
      <c r="C566">
        <v>2026</v>
      </c>
      <c r="D566">
        <v>1</v>
      </c>
      <c r="E566" s="2">
        <v>46044</v>
      </c>
      <c r="F566" s="97" t="s">
        <v>7</v>
      </c>
      <c r="G566" s="97" t="s">
        <v>8</v>
      </c>
      <c r="H566" s="97" t="s">
        <v>74</v>
      </c>
      <c r="I566" s="97" t="s">
        <v>77</v>
      </c>
      <c r="J566" s="97" t="s">
        <v>78</v>
      </c>
      <c r="K566" s="97" t="s">
        <v>73</v>
      </c>
      <c r="L566">
        <v>701000</v>
      </c>
      <c r="M566" s="97" t="s">
        <v>62</v>
      </c>
      <c r="N566" s="97" t="s">
        <v>33</v>
      </c>
      <c r="O566">
        <v>932</v>
      </c>
      <c r="P566">
        <v>1.79</v>
      </c>
      <c r="Q566">
        <v>1.67</v>
      </c>
      <c r="R566" s="97" t="s">
        <v>1200</v>
      </c>
      <c r="S566" s="97" t="s">
        <v>195</v>
      </c>
    </row>
    <row r="567" spans="1:19" x14ac:dyDescent="0.3">
      <c r="A567" s="97" t="s">
        <v>645</v>
      </c>
      <c r="B567" s="97" t="s">
        <v>22</v>
      </c>
      <c r="C567">
        <v>2026</v>
      </c>
      <c r="D567">
        <v>1</v>
      </c>
      <c r="E567" s="2">
        <v>46044</v>
      </c>
      <c r="F567" s="97" t="s">
        <v>7</v>
      </c>
      <c r="G567" s="97" t="s">
        <v>8</v>
      </c>
      <c r="H567" s="97" t="s">
        <v>74</v>
      </c>
      <c r="I567" s="97" t="s">
        <v>77</v>
      </c>
      <c r="J567" s="97" t="s">
        <v>78</v>
      </c>
      <c r="K567" s="97" t="s">
        <v>73</v>
      </c>
      <c r="L567">
        <v>707000</v>
      </c>
      <c r="M567" s="97" t="s">
        <v>81</v>
      </c>
      <c r="N567" s="97" t="s">
        <v>33</v>
      </c>
      <c r="O567">
        <v>698</v>
      </c>
      <c r="P567">
        <v>1.81</v>
      </c>
      <c r="Q567">
        <v>1.26</v>
      </c>
      <c r="R567" s="97" t="s">
        <v>1204</v>
      </c>
      <c r="S567" s="97" t="s">
        <v>195</v>
      </c>
    </row>
    <row r="568" spans="1:19" x14ac:dyDescent="0.3">
      <c r="A568" s="97" t="s">
        <v>646</v>
      </c>
      <c r="B568" s="97" t="s">
        <v>22</v>
      </c>
      <c r="C568">
        <v>2026</v>
      </c>
      <c r="D568">
        <v>1</v>
      </c>
      <c r="E568" s="2">
        <v>46044</v>
      </c>
      <c r="F568" s="97" t="s">
        <v>7</v>
      </c>
      <c r="G568" s="97" t="s">
        <v>8</v>
      </c>
      <c r="H568" s="97" t="s">
        <v>74</v>
      </c>
      <c r="I568" s="97" t="s">
        <v>77</v>
      </c>
      <c r="J568" s="97" t="s">
        <v>78</v>
      </c>
      <c r="K568" s="97" t="s">
        <v>73</v>
      </c>
      <c r="L568">
        <v>707000</v>
      </c>
      <c r="M568" s="97" t="s">
        <v>81</v>
      </c>
      <c r="N568" s="97" t="s">
        <v>33</v>
      </c>
      <c r="O568">
        <v>344</v>
      </c>
      <c r="P568">
        <v>1.8</v>
      </c>
      <c r="Q568">
        <v>0.62</v>
      </c>
      <c r="R568" s="97" t="s">
        <v>1205</v>
      </c>
      <c r="S568" s="97" t="s">
        <v>195</v>
      </c>
    </row>
    <row r="569" spans="1:19" x14ac:dyDescent="0.3">
      <c r="A569" s="97" t="s">
        <v>647</v>
      </c>
      <c r="B569" s="97" t="s">
        <v>22</v>
      </c>
      <c r="C569">
        <v>2026</v>
      </c>
      <c r="D569">
        <v>1</v>
      </c>
      <c r="E569" s="2">
        <v>46044</v>
      </c>
      <c r="F569" s="97" t="s">
        <v>7</v>
      </c>
      <c r="G569" s="97" t="s">
        <v>8</v>
      </c>
      <c r="H569" s="97" t="s">
        <v>74</v>
      </c>
      <c r="I569" s="97" t="s">
        <v>77</v>
      </c>
      <c r="J569" s="97" t="s">
        <v>78</v>
      </c>
      <c r="K569" s="97" t="s">
        <v>73</v>
      </c>
      <c r="L569">
        <v>707000</v>
      </c>
      <c r="M569" s="97" t="s">
        <v>81</v>
      </c>
      <c r="N569" s="97" t="s">
        <v>33</v>
      </c>
      <c r="O569">
        <v>962</v>
      </c>
      <c r="P569">
        <v>1.8</v>
      </c>
      <c r="Q569">
        <v>1.73</v>
      </c>
      <c r="R569" s="97" t="s">
        <v>1203</v>
      </c>
      <c r="S569" s="97" t="s">
        <v>195</v>
      </c>
    </row>
    <row r="570" spans="1:19" x14ac:dyDescent="0.3">
      <c r="A570" s="97" t="s">
        <v>648</v>
      </c>
      <c r="B570" s="97" t="s">
        <v>22</v>
      </c>
      <c r="C570">
        <v>2026</v>
      </c>
      <c r="D570">
        <v>1</v>
      </c>
      <c r="E570" s="2">
        <v>46044</v>
      </c>
      <c r="F570" s="97" t="s">
        <v>7</v>
      </c>
      <c r="G570" s="97" t="s">
        <v>8</v>
      </c>
      <c r="H570" s="97" t="s">
        <v>74</v>
      </c>
      <c r="I570" s="97" t="s">
        <v>77</v>
      </c>
      <c r="J570" s="97" t="s">
        <v>78</v>
      </c>
      <c r="K570" s="97" t="s">
        <v>73</v>
      </c>
      <c r="L570">
        <v>707000</v>
      </c>
      <c r="M570" s="97" t="s">
        <v>81</v>
      </c>
      <c r="N570" s="97" t="s">
        <v>33</v>
      </c>
      <c r="O570">
        <v>1879</v>
      </c>
      <c r="P570">
        <v>1.8</v>
      </c>
      <c r="Q570">
        <v>3.38</v>
      </c>
      <c r="R570" s="97" t="s">
        <v>1198</v>
      </c>
      <c r="S570" s="97" t="s">
        <v>195</v>
      </c>
    </row>
    <row r="571" spans="1:19" x14ac:dyDescent="0.3">
      <c r="A571" s="97" t="s">
        <v>649</v>
      </c>
      <c r="B571" s="97" t="s">
        <v>22</v>
      </c>
      <c r="C571">
        <v>2026</v>
      </c>
      <c r="D571">
        <v>1</v>
      </c>
      <c r="E571" s="2">
        <v>46044</v>
      </c>
      <c r="F571" s="97" t="s">
        <v>7</v>
      </c>
      <c r="G571" s="97" t="s">
        <v>8</v>
      </c>
      <c r="H571" s="97" t="s">
        <v>74</v>
      </c>
      <c r="I571" s="97" t="s">
        <v>77</v>
      </c>
      <c r="J571" s="97" t="s">
        <v>78</v>
      </c>
      <c r="K571" s="97" t="s">
        <v>73</v>
      </c>
      <c r="L571">
        <v>707000</v>
      </c>
      <c r="M571" s="97" t="s">
        <v>81</v>
      </c>
      <c r="N571" s="97" t="s">
        <v>33</v>
      </c>
      <c r="O571">
        <v>872</v>
      </c>
      <c r="P571">
        <v>1.8</v>
      </c>
      <c r="Q571">
        <v>1.57</v>
      </c>
      <c r="R571" s="97" t="s">
        <v>1197</v>
      </c>
      <c r="S571" s="97" t="s">
        <v>195</v>
      </c>
    </row>
    <row r="572" spans="1:19" x14ac:dyDescent="0.3">
      <c r="A572" s="97" t="s">
        <v>750</v>
      </c>
      <c r="B572" s="97" t="s">
        <v>22</v>
      </c>
      <c r="C572">
        <v>2026</v>
      </c>
      <c r="D572">
        <v>1</v>
      </c>
      <c r="E572" s="2">
        <v>46044</v>
      </c>
      <c r="F572" s="97" t="s">
        <v>7</v>
      </c>
      <c r="G572" s="97" t="s">
        <v>8</v>
      </c>
      <c r="H572" s="97" t="s">
        <v>70</v>
      </c>
      <c r="I572" s="97" t="s">
        <v>82</v>
      </c>
      <c r="J572" s="97" t="s">
        <v>83</v>
      </c>
      <c r="K572" s="97" t="s">
        <v>73</v>
      </c>
      <c r="L572">
        <v>701000</v>
      </c>
      <c r="M572" s="97" t="s">
        <v>62</v>
      </c>
      <c r="N572" s="97" t="s">
        <v>33</v>
      </c>
      <c r="O572">
        <v>97</v>
      </c>
      <c r="P572">
        <v>18.559999999999999</v>
      </c>
      <c r="Q572">
        <v>1.8</v>
      </c>
      <c r="R572" s="97" t="s">
        <v>1202</v>
      </c>
      <c r="S572" s="97" t="s">
        <v>195</v>
      </c>
    </row>
    <row r="573" spans="1:19" x14ac:dyDescent="0.3">
      <c r="A573" s="97" t="s">
        <v>751</v>
      </c>
      <c r="B573" s="97" t="s">
        <v>22</v>
      </c>
      <c r="C573">
        <v>2026</v>
      </c>
      <c r="D573">
        <v>1</v>
      </c>
      <c r="E573" s="2">
        <v>46044</v>
      </c>
      <c r="F573" s="97" t="s">
        <v>7</v>
      </c>
      <c r="G573" s="97" t="s">
        <v>8</v>
      </c>
      <c r="H573" s="97" t="s">
        <v>70</v>
      </c>
      <c r="I573" s="97" t="s">
        <v>82</v>
      </c>
      <c r="J573" s="97" t="s">
        <v>83</v>
      </c>
      <c r="K573" s="97" t="s">
        <v>73</v>
      </c>
      <c r="L573">
        <v>701000</v>
      </c>
      <c r="M573" s="97" t="s">
        <v>62</v>
      </c>
      <c r="N573" s="97" t="s">
        <v>33</v>
      </c>
      <c r="O573">
        <v>58</v>
      </c>
      <c r="P573">
        <v>18.45</v>
      </c>
      <c r="Q573">
        <v>1.07</v>
      </c>
      <c r="R573" s="97" t="s">
        <v>1200</v>
      </c>
      <c r="S573" s="97" t="s">
        <v>195</v>
      </c>
    </row>
    <row r="574" spans="1:19" x14ac:dyDescent="0.3">
      <c r="A574" s="97" t="s">
        <v>752</v>
      </c>
      <c r="B574" s="97" t="s">
        <v>22</v>
      </c>
      <c r="C574">
        <v>2026</v>
      </c>
      <c r="D574">
        <v>1</v>
      </c>
      <c r="E574" s="2">
        <v>46044</v>
      </c>
      <c r="F574" s="97" t="s">
        <v>7</v>
      </c>
      <c r="G574" s="97" t="s">
        <v>8</v>
      </c>
      <c r="H574" s="97" t="s">
        <v>70</v>
      </c>
      <c r="I574" s="97" t="s">
        <v>82</v>
      </c>
      <c r="J574" s="97" t="s">
        <v>83</v>
      </c>
      <c r="K574" s="97" t="s">
        <v>73</v>
      </c>
      <c r="L574">
        <v>701000</v>
      </c>
      <c r="M574" s="97" t="s">
        <v>62</v>
      </c>
      <c r="N574" s="97" t="s">
        <v>33</v>
      </c>
      <c r="O574">
        <v>13</v>
      </c>
      <c r="P574">
        <v>18.46</v>
      </c>
      <c r="Q574">
        <v>0.24</v>
      </c>
      <c r="R574" s="97" t="s">
        <v>1205</v>
      </c>
      <c r="S574" s="97" t="s">
        <v>195</v>
      </c>
    </row>
    <row r="575" spans="1:19" x14ac:dyDescent="0.3">
      <c r="A575" s="97" t="s">
        <v>753</v>
      </c>
      <c r="B575" s="97" t="s">
        <v>22</v>
      </c>
      <c r="C575">
        <v>2026</v>
      </c>
      <c r="D575">
        <v>1</v>
      </c>
      <c r="E575" s="2">
        <v>46044</v>
      </c>
      <c r="F575" s="97" t="s">
        <v>7</v>
      </c>
      <c r="G575" s="97" t="s">
        <v>8</v>
      </c>
      <c r="H575" s="97" t="s">
        <v>70</v>
      </c>
      <c r="I575" s="97" t="s">
        <v>82</v>
      </c>
      <c r="J575" s="97" t="s">
        <v>83</v>
      </c>
      <c r="K575" s="97" t="s">
        <v>73</v>
      </c>
      <c r="L575">
        <v>701000</v>
      </c>
      <c r="M575" s="97" t="s">
        <v>62</v>
      </c>
      <c r="N575" s="97" t="s">
        <v>33</v>
      </c>
      <c r="O575">
        <v>85</v>
      </c>
      <c r="P575">
        <v>18.47</v>
      </c>
      <c r="Q575">
        <v>1.57</v>
      </c>
      <c r="R575" s="97" t="s">
        <v>1197</v>
      </c>
      <c r="S575" s="97" t="s">
        <v>195</v>
      </c>
    </row>
    <row r="576" spans="1:19" x14ac:dyDescent="0.3">
      <c r="A576" s="97" t="s">
        <v>754</v>
      </c>
      <c r="B576" s="97" t="s">
        <v>22</v>
      </c>
      <c r="C576">
        <v>2026</v>
      </c>
      <c r="D576">
        <v>1</v>
      </c>
      <c r="E576" s="2">
        <v>46044</v>
      </c>
      <c r="F576" s="97" t="s">
        <v>7</v>
      </c>
      <c r="G576" s="97" t="s">
        <v>8</v>
      </c>
      <c r="H576" s="97" t="s">
        <v>70</v>
      </c>
      <c r="I576" s="97" t="s">
        <v>82</v>
      </c>
      <c r="J576" s="97" t="s">
        <v>83</v>
      </c>
      <c r="K576" s="97" t="s">
        <v>73</v>
      </c>
      <c r="L576">
        <v>701000</v>
      </c>
      <c r="M576" s="97" t="s">
        <v>62</v>
      </c>
      <c r="N576" s="97" t="s">
        <v>33</v>
      </c>
      <c r="O576">
        <v>304</v>
      </c>
      <c r="P576">
        <v>18.52</v>
      </c>
      <c r="Q576">
        <v>5.63</v>
      </c>
      <c r="R576" s="97" t="s">
        <v>1203</v>
      </c>
      <c r="S576" s="97" t="s">
        <v>195</v>
      </c>
    </row>
    <row r="577" spans="1:19" x14ac:dyDescent="0.3">
      <c r="A577" s="97" t="s">
        <v>370</v>
      </c>
      <c r="B577" s="97" t="s">
        <v>22</v>
      </c>
      <c r="C577">
        <v>2026</v>
      </c>
      <c r="D577">
        <v>1</v>
      </c>
      <c r="E577" s="2">
        <v>46045</v>
      </c>
      <c r="F577" s="97" t="s">
        <v>7</v>
      </c>
      <c r="G577" s="97" t="s">
        <v>8</v>
      </c>
      <c r="H577" s="97" t="s">
        <v>70</v>
      </c>
      <c r="I577" s="97" t="s">
        <v>71</v>
      </c>
      <c r="J577" s="97" t="s">
        <v>72</v>
      </c>
      <c r="K577" s="97" t="s">
        <v>73</v>
      </c>
      <c r="L577">
        <v>701000</v>
      </c>
      <c r="M577" s="97" t="s">
        <v>62</v>
      </c>
      <c r="N577" s="97" t="s">
        <v>33</v>
      </c>
      <c r="O577">
        <v>3678</v>
      </c>
      <c r="P577">
        <v>1.05</v>
      </c>
      <c r="Q577">
        <v>3.86</v>
      </c>
      <c r="R577" s="97" t="s">
        <v>1201</v>
      </c>
      <c r="S577" s="97" t="s">
        <v>195</v>
      </c>
    </row>
    <row r="578" spans="1:19" x14ac:dyDescent="0.3">
      <c r="A578" s="97" t="s">
        <v>371</v>
      </c>
      <c r="B578" s="97" t="s">
        <v>22</v>
      </c>
      <c r="C578">
        <v>2026</v>
      </c>
      <c r="D578">
        <v>1</v>
      </c>
      <c r="E578" s="2">
        <v>46045</v>
      </c>
      <c r="F578" s="97" t="s">
        <v>7</v>
      </c>
      <c r="G578" s="97" t="s">
        <v>8</v>
      </c>
      <c r="H578" s="97" t="s">
        <v>70</v>
      </c>
      <c r="I578" s="97" t="s">
        <v>71</v>
      </c>
      <c r="J578" s="97" t="s">
        <v>72</v>
      </c>
      <c r="K578" s="97" t="s">
        <v>73</v>
      </c>
      <c r="L578">
        <v>701000</v>
      </c>
      <c r="M578" s="97" t="s">
        <v>62</v>
      </c>
      <c r="N578" s="97" t="s">
        <v>33</v>
      </c>
      <c r="O578">
        <v>3621</v>
      </c>
      <c r="P578">
        <v>1.05</v>
      </c>
      <c r="Q578">
        <v>3.8</v>
      </c>
      <c r="R578" s="97" t="s">
        <v>1205</v>
      </c>
      <c r="S578" s="97" t="s">
        <v>195</v>
      </c>
    </row>
    <row r="579" spans="1:19" x14ac:dyDescent="0.3">
      <c r="A579" s="97" t="s">
        <v>372</v>
      </c>
      <c r="B579" s="97" t="s">
        <v>22</v>
      </c>
      <c r="C579">
        <v>2026</v>
      </c>
      <c r="D579">
        <v>1</v>
      </c>
      <c r="E579" s="2">
        <v>46045</v>
      </c>
      <c r="F579" s="97" t="s">
        <v>7</v>
      </c>
      <c r="G579" s="97" t="s">
        <v>8</v>
      </c>
      <c r="H579" s="97" t="s">
        <v>70</v>
      </c>
      <c r="I579" s="97" t="s">
        <v>71</v>
      </c>
      <c r="J579" s="97" t="s">
        <v>72</v>
      </c>
      <c r="K579" s="97" t="s">
        <v>73</v>
      </c>
      <c r="L579">
        <v>701000</v>
      </c>
      <c r="M579" s="97" t="s">
        <v>62</v>
      </c>
      <c r="N579" s="97" t="s">
        <v>33</v>
      </c>
      <c r="O579">
        <v>5768</v>
      </c>
      <c r="P579">
        <v>1.05</v>
      </c>
      <c r="Q579">
        <v>6.06</v>
      </c>
      <c r="R579" s="97" t="s">
        <v>1199</v>
      </c>
      <c r="S579" s="97" t="s">
        <v>195</v>
      </c>
    </row>
    <row r="580" spans="1:19" x14ac:dyDescent="0.3">
      <c r="A580" s="97" t="s">
        <v>373</v>
      </c>
      <c r="B580" s="97" t="s">
        <v>22</v>
      </c>
      <c r="C580">
        <v>2026</v>
      </c>
      <c r="D580">
        <v>1</v>
      </c>
      <c r="E580" s="2">
        <v>46045</v>
      </c>
      <c r="F580" s="97" t="s">
        <v>7</v>
      </c>
      <c r="G580" s="97" t="s">
        <v>8</v>
      </c>
      <c r="H580" s="97" t="s">
        <v>70</v>
      </c>
      <c r="I580" s="97" t="s">
        <v>71</v>
      </c>
      <c r="J580" s="97" t="s">
        <v>72</v>
      </c>
      <c r="K580" s="97" t="s">
        <v>73</v>
      </c>
      <c r="L580">
        <v>701000</v>
      </c>
      <c r="M580" s="97" t="s">
        <v>62</v>
      </c>
      <c r="N580" s="97" t="s">
        <v>33</v>
      </c>
      <c r="O580">
        <v>3406</v>
      </c>
      <c r="P580">
        <v>1.05</v>
      </c>
      <c r="Q580">
        <v>3.58</v>
      </c>
      <c r="R580" s="97" t="s">
        <v>1204</v>
      </c>
      <c r="S580" s="97" t="s">
        <v>195</v>
      </c>
    </row>
    <row r="581" spans="1:19" x14ac:dyDescent="0.3">
      <c r="A581" s="97" t="s">
        <v>374</v>
      </c>
      <c r="B581" s="97" t="s">
        <v>22</v>
      </c>
      <c r="C581">
        <v>2026</v>
      </c>
      <c r="D581">
        <v>1</v>
      </c>
      <c r="E581" s="2">
        <v>46045</v>
      </c>
      <c r="F581" s="97" t="s">
        <v>7</v>
      </c>
      <c r="G581" s="97" t="s">
        <v>8</v>
      </c>
      <c r="H581" s="97" t="s">
        <v>70</v>
      </c>
      <c r="I581" s="97" t="s">
        <v>71</v>
      </c>
      <c r="J581" s="97" t="s">
        <v>72</v>
      </c>
      <c r="K581" s="97" t="s">
        <v>73</v>
      </c>
      <c r="L581">
        <v>701000</v>
      </c>
      <c r="M581" s="97" t="s">
        <v>62</v>
      </c>
      <c r="N581" s="97" t="s">
        <v>33</v>
      </c>
      <c r="O581">
        <v>1109</v>
      </c>
      <c r="P581">
        <v>1.05</v>
      </c>
      <c r="Q581">
        <v>1.1599999999999999</v>
      </c>
      <c r="R581" s="97" t="s">
        <v>1202</v>
      </c>
      <c r="S581" s="97" t="s">
        <v>195</v>
      </c>
    </row>
    <row r="582" spans="1:19" x14ac:dyDescent="0.3">
      <c r="A582" s="97" t="s">
        <v>505</v>
      </c>
      <c r="B582" s="97" t="s">
        <v>22</v>
      </c>
      <c r="C582">
        <v>2026</v>
      </c>
      <c r="D582">
        <v>1</v>
      </c>
      <c r="E582" s="2">
        <v>46045</v>
      </c>
      <c r="F582" s="97" t="s">
        <v>7</v>
      </c>
      <c r="G582" s="97" t="s">
        <v>8</v>
      </c>
      <c r="H582" s="97" t="s">
        <v>74</v>
      </c>
      <c r="I582" s="97" t="s">
        <v>77</v>
      </c>
      <c r="J582" s="97" t="s">
        <v>78</v>
      </c>
      <c r="K582" s="97" t="s">
        <v>73</v>
      </c>
      <c r="L582">
        <v>701000</v>
      </c>
      <c r="M582" s="97" t="s">
        <v>62</v>
      </c>
      <c r="N582" s="97" t="s">
        <v>33</v>
      </c>
      <c r="O582">
        <v>731</v>
      </c>
      <c r="P582">
        <v>1.81</v>
      </c>
      <c r="Q582">
        <v>1.32</v>
      </c>
      <c r="R582" s="97" t="s">
        <v>1198</v>
      </c>
      <c r="S582" s="97" t="s">
        <v>195</v>
      </c>
    </row>
    <row r="583" spans="1:19" x14ac:dyDescent="0.3">
      <c r="A583" s="97" t="s">
        <v>506</v>
      </c>
      <c r="B583" s="97" t="s">
        <v>22</v>
      </c>
      <c r="C583">
        <v>2026</v>
      </c>
      <c r="D583">
        <v>1</v>
      </c>
      <c r="E583" s="2">
        <v>46045</v>
      </c>
      <c r="F583" s="97" t="s">
        <v>7</v>
      </c>
      <c r="G583" s="97" t="s">
        <v>8</v>
      </c>
      <c r="H583" s="97" t="s">
        <v>74</v>
      </c>
      <c r="I583" s="97" t="s">
        <v>77</v>
      </c>
      <c r="J583" s="97" t="s">
        <v>78</v>
      </c>
      <c r="K583" s="97" t="s">
        <v>73</v>
      </c>
      <c r="L583">
        <v>701000</v>
      </c>
      <c r="M583" s="97" t="s">
        <v>62</v>
      </c>
      <c r="N583" s="97" t="s">
        <v>33</v>
      </c>
      <c r="O583">
        <v>1222</v>
      </c>
      <c r="P583">
        <v>1.8</v>
      </c>
      <c r="Q583">
        <v>2.2000000000000002</v>
      </c>
      <c r="R583" s="97" t="s">
        <v>1199</v>
      </c>
      <c r="S583" s="97" t="s">
        <v>195</v>
      </c>
    </row>
    <row r="584" spans="1:19" x14ac:dyDescent="0.3">
      <c r="A584" s="97" t="s">
        <v>507</v>
      </c>
      <c r="B584" s="97" t="s">
        <v>22</v>
      </c>
      <c r="C584">
        <v>2026</v>
      </c>
      <c r="D584">
        <v>1</v>
      </c>
      <c r="E584" s="2">
        <v>46045</v>
      </c>
      <c r="F584" s="97" t="s">
        <v>7</v>
      </c>
      <c r="G584" s="97" t="s">
        <v>8</v>
      </c>
      <c r="H584" s="97" t="s">
        <v>74</v>
      </c>
      <c r="I584" s="97" t="s">
        <v>77</v>
      </c>
      <c r="J584" s="97" t="s">
        <v>78</v>
      </c>
      <c r="K584" s="97" t="s">
        <v>73</v>
      </c>
      <c r="L584">
        <v>701000</v>
      </c>
      <c r="M584" s="97" t="s">
        <v>62</v>
      </c>
      <c r="N584" s="97" t="s">
        <v>33</v>
      </c>
      <c r="O584">
        <v>1119</v>
      </c>
      <c r="P584">
        <v>1.81</v>
      </c>
      <c r="Q584">
        <v>2.02</v>
      </c>
      <c r="R584" s="97" t="s">
        <v>1201</v>
      </c>
      <c r="S584" s="97" t="s">
        <v>195</v>
      </c>
    </row>
    <row r="585" spans="1:19" x14ac:dyDescent="0.3">
      <c r="A585" s="97" t="s">
        <v>508</v>
      </c>
      <c r="B585" s="97" t="s">
        <v>22</v>
      </c>
      <c r="C585">
        <v>2026</v>
      </c>
      <c r="D585">
        <v>1</v>
      </c>
      <c r="E585" s="2">
        <v>46045</v>
      </c>
      <c r="F585" s="97" t="s">
        <v>7</v>
      </c>
      <c r="G585" s="97" t="s">
        <v>8</v>
      </c>
      <c r="H585" s="97" t="s">
        <v>74</v>
      </c>
      <c r="I585" s="97" t="s">
        <v>77</v>
      </c>
      <c r="J585" s="97" t="s">
        <v>78</v>
      </c>
      <c r="K585" s="97" t="s">
        <v>73</v>
      </c>
      <c r="L585">
        <v>701000</v>
      </c>
      <c r="M585" s="97" t="s">
        <v>62</v>
      </c>
      <c r="N585" s="97" t="s">
        <v>33</v>
      </c>
      <c r="O585">
        <v>192</v>
      </c>
      <c r="P585">
        <v>1.82</v>
      </c>
      <c r="Q585">
        <v>0.35</v>
      </c>
      <c r="R585" s="97" t="s">
        <v>1197</v>
      </c>
      <c r="S585" s="97" t="s">
        <v>195</v>
      </c>
    </row>
    <row r="586" spans="1:19" x14ac:dyDescent="0.3">
      <c r="A586" s="97" t="s">
        <v>509</v>
      </c>
      <c r="B586" s="97" t="s">
        <v>22</v>
      </c>
      <c r="C586">
        <v>2026</v>
      </c>
      <c r="D586">
        <v>1</v>
      </c>
      <c r="E586" s="2">
        <v>46045</v>
      </c>
      <c r="F586" s="97" t="s">
        <v>7</v>
      </c>
      <c r="G586" s="97" t="s">
        <v>8</v>
      </c>
      <c r="H586" s="97" t="s">
        <v>74</v>
      </c>
      <c r="I586" s="97" t="s">
        <v>77</v>
      </c>
      <c r="J586" s="97" t="s">
        <v>78</v>
      </c>
      <c r="K586" s="97" t="s">
        <v>73</v>
      </c>
      <c r="L586">
        <v>701000</v>
      </c>
      <c r="M586" s="97" t="s">
        <v>62</v>
      </c>
      <c r="N586" s="97" t="s">
        <v>33</v>
      </c>
      <c r="O586">
        <v>1383</v>
      </c>
      <c r="P586">
        <v>1.79</v>
      </c>
      <c r="Q586">
        <v>2.48</v>
      </c>
      <c r="R586" s="97" t="s">
        <v>1204</v>
      </c>
      <c r="S586" s="97" t="s">
        <v>195</v>
      </c>
    </row>
    <row r="587" spans="1:19" x14ac:dyDescent="0.3">
      <c r="A587" s="97" t="s">
        <v>765</v>
      </c>
      <c r="B587" s="97" t="s">
        <v>22</v>
      </c>
      <c r="C587">
        <v>2026</v>
      </c>
      <c r="D587">
        <v>1</v>
      </c>
      <c r="E587" s="2">
        <v>46045</v>
      </c>
      <c r="F587" s="97" t="s">
        <v>7</v>
      </c>
      <c r="G587" s="97" t="s">
        <v>8</v>
      </c>
      <c r="H587" s="97" t="s">
        <v>70</v>
      </c>
      <c r="I587" s="97" t="s">
        <v>82</v>
      </c>
      <c r="J587" s="97" t="s">
        <v>83</v>
      </c>
      <c r="K587" s="97" t="s">
        <v>73</v>
      </c>
      <c r="L587">
        <v>701000</v>
      </c>
      <c r="M587" s="97" t="s">
        <v>62</v>
      </c>
      <c r="N587" s="97" t="s">
        <v>33</v>
      </c>
      <c r="O587">
        <v>204</v>
      </c>
      <c r="P587">
        <v>18.48</v>
      </c>
      <c r="Q587">
        <v>3.77</v>
      </c>
      <c r="R587" s="97" t="s">
        <v>1199</v>
      </c>
      <c r="S587" s="97" t="s">
        <v>195</v>
      </c>
    </row>
    <row r="588" spans="1:19" x14ac:dyDescent="0.3">
      <c r="A588" s="97" t="s">
        <v>766</v>
      </c>
      <c r="B588" s="97" t="s">
        <v>22</v>
      </c>
      <c r="C588">
        <v>2026</v>
      </c>
      <c r="D588">
        <v>1</v>
      </c>
      <c r="E588" s="2">
        <v>46045</v>
      </c>
      <c r="F588" s="97" t="s">
        <v>7</v>
      </c>
      <c r="G588" s="97" t="s">
        <v>8</v>
      </c>
      <c r="H588" s="97" t="s">
        <v>70</v>
      </c>
      <c r="I588" s="97" t="s">
        <v>82</v>
      </c>
      <c r="J588" s="97" t="s">
        <v>83</v>
      </c>
      <c r="K588" s="97" t="s">
        <v>73</v>
      </c>
      <c r="L588">
        <v>701000</v>
      </c>
      <c r="M588" s="97" t="s">
        <v>62</v>
      </c>
      <c r="N588" s="97" t="s">
        <v>33</v>
      </c>
      <c r="O588">
        <v>225</v>
      </c>
      <c r="P588">
        <v>18.489999999999998</v>
      </c>
      <c r="Q588">
        <v>4.16</v>
      </c>
      <c r="R588" s="97" t="s">
        <v>1204</v>
      </c>
      <c r="S588" s="97" t="s">
        <v>195</v>
      </c>
    </row>
    <row r="589" spans="1:19" x14ac:dyDescent="0.3">
      <c r="A589" s="97" t="s">
        <v>767</v>
      </c>
      <c r="B589" s="97" t="s">
        <v>22</v>
      </c>
      <c r="C589">
        <v>2026</v>
      </c>
      <c r="D589">
        <v>1</v>
      </c>
      <c r="E589" s="2">
        <v>46045</v>
      </c>
      <c r="F589" s="97" t="s">
        <v>7</v>
      </c>
      <c r="G589" s="97" t="s">
        <v>8</v>
      </c>
      <c r="H589" s="97" t="s">
        <v>70</v>
      </c>
      <c r="I589" s="97" t="s">
        <v>82</v>
      </c>
      <c r="J589" s="97" t="s">
        <v>83</v>
      </c>
      <c r="K589" s="97" t="s">
        <v>73</v>
      </c>
      <c r="L589">
        <v>701000</v>
      </c>
      <c r="M589" s="97" t="s">
        <v>62</v>
      </c>
      <c r="N589" s="97" t="s">
        <v>33</v>
      </c>
      <c r="O589">
        <v>72</v>
      </c>
      <c r="P589">
        <v>18.61</v>
      </c>
      <c r="Q589">
        <v>1.34</v>
      </c>
      <c r="R589" s="97" t="s">
        <v>1203</v>
      </c>
      <c r="S589" s="97" t="s">
        <v>195</v>
      </c>
    </row>
    <row r="590" spans="1:19" x14ac:dyDescent="0.3">
      <c r="A590" s="97" t="s">
        <v>768</v>
      </c>
      <c r="B590" s="97" t="s">
        <v>22</v>
      </c>
      <c r="C590">
        <v>2026</v>
      </c>
      <c r="D590">
        <v>1</v>
      </c>
      <c r="E590" s="2">
        <v>46045</v>
      </c>
      <c r="F590" s="97" t="s">
        <v>7</v>
      </c>
      <c r="G590" s="97" t="s">
        <v>8</v>
      </c>
      <c r="H590" s="97" t="s">
        <v>70</v>
      </c>
      <c r="I590" s="97" t="s">
        <v>82</v>
      </c>
      <c r="J590" s="97" t="s">
        <v>83</v>
      </c>
      <c r="K590" s="97" t="s">
        <v>73</v>
      </c>
      <c r="L590">
        <v>701000</v>
      </c>
      <c r="M590" s="97" t="s">
        <v>62</v>
      </c>
      <c r="N590" s="97" t="s">
        <v>33</v>
      </c>
      <c r="O590">
        <v>57</v>
      </c>
      <c r="P590">
        <v>18.600000000000001</v>
      </c>
      <c r="Q590">
        <v>1.06</v>
      </c>
      <c r="R590" s="97" t="s">
        <v>1197</v>
      </c>
      <c r="S590" s="97" t="s">
        <v>195</v>
      </c>
    </row>
    <row r="591" spans="1:19" x14ac:dyDescent="0.3">
      <c r="A591" s="97" t="s">
        <v>769</v>
      </c>
      <c r="B591" s="97" t="s">
        <v>22</v>
      </c>
      <c r="C591">
        <v>2026</v>
      </c>
      <c r="D591">
        <v>1</v>
      </c>
      <c r="E591" s="2">
        <v>46045</v>
      </c>
      <c r="F591" s="97" t="s">
        <v>7</v>
      </c>
      <c r="G591" s="97" t="s">
        <v>8</v>
      </c>
      <c r="H591" s="97" t="s">
        <v>70</v>
      </c>
      <c r="I591" s="97" t="s">
        <v>82</v>
      </c>
      <c r="J591" s="97" t="s">
        <v>83</v>
      </c>
      <c r="K591" s="97" t="s">
        <v>73</v>
      </c>
      <c r="L591">
        <v>701000</v>
      </c>
      <c r="M591" s="97" t="s">
        <v>62</v>
      </c>
      <c r="N591" s="97" t="s">
        <v>33</v>
      </c>
      <c r="O591">
        <v>116</v>
      </c>
      <c r="P591">
        <v>18.53</v>
      </c>
      <c r="Q591">
        <v>2.15</v>
      </c>
      <c r="R591" s="97" t="s">
        <v>1205</v>
      </c>
      <c r="S591" s="97" t="s">
        <v>195</v>
      </c>
    </row>
    <row r="592" spans="1:19" x14ac:dyDescent="0.3">
      <c r="A592" s="97" t="s">
        <v>280</v>
      </c>
      <c r="B592" s="97" t="s">
        <v>22</v>
      </c>
      <c r="C592">
        <v>2026</v>
      </c>
      <c r="D592">
        <v>1</v>
      </c>
      <c r="E592" s="2">
        <v>46046</v>
      </c>
      <c r="F592" s="97" t="s">
        <v>7</v>
      </c>
      <c r="G592" s="97" t="s">
        <v>8</v>
      </c>
      <c r="H592" s="97" t="s">
        <v>70</v>
      </c>
      <c r="I592" s="97" t="s">
        <v>84</v>
      </c>
      <c r="J592" s="97" t="s">
        <v>85</v>
      </c>
      <c r="K592" s="97" t="s">
        <v>73</v>
      </c>
      <c r="L592">
        <v>707000</v>
      </c>
      <c r="M592" s="97" t="s">
        <v>81</v>
      </c>
      <c r="N592" s="97" t="s">
        <v>33</v>
      </c>
      <c r="O592">
        <v>5878</v>
      </c>
      <c r="P592">
        <v>0.95</v>
      </c>
      <c r="Q592">
        <v>5.58</v>
      </c>
      <c r="R592" s="97" t="s">
        <v>1198</v>
      </c>
      <c r="S592" s="97" t="s">
        <v>195</v>
      </c>
    </row>
    <row r="593" spans="1:19" x14ac:dyDescent="0.3">
      <c r="A593" s="97" t="s">
        <v>281</v>
      </c>
      <c r="B593" s="97" t="s">
        <v>22</v>
      </c>
      <c r="C593">
        <v>2026</v>
      </c>
      <c r="D593">
        <v>1</v>
      </c>
      <c r="E593" s="2">
        <v>46046</v>
      </c>
      <c r="F593" s="97" t="s">
        <v>7</v>
      </c>
      <c r="G593" s="97" t="s">
        <v>8</v>
      </c>
      <c r="H593" s="97" t="s">
        <v>70</v>
      </c>
      <c r="I593" s="97" t="s">
        <v>84</v>
      </c>
      <c r="J593" s="97" t="s">
        <v>85</v>
      </c>
      <c r="K593" s="97" t="s">
        <v>73</v>
      </c>
      <c r="L593">
        <v>707000</v>
      </c>
      <c r="M593" s="97" t="s">
        <v>81</v>
      </c>
      <c r="N593" s="97" t="s">
        <v>33</v>
      </c>
      <c r="O593">
        <v>1545</v>
      </c>
      <c r="P593">
        <v>0.95</v>
      </c>
      <c r="Q593">
        <v>1.47</v>
      </c>
      <c r="R593" s="97" t="s">
        <v>1205</v>
      </c>
      <c r="S593" s="97" t="s">
        <v>195</v>
      </c>
    </row>
    <row r="594" spans="1:19" x14ac:dyDescent="0.3">
      <c r="A594" s="97" t="s">
        <v>282</v>
      </c>
      <c r="B594" s="97" t="s">
        <v>22</v>
      </c>
      <c r="C594">
        <v>2026</v>
      </c>
      <c r="D594">
        <v>1</v>
      </c>
      <c r="E594" s="2">
        <v>46046</v>
      </c>
      <c r="F594" s="97" t="s">
        <v>7</v>
      </c>
      <c r="G594" s="97" t="s">
        <v>8</v>
      </c>
      <c r="H594" s="97" t="s">
        <v>70</v>
      </c>
      <c r="I594" s="97" t="s">
        <v>84</v>
      </c>
      <c r="J594" s="97" t="s">
        <v>85</v>
      </c>
      <c r="K594" s="97" t="s">
        <v>73</v>
      </c>
      <c r="L594">
        <v>707000</v>
      </c>
      <c r="M594" s="97" t="s">
        <v>81</v>
      </c>
      <c r="N594" s="97" t="s">
        <v>33</v>
      </c>
      <c r="O594">
        <v>3053</v>
      </c>
      <c r="P594">
        <v>0.95</v>
      </c>
      <c r="Q594">
        <v>2.9</v>
      </c>
      <c r="R594" s="97" t="s">
        <v>1203</v>
      </c>
      <c r="S594" s="97" t="s">
        <v>195</v>
      </c>
    </row>
    <row r="595" spans="1:19" x14ac:dyDescent="0.3">
      <c r="A595" s="97" t="s">
        <v>283</v>
      </c>
      <c r="B595" s="97" t="s">
        <v>22</v>
      </c>
      <c r="C595">
        <v>2026</v>
      </c>
      <c r="D595">
        <v>1</v>
      </c>
      <c r="E595" s="2">
        <v>46046</v>
      </c>
      <c r="F595" s="97" t="s">
        <v>7</v>
      </c>
      <c r="G595" s="97" t="s">
        <v>8</v>
      </c>
      <c r="H595" s="97" t="s">
        <v>70</v>
      </c>
      <c r="I595" s="97" t="s">
        <v>84</v>
      </c>
      <c r="J595" s="97" t="s">
        <v>85</v>
      </c>
      <c r="K595" s="97" t="s">
        <v>73</v>
      </c>
      <c r="L595">
        <v>707000</v>
      </c>
      <c r="M595" s="97" t="s">
        <v>81</v>
      </c>
      <c r="N595" s="97" t="s">
        <v>33</v>
      </c>
      <c r="O595">
        <v>6087</v>
      </c>
      <c r="P595">
        <v>0.95</v>
      </c>
      <c r="Q595">
        <v>5.78</v>
      </c>
      <c r="R595" s="97" t="s">
        <v>1200</v>
      </c>
      <c r="S595" s="97" t="s">
        <v>195</v>
      </c>
    </row>
    <row r="596" spans="1:19" x14ac:dyDescent="0.3">
      <c r="A596" s="97" t="s">
        <v>284</v>
      </c>
      <c r="B596" s="97" t="s">
        <v>22</v>
      </c>
      <c r="C596">
        <v>2026</v>
      </c>
      <c r="D596">
        <v>1</v>
      </c>
      <c r="E596" s="2">
        <v>46046</v>
      </c>
      <c r="F596" s="97" t="s">
        <v>7</v>
      </c>
      <c r="G596" s="97" t="s">
        <v>8</v>
      </c>
      <c r="H596" s="97" t="s">
        <v>70</v>
      </c>
      <c r="I596" s="97" t="s">
        <v>84</v>
      </c>
      <c r="J596" s="97" t="s">
        <v>85</v>
      </c>
      <c r="K596" s="97" t="s">
        <v>73</v>
      </c>
      <c r="L596">
        <v>707000</v>
      </c>
      <c r="M596" s="97" t="s">
        <v>81</v>
      </c>
      <c r="N596" s="97" t="s">
        <v>33</v>
      </c>
      <c r="O596">
        <v>3472</v>
      </c>
      <c r="P596">
        <v>0.95</v>
      </c>
      <c r="Q596">
        <v>3.3</v>
      </c>
      <c r="R596" s="97" t="s">
        <v>1204</v>
      </c>
      <c r="S596" s="97" t="s">
        <v>195</v>
      </c>
    </row>
    <row r="597" spans="1:19" x14ac:dyDescent="0.3">
      <c r="A597" s="97" t="s">
        <v>670</v>
      </c>
      <c r="B597" s="97" t="s">
        <v>22</v>
      </c>
      <c r="C597">
        <v>2026</v>
      </c>
      <c r="D597">
        <v>1</v>
      </c>
      <c r="E597" s="2">
        <v>46046</v>
      </c>
      <c r="F597" s="97" t="s">
        <v>7</v>
      </c>
      <c r="G597" s="97" t="s">
        <v>8</v>
      </c>
      <c r="H597" s="97" t="s">
        <v>70</v>
      </c>
      <c r="I597" s="97" t="s">
        <v>79</v>
      </c>
      <c r="J597" s="97" t="s">
        <v>80</v>
      </c>
      <c r="K597" s="97" t="s">
        <v>73</v>
      </c>
      <c r="L597">
        <v>707000</v>
      </c>
      <c r="M597" s="97" t="s">
        <v>81</v>
      </c>
      <c r="N597" s="97" t="s">
        <v>33</v>
      </c>
      <c r="O597">
        <v>3215</v>
      </c>
      <c r="P597">
        <v>2.6</v>
      </c>
      <c r="Q597">
        <v>8.36</v>
      </c>
      <c r="R597" s="97" t="s">
        <v>1202</v>
      </c>
      <c r="S597" s="97" t="s">
        <v>195</v>
      </c>
    </row>
    <row r="598" spans="1:19" x14ac:dyDescent="0.3">
      <c r="A598" s="97" t="s">
        <v>671</v>
      </c>
      <c r="B598" s="97" t="s">
        <v>22</v>
      </c>
      <c r="C598">
        <v>2026</v>
      </c>
      <c r="D598">
        <v>1</v>
      </c>
      <c r="E598" s="2">
        <v>46046</v>
      </c>
      <c r="F598" s="97" t="s">
        <v>7</v>
      </c>
      <c r="G598" s="97" t="s">
        <v>8</v>
      </c>
      <c r="H598" s="97" t="s">
        <v>70</v>
      </c>
      <c r="I598" s="97" t="s">
        <v>79</v>
      </c>
      <c r="J598" s="97" t="s">
        <v>80</v>
      </c>
      <c r="K598" s="97" t="s">
        <v>73</v>
      </c>
      <c r="L598">
        <v>707000</v>
      </c>
      <c r="M598" s="97" t="s">
        <v>81</v>
      </c>
      <c r="N598" s="97" t="s">
        <v>33</v>
      </c>
      <c r="O598">
        <v>1631</v>
      </c>
      <c r="P598">
        <v>2.6</v>
      </c>
      <c r="Q598">
        <v>4.24</v>
      </c>
      <c r="R598" s="97" t="s">
        <v>1199</v>
      </c>
      <c r="S598" s="97" t="s">
        <v>195</v>
      </c>
    </row>
    <row r="599" spans="1:19" x14ac:dyDescent="0.3">
      <c r="A599" s="97" t="s">
        <v>672</v>
      </c>
      <c r="B599" s="97" t="s">
        <v>22</v>
      </c>
      <c r="C599">
        <v>2026</v>
      </c>
      <c r="D599">
        <v>1</v>
      </c>
      <c r="E599" s="2">
        <v>46046</v>
      </c>
      <c r="F599" s="97" t="s">
        <v>7</v>
      </c>
      <c r="G599" s="97" t="s">
        <v>8</v>
      </c>
      <c r="H599" s="97" t="s">
        <v>70</v>
      </c>
      <c r="I599" s="97" t="s">
        <v>79</v>
      </c>
      <c r="J599" s="97" t="s">
        <v>80</v>
      </c>
      <c r="K599" s="97" t="s">
        <v>73</v>
      </c>
      <c r="L599">
        <v>707000</v>
      </c>
      <c r="M599" s="97" t="s">
        <v>81</v>
      </c>
      <c r="N599" s="97" t="s">
        <v>33</v>
      </c>
      <c r="O599">
        <v>1024</v>
      </c>
      <c r="P599">
        <v>2.6</v>
      </c>
      <c r="Q599">
        <v>2.66</v>
      </c>
      <c r="R599" s="97" t="s">
        <v>1200</v>
      </c>
      <c r="S599" s="97" t="s">
        <v>195</v>
      </c>
    </row>
    <row r="600" spans="1:19" x14ac:dyDescent="0.3">
      <c r="A600" s="97" t="s">
        <v>673</v>
      </c>
      <c r="B600" s="97" t="s">
        <v>22</v>
      </c>
      <c r="C600">
        <v>2026</v>
      </c>
      <c r="D600">
        <v>1</v>
      </c>
      <c r="E600" s="2">
        <v>46046</v>
      </c>
      <c r="F600" s="97" t="s">
        <v>7</v>
      </c>
      <c r="G600" s="97" t="s">
        <v>8</v>
      </c>
      <c r="H600" s="97" t="s">
        <v>70</v>
      </c>
      <c r="I600" s="97" t="s">
        <v>79</v>
      </c>
      <c r="J600" s="97" t="s">
        <v>80</v>
      </c>
      <c r="K600" s="97" t="s">
        <v>73</v>
      </c>
      <c r="L600">
        <v>707000</v>
      </c>
      <c r="M600" s="97" t="s">
        <v>81</v>
      </c>
      <c r="N600" s="97" t="s">
        <v>33</v>
      </c>
      <c r="O600">
        <v>3098</v>
      </c>
      <c r="P600">
        <v>2.6</v>
      </c>
      <c r="Q600">
        <v>8.0500000000000007</v>
      </c>
      <c r="R600" s="97" t="s">
        <v>1204</v>
      </c>
      <c r="S600" s="97" t="s">
        <v>195</v>
      </c>
    </row>
    <row r="601" spans="1:19" x14ac:dyDescent="0.3">
      <c r="A601" s="97" t="s">
        <v>674</v>
      </c>
      <c r="B601" s="97" t="s">
        <v>22</v>
      </c>
      <c r="C601">
        <v>2026</v>
      </c>
      <c r="D601">
        <v>1</v>
      </c>
      <c r="E601" s="2">
        <v>46046</v>
      </c>
      <c r="F601" s="97" t="s">
        <v>7</v>
      </c>
      <c r="G601" s="97" t="s">
        <v>8</v>
      </c>
      <c r="H601" s="97" t="s">
        <v>70</v>
      </c>
      <c r="I601" s="97" t="s">
        <v>79</v>
      </c>
      <c r="J601" s="97" t="s">
        <v>80</v>
      </c>
      <c r="K601" s="97" t="s">
        <v>73</v>
      </c>
      <c r="L601">
        <v>707000</v>
      </c>
      <c r="M601" s="97" t="s">
        <v>81</v>
      </c>
      <c r="N601" s="97" t="s">
        <v>33</v>
      </c>
      <c r="O601">
        <v>790</v>
      </c>
      <c r="P601">
        <v>2.61</v>
      </c>
      <c r="Q601">
        <v>2.06</v>
      </c>
      <c r="R601" s="97" t="s">
        <v>1197</v>
      </c>
      <c r="S601" s="97" t="s">
        <v>195</v>
      </c>
    </row>
    <row r="602" spans="1:19" x14ac:dyDescent="0.3">
      <c r="A602" s="97" t="s">
        <v>800</v>
      </c>
      <c r="B602" s="97" t="s">
        <v>22</v>
      </c>
      <c r="C602">
        <v>2026</v>
      </c>
      <c r="D602">
        <v>1</v>
      </c>
      <c r="E602" s="2">
        <v>46046</v>
      </c>
      <c r="F602" s="97" t="s">
        <v>7</v>
      </c>
      <c r="G602" s="97" t="s">
        <v>8</v>
      </c>
      <c r="H602" s="97" t="s">
        <v>74</v>
      </c>
      <c r="I602" s="97" t="s">
        <v>82</v>
      </c>
      <c r="J602" s="97" t="s">
        <v>83</v>
      </c>
      <c r="K602" s="97" t="s">
        <v>73</v>
      </c>
      <c r="L602">
        <v>707000</v>
      </c>
      <c r="M602" s="97" t="s">
        <v>81</v>
      </c>
      <c r="N602" s="97" t="s">
        <v>33</v>
      </c>
      <c r="O602">
        <v>49</v>
      </c>
      <c r="P602">
        <v>18.37</v>
      </c>
      <c r="Q602">
        <v>0.9</v>
      </c>
      <c r="R602" s="97" t="s">
        <v>1197</v>
      </c>
      <c r="S602" s="97" t="s">
        <v>195</v>
      </c>
    </row>
    <row r="603" spans="1:19" x14ac:dyDescent="0.3">
      <c r="A603" s="97" t="s">
        <v>801</v>
      </c>
      <c r="B603" s="97" t="s">
        <v>22</v>
      </c>
      <c r="C603">
        <v>2026</v>
      </c>
      <c r="D603">
        <v>1</v>
      </c>
      <c r="E603" s="2">
        <v>46046</v>
      </c>
      <c r="F603" s="97" t="s">
        <v>7</v>
      </c>
      <c r="G603" s="97" t="s">
        <v>8</v>
      </c>
      <c r="H603" s="97" t="s">
        <v>74</v>
      </c>
      <c r="I603" s="97" t="s">
        <v>82</v>
      </c>
      <c r="J603" s="97" t="s">
        <v>83</v>
      </c>
      <c r="K603" s="97" t="s">
        <v>73</v>
      </c>
      <c r="L603">
        <v>707000</v>
      </c>
      <c r="M603" s="97" t="s">
        <v>81</v>
      </c>
      <c r="N603" s="97" t="s">
        <v>33</v>
      </c>
      <c r="O603">
        <v>166</v>
      </c>
      <c r="P603">
        <v>18.55</v>
      </c>
      <c r="Q603">
        <v>3.08</v>
      </c>
      <c r="R603" s="97" t="s">
        <v>1204</v>
      </c>
      <c r="S603" s="97" t="s">
        <v>195</v>
      </c>
    </row>
    <row r="604" spans="1:19" x14ac:dyDescent="0.3">
      <c r="A604" s="97" t="s">
        <v>802</v>
      </c>
      <c r="B604" s="97" t="s">
        <v>22</v>
      </c>
      <c r="C604">
        <v>2026</v>
      </c>
      <c r="D604">
        <v>1</v>
      </c>
      <c r="E604" s="2">
        <v>46046</v>
      </c>
      <c r="F604" s="97" t="s">
        <v>7</v>
      </c>
      <c r="G604" s="97" t="s">
        <v>8</v>
      </c>
      <c r="H604" s="97" t="s">
        <v>74</v>
      </c>
      <c r="I604" s="97" t="s">
        <v>82</v>
      </c>
      <c r="J604" s="97" t="s">
        <v>83</v>
      </c>
      <c r="K604" s="97" t="s">
        <v>73</v>
      </c>
      <c r="L604">
        <v>707000</v>
      </c>
      <c r="M604" s="97" t="s">
        <v>81</v>
      </c>
      <c r="N604" s="97" t="s">
        <v>33</v>
      </c>
      <c r="O604">
        <v>60</v>
      </c>
      <c r="P604">
        <v>18.5</v>
      </c>
      <c r="Q604">
        <v>1.1100000000000001</v>
      </c>
      <c r="R604" s="97" t="s">
        <v>1203</v>
      </c>
      <c r="S604" s="97" t="s">
        <v>195</v>
      </c>
    </row>
    <row r="605" spans="1:19" x14ac:dyDescent="0.3">
      <c r="A605" s="97" t="s">
        <v>803</v>
      </c>
      <c r="B605" s="97" t="s">
        <v>22</v>
      </c>
      <c r="C605">
        <v>2026</v>
      </c>
      <c r="D605">
        <v>1</v>
      </c>
      <c r="E605" s="2">
        <v>46046</v>
      </c>
      <c r="F605" s="97" t="s">
        <v>7</v>
      </c>
      <c r="G605" s="97" t="s">
        <v>8</v>
      </c>
      <c r="H605" s="97" t="s">
        <v>74</v>
      </c>
      <c r="I605" s="97" t="s">
        <v>82</v>
      </c>
      <c r="J605" s="97" t="s">
        <v>83</v>
      </c>
      <c r="K605" s="97" t="s">
        <v>73</v>
      </c>
      <c r="L605">
        <v>707000</v>
      </c>
      <c r="M605" s="97" t="s">
        <v>81</v>
      </c>
      <c r="N605" s="97" t="s">
        <v>33</v>
      </c>
      <c r="O605">
        <v>91</v>
      </c>
      <c r="P605">
        <v>18.46</v>
      </c>
      <c r="Q605">
        <v>1.68</v>
      </c>
      <c r="R605" s="97" t="s">
        <v>1198</v>
      </c>
      <c r="S605" s="97" t="s">
        <v>195</v>
      </c>
    </row>
    <row r="606" spans="1:19" x14ac:dyDescent="0.3">
      <c r="A606" s="97" t="s">
        <v>804</v>
      </c>
      <c r="B606" s="97" t="s">
        <v>22</v>
      </c>
      <c r="C606">
        <v>2026</v>
      </c>
      <c r="D606">
        <v>1</v>
      </c>
      <c r="E606" s="2">
        <v>46046</v>
      </c>
      <c r="F606" s="97" t="s">
        <v>7</v>
      </c>
      <c r="G606" s="97" t="s">
        <v>8</v>
      </c>
      <c r="H606" s="97" t="s">
        <v>74</v>
      </c>
      <c r="I606" s="97" t="s">
        <v>82</v>
      </c>
      <c r="J606" s="97" t="s">
        <v>83</v>
      </c>
      <c r="K606" s="97" t="s">
        <v>73</v>
      </c>
      <c r="L606">
        <v>707000</v>
      </c>
      <c r="M606" s="97" t="s">
        <v>81</v>
      </c>
      <c r="N606" s="97" t="s">
        <v>33</v>
      </c>
      <c r="O606">
        <v>367</v>
      </c>
      <c r="P606">
        <v>18.5</v>
      </c>
      <c r="Q606">
        <v>6.79</v>
      </c>
      <c r="R606" s="97" t="s">
        <v>1200</v>
      </c>
      <c r="S606" s="97" t="s">
        <v>195</v>
      </c>
    </row>
    <row r="607" spans="1:19" x14ac:dyDescent="0.3">
      <c r="A607" s="97" t="s">
        <v>840</v>
      </c>
      <c r="B607" s="97" t="s">
        <v>22</v>
      </c>
      <c r="C607">
        <v>2026</v>
      </c>
      <c r="D607">
        <v>1</v>
      </c>
      <c r="E607" s="2">
        <v>46046</v>
      </c>
      <c r="F607" s="97" t="s">
        <v>7</v>
      </c>
      <c r="G607" s="97" t="s">
        <v>8</v>
      </c>
      <c r="H607" s="97" t="s">
        <v>74</v>
      </c>
      <c r="I607" s="97" t="s">
        <v>82</v>
      </c>
      <c r="J607" s="97" t="s">
        <v>83</v>
      </c>
      <c r="K607" s="97" t="s">
        <v>73</v>
      </c>
      <c r="L607">
        <v>707000</v>
      </c>
      <c r="M607" s="97" t="s">
        <v>81</v>
      </c>
      <c r="N607" s="97" t="s">
        <v>33</v>
      </c>
      <c r="O607">
        <v>104</v>
      </c>
      <c r="P607">
        <v>18.46</v>
      </c>
      <c r="Q607">
        <v>1.92</v>
      </c>
      <c r="R607" s="97" t="s">
        <v>1203</v>
      </c>
      <c r="S607" s="97" t="s">
        <v>195</v>
      </c>
    </row>
    <row r="608" spans="1:19" x14ac:dyDescent="0.3">
      <c r="A608" s="97" t="s">
        <v>841</v>
      </c>
      <c r="B608" s="97" t="s">
        <v>22</v>
      </c>
      <c r="C608">
        <v>2026</v>
      </c>
      <c r="D608">
        <v>1</v>
      </c>
      <c r="E608" s="2">
        <v>46046</v>
      </c>
      <c r="F608" s="97" t="s">
        <v>7</v>
      </c>
      <c r="G608" s="97" t="s">
        <v>8</v>
      </c>
      <c r="H608" s="97" t="s">
        <v>74</v>
      </c>
      <c r="I608" s="97" t="s">
        <v>82</v>
      </c>
      <c r="J608" s="97" t="s">
        <v>83</v>
      </c>
      <c r="K608" s="97" t="s">
        <v>73</v>
      </c>
      <c r="L608">
        <v>707000</v>
      </c>
      <c r="M608" s="97" t="s">
        <v>81</v>
      </c>
      <c r="N608" s="97" t="s">
        <v>33</v>
      </c>
      <c r="O608">
        <v>117</v>
      </c>
      <c r="P608">
        <v>18.46</v>
      </c>
      <c r="Q608">
        <v>2.16</v>
      </c>
      <c r="R608" s="97" t="s">
        <v>1200</v>
      </c>
      <c r="S608" s="97" t="s">
        <v>195</v>
      </c>
    </row>
    <row r="609" spans="1:19" x14ac:dyDescent="0.3">
      <c r="A609" s="97" t="s">
        <v>842</v>
      </c>
      <c r="B609" s="97" t="s">
        <v>22</v>
      </c>
      <c r="C609">
        <v>2026</v>
      </c>
      <c r="D609">
        <v>1</v>
      </c>
      <c r="E609" s="2">
        <v>46046</v>
      </c>
      <c r="F609" s="97" t="s">
        <v>7</v>
      </c>
      <c r="G609" s="97" t="s">
        <v>8</v>
      </c>
      <c r="H609" s="97" t="s">
        <v>74</v>
      </c>
      <c r="I609" s="97" t="s">
        <v>82</v>
      </c>
      <c r="J609" s="97" t="s">
        <v>83</v>
      </c>
      <c r="K609" s="97" t="s">
        <v>73</v>
      </c>
      <c r="L609">
        <v>707000</v>
      </c>
      <c r="M609" s="97" t="s">
        <v>81</v>
      </c>
      <c r="N609" s="97" t="s">
        <v>33</v>
      </c>
      <c r="O609">
        <v>187</v>
      </c>
      <c r="P609">
        <v>18.45</v>
      </c>
      <c r="Q609">
        <v>3.45</v>
      </c>
      <c r="R609" s="97" t="s">
        <v>1201</v>
      </c>
      <c r="S609" s="97" t="s">
        <v>195</v>
      </c>
    </row>
    <row r="610" spans="1:19" x14ac:dyDescent="0.3">
      <c r="A610" s="97" t="s">
        <v>843</v>
      </c>
      <c r="B610" s="97" t="s">
        <v>22</v>
      </c>
      <c r="C610">
        <v>2026</v>
      </c>
      <c r="D610">
        <v>1</v>
      </c>
      <c r="E610" s="2">
        <v>46046</v>
      </c>
      <c r="F610" s="97" t="s">
        <v>7</v>
      </c>
      <c r="G610" s="97" t="s">
        <v>8</v>
      </c>
      <c r="H610" s="97" t="s">
        <v>74</v>
      </c>
      <c r="I610" s="97" t="s">
        <v>82</v>
      </c>
      <c r="J610" s="97" t="s">
        <v>83</v>
      </c>
      <c r="K610" s="97" t="s">
        <v>73</v>
      </c>
      <c r="L610">
        <v>707000</v>
      </c>
      <c r="M610" s="97" t="s">
        <v>81</v>
      </c>
      <c r="N610" s="97" t="s">
        <v>33</v>
      </c>
      <c r="O610">
        <v>99</v>
      </c>
      <c r="P610">
        <v>18.38</v>
      </c>
      <c r="Q610">
        <v>1.82</v>
      </c>
      <c r="R610" s="97" t="s">
        <v>1204</v>
      </c>
      <c r="S610" s="97" t="s">
        <v>195</v>
      </c>
    </row>
    <row r="611" spans="1:19" x14ac:dyDescent="0.3">
      <c r="A611" s="97" t="s">
        <v>844</v>
      </c>
      <c r="B611" s="97" t="s">
        <v>22</v>
      </c>
      <c r="C611">
        <v>2026</v>
      </c>
      <c r="D611">
        <v>1</v>
      </c>
      <c r="E611" s="2">
        <v>46046</v>
      </c>
      <c r="F611" s="97" t="s">
        <v>7</v>
      </c>
      <c r="G611" s="97" t="s">
        <v>8</v>
      </c>
      <c r="H611" s="97" t="s">
        <v>74</v>
      </c>
      <c r="I611" s="97" t="s">
        <v>82</v>
      </c>
      <c r="J611" s="97" t="s">
        <v>83</v>
      </c>
      <c r="K611" s="97" t="s">
        <v>73</v>
      </c>
      <c r="L611">
        <v>707000</v>
      </c>
      <c r="M611" s="97" t="s">
        <v>81</v>
      </c>
      <c r="N611" s="97" t="s">
        <v>33</v>
      </c>
      <c r="O611">
        <v>133</v>
      </c>
      <c r="P611">
        <v>18.72</v>
      </c>
      <c r="Q611">
        <v>2.4900000000000002</v>
      </c>
      <c r="R611" s="97" t="s">
        <v>1202</v>
      </c>
      <c r="S611" s="97" t="s">
        <v>195</v>
      </c>
    </row>
    <row r="612" spans="1:19" x14ac:dyDescent="0.3">
      <c r="A612" s="97" t="s">
        <v>380</v>
      </c>
      <c r="B612" s="97" t="s">
        <v>22</v>
      </c>
      <c r="C612">
        <v>2026</v>
      </c>
      <c r="D612">
        <v>1</v>
      </c>
      <c r="E612" s="2">
        <v>46047</v>
      </c>
      <c r="F612" s="97" t="s">
        <v>7</v>
      </c>
      <c r="G612" s="97" t="s">
        <v>8</v>
      </c>
      <c r="H612" s="97" t="s">
        <v>70</v>
      </c>
      <c r="I612" s="97" t="s">
        <v>71</v>
      </c>
      <c r="J612" s="97" t="s">
        <v>72</v>
      </c>
      <c r="K612" s="97" t="s">
        <v>73</v>
      </c>
      <c r="L612">
        <v>701000</v>
      </c>
      <c r="M612" s="97" t="s">
        <v>62</v>
      </c>
      <c r="N612" s="97" t="s">
        <v>33</v>
      </c>
      <c r="O612">
        <v>1932</v>
      </c>
      <c r="P612">
        <v>1.05</v>
      </c>
      <c r="Q612">
        <v>2.0299999999999998</v>
      </c>
      <c r="R612" s="97" t="s">
        <v>1205</v>
      </c>
      <c r="S612" s="97" t="s">
        <v>195</v>
      </c>
    </row>
    <row r="613" spans="1:19" x14ac:dyDescent="0.3">
      <c r="A613" s="97" t="s">
        <v>381</v>
      </c>
      <c r="B613" s="97" t="s">
        <v>22</v>
      </c>
      <c r="C613">
        <v>2026</v>
      </c>
      <c r="D613">
        <v>1</v>
      </c>
      <c r="E613" s="2">
        <v>46047</v>
      </c>
      <c r="F613" s="97" t="s">
        <v>7</v>
      </c>
      <c r="G613" s="97" t="s">
        <v>8</v>
      </c>
      <c r="H613" s="97" t="s">
        <v>70</v>
      </c>
      <c r="I613" s="97" t="s">
        <v>71</v>
      </c>
      <c r="J613" s="97" t="s">
        <v>72</v>
      </c>
      <c r="K613" s="97" t="s">
        <v>73</v>
      </c>
      <c r="L613">
        <v>701000</v>
      </c>
      <c r="M613" s="97" t="s">
        <v>62</v>
      </c>
      <c r="N613" s="97" t="s">
        <v>33</v>
      </c>
      <c r="O613">
        <v>4688</v>
      </c>
      <c r="P613">
        <v>1.05</v>
      </c>
      <c r="Q613">
        <v>4.92</v>
      </c>
      <c r="R613" s="97" t="s">
        <v>1202</v>
      </c>
      <c r="S613" s="97" t="s">
        <v>195</v>
      </c>
    </row>
    <row r="614" spans="1:19" x14ac:dyDescent="0.3">
      <c r="A614" s="97" t="s">
        <v>382</v>
      </c>
      <c r="B614" s="97" t="s">
        <v>22</v>
      </c>
      <c r="C614">
        <v>2026</v>
      </c>
      <c r="D614">
        <v>1</v>
      </c>
      <c r="E614" s="2">
        <v>46047</v>
      </c>
      <c r="F614" s="97" t="s">
        <v>7</v>
      </c>
      <c r="G614" s="97" t="s">
        <v>8</v>
      </c>
      <c r="H614" s="97" t="s">
        <v>70</v>
      </c>
      <c r="I614" s="97" t="s">
        <v>71</v>
      </c>
      <c r="J614" s="97" t="s">
        <v>72</v>
      </c>
      <c r="K614" s="97" t="s">
        <v>73</v>
      </c>
      <c r="L614">
        <v>701000</v>
      </c>
      <c r="M614" s="97" t="s">
        <v>62</v>
      </c>
      <c r="N614" s="97" t="s">
        <v>33</v>
      </c>
      <c r="O614">
        <v>4799</v>
      </c>
      <c r="P614">
        <v>1.05</v>
      </c>
      <c r="Q614">
        <v>5.04</v>
      </c>
      <c r="R614" s="97" t="s">
        <v>1197</v>
      </c>
      <c r="S614" s="97" t="s">
        <v>195</v>
      </c>
    </row>
    <row r="615" spans="1:19" x14ac:dyDescent="0.3">
      <c r="A615" s="97" t="s">
        <v>383</v>
      </c>
      <c r="B615" s="97" t="s">
        <v>22</v>
      </c>
      <c r="C615">
        <v>2026</v>
      </c>
      <c r="D615">
        <v>1</v>
      </c>
      <c r="E615" s="2">
        <v>46047</v>
      </c>
      <c r="F615" s="97" t="s">
        <v>7</v>
      </c>
      <c r="G615" s="97" t="s">
        <v>8</v>
      </c>
      <c r="H615" s="97" t="s">
        <v>70</v>
      </c>
      <c r="I615" s="97" t="s">
        <v>71</v>
      </c>
      <c r="J615" s="97" t="s">
        <v>72</v>
      </c>
      <c r="K615" s="97" t="s">
        <v>73</v>
      </c>
      <c r="L615">
        <v>701000</v>
      </c>
      <c r="M615" s="97" t="s">
        <v>62</v>
      </c>
      <c r="N615" s="97" t="s">
        <v>33</v>
      </c>
      <c r="O615">
        <v>2941</v>
      </c>
      <c r="P615">
        <v>1.05</v>
      </c>
      <c r="Q615">
        <v>3.09</v>
      </c>
      <c r="R615" s="97" t="s">
        <v>1200</v>
      </c>
      <c r="S615" s="97" t="s">
        <v>195</v>
      </c>
    </row>
    <row r="616" spans="1:19" x14ac:dyDescent="0.3">
      <c r="A616" s="97" t="s">
        <v>384</v>
      </c>
      <c r="B616" s="97" t="s">
        <v>22</v>
      </c>
      <c r="C616">
        <v>2026</v>
      </c>
      <c r="D616">
        <v>1</v>
      </c>
      <c r="E616" s="2">
        <v>46047</v>
      </c>
      <c r="F616" s="97" t="s">
        <v>7</v>
      </c>
      <c r="G616" s="97" t="s">
        <v>8</v>
      </c>
      <c r="H616" s="97" t="s">
        <v>70</v>
      </c>
      <c r="I616" s="97" t="s">
        <v>71</v>
      </c>
      <c r="J616" s="97" t="s">
        <v>72</v>
      </c>
      <c r="K616" s="97" t="s">
        <v>73</v>
      </c>
      <c r="L616">
        <v>701000</v>
      </c>
      <c r="M616" s="97" t="s">
        <v>62</v>
      </c>
      <c r="N616" s="97" t="s">
        <v>33</v>
      </c>
      <c r="O616">
        <v>7970</v>
      </c>
      <c r="P616">
        <v>1.05</v>
      </c>
      <c r="Q616">
        <v>8.3699999999999992</v>
      </c>
      <c r="R616" s="97" t="s">
        <v>1204</v>
      </c>
      <c r="S616" s="97" t="s">
        <v>195</v>
      </c>
    </row>
    <row r="617" spans="1:19" x14ac:dyDescent="0.3">
      <c r="A617" s="97" t="s">
        <v>400</v>
      </c>
      <c r="B617" s="97" t="s">
        <v>22</v>
      </c>
      <c r="C617">
        <v>2026</v>
      </c>
      <c r="D617">
        <v>1</v>
      </c>
      <c r="E617" s="2">
        <v>46047</v>
      </c>
      <c r="F617" s="97" t="s">
        <v>7</v>
      </c>
      <c r="G617" s="97" t="s">
        <v>8</v>
      </c>
      <c r="H617" s="97" t="s">
        <v>74</v>
      </c>
      <c r="I617" s="97" t="s">
        <v>75</v>
      </c>
      <c r="J617" s="97" t="s">
        <v>76</v>
      </c>
      <c r="K617" s="97" t="s">
        <v>73</v>
      </c>
      <c r="L617">
        <v>701000</v>
      </c>
      <c r="M617" s="97" t="s">
        <v>62</v>
      </c>
      <c r="N617" s="97" t="s">
        <v>33</v>
      </c>
      <c r="O617">
        <v>243</v>
      </c>
      <c r="P617">
        <v>1.4</v>
      </c>
      <c r="Q617">
        <v>0.34</v>
      </c>
      <c r="R617" s="97" t="s">
        <v>1205</v>
      </c>
      <c r="S617" s="97" t="s">
        <v>195</v>
      </c>
    </row>
    <row r="618" spans="1:19" x14ac:dyDescent="0.3">
      <c r="A618" s="97" t="s">
        <v>401</v>
      </c>
      <c r="B618" s="97" t="s">
        <v>22</v>
      </c>
      <c r="C618">
        <v>2026</v>
      </c>
      <c r="D618">
        <v>1</v>
      </c>
      <c r="E618" s="2">
        <v>46047</v>
      </c>
      <c r="F618" s="97" t="s">
        <v>7</v>
      </c>
      <c r="G618" s="97" t="s">
        <v>8</v>
      </c>
      <c r="H618" s="97" t="s">
        <v>74</v>
      </c>
      <c r="I618" s="97" t="s">
        <v>75</v>
      </c>
      <c r="J618" s="97" t="s">
        <v>76</v>
      </c>
      <c r="K618" s="97" t="s">
        <v>73</v>
      </c>
      <c r="L618">
        <v>701000</v>
      </c>
      <c r="M618" s="97" t="s">
        <v>62</v>
      </c>
      <c r="N618" s="97" t="s">
        <v>33</v>
      </c>
      <c r="O618">
        <v>939</v>
      </c>
      <c r="P618">
        <v>1.4</v>
      </c>
      <c r="Q618">
        <v>1.31</v>
      </c>
      <c r="R618" s="97" t="s">
        <v>1204</v>
      </c>
      <c r="S618" s="97" t="s">
        <v>195</v>
      </c>
    </row>
    <row r="619" spans="1:19" x14ac:dyDescent="0.3">
      <c r="A619" s="97" t="s">
        <v>402</v>
      </c>
      <c r="B619" s="97" t="s">
        <v>22</v>
      </c>
      <c r="C619">
        <v>2026</v>
      </c>
      <c r="D619">
        <v>1</v>
      </c>
      <c r="E619" s="2">
        <v>46047</v>
      </c>
      <c r="F619" s="97" t="s">
        <v>7</v>
      </c>
      <c r="G619" s="97" t="s">
        <v>8</v>
      </c>
      <c r="H619" s="97" t="s">
        <v>74</v>
      </c>
      <c r="I619" s="97" t="s">
        <v>75</v>
      </c>
      <c r="J619" s="97" t="s">
        <v>76</v>
      </c>
      <c r="K619" s="97" t="s">
        <v>73</v>
      </c>
      <c r="L619">
        <v>701000</v>
      </c>
      <c r="M619" s="97" t="s">
        <v>62</v>
      </c>
      <c r="N619" s="97" t="s">
        <v>33</v>
      </c>
      <c r="O619">
        <v>1229</v>
      </c>
      <c r="P619">
        <v>1.4</v>
      </c>
      <c r="Q619">
        <v>1.72</v>
      </c>
      <c r="R619" s="97" t="s">
        <v>1200</v>
      </c>
      <c r="S619" s="97" t="s">
        <v>195</v>
      </c>
    </row>
    <row r="620" spans="1:19" x14ac:dyDescent="0.3">
      <c r="A620" s="97" t="s">
        <v>403</v>
      </c>
      <c r="B620" s="97" t="s">
        <v>22</v>
      </c>
      <c r="C620">
        <v>2026</v>
      </c>
      <c r="D620">
        <v>1</v>
      </c>
      <c r="E620" s="2">
        <v>46047</v>
      </c>
      <c r="F620" s="97" t="s">
        <v>7</v>
      </c>
      <c r="G620" s="97" t="s">
        <v>8</v>
      </c>
      <c r="H620" s="97" t="s">
        <v>74</v>
      </c>
      <c r="I620" s="97" t="s">
        <v>75</v>
      </c>
      <c r="J620" s="97" t="s">
        <v>76</v>
      </c>
      <c r="K620" s="97" t="s">
        <v>73</v>
      </c>
      <c r="L620">
        <v>701000</v>
      </c>
      <c r="M620" s="97" t="s">
        <v>62</v>
      </c>
      <c r="N620" s="97" t="s">
        <v>33</v>
      </c>
      <c r="O620">
        <v>1946</v>
      </c>
      <c r="P620">
        <v>1.4</v>
      </c>
      <c r="Q620">
        <v>2.73</v>
      </c>
      <c r="R620" s="97" t="s">
        <v>1198</v>
      </c>
      <c r="S620" s="97" t="s">
        <v>195</v>
      </c>
    </row>
    <row r="621" spans="1:19" x14ac:dyDescent="0.3">
      <c r="A621" s="97" t="s">
        <v>404</v>
      </c>
      <c r="B621" s="97" t="s">
        <v>22</v>
      </c>
      <c r="C621">
        <v>2026</v>
      </c>
      <c r="D621">
        <v>1</v>
      </c>
      <c r="E621" s="2">
        <v>46047</v>
      </c>
      <c r="F621" s="97" t="s">
        <v>7</v>
      </c>
      <c r="G621" s="97" t="s">
        <v>8</v>
      </c>
      <c r="H621" s="97" t="s">
        <v>74</v>
      </c>
      <c r="I621" s="97" t="s">
        <v>75</v>
      </c>
      <c r="J621" s="97" t="s">
        <v>76</v>
      </c>
      <c r="K621" s="97" t="s">
        <v>73</v>
      </c>
      <c r="L621">
        <v>701000</v>
      </c>
      <c r="M621" s="97" t="s">
        <v>62</v>
      </c>
      <c r="N621" s="97" t="s">
        <v>33</v>
      </c>
      <c r="O621">
        <v>2754</v>
      </c>
      <c r="P621">
        <v>1.4</v>
      </c>
      <c r="Q621">
        <v>3.86</v>
      </c>
      <c r="R621" s="97" t="s">
        <v>1201</v>
      </c>
      <c r="S621" s="97" t="s">
        <v>195</v>
      </c>
    </row>
    <row r="622" spans="1:19" x14ac:dyDescent="0.3">
      <c r="A622" s="97" t="s">
        <v>475</v>
      </c>
      <c r="B622" s="97" t="s">
        <v>22</v>
      </c>
      <c r="C622">
        <v>2026</v>
      </c>
      <c r="D622">
        <v>1</v>
      </c>
      <c r="E622" s="2">
        <v>46047</v>
      </c>
      <c r="F622" s="97" t="s">
        <v>7</v>
      </c>
      <c r="G622" s="97" t="s">
        <v>8</v>
      </c>
      <c r="H622" s="97" t="s">
        <v>70</v>
      </c>
      <c r="I622" s="97" t="s">
        <v>75</v>
      </c>
      <c r="J622" s="97" t="s">
        <v>76</v>
      </c>
      <c r="K622" s="97" t="s">
        <v>73</v>
      </c>
      <c r="L622">
        <v>701000</v>
      </c>
      <c r="M622" s="97" t="s">
        <v>62</v>
      </c>
      <c r="N622" s="97" t="s">
        <v>33</v>
      </c>
      <c r="O622">
        <v>699</v>
      </c>
      <c r="P622">
        <v>1.4</v>
      </c>
      <c r="Q622">
        <v>0.98</v>
      </c>
      <c r="R622" s="97" t="s">
        <v>1202</v>
      </c>
      <c r="S622" s="97" t="s">
        <v>195</v>
      </c>
    </row>
    <row r="623" spans="1:19" x14ac:dyDescent="0.3">
      <c r="A623" s="97" t="s">
        <v>476</v>
      </c>
      <c r="B623" s="97" t="s">
        <v>22</v>
      </c>
      <c r="C623">
        <v>2026</v>
      </c>
      <c r="D623">
        <v>1</v>
      </c>
      <c r="E623" s="2">
        <v>46047</v>
      </c>
      <c r="F623" s="97" t="s">
        <v>7</v>
      </c>
      <c r="G623" s="97" t="s">
        <v>8</v>
      </c>
      <c r="H623" s="97" t="s">
        <v>70</v>
      </c>
      <c r="I623" s="97" t="s">
        <v>75</v>
      </c>
      <c r="J623" s="97" t="s">
        <v>76</v>
      </c>
      <c r="K623" s="97" t="s">
        <v>73</v>
      </c>
      <c r="L623">
        <v>701000</v>
      </c>
      <c r="M623" s="97" t="s">
        <v>62</v>
      </c>
      <c r="N623" s="97" t="s">
        <v>33</v>
      </c>
      <c r="O623">
        <v>1655</v>
      </c>
      <c r="P623">
        <v>1.4</v>
      </c>
      <c r="Q623">
        <v>2.3199999999999998</v>
      </c>
      <c r="R623" s="97" t="s">
        <v>1203</v>
      </c>
      <c r="S623" s="97" t="s">
        <v>195</v>
      </c>
    </row>
    <row r="624" spans="1:19" x14ac:dyDescent="0.3">
      <c r="A624" s="97" t="s">
        <v>477</v>
      </c>
      <c r="B624" s="97" t="s">
        <v>22</v>
      </c>
      <c r="C624">
        <v>2026</v>
      </c>
      <c r="D624">
        <v>1</v>
      </c>
      <c r="E624" s="2">
        <v>46047</v>
      </c>
      <c r="F624" s="97" t="s">
        <v>7</v>
      </c>
      <c r="G624" s="97" t="s">
        <v>8</v>
      </c>
      <c r="H624" s="97" t="s">
        <v>70</v>
      </c>
      <c r="I624" s="97" t="s">
        <v>75</v>
      </c>
      <c r="J624" s="97" t="s">
        <v>76</v>
      </c>
      <c r="K624" s="97" t="s">
        <v>73</v>
      </c>
      <c r="L624">
        <v>701000</v>
      </c>
      <c r="M624" s="97" t="s">
        <v>62</v>
      </c>
      <c r="N624" s="97" t="s">
        <v>33</v>
      </c>
      <c r="O624">
        <v>2120</v>
      </c>
      <c r="P624">
        <v>1.4</v>
      </c>
      <c r="Q624">
        <v>2.97</v>
      </c>
      <c r="R624" s="97" t="s">
        <v>1197</v>
      </c>
      <c r="S624" s="97" t="s">
        <v>195</v>
      </c>
    </row>
    <row r="625" spans="1:19" x14ac:dyDescent="0.3">
      <c r="A625" s="97" t="s">
        <v>478</v>
      </c>
      <c r="B625" s="97" t="s">
        <v>22</v>
      </c>
      <c r="C625">
        <v>2026</v>
      </c>
      <c r="D625">
        <v>1</v>
      </c>
      <c r="E625" s="2">
        <v>46047</v>
      </c>
      <c r="F625" s="97" t="s">
        <v>7</v>
      </c>
      <c r="G625" s="97" t="s">
        <v>8</v>
      </c>
      <c r="H625" s="97" t="s">
        <v>70</v>
      </c>
      <c r="I625" s="97" t="s">
        <v>75</v>
      </c>
      <c r="J625" s="97" t="s">
        <v>76</v>
      </c>
      <c r="K625" s="97" t="s">
        <v>73</v>
      </c>
      <c r="L625">
        <v>701000</v>
      </c>
      <c r="M625" s="97" t="s">
        <v>62</v>
      </c>
      <c r="N625" s="97" t="s">
        <v>33</v>
      </c>
      <c r="O625">
        <v>2393</v>
      </c>
      <c r="P625">
        <v>1.4</v>
      </c>
      <c r="Q625">
        <v>3.35</v>
      </c>
      <c r="R625" s="97" t="s">
        <v>1200</v>
      </c>
      <c r="S625" s="97" t="s">
        <v>195</v>
      </c>
    </row>
    <row r="626" spans="1:19" x14ac:dyDescent="0.3">
      <c r="A626" s="97" t="s">
        <v>479</v>
      </c>
      <c r="B626" s="97" t="s">
        <v>22</v>
      </c>
      <c r="C626">
        <v>2026</v>
      </c>
      <c r="D626">
        <v>1</v>
      </c>
      <c r="E626" s="2">
        <v>46047</v>
      </c>
      <c r="F626" s="97" t="s">
        <v>7</v>
      </c>
      <c r="G626" s="97" t="s">
        <v>8</v>
      </c>
      <c r="H626" s="97" t="s">
        <v>70</v>
      </c>
      <c r="I626" s="97" t="s">
        <v>75</v>
      </c>
      <c r="J626" s="97" t="s">
        <v>76</v>
      </c>
      <c r="K626" s="97" t="s">
        <v>73</v>
      </c>
      <c r="L626">
        <v>701000</v>
      </c>
      <c r="M626" s="97" t="s">
        <v>62</v>
      </c>
      <c r="N626" s="97" t="s">
        <v>33</v>
      </c>
      <c r="O626">
        <v>1845</v>
      </c>
      <c r="P626">
        <v>1.4</v>
      </c>
      <c r="Q626">
        <v>2.58</v>
      </c>
      <c r="R626" s="97" t="s">
        <v>1198</v>
      </c>
      <c r="S626" s="97" t="s">
        <v>195</v>
      </c>
    </row>
    <row r="627" spans="1:19" x14ac:dyDescent="0.3">
      <c r="A627" s="97" t="s">
        <v>600</v>
      </c>
      <c r="B627" s="97" t="s">
        <v>22</v>
      </c>
      <c r="C627">
        <v>2026</v>
      </c>
      <c r="D627">
        <v>1</v>
      </c>
      <c r="E627" s="2">
        <v>46047</v>
      </c>
      <c r="F627" s="97" t="s">
        <v>7</v>
      </c>
      <c r="G627" s="97" t="s">
        <v>8</v>
      </c>
      <c r="H627" s="97" t="s">
        <v>70</v>
      </c>
      <c r="I627" s="97" t="s">
        <v>77</v>
      </c>
      <c r="J627" s="97" t="s">
        <v>78</v>
      </c>
      <c r="K627" s="97" t="s">
        <v>73</v>
      </c>
      <c r="L627">
        <v>701000</v>
      </c>
      <c r="M627" s="97" t="s">
        <v>62</v>
      </c>
      <c r="N627" s="97" t="s">
        <v>33</v>
      </c>
      <c r="O627">
        <v>268</v>
      </c>
      <c r="P627">
        <v>1.79</v>
      </c>
      <c r="Q627">
        <v>0.48</v>
      </c>
      <c r="R627" s="97" t="s">
        <v>1200</v>
      </c>
      <c r="S627" s="97" t="s">
        <v>195</v>
      </c>
    </row>
    <row r="628" spans="1:19" x14ac:dyDescent="0.3">
      <c r="A628" s="97" t="s">
        <v>601</v>
      </c>
      <c r="B628" s="97" t="s">
        <v>22</v>
      </c>
      <c r="C628">
        <v>2026</v>
      </c>
      <c r="D628">
        <v>1</v>
      </c>
      <c r="E628" s="2">
        <v>46047</v>
      </c>
      <c r="F628" s="97" t="s">
        <v>7</v>
      </c>
      <c r="G628" s="97" t="s">
        <v>8</v>
      </c>
      <c r="H628" s="97" t="s">
        <v>70</v>
      </c>
      <c r="I628" s="97" t="s">
        <v>77</v>
      </c>
      <c r="J628" s="97" t="s">
        <v>78</v>
      </c>
      <c r="K628" s="97" t="s">
        <v>73</v>
      </c>
      <c r="L628">
        <v>701000</v>
      </c>
      <c r="M628" s="97" t="s">
        <v>62</v>
      </c>
      <c r="N628" s="97" t="s">
        <v>33</v>
      </c>
      <c r="O628">
        <v>1731</v>
      </c>
      <c r="P628">
        <v>1.8</v>
      </c>
      <c r="Q628">
        <v>3.12</v>
      </c>
      <c r="R628" s="97" t="s">
        <v>1202</v>
      </c>
      <c r="S628" s="97" t="s">
        <v>195</v>
      </c>
    </row>
    <row r="629" spans="1:19" x14ac:dyDescent="0.3">
      <c r="A629" s="97" t="s">
        <v>602</v>
      </c>
      <c r="B629" s="97" t="s">
        <v>22</v>
      </c>
      <c r="C629">
        <v>2026</v>
      </c>
      <c r="D629">
        <v>1</v>
      </c>
      <c r="E629" s="2">
        <v>46047</v>
      </c>
      <c r="F629" s="97" t="s">
        <v>7</v>
      </c>
      <c r="G629" s="97" t="s">
        <v>8</v>
      </c>
      <c r="H629" s="97" t="s">
        <v>70</v>
      </c>
      <c r="I629" s="97" t="s">
        <v>77</v>
      </c>
      <c r="J629" s="97" t="s">
        <v>78</v>
      </c>
      <c r="K629" s="97" t="s">
        <v>73</v>
      </c>
      <c r="L629">
        <v>701000</v>
      </c>
      <c r="M629" s="97" t="s">
        <v>62</v>
      </c>
      <c r="N629" s="97" t="s">
        <v>33</v>
      </c>
      <c r="O629">
        <v>776</v>
      </c>
      <c r="P629">
        <v>1.8</v>
      </c>
      <c r="Q629">
        <v>1.4</v>
      </c>
      <c r="R629" s="97" t="s">
        <v>1198</v>
      </c>
      <c r="S629" s="97" t="s">
        <v>195</v>
      </c>
    </row>
    <row r="630" spans="1:19" x14ac:dyDescent="0.3">
      <c r="A630" s="97" t="s">
        <v>603</v>
      </c>
      <c r="B630" s="97" t="s">
        <v>22</v>
      </c>
      <c r="C630">
        <v>2026</v>
      </c>
      <c r="D630">
        <v>1</v>
      </c>
      <c r="E630" s="2">
        <v>46047</v>
      </c>
      <c r="F630" s="97" t="s">
        <v>7</v>
      </c>
      <c r="G630" s="97" t="s">
        <v>8</v>
      </c>
      <c r="H630" s="97" t="s">
        <v>70</v>
      </c>
      <c r="I630" s="97" t="s">
        <v>77</v>
      </c>
      <c r="J630" s="97" t="s">
        <v>78</v>
      </c>
      <c r="K630" s="97" t="s">
        <v>73</v>
      </c>
      <c r="L630">
        <v>701000</v>
      </c>
      <c r="M630" s="97" t="s">
        <v>62</v>
      </c>
      <c r="N630" s="97" t="s">
        <v>33</v>
      </c>
      <c r="O630">
        <v>767</v>
      </c>
      <c r="P630">
        <v>1.8</v>
      </c>
      <c r="Q630">
        <v>1.38</v>
      </c>
      <c r="R630" s="97" t="s">
        <v>1203</v>
      </c>
      <c r="S630" s="97" t="s">
        <v>195</v>
      </c>
    </row>
    <row r="631" spans="1:19" x14ac:dyDescent="0.3">
      <c r="A631" s="97" t="s">
        <v>604</v>
      </c>
      <c r="B631" s="97" t="s">
        <v>22</v>
      </c>
      <c r="C631">
        <v>2026</v>
      </c>
      <c r="D631">
        <v>1</v>
      </c>
      <c r="E631" s="2">
        <v>46047</v>
      </c>
      <c r="F631" s="97" t="s">
        <v>7</v>
      </c>
      <c r="G631" s="97" t="s">
        <v>8</v>
      </c>
      <c r="H631" s="97" t="s">
        <v>70</v>
      </c>
      <c r="I631" s="97" t="s">
        <v>77</v>
      </c>
      <c r="J631" s="97" t="s">
        <v>78</v>
      </c>
      <c r="K631" s="97" t="s">
        <v>73</v>
      </c>
      <c r="L631">
        <v>701000</v>
      </c>
      <c r="M631" s="97" t="s">
        <v>62</v>
      </c>
      <c r="N631" s="97" t="s">
        <v>33</v>
      </c>
      <c r="O631">
        <v>957</v>
      </c>
      <c r="P631">
        <v>1.8</v>
      </c>
      <c r="Q631">
        <v>1.72</v>
      </c>
      <c r="R631" s="97" t="s">
        <v>1199</v>
      </c>
      <c r="S631" s="97" t="s">
        <v>195</v>
      </c>
    </row>
    <row r="632" spans="1:19" x14ac:dyDescent="0.3">
      <c r="A632" s="97" t="s">
        <v>665</v>
      </c>
      <c r="B632" s="97" t="s">
        <v>22</v>
      </c>
      <c r="C632">
        <v>2026</v>
      </c>
      <c r="D632">
        <v>1</v>
      </c>
      <c r="E632" s="2">
        <v>46047</v>
      </c>
      <c r="F632" s="97" t="s">
        <v>7</v>
      </c>
      <c r="G632" s="97" t="s">
        <v>8</v>
      </c>
      <c r="H632" s="97" t="s">
        <v>74</v>
      </c>
      <c r="I632" s="97" t="s">
        <v>79</v>
      </c>
      <c r="J632" s="97" t="s">
        <v>80</v>
      </c>
      <c r="K632" s="97" t="s">
        <v>73</v>
      </c>
      <c r="L632">
        <v>701000</v>
      </c>
      <c r="M632" s="97" t="s">
        <v>62</v>
      </c>
      <c r="N632" s="97" t="s">
        <v>33</v>
      </c>
      <c r="O632">
        <v>1165</v>
      </c>
      <c r="P632">
        <v>2.6</v>
      </c>
      <c r="Q632">
        <v>3.03</v>
      </c>
      <c r="R632" s="97" t="s">
        <v>1199</v>
      </c>
      <c r="S632" s="97" t="s">
        <v>195</v>
      </c>
    </row>
    <row r="633" spans="1:19" x14ac:dyDescent="0.3">
      <c r="A633" s="97" t="s">
        <v>666</v>
      </c>
      <c r="B633" s="97" t="s">
        <v>22</v>
      </c>
      <c r="C633">
        <v>2026</v>
      </c>
      <c r="D633">
        <v>1</v>
      </c>
      <c r="E633" s="2">
        <v>46047</v>
      </c>
      <c r="F633" s="97" t="s">
        <v>7</v>
      </c>
      <c r="G633" s="97" t="s">
        <v>8</v>
      </c>
      <c r="H633" s="97" t="s">
        <v>74</v>
      </c>
      <c r="I633" s="97" t="s">
        <v>79</v>
      </c>
      <c r="J633" s="97" t="s">
        <v>80</v>
      </c>
      <c r="K633" s="97" t="s">
        <v>73</v>
      </c>
      <c r="L633">
        <v>701000</v>
      </c>
      <c r="M633" s="97" t="s">
        <v>62</v>
      </c>
      <c r="N633" s="97" t="s">
        <v>33</v>
      </c>
      <c r="O633">
        <v>1179</v>
      </c>
      <c r="P633">
        <v>2.6</v>
      </c>
      <c r="Q633">
        <v>3.06</v>
      </c>
      <c r="R633" s="97" t="s">
        <v>1200</v>
      </c>
      <c r="S633" s="97" t="s">
        <v>195</v>
      </c>
    </row>
    <row r="634" spans="1:19" x14ac:dyDescent="0.3">
      <c r="A634" s="97" t="s">
        <v>667</v>
      </c>
      <c r="B634" s="97" t="s">
        <v>22</v>
      </c>
      <c r="C634">
        <v>2026</v>
      </c>
      <c r="D634">
        <v>1</v>
      </c>
      <c r="E634" s="2">
        <v>46047</v>
      </c>
      <c r="F634" s="97" t="s">
        <v>7</v>
      </c>
      <c r="G634" s="97" t="s">
        <v>8</v>
      </c>
      <c r="H634" s="97" t="s">
        <v>74</v>
      </c>
      <c r="I634" s="97" t="s">
        <v>79</v>
      </c>
      <c r="J634" s="97" t="s">
        <v>80</v>
      </c>
      <c r="K634" s="97" t="s">
        <v>73</v>
      </c>
      <c r="L634">
        <v>701000</v>
      </c>
      <c r="M634" s="97" t="s">
        <v>62</v>
      </c>
      <c r="N634" s="97" t="s">
        <v>33</v>
      </c>
      <c r="O634">
        <v>3107</v>
      </c>
      <c r="P634">
        <v>2.6</v>
      </c>
      <c r="Q634">
        <v>8.08</v>
      </c>
      <c r="R634" s="97" t="s">
        <v>1204</v>
      </c>
      <c r="S634" s="97" t="s">
        <v>195</v>
      </c>
    </row>
    <row r="635" spans="1:19" x14ac:dyDescent="0.3">
      <c r="A635" s="97" t="s">
        <v>668</v>
      </c>
      <c r="B635" s="97" t="s">
        <v>22</v>
      </c>
      <c r="C635">
        <v>2026</v>
      </c>
      <c r="D635">
        <v>1</v>
      </c>
      <c r="E635" s="2">
        <v>46047</v>
      </c>
      <c r="F635" s="97" t="s">
        <v>7</v>
      </c>
      <c r="G635" s="97" t="s">
        <v>8</v>
      </c>
      <c r="H635" s="97" t="s">
        <v>74</v>
      </c>
      <c r="I635" s="97" t="s">
        <v>79</v>
      </c>
      <c r="J635" s="97" t="s">
        <v>80</v>
      </c>
      <c r="K635" s="97" t="s">
        <v>73</v>
      </c>
      <c r="L635">
        <v>701000</v>
      </c>
      <c r="M635" s="97" t="s">
        <v>62</v>
      </c>
      <c r="N635" s="97" t="s">
        <v>33</v>
      </c>
      <c r="O635">
        <v>2572</v>
      </c>
      <c r="P635">
        <v>2.6</v>
      </c>
      <c r="Q635">
        <v>6.69</v>
      </c>
      <c r="R635" s="97" t="s">
        <v>1197</v>
      </c>
      <c r="S635" s="97" t="s">
        <v>195</v>
      </c>
    </row>
    <row r="636" spans="1:19" x14ac:dyDescent="0.3">
      <c r="A636" s="97" t="s">
        <v>669</v>
      </c>
      <c r="B636" s="97" t="s">
        <v>22</v>
      </c>
      <c r="C636">
        <v>2026</v>
      </c>
      <c r="D636">
        <v>1</v>
      </c>
      <c r="E636" s="2">
        <v>46047</v>
      </c>
      <c r="F636" s="97" t="s">
        <v>7</v>
      </c>
      <c r="G636" s="97" t="s">
        <v>8</v>
      </c>
      <c r="H636" s="97" t="s">
        <v>74</v>
      </c>
      <c r="I636" s="97" t="s">
        <v>79</v>
      </c>
      <c r="J636" s="97" t="s">
        <v>80</v>
      </c>
      <c r="K636" s="97" t="s">
        <v>73</v>
      </c>
      <c r="L636">
        <v>701000</v>
      </c>
      <c r="M636" s="97" t="s">
        <v>62</v>
      </c>
      <c r="N636" s="97" t="s">
        <v>33</v>
      </c>
      <c r="O636">
        <v>1361</v>
      </c>
      <c r="P636">
        <v>2.6</v>
      </c>
      <c r="Q636">
        <v>3.54</v>
      </c>
      <c r="R636" s="97" t="s">
        <v>1205</v>
      </c>
      <c r="S636" s="97" t="s">
        <v>195</v>
      </c>
    </row>
    <row r="637" spans="1:19" x14ac:dyDescent="0.3">
      <c r="A637" s="97" t="s">
        <v>705</v>
      </c>
      <c r="B637" s="97" t="s">
        <v>22</v>
      </c>
      <c r="C637">
        <v>2026</v>
      </c>
      <c r="D637">
        <v>1</v>
      </c>
      <c r="E637" s="2">
        <v>46047</v>
      </c>
      <c r="F637" s="97" t="s">
        <v>7</v>
      </c>
      <c r="G637" s="97" t="s">
        <v>8</v>
      </c>
      <c r="H637" s="97" t="s">
        <v>74</v>
      </c>
      <c r="I637" s="97" t="s">
        <v>79</v>
      </c>
      <c r="J637" s="97" t="s">
        <v>80</v>
      </c>
      <c r="K637" s="97" t="s">
        <v>73</v>
      </c>
      <c r="L637">
        <v>701000</v>
      </c>
      <c r="M637" s="97" t="s">
        <v>62</v>
      </c>
      <c r="N637" s="97" t="s">
        <v>33</v>
      </c>
      <c r="O637">
        <v>1347</v>
      </c>
      <c r="P637">
        <v>2.6</v>
      </c>
      <c r="Q637">
        <v>3.5</v>
      </c>
      <c r="R637" s="97" t="s">
        <v>1203</v>
      </c>
      <c r="S637" s="97" t="s">
        <v>195</v>
      </c>
    </row>
    <row r="638" spans="1:19" x14ac:dyDescent="0.3">
      <c r="A638" s="97" t="s">
        <v>706</v>
      </c>
      <c r="B638" s="97" t="s">
        <v>22</v>
      </c>
      <c r="C638">
        <v>2026</v>
      </c>
      <c r="D638">
        <v>1</v>
      </c>
      <c r="E638" s="2">
        <v>46047</v>
      </c>
      <c r="F638" s="97" t="s">
        <v>7</v>
      </c>
      <c r="G638" s="97" t="s">
        <v>8</v>
      </c>
      <c r="H638" s="97" t="s">
        <v>74</v>
      </c>
      <c r="I638" s="97" t="s">
        <v>79</v>
      </c>
      <c r="J638" s="97" t="s">
        <v>80</v>
      </c>
      <c r="K638" s="97" t="s">
        <v>73</v>
      </c>
      <c r="L638">
        <v>701000</v>
      </c>
      <c r="M638" s="97" t="s">
        <v>62</v>
      </c>
      <c r="N638" s="97" t="s">
        <v>33</v>
      </c>
      <c r="O638">
        <v>681</v>
      </c>
      <c r="P638">
        <v>2.6</v>
      </c>
      <c r="Q638">
        <v>1.77</v>
      </c>
      <c r="R638" s="97" t="s">
        <v>1202</v>
      </c>
      <c r="S638" s="97" t="s">
        <v>195</v>
      </c>
    </row>
    <row r="639" spans="1:19" x14ac:dyDescent="0.3">
      <c r="A639" s="97" t="s">
        <v>707</v>
      </c>
      <c r="B639" s="97" t="s">
        <v>22</v>
      </c>
      <c r="C639">
        <v>2026</v>
      </c>
      <c r="D639">
        <v>1</v>
      </c>
      <c r="E639" s="2">
        <v>46047</v>
      </c>
      <c r="F639" s="97" t="s">
        <v>7</v>
      </c>
      <c r="G639" s="97" t="s">
        <v>8</v>
      </c>
      <c r="H639" s="97" t="s">
        <v>74</v>
      </c>
      <c r="I639" s="97" t="s">
        <v>79</v>
      </c>
      <c r="J639" s="97" t="s">
        <v>80</v>
      </c>
      <c r="K639" s="97" t="s">
        <v>73</v>
      </c>
      <c r="L639">
        <v>701000</v>
      </c>
      <c r="M639" s="97" t="s">
        <v>62</v>
      </c>
      <c r="N639" s="97" t="s">
        <v>33</v>
      </c>
      <c r="O639">
        <v>2391</v>
      </c>
      <c r="P639">
        <v>2.6</v>
      </c>
      <c r="Q639">
        <v>6.22</v>
      </c>
      <c r="R639" s="97" t="s">
        <v>1204</v>
      </c>
      <c r="S639" s="97" t="s">
        <v>195</v>
      </c>
    </row>
    <row r="640" spans="1:19" x14ac:dyDescent="0.3">
      <c r="A640" s="97" t="s">
        <v>708</v>
      </c>
      <c r="B640" s="97" t="s">
        <v>22</v>
      </c>
      <c r="C640">
        <v>2026</v>
      </c>
      <c r="D640">
        <v>1</v>
      </c>
      <c r="E640" s="2">
        <v>46047</v>
      </c>
      <c r="F640" s="97" t="s">
        <v>7</v>
      </c>
      <c r="G640" s="97" t="s">
        <v>8</v>
      </c>
      <c r="H640" s="97" t="s">
        <v>74</v>
      </c>
      <c r="I640" s="97" t="s">
        <v>79</v>
      </c>
      <c r="J640" s="97" t="s">
        <v>80</v>
      </c>
      <c r="K640" s="97" t="s">
        <v>73</v>
      </c>
      <c r="L640">
        <v>701000</v>
      </c>
      <c r="M640" s="97" t="s">
        <v>62</v>
      </c>
      <c r="N640" s="97" t="s">
        <v>33</v>
      </c>
      <c r="O640">
        <v>1958</v>
      </c>
      <c r="P640">
        <v>2.6</v>
      </c>
      <c r="Q640">
        <v>5.09</v>
      </c>
      <c r="R640" s="97" t="s">
        <v>1197</v>
      </c>
      <c r="S640" s="97" t="s">
        <v>195</v>
      </c>
    </row>
    <row r="641" spans="1:19" x14ac:dyDescent="0.3">
      <c r="A641" s="97" t="s">
        <v>709</v>
      </c>
      <c r="B641" s="97" t="s">
        <v>22</v>
      </c>
      <c r="C641">
        <v>2026</v>
      </c>
      <c r="D641">
        <v>1</v>
      </c>
      <c r="E641" s="2">
        <v>46047</v>
      </c>
      <c r="F641" s="97" t="s">
        <v>7</v>
      </c>
      <c r="G641" s="97" t="s">
        <v>8</v>
      </c>
      <c r="H641" s="97" t="s">
        <v>74</v>
      </c>
      <c r="I641" s="97" t="s">
        <v>79</v>
      </c>
      <c r="J641" s="97" t="s">
        <v>80</v>
      </c>
      <c r="K641" s="97" t="s">
        <v>73</v>
      </c>
      <c r="L641">
        <v>701000</v>
      </c>
      <c r="M641" s="97" t="s">
        <v>62</v>
      </c>
      <c r="N641" s="97" t="s">
        <v>33</v>
      </c>
      <c r="O641">
        <v>1209</v>
      </c>
      <c r="P641">
        <v>2.6</v>
      </c>
      <c r="Q641">
        <v>3.14</v>
      </c>
      <c r="R641" s="97" t="s">
        <v>1201</v>
      </c>
      <c r="S641" s="97" t="s">
        <v>195</v>
      </c>
    </row>
    <row r="642" spans="1:19" x14ac:dyDescent="0.3">
      <c r="A642" s="97" t="s">
        <v>215</v>
      </c>
      <c r="B642" s="97" t="s">
        <v>22</v>
      </c>
      <c r="C642">
        <v>2026</v>
      </c>
      <c r="D642">
        <v>1</v>
      </c>
      <c r="E642" s="2">
        <v>46048</v>
      </c>
      <c r="F642" s="97" t="s">
        <v>7</v>
      </c>
      <c r="G642" s="97" t="s">
        <v>8</v>
      </c>
      <c r="H642" s="97" t="s">
        <v>70</v>
      </c>
      <c r="I642" s="97" t="s">
        <v>84</v>
      </c>
      <c r="J642" s="97" t="s">
        <v>85</v>
      </c>
      <c r="K642" s="97" t="s">
        <v>73</v>
      </c>
      <c r="L642">
        <v>701000</v>
      </c>
      <c r="M642" s="97" t="s">
        <v>62</v>
      </c>
      <c r="N642" s="97" t="s">
        <v>33</v>
      </c>
      <c r="O642">
        <v>3983</v>
      </c>
      <c r="P642">
        <v>0.95</v>
      </c>
      <c r="Q642">
        <v>3.78</v>
      </c>
      <c r="R642" s="97" t="s">
        <v>1197</v>
      </c>
      <c r="S642" s="97" t="s">
        <v>195</v>
      </c>
    </row>
    <row r="643" spans="1:19" x14ac:dyDescent="0.3">
      <c r="A643" s="97" t="s">
        <v>216</v>
      </c>
      <c r="B643" s="97" t="s">
        <v>22</v>
      </c>
      <c r="C643">
        <v>2026</v>
      </c>
      <c r="D643">
        <v>1</v>
      </c>
      <c r="E643" s="2">
        <v>46048</v>
      </c>
      <c r="F643" s="97" t="s">
        <v>7</v>
      </c>
      <c r="G643" s="97" t="s">
        <v>8</v>
      </c>
      <c r="H643" s="97" t="s">
        <v>70</v>
      </c>
      <c r="I643" s="97" t="s">
        <v>84</v>
      </c>
      <c r="J643" s="97" t="s">
        <v>85</v>
      </c>
      <c r="K643" s="97" t="s">
        <v>73</v>
      </c>
      <c r="L643">
        <v>701000</v>
      </c>
      <c r="M643" s="97" t="s">
        <v>62</v>
      </c>
      <c r="N643" s="97" t="s">
        <v>33</v>
      </c>
      <c r="O643">
        <v>945</v>
      </c>
      <c r="P643">
        <v>0.95</v>
      </c>
      <c r="Q643">
        <v>0.9</v>
      </c>
      <c r="R643" s="97" t="s">
        <v>1202</v>
      </c>
      <c r="S643" s="97" t="s">
        <v>195</v>
      </c>
    </row>
    <row r="644" spans="1:19" x14ac:dyDescent="0.3">
      <c r="A644" s="97" t="s">
        <v>217</v>
      </c>
      <c r="B644" s="97" t="s">
        <v>22</v>
      </c>
      <c r="C644">
        <v>2026</v>
      </c>
      <c r="D644">
        <v>1</v>
      </c>
      <c r="E644" s="2">
        <v>46048</v>
      </c>
      <c r="F644" s="97" t="s">
        <v>7</v>
      </c>
      <c r="G644" s="97" t="s">
        <v>8</v>
      </c>
      <c r="H644" s="97" t="s">
        <v>70</v>
      </c>
      <c r="I644" s="97" t="s">
        <v>84</v>
      </c>
      <c r="J644" s="97" t="s">
        <v>85</v>
      </c>
      <c r="K644" s="97" t="s">
        <v>73</v>
      </c>
      <c r="L644">
        <v>701000</v>
      </c>
      <c r="M644" s="97" t="s">
        <v>62</v>
      </c>
      <c r="N644" s="97" t="s">
        <v>33</v>
      </c>
      <c r="O644">
        <v>3929</v>
      </c>
      <c r="P644">
        <v>0.95</v>
      </c>
      <c r="Q644">
        <v>3.73</v>
      </c>
      <c r="R644" s="97" t="s">
        <v>1199</v>
      </c>
      <c r="S644" s="97" t="s">
        <v>195</v>
      </c>
    </row>
    <row r="645" spans="1:19" x14ac:dyDescent="0.3">
      <c r="A645" s="97" t="s">
        <v>218</v>
      </c>
      <c r="B645" s="97" t="s">
        <v>22</v>
      </c>
      <c r="C645">
        <v>2026</v>
      </c>
      <c r="D645">
        <v>1</v>
      </c>
      <c r="E645" s="2">
        <v>46048</v>
      </c>
      <c r="F645" s="97" t="s">
        <v>7</v>
      </c>
      <c r="G645" s="97" t="s">
        <v>8</v>
      </c>
      <c r="H645" s="97" t="s">
        <v>70</v>
      </c>
      <c r="I645" s="97" t="s">
        <v>84</v>
      </c>
      <c r="J645" s="97" t="s">
        <v>85</v>
      </c>
      <c r="K645" s="97" t="s">
        <v>73</v>
      </c>
      <c r="L645">
        <v>701000</v>
      </c>
      <c r="M645" s="97" t="s">
        <v>62</v>
      </c>
      <c r="N645" s="97" t="s">
        <v>33</v>
      </c>
      <c r="O645">
        <v>9454</v>
      </c>
      <c r="P645">
        <v>0.95</v>
      </c>
      <c r="Q645">
        <v>8.98</v>
      </c>
      <c r="R645" s="97" t="s">
        <v>1204</v>
      </c>
      <c r="S645" s="97" t="s">
        <v>195</v>
      </c>
    </row>
    <row r="646" spans="1:19" x14ac:dyDescent="0.3">
      <c r="A646" s="97" t="s">
        <v>219</v>
      </c>
      <c r="B646" s="97" t="s">
        <v>22</v>
      </c>
      <c r="C646">
        <v>2026</v>
      </c>
      <c r="D646">
        <v>1</v>
      </c>
      <c r="E646" s="2">
        <v>46048</v>
      </c>
      <c r="F646" s="97" t="s">
        <v>7</v>
      </c>
      <c r="G646" s="97" t="s">
        <v>8</v>
      </c>
      <c r="H646" s="97" t="s">
        <v>70</v>
      </c>
      <c r="I646" s="97" t="s">
        <v>84</v>
      </c>
      <c r="J646" s="97" t="s">
        <v>85</v>
      </c>
      <c r="K646" s="97" t="s">
        <v>73</v>
      </c>
      <c r="L646">
        <v>701000</v>
      </c>
      <c r="M646" s="97" t="s">
        <v>62</v>
      </c>
      <c r="N646" s="97" t="s">
        <v>33</v>
      </c>
      <c r="O646">
        <v>714</v>
      </c>
      <c r="P646">
        <v>0.95</v>
      </c>
      <c r="Q646">
        <v>0.68</v>
      </c>
      <c r="R646" s="97" t="s">
        <v>1200</v>
      </c>
      <c r="S646" s="97" t="s">
        <v>195</v>
      </c>
    </row>
    <row r="647" spans="1:19" x14ac:dyDescent="0.3">
      <c r="A647" s="97" t="s">
        <v>295</v>
      </c>
      <c r="B647" s="97" t="s">
        <v>22</v>
      </c>
      <c r="C647">
        <v>2026</v>
      </c>
      <c r="D647">
        <v>1</v>
      </c>
      <c r="E647" s="2">
        <v>46048</v>
      </c>
      <c r="F647" s="97" t="s">
        <v>7</v>
      </c>
      <c r="G647" s="97" t="s">
        <v>8</v>
      </c>
      <c r="H647" s="97" t="s">
        <v>70</v>
      </c>
      <c r="I647" s="97" t="s">
        <v>84</v>
      </c>
      <c r="J647" s="97" t="s">
        <v>85</v>
      </c>
      <c r="K647" s="97" t="s">
        <v>73</v>
      </c>
      <c r="L647">
        <v>701000</v>
      </c>
      <c r="M647" s="97" t="s">
        <v>62</v>
      </c>
      <c r="N647" s="97" t="s">
        <v>33</v>
      </c>
      <c r="O647">
        <v>4404</v>
      </c>
      <c r="P647">
        <v>0.95</v>
      </c>
      <c r="Q647">
        <v>4.18</v>
      </c>
      <c r="R647" s="97" t="s">
        <v>1202</v>
      </c>
      <c r="S647" s="97" t="s">
        <v>195</v>
      </c>
    </row>
    <row r="648" spans="1:19" x14ac:dyDescent="0.3">
      <c r="A648" s="97" t="s">
        <v>296</v>
      </c>
      <c r="B648" s="97" t="s">
        <v>22</v>
      </c>
      <c r="C648">
        <v>2026</v>
      </c>
      <c r="D648">
        <v>1</v>
      </c>
      <c r="E648" s="2">
        <v>46048</v>
      </c>
      <c r="F648" s="97" t="s">
        <v>7</v>
      </c>
      <c r="G648" s="97" t="s">
        <v>8</v>
      </c>
      <c r="H648" s="97" t="s">
        <v>70</v>
      </c>
      <c r="I648" s="97" t="s">
        <v>84</v>
      </c>
      <c r="J648" s="97" t="s">
        <v>85</v>
      </c>
      <c r="K648" s="97" t="s">
        <v>73</v>
      </c>
      <c r="L648">
        <v>701000</v>
      </c>
      <c r="M648" s="97" t="s">
        <v>62</v>
      </c>
      <c r="N648" s="97" t="s">
        <v>33</v>
      </c>
      <c r="O648">
        <v>5231</v>
      </c>
      <c r="P648">
        <v>0.95</v>
      </c>
      <c r="Q648">
        <v>4.97</v>
      </c>
      <c r="R648" s="97" t="s">
        <v>1199</v>
      </c>
      <c r="S648" s="97" t="s">
        <v>195</v>
      </c>
    </row>
    <row r="649" spans="1:19" x14ac:dyDescent="0.3">
      <c r="A649" s="97" t="s">
        <v>297</v>
      </c>
      <c r="B649" s="97" t="s">
        <v>22</v>
      </c>
      <c r="C649">
        <v>2026</v>
      </c>
      <c r="D649">
        <v>1</v>
      </c>
      <c r="E649" s="2">
        <v>46048</v>
      </c>
      <c r="F649" s="97" t="s">
        <v>7</v>
      </c>
      <c r="G649" s="97" t="s">
        <v>8</v>
      </c>
      <c r="H649" s="97" t="s">
        <v>70</v>
      </c>
      <c r="I649" s="97" t="s">
        <v>84</v>
      </c>
      <c r="J649" s="97" t="s">
        <v>85</v>
      </c>
      <c r="K649" s="97" t="s">
        <v>73</v>
      </c>
      <c r="L649">
        <v>701000</v>
      </c>
      <c r="M649" s="97" t="s">
        <v>62</v>
      </c>
      <c r="N649" s="97" t="s">
        <v>33</v>
      </c>
      <c r="O649">
        <v>4039</v>
      </c>
      <c r="P649">
        <v>0.95</v>
      </c>
      <c r="Q649">
        <v>3.84</v>
      </c>
      <c r="R649" s="97" t="s">
        <v>1200</v>
      </c>
      <c r="S649" s="97" t="s">
        <v>195</v>
      </c>
    </row>
    <row r="650" spans="1:19" x14ac:dyDescent="0.3">
      <c r="A650" s="97" t="s">
        <v>298</v>
      </c>
      <c r="B650" s="97" t="s">
        <v>22</v>
      </c>
      <c r="C650">
        <v>2026</v>
      </c>
      <c r="D650">
        <v>1</v>
      </c>
      <c r="E650" s="2">
        <v>46048</v>
      </c>
      <c r="F650" s="97" t="s">
        <v>7</v>
      </c>
      <c r="G650" s="97" t="s">
        <v>8</v>
      </c>
      <c r="H650" s="97" t="s">
        <v>70</v>
      </c>
      <c r="I650" s="97" t="s">
        <v>84</v>
      </c>
      <c r="J650" s="97" t="s">
        <v>85</v>
      </c>
      <c r="K650" s="97" t="s">
        <v>73</v>
      </c>
      <c r="L650">
        <v>701000</v>
      </c>
      <c r="M650" s="97" t="s">
        <v>62</v>
      </c>
      <c r="N650" s="97" t="s">
        <v>33</v>
      </c>
      <c r="O650">
        <v>1769</v>
      </c>
      <c r="P650">
        <v>0.95</v>
      </c>
      <c r="Q650">
        <v>1.68</v>
      </c>
      <c r="R650" s="97" t="s">
        <v>1204</v>
      </c>
      <c r="S650" s="97" t="s">
        <v>195</v>
      </c>
    </row>
    <row r="651" spans="1:19" x14ac:dyDescent="0.3">
      <c r="A651" s="97" t="s">
        <v>299</v>
      </c>
      <c r="B651" s="97" t="s">
        <v>22</v>
      </c>
      <c r="C651">
        <v>2026</v>
      </c>
      <c r="D651">
        <v>1</v>
      </c>
      <c r="E651" s="2">
        <v>46048</v>
      </c>
      <c r="F651" s="97" t="s">
        <v>7</v>
      </c>
      <c r="G651" s="97" t="s">
        <v>8</v>
      </c>
      <c r="H651" s="97" t="s">
        <v>70</v>
      </c>
      <c r="I651" s="97" t="s">
        <v>84</v>
      </c>
      <c r="J651" s="97" t="s">
        <v>85</v>
      </c>
      <c r="K651" s="97" t="s">
        <v>73</v>
      </c>
      <c r="L651">
        <v>701000</v>
      </c>
      <c r="M651" s="97" t="s">
        <v>62</v>
      </c>
      <c r="N651" s="97" t="s">
        <v>33</v>
      </c>
      <c r="O651">
        <v>3027</v>
      </c>
      <c r="P651">
        <v>0.95</v>
      </c>
      <c r="Q651">
        <v>2.88</v>
      </c>
      <c r="R651" s="97" t="s">
        <v>1203</v>
      </c>
      <c r="S651" s="97" t="s">
        <v>195</v>
      </c>
    </row>
    <row r="652" spans="1:19" x14ac:dyDescent="0.3">
      <c r="A652" s="97" t="s">
        <v>405</v>
      </c>
      <c r="B652" s="97" t="s">
        <v>22</v>
      </c>
      <c r="C652">
        <v>2026</v>
      </c>
      <c r="D652">
        <v>1</v>
      </c>
      <c r="E652" s="2">
        <v>46048</v>
      </c>
      <c r="F652" s="97" t="s">
        <v>7</v>
      </c>
      <c r="G652" s="97" t="s">
        <v>8</v>
      </c>
      <c r="H652" s="97" t="s">
        <v>70</v>
      </c>
      <c r="I652" s="97" t="s">
        <v>75</v>
      </c>
      <c r="J652" s="97" t="s">
        <v>76</v>
      </c>
      <c r="K652" s="97" t="s">
        <v>73</v>
      </c>
      <c r="L652">
        <v>701000</v>
      </c>
      <c r="M652" s="97" t="s">
        <v>62</v>
      </c>
      <c r="N652" s="97" t="s">
        <v>33</v>
      </c>
      <c r="O652">
        <v>2246</v>
      </c>
      <c r="P652">
        <v>1.4</v>
      </c>
      <c r="Q652">
        <v>3.15</v>
      </c>
      <c r="R652" s="97" t="s">
        <v>1205</v>
      </c>
      <c r="S652" s="97" t="s">
        <v>195</v>
      </c>
    </row>
    <row r="653" spans="1:19" x14ac:dyDescent="0.3">
      <c r="A653" s="97" t="s">
        <v>406</v>
      </c>
      <c r="B653" s="97" t="s">
        <v>22</v>
      </c>
      <c r="C653">
        <v>2026</v>
      </c>
      <c r="D653">
        <v>1</v>
      </c>
      <c r="E653" s="2">
        <v>46048</v>
      </c>
      <c r="F653" s="97" t="s">
        <v>7</v>
      </c>
      <c r="G653" s="97" t="s">
        <v>8</v>
      </c>
      <c r="H653" s="97" t="s">
        <v>70</v>
      </c>
      <c r="I653" s="97" t="s">
        <v>75</v>
      </c>
      <c r="J653" s="97" t="s">
        <v>76</v>
      </c>
      <c r="K653" s="97" t="s">
        <v>73</v>
      </c>
      <c r="L653">
        <v>701000</v>
      </c>
      <c r="M653" s="97" t="s">
        <v>62</v>
      </c>
      <c r="N653" s="97" t="s">
        <v>33</v>
      </c>
      <c r="O653">
        <v>873</v>
      </c>
      <c r="P653">
        <v>1.4</v>
      </c>
      <c r="Q653">
        <v>1.22</v>
      </c>
      <c r="R653" s="97" t="s">
        <v>1202</v>
      </c>
      <c r="S653" s="97" t="s">
        <v>195</v>
      </c>
    </row>
    <row r="654" spans="1:19" x14ac:dyDescent="0.3">
      <c r="A654" s="97" t="s">
        <v>407</v>
      </c>
      <c r="B654" s="97" t="s">
        <v>22</v>
      </c>
      <c r="C654">
        <v>2026</v>
      </c>
      <c r="D654">
        <v>1</v>
      </c>
      <c r="E654" s="2">
        <v>46048</v>
      </c>
      <c r="F654" s="97" t="s">
        <v>7</v>
      </c>
      <c r="G654" s="97" t="s">
        <v>8</v>
      </c>
      <c r="H654" s="97" t="s">
        <v>70</v>
      </c>
      <c r="I654" s="97" t="s">
        <v>75</v>
      </c>
      <c r="J654" s="97" t="s">
        <v>76</v>
      </c>
      <c r="K654" s="97" t="s">
        <v>73</v>
      </c>
      <c r="L654">
        <v>701000</v>
      </c>
      <c r="M654" s="97" t="s">
        <v>62</v>
      </c>
      <c r="N654" s="97" t="s">
        <v>33</v>
      </c>
      <c r="O654">
        <v>1912</v>
      </c>
      <c r="P654">
        <v>1.4</v>
      </c>
      <c r="Q654">
        <v>2.68</v>
      </c>
      <c r="R654" s="97" t="s">
        <v>1204</v>
      </c>
      <c r="S654" s="97" t="s">
        <v>195</v>
      </c>
    </row>
    <row r="655" spans="1:19" x14ac:dyDescent="0.3">
      <c r="A655" s="97" t="s">
        <v>408</v>
      </c>
      <c r="B655" s="97" t="s">
        <v>22</v>
      </c>
      <c r="C655">
        <v>2026</v>
      </c>
      <c r="D655">
        <v>1</v>
      </c>
      <c r="E655" s="2">
        <v>46048</v>
      </c>
      <c r="F655" s="97" t="s">
        <v>7</v>
      </c>
      <c r="G655" s="97" t="s">
        <v>8</v>
      </c>
      <c r="H655" s="97" t="s">
        <v>70</v>
      </c>
      <c r="I655" s="97" t="s">
        <v>75</v>
      </c>
      <c r="J655" s="97" t="s">
        <v>76</v>
      </c>
      <c r="K655" s="97" t="s">
        <v>73</v>
      </c>
      <c r="L655">
        <v>701000</v>
      </c>
      <c r="M655" s="97" t="s">
        <v>62</v>
      </c>
      <c r="N655" s="97" t="s">
        <v>33</v>
      </c>
      <c r="O655">
        <v>913</v>
      </c>
      <c r="P655">
        <v>1.4</v>
      </c>
      <c r="Q655">
        <v>1.28</v>
      </c>
      <c r="R655" s="97" t="s">
        <v>1199</v>
      </c>
      <c r="S655" s="97" t="s">
        <v>195</v>
      </c>
    </row>
    <row r="656" spans="1:19" x14ac:dyDescent="0.3">
      <c r="A656" s="97" t="s">
        <v>409</v>
      </c>
      <c r="B656" s="97" t="s">
        <v>22</v>
      </c>
      <c r="C656">
        <v>2026</v>
      </c>
      <c r="D656">
        <v>1</v>
      </c>
      <c r="E656" s="2">
        <v>46048</v>
      </c>
      <c r="F656" s="97" t="s">
        <v>7</v>
      </c>
      <c r="G656" s="97" t="s">
        <v>8</v>
      </c>
      <c r="H656" s="97" t="s">
        <v>70</v>
      </c>
      <c r="I656" s="97" t="s">
        <v>75</v>
      </c>
      <c r="J656" s="97" t="s">
        <v>76</v>
      </c>
      <c r="K656" s="97" t="s">
        <v>73</v>
      </c>
      <c r="L656">
        <v>701000</v>
      </c>
      <c r="M656" s="97" t="s">
        <v>62</v>
      </c>
      <c r="N656" s="97" t="s">
        <v>33</v>
      </c>
      <c r="O656">
        <v>2795</v>
      </c>
      <c r="P656">
        <v>1.4</v>
      </c>
      <c r="Q656">
        <v>3.91</v>
      </c>
      <c r="R656" s="97" t="s">
        <v>1201</v>
      </c>
      <c r="S656" s="97" t="s">
        <v>195</v>
      </c>
    </row>
    <row r="657" spans="1:19" x14ac:dyDescent="0.3">
      <c r="A657" s="97" t="s">
        <v>775</v>
      </c>
      <c r="B657" s="97" t="s">
        <v>22</v>
      </c>
      <c r="C657">
        <v>2026</v>
      </c>
      <c r="D657">
        <v>1</v>
      </c>
      <c r="E657" s="2">
        <v>46048</v>
      </c>
      <c r="F657" s="97" t="s">
        <v>7</v>
      </c>
      <c r="G657" s="97" t="s">
        <v>8</v>
      </c>
      <c r="H657" s="97" t="s">
        <v>70</v>
      </c>
      <c r="I657" s="97" t="s">
        <v>82</v>
      </c>
      <c r="J657" s="97" t="s">
        <v>83</v>
      </c>
      <c r="K657" s="97" t="s">
        <v>73</v>
      </c>
      <c r="L657">
        <v>701000</v>
      </c>
      <c r="M657" s="97" t="s">
        <v>62</v>
      </c>
      <c r="N657" s="97" t="s">
        <v>33</v>
      </c>
      <c r="O657">
        <v>150</v>
      </c>
      <c r="P657">
        <v>18.47</v>
      </c>
      <c r="Q657">
        <v>2.77</v>
      </c>
      <c r="R657" s="97" t="s">
        <v>1198</v>
      </c>
      <c r="S657" s="97" t="s">
        <v>195</v>
      </c>
    </row>
    <row r="658" spans="1:19" x14ac:dyDescent="0.3">
      <c r="A658" s="97" t="s">
        <v>776</v>
      </c>
      <c r="B658" s="97" t="s">
        <v>22</v>
      </c>
      <c r="C658">
        <v>2026</v>
      </c>
      <c r="D658">
        <v>1</v>
      </c>
      <c r="E658" s="2">
        <v>46048</v>
      </c>
      <c r="F658" s="97" t="s">
        <v>7</v>
      </c>
      <c r="G658" s="97" t="s">
        <v>8</v>
      </c>
      <c r="H658" s="97" t="s">
        <v>70</v>
      </c>
      <c r="I658" s="97" t="s">
        <v>82</v>
      </c>
      <c r="J658" s="97" t="s">
        <v>83</v>
      </c>
      <c r="K658" s="97" t="s">
        <v>73</v>
      </c>
      <c r="L658">
        <v>701000</v>
      </c>
      <c r="M658" s="97" t="s">
        <v>62</v>
      </c>
      <c r="N658" s="97" t="s">
        <v>33</v>
      </c>
      <c r="O658">
        <v>105</v>
      </c>
      <c r="P658">
        <v>18.57</v>
      </c>
      <c r="Q658">
        <v>1.95</v>
      </c>
      <c r="R658" s="97" t="s">
        <v>1201</v>
      </c>
      <c r="S658" s="97" t="s">
        <v>195</v>
      </c>
    </row>
    <row r="659" spans="1:19" x14ac:dyDescent="0.3">
      <c r="A659" s="97" t="s">
        <v>777</v>
      </c>
      <c r="B659" s="97" t="s">
        <v>22</v>
      </c>
      <c r="C659">
        <v>2026</v>
      </c>
      <c r="D659">
        <v>1</v>
      </c>
      <c r="E659" s="2">
        <v>46048</v>
      </c>
      <c r="F659" s="97" t="s">
        <v>7</v>
      </c>
      <c r="G659" s="97" t="s">
        <v>8</v>
      </c>
      <c r="H659" s="97" t="s">
        <v>70</v>
      </c>
      <c r="I659" s="97" t="s">
        <v>82</v>
      </c>
      <c r="J659" s="97" t="s">
        <v>83</v>
      </c>
      <c r="K659" s="97" t="s">
        <v>73</v>
      </c>
      <c r="L659">
        <v>701000</v>
      </c>
      <c r="M659" s="97" t="s">
        <v>62</v>
      </c>
      <c r="N659" s="97" t="s">
        <v>33</v>
      </c>
      <c r="O659">
        <v>80</v>
      </c>
      <c r="P659">
        <v>18.5</v>
      </c>
      <c r="Q659">
        <v>1.48</v>
      </c>
      <c r="R659" s="97" t="s">
        <v>1205</v>
      </c>
      <c r="S659" s="97" t="s">
        <v>195</v>
      </c>
    </row>
    <row r="660" spans="1:19" x14ac:dyDescent="0.3">
      <c r="A660" s="97" t="s">
        <v>778</v>
      </c>
      <c r="B660" s="97" t="s">
        <v>22</v>
      </c>
      <c r="C660">
        <v>2026</v>
      </c>
      <c r="D660">
        <v>1</v>
      </c>
      <c r="E660" s="2">
        <v>46048</v>
      </c>
      <c r="F660" s="97" t="s">
        <v>7</v>
      </c>
      <c r="G660" s="97" t="s">
        <v>8</v>
      </c>
      <c r="H660" s="97" t="s">
        <v>70</v>
      </c>
      <c r="I660" s="97" t="s">
        <v>82</v>
      </c>
      <c r="J660" s="97" t="s">
        <v>83</v>
      </c>
      <c r="K660" s="97" t="s">
        <v>73</v>
      </c>
      <c r="L660">
        <v>701000</v>
      </c>
      <c r="M660" s="97" t="s">
        <v>62</v>
      </c>
      <c r="N660" s="97" t="s">
        <v>33</v>
      </c>
      <c r="O660">
        <v>114</v>
      </c>
      <c r="P660">
        <v>18.510000000000002</v>
      </c>
      <c r="Q660">
        <v>2.11</v>
      </c>
      <c r="R660" s="97" t="s">
        <v>1203</v>
      </c>
      <c r="S660" s="97" t="s">
        <v>195</v>
      </c>
    </row>
    <row r="661" spans="1:19" x14ac:dyDescent="0.3">
      <c r="A661" s="97" t="s">
        <v>779</v>
      </c>
      <c r="B661" s="97" t="s">
        <v>22</v>
      </c>
      <c r="C661">
        <v>2026</v>
      </c>
      <c r="D661">
        <v>1</v>
      </c>
      <c r="E661" s="2">
        <v>46048</v>
      </c>
      <c r="F661" s="97" t="s">
        <v>7</v>
      </c>
      <c r="G661" s="97" t="s">
        <v>8</v>
      </c>
      <c r="H661" s="97" t="s">
        <v>70</v>
      </c>
      <c r="I661" s="97" t="s">
        <v>82</v>
      </c>
      <c r="J661" s="97" t="s">
        <v>83</v>
      </c>
      <c r="K661" s="97" t="s">
        <v>73</v>
      </c>
      <c r="L661">
        <v>701000</v>
      </c>
      <c r="M661" s="97" t="s">
        <v>62</v>
      </c>
      <c r="N661" s="97" t="s">
        <v>33</v>
      </c>
      <c r="O661">
        <v>111</v>
      </c>
      <c r="P661">
        <v>18.38</v>
      </c>
      <c r="Q661">
        <v>2.04</v>
      </c>
      <c r="R661" s="97" t="s">
        <v>1202</v>
      </c>
      <c r="S661" s="97" t="s">
        <v>195</v>
      </c>
    </row>
    <row r="662" spans="1:19" x14ac:dyDescent="0.3">
      <c r="A662" s="97" t="s">
        <v>205</v>
      </c>
      <c r="B662" s="97" t="s">
        <v>22</v>
      </c>
      <c r="C662">
        <v>2026</v>
      </c>
      <c r="D662">
        <v>1</v>
      </c>
      <c r="E662" s="2">
        <v>46049</v>
      </c>
      <c r="F662" s="97" t="s">
        <v>7</v>
      </c>
      <c r="G662" s="97" t="s">
        <v>8</v>
      </c>
      <c r="H662" s="97" t="s">
        <v>70</v>
      </c>
      <c r="I662" s="97" t="s">
        <v>84</v>
      </c>
      <c r="J662" s="97" t="s">
        <v>85</v>
      </c>
      <c r="K662" s="97" t="s">
        <v>73</v>
      </c>
      <c r="L662">
        <v>701000</v>
      </c>
      <c r="M662" s="97" t="s">
        <v>62</v>
      </c>
      <c r="N662" s="97" t="s">
        <v>33</v>
      </c>
      <c r="O662">
        <v>1603</v>
      </c>
      <c r="P662">
        <v>0.95</v>
      </c>
      <c r="Q662">
        <v>1.52</v>
      </c>
      <c r="R662" s="97" t="s">
        <v>1201</v>
      </c>
      <c r="S662" s="97" t="s">
        <v>195</v>
      </c>
    </row>
    <row r="663" spans="1:19" x14ac:dyDescent="0.3">
      <c r="A663" s="97" t="s">
        <v>206</v>
      </c>
      <c r="B663" s="97" t="s">
        <v>22</v>
      </c>
      <c r="C663">
        <v>2026</v>
      </c>
      <c r="D663">
        <v>1</v>
      </c>
      <c r="E663" s="2">
        <v>46049</v>
      </c>
      <c r="F663" s="97" t="s">
        <v>7</v>
      </c>
      <c r="G663" s="97" t="s">
        <v>8</v>
      </c>
      <c r="H663" s="97" t="s">
        <v>70</v>
      </c>
      <c r="I663" s="97" t="s">
        <v>84</v>
      </c>
      <c r="J663" s="97" t="s">
        <v>85</v>
      </c>
      <c r="K663" s="97" t="s">
        <v>73</v>
      </c>
      <c r="L663">
        <v>701000</v>
      </c>
      <c r="M663" s="97" t="s">
        <v>62</v>
      </c>
      <c r="N663" s="97" t="s">
        <v>33</v>
      </c>
      <c r="O663">
        <v>2956</v>
      </c>
      <c r="P663">
        <v>0.95</v>
      </c>
      <c r="Q663">
        <v>2.81</v>
      </c>
      <c r="R663" s="97" t="s">
        <v>1204</v>
      </c>
      <c r="S663" s="97" t="s">
        <v>195</v>
      </c>
    </row>
    <row r="664" spans="1:19" x14ac:dyDescent="0.3">
      <c r="A664" s="97" t="s">
        <v>207</v>
      </c>
      <c r="B664" s="97" t="s">
        <v>22</v>
      </c>
      <c r="C664">
        <v>2026</v>
      </c>
      <c r="D664">
        <v>1</v>
      </c>
      <c r="E664" s="2">
        <v>46049</v>
      </c>
      <c r="F664" s="97" t="s">
        <v>7</v>
      </c>
      <c r="G664" s="97" t="s">
        <v>8</v>
      </c>
      <c r="H664" s="97" t="s">
        <v>70</v>
      </c>
      <c r="I664" s="97" t="s">
        <v>84</v>
      </c>
      <c r="J664" s="97" t="s">
        <v>85</v>
      </c>
      <c r="K664" s="97" t="s">
        <v>73</v>
      </c>
      <c r="L664">
        <v>701000</v>
      </c>
      <c r="M664" s="97" t="s">
        <v>62</v>
      </c>
      <c r="N664" s="97" t="s">
        <v>33</v>
      </c>
      <c r="O664">
        <v>1767</v>
      </c>
      <c r="P664">
        <v>0.95</v>
      </c>
      <c r="Q664">
        <v>1.68</v>
      </c>
      <c r="R664" s="97" t="s">
        <v>1202</v>
      </c>
      <c r="S664" s="97" t="s">
        <v>195</v>
      </c>
    </row>
    <row r="665" spans="1:19" x14ac:dyDescent="0.3">
      <c r="A665" s="97" t="s">
        <v>208</v>
      </c>
      <c r="B665" s="97" t="s">
        <v>22</v>
      </c>
      <c r="C665">
        <v>2026</v>
      </c>
      <c r="D665">
        <v>1</v>
      </c>
      <c r="E665" s="2">
        <v>46049</v>
      </c>
      <c r="F665" s="97" t="s">
        <v>7</v>
      </c>
      <c r="G665" s="97" t="s">
        <v>8</v>
      </c>
      <c r="H665" s="97" t="s">
        <v>70</v>
      </c>
      <c r="I665" s="97" t="s">
        <v>84</v>
      </c>
      <c r="J665" s="97" t="s">
        <v>85</v>
      </c>
      <c r="K665" s="97" t="s">
        <v>73</v>
      </c>
      <c r="L665">
        <v>701000</v>
      </c>
      <c r="M665" s="97" t="s">
        <v>62</v>
      </c>
      <c r="N665" s="97" t="s">
        <v>33</v>
      </c>
      <c r="O665">
        <v>8038</v>
      </c>
      <c r="P665">
        <v>0.95</v>
      </c>
      <c r="Q665">
        <v>7.63</v>
      </c>
      <c r="R665" s="97" t="s">
        <v>1199</v>
      </c>
      <c r="S665" s="97" t="s">
        <v>195</v>
      </c>
    </row>
    <row r="666" spans="1:19" x14ac:dyDescent="0.3">
      <c r="A666" s="97" t="s">
        <v>209</v>
      </c>
      <c r="B666" s="97" t="s">
        <v>22</v>
      </c>
      <c r="C666">
        <v>2026</v>
      </c>
      <c r="D666">
        <v>1</v>
      </c>
      <c r="E666" s="2">
        <v>46049</v>
      </c>
      <c r="F666" s="97" t="s">
        <v>7</v>
      </c>
      <c r="G666" s="97" t="s">
        <v>8</v>
      </c>
      <c r="H666" s="97" t="s">
        <v>70</v>
      </c>
      <c r="I666" s="97" t="s">
        <v>84</v>
      </c>
      <c r="J666" s="97" t="s">
        <v>85</v>
      </c>
      <c r="K666" s="97" t="s">
        <v>73</v>
      </c>
      <c r="L666">
        <v>701000</v>
      </c>
      <c r="M666" s="97" t="s">
        <v>62</v>
      </c>
      <c r="N666" s="97" t="s">
        <v>33</v>
      </c>
      <c r="O666">
        <v>2144</v>
      </c>
      <c r="P666">
        <v>0.95</v>
      </c>
      <c r="Q666">
        <v>2.04</v>
      </c>
      <c r="R666" s="97" t="s">
        <v>1198</v>
      </c>
      <c r="S666" s="97" t="s">
        <v>195</v>
      </c>
    </row>
    <row r="667" spans="1:19" x14ac:dyDescent="0.3">
      <c r="A667" s="97" t="s">
        <v>225</v>
      </c>
      <c r="B667" s="97" t="s">
        <v>22</v>
      </c>
      <c r="C667">
        <v>2026</v>
      </c>
      <c r="D667">
        <v>1</v>
      </c>
      <c r="E667" s="2">
        <v>46049</v>
      </c>
      <c r="F667" s="97" t="s">
        <v>7</v>
      </c>
      <c r="G667" s="97" t="s">
        <v>8</v>
      </c>
      <c r="H667" s="97" t="s">
        <v>70</v>
      </c>
      <c r="I667" s="97" t="s">
        <v>84</v>
      </c>
      <c r="J667" s="97" t="s">
        <v>85</v>
      </c>
      <c r="K667" s="97" t="s">
        <v>73</v>
      </c>
      <c r="L667">
        <v>701000</v>
      </c>
      <c r="M667" s="97" t="s">
        <v>62</v>
      </c>
      <c r="N667" s="97" t="s">
        <v>33</v>
      </c>
      <c r="O667">
        <v>2672</v>
      </c>
      <c r="P667">
        <v>0.95</v>
      </c>
      <c r="Q667">
        <v>2.54</v>
      </c>
      <c r="R667" s="97" t="s">
        <v>1199</v>
      </c>
      <c r="S667" s="97" t="s">
        <v>195</v>
      </c>
    </row>
    <row r="668" spans="1:19" x14ac:dyDescent="0.3">
      <c r="A668" s="97" t="s">
        <v>226</v>
      </c>
      <c r="B668" s="97" t="s">
        <v>22</v>
      </c>
      <c r="C668">
        <v>2026</v>
      </c>
      <c r="D668">
        <v>1</v>
      </c>
      <c r="E668" s="2">
        <v>46049</v>
      </c>
      <c r="F668" s="97" t="s">
        <v>7</v>
      </c>
      <c r="G668" s="97" t="s">
        <v>8</v>
      </c>
      <c r="H668" s="97" t="s">
        <v>70</v>
      </c>
      <c r="I668" s="97" t="s">
        <v>84</v>
      </c>
      <c r="J668" s="97" t="s">
        <v>85</v>
      </c>
      <c r="K668" s="97" t="s">
        <v>73</v>
      </c>
      <c r="L668">
        <v>701000</v>
      </c>
      <c r="M668" s="97" t="s">
        <v>62</v>
      </c>
      <c r="N668" s="97" t="s">
        <v>33</v>
      </c>
      <c r="O668">
        <v>4996</v>
      </c>
      <c r="P668">
        <v>0.95</v>
      </c>
      <c r="Q668">
        <v>4.75</v>
      </c>
      <c r="R668" s="97" t="s">
        <v>1205</v>
      </c>
      <c r="S668" s="97" t="s">
        <v>195</v>
      </c>
    </row>
    <row r="669" spans="1:19" x14ac:dyDescent="0.3">
      <c r="A669" s="97" t="s">
        <v>227</v>
      </c>
      <c r="B669" s="97" t="s">
        <v>22</v>
      </c>
      <c r="C669">
        <v>2026</v>
      </c>
      <c r="D669">
        <v>1</v>
      </c>
      <c r="E669" s="2">
        <v>46049</v>
      </c>
      <c r="F669" s="97" t="s">
        <v>7</v>
      </c>
      <c r="G669" s="97" t="s">
        <v>8</v>
      </c>
      <c r="H669" s="97" t="s">
        <v>70</v>
      </c>
      <c r="I669" s="97" t="s">
        <v>84</v>
      </c>
      <c r="J669" s="97" t="s">
        <v>85</v>
      </c>
      <c r="K669" s="97" t="s">
        <v>73</v>
      </c>
      <c r="L669">
        <v>701000</v>
      </c>
      <c r="M669" s="97" t="s">
        <v>62</v>
      </c>
      <c r="N669" s="97" t="s">
        <v>33</v>
      </c>
      <c r="O669">
        <v>4257</v>
      </c>
      <c r="P669">
        <v>0.95</v>
      </c>
      <c r="Q669">
        <v>4.05</v>
      </c>
      <c r="R669" s="97" t="s">
        <v>1201</v>
      </c>
      <c r="S669" s="97" t="s">
        <v>195</v>
      </c>
    </row>
    <row r="670" spans="1:19" x14ac:dyDescent="0.3">
      <c r="A670" s="97" t="s">
        <v>228</v>
      </c>
      <c r="B670" s="97" t="s">
        <v>22</v>
      </c>
      <c r="C670">
        <v>2026</v>
      </c>
      <c r="D670">
        <v>1</v>
      </c>
      <c r="E670" s="2">
        <v>46049</v>
      </c>
      <c r="F670" s="97" t="s">
        <v>7</v>
      </c>
      <c r="G670" s="97" t="s">
        <v>8</v>
      </c>
      <c r="H670" s="97" t="s">
        <v>70</v>
      </c>
      <c r="I670" s="97" t="s">
        <v>84</v>
      </c>
      <c r="J670" s="97" t="s">
        <v>85</v>
      </c>
      <c r="K670" s="97" t="s">
        <v>73</v>
      </c>
      <c r="L670">
        <v>701000</v>
      </c>
      <c r="M670" s="97" t="s">
        <v>62</v>
      </c>
      <c r="N670" s="97" t="s">
        <v>33</v>
      </c>
      <c r="O670">
        <v>2193</v>
      </c>
      <c r="P670">
        <v>0.95</v>
      </c>
      <c r="Q670">
        <v>2.08</v>
      </c>
      <c r="R670" s="97" t="s">
        <v>1203</v>
      </c>
      <c r="S670" s="97" t="s">
        <v>195</v>
      </c>
    </row>
    <row r="671" spans="1:19" x14ac:dyDescent="0.3">
      <c r="A671" s="97" t="s">
        <v>229</v>
      </c>
      <c r="B671" s="97" t="s">
        <v>22</v>
      </c>
      <c r="C671">
        <v>2026</v>
      </c>
      <c r="D671">
        <v>1</v>
      </c>
      <c r="E671" s="2">
        <v>46049</v>
      </c>
      <c r="F671" s="97" t="s">
        <v>7</v>
      </c>
      <c r="G671" s="97" t="s">
        <v>8</v>
      </c>
      <c r="H671" s="97" t="s">
        <v>70</v>
      </c>
      <c r="I671" s="97" t="s">
        <v>84</v>
      </c>
      <c r="J671" s="97" t="s">
        <v>85</v>
      </c>
      <c r="K671" s="97" t="s">
        <v>73</v>
      </c>
      <c r="L671">
        <v>701000</v>
      </c>
      <c r="M671" s="97" t="s">
        <v>62</v>
      </c>
      <c r="N671" s="97" t="s">
        <v>33</v>
      </c>
      <c r="O671">
        <v>2309</v>
      </c>
      <c r="P671">
        <v>0.95</v>
      </c>
      <c r="Q671">
        <v>2.19</v>
      </c>
      <c r="R671" s="97" t="s">
        <v>1198</v>
      </c>
      <c r="S671" s="97" t="s">
        <v>195</v>
      </c>
    </row>
    <row r="672" spans="1:19" x14ac:dyDescent="0.3">
      <c r="A672" s="97" t="s">
        <v>345</v>
      </c>
      <c r="B672" s="97" t="s">
        <v>22</v>
      </c>
      <c r="C672">
        <v>2026</v>
      </c>
      <c r="D672">
        <v>1</v>
      </c>
      <c r="E672" s="2">
        <v>46050</v>
      </c>
      <c r="F672" s="97" t="s">
        <v>7</v>
      </c>
      <c r="G672" s="97" t="s">
        <v>8</v>
      </c>
      <c r="H672" s="97" t="s">
        <v>74</v>
      </c>
      <c r="I672" s="97" t="s">
        <v>71</v>
      </c>
      <c r="J672" s="97" t="s">
        <v>72</v>
      </c>
      <c r="K672" s="97" t="s">
        <v>73</v>
      </c>
      <c r="L672">
        <v>701000</v>
      </c>
      <c r="M672" s="97" t="s">
        <v>62</v>
      </c>
      <c r="N672" s="97" t="s">
        <v>33</v>
      </c>
      <c r="O672">
        <v>3441</v>
      </c>
      <c r="P672">
        <v>1.05</v>
      </c>
      <c r="Q672">
        <v>3.61</v>
      </c>
      <c r="R672" s="97" t="s">
        <v>1198</v>
      </c>
      <c r="S672" s="97" t="s">
        <v>195</v>
      </c>
    </row>
    <row r="673" spans="1:19" x14ac:dyDescent="0.3">
      <c r="A673" s="97" t="s">
        <v>346</v>
      </c>
      <c r="B673" s="97" t="s">
        <v>22</v>
      </c>
      <c r="C673">
        <v>2026</v>
      </c>
      <c r="D673">
        <v>1</v>
      </c>
      <c r="E673" s="2">
        <v>46050</v>
      </c>
      <c r="F673" s="97" t="s">
        <v>7</v>
      </c>
      <c r="G673" s="97" t="s">
        <v>8</v>
      </c>
      <c r="H673" s="97" t="s">
        <v>74</v>
      </c>
      <c r="I673" s="97" t="s">
        <v>71</v>
      </c>
      <c r="J673" s="97" t="s">
        <v>72</v>
      </c>
      <c r="K673" s="97" t="s">
        <v>73</v>
      </c>
      <c r="L673">
        <v>701000</v>
      </c>
      <c r="M673" s="97" t="s">
        <v>62</v>
      </c>
      <c r="N673" s="97" t="s">
        <v>33</v>
      </c>
      <c r="O673">
        <v>2380</v>
      </c>
      <c r="P673">
        <v>1.05</v>
      </c>
      <c r="Q673">
        <v>2.5</v>
      </c>
      <c r="R673" s="97" t="s">
        <v>1199</v>
      </c>
      <c r="S673" s="97" t="s">
        <v>195</v>
      </c>
    </row>
    <row r="674" spans="1:19" x14ac:dyDescent="0.3">
      <c r="A674" s="97" t="s">
        <v>347</v>
      </c>
      <c r="B674" s="97" t="s">
        <v>22</v>
      </c>
      <c r="C674">
        <v>2026</v>
      </c>
      <c r="D674">
        <v>1</v>
      </c>
      <c r="E674" s="2">
        <v>46050</v>
      </c>
      <c r="F674" s="97" t="s">
        <v>7</v>
      </c>
      <c r="G674" s="97" t="s">
        <v>8</v>
      </c>
      <c r="H674" s="97" t="s">
        <v>74</v>
      </c>
      <c r="I674" s="97" t="s">
        <v>71</v>
      </c>
      <c r="J674" s="97" t="s">
        <v>72</v>
      </c>
      <c r="K674" s="97" t="s">
        <v>73</v>
      </c>
      <c r="L674">
        <v>701000</v>
      </c>
      <c r="M674" s="97" t="s">
        <v>62</v>
      </c>
      <c r="N674" s="97" t="s">
        <v>33</v>
      </c>
      <c r="O674">
        <v>3680</v>
      </c>
      <c r="P674">
        <v>1.05</v>
      </c>
      <c r="Q674">
        <v>3.86</v>
      </c>
      <c r="R674" s="97" t="s">
        <v>1203</v>
      </c>
      <c r="S674" s="97" t="s">
        <v>195</v>
      </c>
    </row>
    <row r="675" spans="1:19" x14ac:dyDescent="0.3">
      <c r="A675" s="97" t="s">
        <v>348</v>
      </c>
      <c r="B675" s="97" t="s">
        <v>22</v>
      </c>
      <c r="C675">
        <v>2026</v>
      </c>
      <c r="D675">
        <v>1</v>
      </c>
      <c r="E675" s="2">
        <v>46050</v>
      </c>
      <c r="F675" s="97" t="s">
        <v>7</v>
      </c>
      <c r="G675" s="97" t="s">
        <v>8</v>
      </c>
      <c r="H675" s="97" t="s">
        <v>74</v>
      </c>
      <c r="I675" s="97" t="s">
        <v>71</v>
      </c>
      <c r="J675" s="97" t="s">
        <v>72</v>
      </c>
      <c r="K675" s="97" t="s">
        <v>73</v>
      </c>
      <c r="L675">
        <v>701000</v>
      </c>
      <c r="M675" s="97" t="s">
        <v>62</v>
      </c>
      <c r="N675" s="97" t="s">
        <v>33</v>
      </c>
      <c r="O675">
        <v>4584</v>
      </c>
      <c r="P675">
        <v>1.05</v>
      </c>
      <c r="Q675">
        <v>4.8099999999999996</v>
      </c>
      <c r="R675" s="97" t="s">
        <v>1204</v>
      </c>
      <c r="S675" s="97" t="s">
        <v>195</v>
      </c>
    </row>
    <row r="676" spans="1:19" x14ac:dyDescent="0.3">
      <c r="A676" s="97" t="s">
        <v>349</v>
      </c>
      <c r="B676" s="97" t="s">
        <v>22</v>
      </c>
      <c r="C676">
        <v>2026</v>
      </c>
      <c r="D676">
        <v>1</v>
      </c>
      <c r="E676" s="2">
        <v>46050</v>
      </c>
      <c r="F676" s="97" t="s">
        <v>7</v>
      </c>
      <c r="G676" s="97" t="s">
        <v>8</v>
      </c>
      <c r="H676" s="97" t="s">
        <v>74</v>
      </c>
      <c r="I676" s="97" t="s">
        <v>71</v>
      </c>
      <c r="J676" s="97" t="s">
        <v>72</v>
      </c>
      <c r="K676" s="97" t="s">
        <v>73</v>
      </c>
      <c r="L676">
        <v>701000</v>
      </c>
      <c r="M676" s="97" t="s">
        <v>62</v>
      </c>
      <c r="N676" s="97" t="s">
        <v>33</v>
      </c>
      <c r="O676">
        <v>2167</v>
      </c>
      <c r="P676">
        <v>1.05</v>
      </c>
      <c r="Q676">
        <v>2.2799999999999998</v>
      </c>
      <c r="R676" s="97" t="s">
        <v>1197</v>
      </c>
      <c r="S676" s="97" t="s">
        <v>195</v>
      </c>
    </row>
    <row r="677" spans="1:19" x14ac:dyDescent="0.3">
      <c r="A677" s="97" t="s">
        <v>425</v>
      </c>
      <c r="B677" s="97" t="s">
        <v>22</v>
      </c>
      <c r="C677">
        <v>2026</v>
      </c>
      <c r="D677">
        <v>1</v>
      </c>
      <c r="E677" s="2">
        <v>46050</v>
      </c>
      <c r="F677" s="97" t="s">
        <v>7</v>
      </c>
      <c r="G677" s="97" t="s">
        <v>8</v>
      </c>
      <c r="H677" s="97" t="s">
        <v>70</v>
      </c>
      <c r="I677" s="97" t="s">
        <v>75</v>
      </c>
      <c r="J677" s="97" t="s">
        <v>76</v>
      </c>
      <c r="K677" s="97" t="s">
        <v>73</v>
      </c>
      <c r="L677">
        <v>707000</v>
      </c>
      <c r="M677" s="97" t="s">
        <v>81</v>
      </c>
      <c r="N677" s="97" t="s">
        <v>33</v>
      </c>
      <c r="O677">
        <v>1553</v>
      </c>
      <c r="P677">
        <v>1.4</v>
      </c>
      <c r="Q677">
        <v>2.17</v>
      </c>
      <c r="R677" s="97" t="s">
        <v>1204</v>
      </c>
      <c r="S677" s="97" t="s">
        <v>195</v>
      </c>
    </row>
    <row r="678" spans="1:19" x14ac:dyDescent="0.3">
      <c r="A678" s="97" t="s">
        <v>426</v>
      </c>
      <c r="B678" s="97" t="s">
        <v>22</v>
      </c>
      <c r="C678">
        <v>2026</v>
      </c>
      <c r="D678">
        <v>1</v>
      </c>
      <c r="E678" s="2">
        <v>46050</v>
      </c>
      <c r="F678" s="97" t="s">
        <v>7</v>
      </c>
      <c r="G678" s="97" t="s">
        <v>8</v>
      </c>
      <c r="H678" s="97" t="s">
        <v>70</v>
      </c>
      <c r="I678" s="97" t="s">
        <v>75</v>
      </c>
      <c r="J678" s="97" t="s">
        <v>76</v>
      </c>
      <c r="K678" s="97" t="s">
        <v>73</v>
      </c>
      <c r="L678">
        <v>707000</v>
      </c>
      <c r="M678" s="97" t="s">
        <v>81</v>
      </c>
      <c r="N678" s="97" t="s">
        <v>33</v>
      </c>
      <c r="O678">
        <v>1546</v>
      </c>
      <c r="P678">
        <v>1.4</v>
      </c>
      <c r="Q678">
        <v>2.17</v>
      </c>
      <c r="R678" s="97" t="s">
        <v>1205</v>
      </c>
      <c r="S678" s="97" t="s">
        <v>195</v>
      </c>
    </row>
    <row r="679" spans="1:19" x14ac:dyDescent="0.3">
      <c r="A679" s="97" t="s">
        <v>427</v>
      </c>
      <c r="B679" s="97" t="s">
        <v>22</v>
      </c>
      <c r="C679">
        <v>2026</v>
      </c>
      <c r="D679">
        <v>1</v>
      </c>
      <c r="E679" s="2">
        <v>46050</v>
      </c>
      <c r="F679" s="97" t="s">
        <v>7</v>
      </c>
      <c r="G679" s="97" t="s">
        <v>8</v>
      </c>
      <c r="H679" s="97" t="s">
        <v>70</v>
      </c>
      <c r="I679" s="97" t="s">
        <v>75</v>
      </c>
      <c r="J679" s="97" t="s">
        <v>76</v>
      </c>
      <c r="K679" s="97" t="s">
        <v>73</v>
      </c>
      <c r="L679">
        <v>707000</v>
      </c>
      <c r="M679" s="97" t="s">
        <v>81</v>
      </c>
      <c r="N679" s="97" t="s">
        <v>33</v>
      </c>
      <c r="O679">
        <v>1441</v>
      </c>
      <c r="P679">
        <v>1.4</v>
      </c>
      <c r="Q679">
        <v>2.02</v>
      </c>
      <c r="R679" s="97" t="s">
        <v>1201</v>
      </c>
      <c r="S679" s="97" t="s">
        <v>195</v>
      </c>
    </row>
    <row r="680" spans="1:19" x14ac:dyDescent="0.3">
      <c r="A680" s="97" t="s">
        <v>428</v>
      </c>
      <c r="B680" s="97" t="s">
        <v>22</v>
      </c>
      <c r="C680">
        <v>2026</v>
      </c>
      <c r="D680">
        <v>1</v>
      </c>
      <c r="E680" s="2">
        <v>46050</v>
      </c>
      <c r="F680" s="97" t="s">
        <v>7</v>
      </c>
      <c r="G680" s="97" t="s">
        <v>8</v>
      </c>
      <c r="H680" s="97" t="s">
        <v>70</v>
      </c>
      <c r="I680" s="97" t="s">
        <v>75</v>
      </c>
      <c r="J680" s="97" t="s">
        <v>76</v>
      </c>
      <c r="K680" s="97" t="s">
        <v>73</v>
      </c>
      <c r="L680">
        <v>707000</v>
      </c>
      <c r="M680" s="97" t="s">
        <v>81</v>
      </c>
      <c r="N680" s="97" t="s">
        <v>33</v>
      </c>
      <c r="O680">
        <v>3925</v>
      </c>
      <c r="P680">
        <v>1.4</v>
      </c>
      <c r="Q680">
        <v>5.5</v>
      </c>
      <c r="R680" s="97" t="s">
        <v>1202</v>
      </c>
      <c r="S680" s="97" t="s">
        <v>195</v>
      </c>
    </row>
    <row r="681" spans="1:19" x14ac:dyDescent="0.3">
      <c r="A681" s="97" t="s">
        <v>429</v>
      </c>
      <c r="B681" s="97" t="s">
        <v>22</v>
      </c>
      <c r="C681">
        <v>2026</v>
      </c>
      <c r="D681">
        <v>1</v>
      </c>
      <c r="E681" s="2">
        <v>46050</v>
      </c>
      <c r="F681" s="97" t="s">
        <v>7</v>
      </c>
      <c r="G681" s="97" t="s">
        <v>8</v>
      </c>
      <c r="H681" s="97" t="s">
        <v>70</v>
      </c>
      <c r="I681" s="97" t="s">
        <v>75</v>
      </c>
      <c r="J681" s="97" t="s">
        <v>76</v>
      </c>
      <c r="K681" s="97" t="s">
        <v>73</v>
      </c>
      <c r="L681">
        <v>707000</v>
      </c>
      <c r="M681" s="97" t="s">
        <v>81</v>
      </c>
      <c r="N681" s="97" t="s">
        <v>33</v>
      </c>
      <c r="O681">
        <v>953</v>
      </c>
      <c r="P681">
        <v>1.4</v>
      </c>
      <c r="Q681">
        <v>1.33</v>
      </c>
      <c r="R681" s="97" t="s">
        <v>1200</v>
      </c>
      <c r="S681" s="97" t="s">
        <v>195</v>
      </c>
    </row>
    <row r="682" spans="1:19" x14ac:dyDescent="0.3">
      <c r="A682" s="97" t="s">
        <v>685</v>
      </c>
      <c r="B682" s="97" t="s">
        <v>22</v>
      </c>
      <c r="C682">
        <v>2026</v>
      </c>
      <c r="D682">
        <v>1</v>
      </c>
      <c r="E682" s="2">
        <v>46050</v>
      </c>
      <c r="F682" s="97" t="s">
        <v>7</v>
      </c>
      <c r="G682" s="97" t="s">
        <v>8</v>
      </c>
      <c r="H682" s="97" t="s">
        <v>70</v>
      </c>
      <c r="I682" s="97" t="s">
        <v>79</v>
      </c>
      <c r="J682" s="97" t="s">
        <v>80</v>
      </c>
      <c r="K682" s="97" t="s">
        <v>73</v>
      </c>
      <c r="L682">
        <v>701000</v>
      </c>
      <c r="M682" s="97" t="s">
        <v>62</v>
      </c>
      <c r="N682" s="97" t="s">
        <v>33</v>
      </c>
      <c r="O682">
        <v>531</v>
      </c>
      <c r="P682">
        <v>2.6</v>
      </c>
      <c r="Q682">
        <v>1.38</v>
      </c>
      <c r="R682" s="97" t="s">
        <v>1200</v>
      </c>
      <c r="S682" s="97" t="s">
        <v>195</v>
      </c>
    </row>
    <row r="683" spans="1:19" x14ac:dyDescent="0.3">
      <c r="A683" s="97" t="s">
        <v>686</v>
      </c>
      <c r="B683" s="97" t="s">
        <v>22</v>
      </c>
      <c r="C683">
        <v>2026</v>
      </c>
      <c r="D683">
        <v>1</v>
      </c>
      <c r="E683" s="2">
        <v>46050</v>
      </c>
      <c r="F683" s="97" t="s">
        <v>7</v>
      </c>
      <c r="G683" s="97" t="s">
        <v>8</v>
      </c>
      <c r="H683" s="97" t="s">
        <v>70</v>
      </c>
      <c r="I683" s="97" t="s">
        <v>79</v>
      </c>
      <c r="J683" s="97" t="s">
        <v>80</v>
      </c>
      <c r="K683" s="97" t="s">
        <v>73</v>
      </c>
      <c r="L683">
        <v>701000</v>
      </c>
      <c r="M683" s="97" t="s">
        <v>62</v>
      </c>
      <c r="N683" s="97" t="s">
        <v>33</v>
      </c>
      <c r="O683">
        <v>2131</v>
      </c>
      <c r="P683">
        <v>2.6</v>
      </c>
      <c r="Q683">
        <v>5.54</v>
      </c>
      <c r="R683" s="97" t="s">
        <v>1197</v>
      </c>
      <c r="S683" s="97" t="s">
        <v>195</v>
      </c>
    </row>
    <row r="684" spans="1:19" x14ac:dyDescent="0.3">
      <c r="A684" s="97" t="s">
        <v>687</v>
      </c>
      <c r="B684" s="97" t="s">
        <v>22</v>
      </c>
      <c r="C684">
        <v>2026</v>
      </c>
      <c r="D684">
        <v>1</v>
      </c>
      <c r="E684" s="2">
        <v>46050</v>
      </c>
      <c r="F684" s="97" t="s">
        <v>7</v>
      </c>
      <c r="G684" s="97" t="s">
        <v>8</v>
      </c>
      <c r="H684" s="97" t="s">
        <v>70</v>
      </c>
      <c r="I684" s="97" t="s">
        <v>79</v>
      </c>
      <c r="J684" s="97" t="s">
        <v>80</v>
      </c>
      <c r="K684" s="97" t="s">
        <v>73</v>
      </c>
      <c r="L684">
        <v>701000</v>
      </c>
      <c r="M684" s="97" t="s">
        <v>62</v>
      </c>
      <c r="N684" s="97" t="s">
        <v>33</v>
      </c>
      <c r="O684">
        <v>919</v>
      </c>
      <c r="P684">
        <v>2.6</v>
      </c>
      <c r="Q684">
        <v>2.39</v>
      </c>
      <c r="R684" s="97" t="s">
        <v>1202</v>
      </c>
      <c r="S684" s="97" t="s">
        <v>195</v>
      </c>
    </row>
    <row r="685" spans="1:19" x14ac:dyDescent="0.3">
      <c r="A685" s="97" t="s">
        <v>688</v>
      </c>
      <c r="B685" s="97" t="s">
        <v>22</v>
      </c>
      <c r="C685">
        <v>2026</v>
      </c>
      <c r="D685">
        <v>1</v>
      </c>
      <c r="E685" s="2">
        <v>46050</v>
      </c>
      <c r="F685" s="97" t="s">
        <v>7</v>
      </c>
      <c r="G685" s="97" t="s">
        <v>8</v>
      </c>
      <c r="H685" s="97" t="s">
        <v>70</v>
      </c>
      <c r="I685" s="97" t="s">
        <v>79</v>
      </c>
      <c r="J685" s="97" t="s">
        <v>80</v>
      </c>
      <c r="K685" s="97" t="s">
        <v>73</v>
      </c>
      <c r="L685">
        <v>701000</v>
      </c>
      <c r="M685" s="97" t="s">
        <v>62</v>
      </c>
      <c r="N685" s="97" t="s">
        <v>33</v>
      </c>
      <c r="O685">
        <v>2562</v>
      </c>
      <c r="P685">
        <v>2.6</v>
      </c>
      <c r="Q685">
        <v>6.66</v>
      </c>
      <c r="R685" s="97" t="s">
        <v>1201</v>
      </c>
      <c r="S685" s="97" t="s">
        <v>195</v>
      </c>
    </row>
    <row r="686" spans="1:19" x14ac:dyDescent="0.3">
      <c r="A686" s="97" t="s">
        <v>689</v>
      </c>
      <c r="B686" s="97" t="s">
        <v>22</v>
      </c>
      <c r="C686">
        <v>2026</v>
      </c>
      <c r="D686">
        <v>1</v>
      </c>
      <c r="E686" s="2">
        <v>46050</v>
      </c>
      <c r="F686" s="97" t="s">
        <v>7</v>
      </c>
      <c r="G686" s="97" t="s">
        <v>8</v>
      </c>
      <c r="H686" s="97" t="s">
        <v>70</v>
      </c>
      <c r="I686" s="97" t="s">
        <v>79</v>
      </c>
      <c r="J686" s="97" t="s">
        <v>80</v>
      </c>
      <c r="K686" s="97" t="s">
        <v>73</v>
      </c>
      <c r="L686">
        <v>701000</v>
      </c>
      <c r="M686" s="97" t="s">
        <v>62</v>
      </c>
      <c r="N686" s="97" t="s">
        <v>33</v>
      </c>
      <c r="O686">
        <v>1602</v>
      </c>
      <c r="P686">
        <v>2.6</v>
      </c>
      <c r="Q686">
        <v>4.17</v>
      </c>
      <c r="R686" s="97" t="s">
        <v>1198</v>
      </c>
      <c r="S686" s="97" t="s">
        <v>195</v>
      </c>
    </row>
    <row r="687" spans="1:19" x14ac:dyDescent="0.3">
      <c r="A687" s="97" t="s">
        <v>735</v>
      </c>
      <c r="B687" s="97" t="s">
        <v>22</v>
      </c>
      <c r="C687">
        <v>2026</v>
      </c>
      <c r="D687">
        <v>1</v>
      </c>
      <c r="E687" s="2">
        <v>46050</v>
      </c>
      <c r="F687" s="97" t="s">
        <v>7</v>
      </c>
      <c r="G687" s="97" t="s">
        <v>8</v>
      </c>
      <c r="H687" s="97" t="s">
        <v>74</v>
      </c>
      <c r="I687" s="97" t="s">
        <v>79</v>
      </c>
      <c r="J687" s="97" t="s">
        <v>80</v>
      </c>
      <c r="K687" s="97" t="s">
        <v>73</v>
      </c>
      <c r="L687">
        <v>709000</v>
      </c>
      <c r="M687" s="97" t="s">
        <v>86</v>
      </c>
      <c r="N687" s="97" t="s">
        <v>33</v>
      </c>
      <c r="O687">
        <v>0</v>
      </c>
      <c r="P687">
        <v>-1400</v>
      </c>
      <c r="Q687">
        <v>-1.4</v>
      </c>
      <c r="R687" s="97" t="s">
        <v>1205</v>
      </c>
      <c r="S687" s="97" t="s">
        <v>195</v>
      </c>
    </row>
    <row r="688" spans="1:19" x14ac:dyDescent="0.3">
      <c r="A688" s="97" t="s">
        <v>736</v>
      </c>
      <c r="B688" s="97" t="s">
        <v>22</v>
      </c>
      <c r="C688">
        <v>2026</v>
      </c>
      <c r="D688">
        <v>1</v>
      </c>
      <c r="E688" s="2">
        <v>46050</v>
      </c>
      <c r="F688" s="97" t="s">
        <v>7</v>
      </c>
      <c r="G688" s="97" t="s">
        <v>8</v>
      </c>
      <c r="H688" s="97" t="s">
        <v>74</v>
      </c>
      <c r="I688" s="97" t="s">
        <v>79</v>
      </c>
      <c r="J688" s="97" t="s">
        <v>80</v>
      </c>
      <c r="K688" s="97" t="s">
        <v>73</v>
      </c>
      <c r="L688">
        <v>709000</v>
      </c>
      <c r="M688" s="97" t="s">
        <v>86</v>
      </c>
      <c r="N688" s="97" t="s">
        <v>33</v>
      </c>
      <c r="O688">
        <v>0</v>
      </c>
      <c r="P688">
        <v>-660</v>
      </c>
      <c r="Q688">
        <v>-0.66</v>
      </c>
      <c r="R688" s="97" t="s">
        <v>1198</v>
      </c>
      <c r="S688" s="97" t="s">
        <v>195</v>
      </c>
    </row>
    <row r="689" spans="1:19" x14ac:dyDescent="0.3">
      <c r="A689" s="97" t="s">
        <v>737</v>
      </c>
      <c r="B689" s="97" t="s">
        <v>22</v>
      </c>
      <c r="C689">
        <v>2026</v>
      </c>
      <c r="D689">
        <v>1</v>
      </c>
      <c r="E689" s="2">
        <v>46050</v>
      </c>
      <c r="F689" s="97" t="s">
        <v>7</v>
      </c>
      <c r="G689" s="97" t="s">
        <v>8</v>
      </c>
      <c r="H689" s="97" t="s">
        <v>74</v>
      </c>
      <c r="I689" s="97" t="s">
        <v>79</v>
      </c>
      <c r="J689" s="97" t="s">
        <v>80</v>
      </c>
      <c r="K689" s="97" t="s">
        <v>73</v>
      </c>
      <c r="L689">
        <v>709000</v>
      </c>
      <c r="M689" s="97" t="s">
        <v>86</v>
      </c>
      <c r="N689" s="97" t="s">
        <v>33</v>
      </c>
      <c r="O689">
        <v>0</v>
      </c>
      <c r="P689">
        <v>-310</v>
      </c>
      <c r="Q689">
        <v>-0.31</v>
      </c>
      <c r="R689" s="97" t="s">
        <v>1202</v>
      </c>
      <c r="S689" s="97" t="s">
        <v>195</v>
      </c>
    </row>
    <row r="690" spans="1:19" x14ac:dyDescent="0.3">
      <c r="A690" s="97" t="s">
        <v>738</v>
      </c>
      <c r="B690" s="97" t="s">
        <v>22</v>
      </c>
      <c r="C690">
        <v>2026</v>
      </c>
      <c r="D690">
        <v>1</v>
      </c>
      <c r="E690" s="2">
        <v>46050</v>
      </c>
      <c r="F690" s="97" t="s">
        <v>7</v>
      </c>
      <c r="G690" s="97" t="s">
        <v>8</v>
      </c>
      <c r="H690" s="97" t="s">
        <v>74</v>
      </c>
      <c r="I690" s="97" t="s">
        <v>79</v>
      </c>
      <c r="J690" s="97" t="s">
        <v>80</v>
      </c>
      <c r="K690" s="97" t="s">
        <v>73</v>
      </c>
      <c r="L690">
        <v>709000</v>
      </c>
      <c r="M690" s="97" t="s">
        <v>86</v>
      </c>
      <c r="N690" s="97" t="s">
        <v>33</v>
      </c>
      <c r="O690">
        <v>0</v>
      </c>
      <c r="P690">
        <v>-1110</v>
      </c>
      <c r="Q690">
        <v>-1.1100000000000001</v>
      </c>
      <c r="R690" s="97" t="s">
        <v>1201</v>
      </c>
      <c r="S690" s="97" t="s">
        <v>195</v>
      </c>
    </row>
    <row r="691" spans="1:19" x14ac:dyDescent="0.3">
      <c r="A691" s="97" t="s">
        <v>739</v>
      </c>
      <c r="B691" s="97" t="s">
        <v>22</v>
      </c>
      <c r="C691">
        <v>2026</v>
      </c>
      <c r="D691">
        <v>1</v>
      </c>
      <c r="E691" s="2">
        <v>46050</v>
      </c>
      <c r="F691" s="97" t="s">
        <v>7</v>
      </c>
      <c r="G691" s="97" t="s">
        <v>8</v>
      </c>
      <c r="H691" s="97" t="s">
        <v>74</v>
      </c>
      <c r="I691" s="97" t="s">
        <v>79</v>
      </c>
      <c r="J691" s="97" t="s">
        <v>80</v>
      </c>
      <c r="K691" s="97" t="s">
        <v>73</v>
      </c>
      <c r="L691">
        <v>709000</v>
      </c>
      <c r="M691" s="97" t="s">
        <v>86</v>
      </c>
      <c r="N691" s="97" t="s">
        <v>33</v>
      </c>
      <c r="O691">
        <v>0</v>
      </c>
      <c r="P691">
        <v>-2570</v>
      </c>
      <c r="Q691">
        <v>-2.57</v>
      </c>
      <c r="R691" s="97" t="s">
        <v>1204</v>
      </c>
      <c r="S691" s="97" t="s">
        <v>195</v>
      </c>
    </row>
    <row r="692" spans="1:19" x14ac:dyDescent="0.3">
      <c r="A692" s="97" t="s">
        <v>885</v>
      </c>
      <c r="B692" s="97" t="s">
        <v>22</v>
      </c>
      <c r="C692">
        <v>2026</v>
      </c>
      <c r="D692">
        <v>1</v>
      </c>
      <c r="E692" s="2">
        <v>46050</v>
      </c>
      <c r="F692" s="97" t="s">
        <v>7</v>
      </c>
      <c r="G692" s="97" t="s">
        <v>8</v>
      </c>
      <c r="H692" s="97" t="s">
        <v>74</v>
      </c>
      <c r="I692" s="97" t="s">
        <v>82</v>
      </c>
      <c r="J692" s="97" t="s">
        <v>83</v>
      </c>
      <c r="K692" s="97" t="s">
        <v>73</v>
      </c>
      <c r="L692">
        <v>709000</v>
      </c>
      <c r="M692" s="97" t="s">
        <v>86</v>
      </c>
      <c r="N692" s="97" t="s">
        <v>33</v>
      </c>
      <c r="O692">
        <v>0</v>
      </c>
      <c r="P692">
        <v>-1390</v>
      </c>
      <c r="Q692">
        <v>-1.39</v>
      </c>
      <c r="R692" s="97" t="s">
        <v>1198</v>
      </c>
      <c r="S692" s="97" t="s">
        <v>195</v>
      </c>
    </row>
    <row r="693" spans="1:19" x14ac:dyDescent="0.3">
      <c r="A693" s="97" t="s">
        <v>886</v>
      </c>
      <c r="B693" s="97" t="s">
        <v>22</v>
      </c>
      <c r="C693">
        <v>2026</v>
      </c>
      <c r="D693">
        <v>1</v>
      </c>
      <c r="E693" s="2">
        <v>46050</v>
      </c>
      <c r="F693" s="97" t="s">
        <v>7</v>
      </c>
      <c r="G693" s="97" t="s">
        <v>8</v>
      </c>
      <c r="H693" s="97" t="s">
        <v>74</v>
      </c>
      <c r="I693" s="97" t="s">
        <v>82</v>
      </c>
      <c r="J693" s="97" t="s">
        <v>83</v>
      </c>
      <c r="K693" s="97" t="s">
        <v>73</v>
      </c>
      <c r="L693">
        <v>709000</v>
      </c>
      <c r="M693" s="97" t="s">
        <v>86</v>
      </c>
      <c r="N693" s="97" t="s">
        <v>33</v>
      </c>
      <c r="O693">
        <v>0</v>
      </c>
      <c r="P693">
        <v>-490</v>
      </c>
      <c r="Q693">
        <v>-0.49</v>
      </c>
      <c r="R693" s="97" t="s">
        <v>1199</v>
      </c>
      <c r="S693" s="97" t="s">
        <v>195</v>
      </c>
    </row>
    <row r="694" spans="1:19" x14ac:dyDescent="0.3">
      <c r="A694" s="97" t="s">
        <v>887</v>
      </c>
      <c r="B694" s="97" t="s">
        <v>22</v>
      </c>
      <c r="C694">
        <v>2026</v>
      </c>
      <c r="D694">
        <v>1</v>
      </c>
      <c r="E694" s="2">
        <v>46050</v>
      </c>
      <c r="F694" s="97" t="s">
        <v>7</v>
      </c>
      <c r="G694" s="97" t="s">
        <v>8</v>
      </c>
      <c r="H694" s="97" t="s">
        <v>74</v>
      </c>
      <c r="I694" s="97" t="s">
        <v>82</v>
      </c>
      <c r="J694" s="97" t="s">
        <v>83</v>
      </c>
      <c r="K694" s="97" t="s">
        <v>73</v>
      </c>
      <c r="L694">
        <v>709000</v>
      </c>
      <c r="M694" s="97" t="s">
        <v>86</v>
      </c>
      <c r="N694" s="97" t="s">
        <v>33</v>
      </c>
      <c r="O694">
        <v>0</v>
      </c>
      <c r="P694">
        <v>-1630</v>
      </c>
      <c r="Q694">
        <v>-1.63</v>
      </c>
      <c r="R694" s="97" t="s">
        <v>1203</v>
      </c>
      <c r="S694" s="97" t="s">
        <v>195</v>
      </c>
    </row>
    <row r="695" spans="1:19" x14ac:dyDescent="0.3">
      <c r="A695" s="97" t="s">
        <v>888</v>
      </c>
      <c r="B695" s="97" t="s">
        <v>22</v>
      </c>
      <c r="C695">
        <v>2026</v>
      </c>
      <c r="D695">
        <v>1</v>
      </c>
      <c r="E695" s="2">
        <v>46050</v>
      </c>
      <c r="F695" s="97" t="s">
        <v>7</v>
      </c>
      <c r="G695" s="97" t="s">
        <v>8</v>
      </c>
      <c r="H695" s="97" t="s">
        <v>74</v>
      </c>
      <c r="I695" s="97" t="s">
        <v>82</v>
      </c>
      <c r="J695" s="97" t="s">
        <v>83</v>
      </c>
      <c r="K695" s="97" t="s">
        <v>73</v>
      </c>
      <c r="L695">
        <v>709000</v>
      </c>
      <c r="M695" s="97" t="s">
        <v>86</v>
      </c>
      <c r="N695" s="97" t="s">
        <v>33</v>
      </c>
      <c r="O695">
        <v>0</v>
      </c>
      <c r="P695">
        <v>-2680</v>
      </c>
      <c r="Q695">
        <v>-2.68</v>
      </c>
      <c r="R695" s="97" t="s">
        <v>1201</v>
      </c>
      <c r="S695" s="97" t="s">
        <v>195</v>
      </c>
    </row>
    <row r="696" spans="1:19" x14ac:dyDescent="0.3">
      <c r="A696" s="97" t="s">
        <v>889</v>
      </c>
      <c r="B696" s="97" t="s">
        <v>22</v>
      </c>
      <c r="C696">
        <v>2026</v>
      </c>
      <c r="D696">
        <v>1</v>
      </c>
      <c r="E696" s="2">
        <v>46050</v>
      </c>
      <c r="F696" s="97" t="s">
        <v>7</v>
      </c>
      <c r="G696" s="97" t="s">
        <v>8</v>
      </c>
      <c r="H696" s="97" t="s">
        <v>74</v>
      </c>
      <c r="I696" s="97" t="s">
        <v>82</v>
      </c>
      <c r="J696" s="97" t="s">
        <v>83</v>
      </c>
      <c r="K696" s="97" t="s">
        <v>73</v>
      </c>
      <c r="L696">
        <v>709000</v>
      </c>
      <c r="M696" s="97" t="s">
        <v>86</v>
      </c>
      <c r="N696" s="97" t="s">
        <v>33</v>
      </c>
      <c r="O696">
        <v>0</v>
      </c>
      <c r="P696">
        <v>-2040</v>
      </c>
      <c r="Q696">
        <v>-2.04</v>
      </c>
      <c r="R696" s="97" t="s">
        <v>1205</v>
      </c>
      <c r="S696" s="97" t="s">
        <v>195</v>
      </c>
    </row>
    <row r="697" spans="1:19" x14ac:dyDescent="0.3">
      <c r="A697" s="97" t="s">
        <v>1130</v>
      </c>
      <c r="B697" s="97" t="s">
        <v>22</v>
      </c>
      <c r="C697">
        <v>2026</v>
      </c>
      <c r="D697">
        <v>2</v>
      </c>
      <c r="E697" s="2">
        <v>46054</v>
      </c>
      <c r="F697" s="97" t="s">
        <v>7</v>
      </c>
      <c r="G697" s="97" t="s">
        <v>8</v>
      </c>
      <c r="H697" s="97" t="s">
        <v>74</v>
      </c>
      <c r="I697" s="97" t="s">
        <v>71</v>
      </c>
      <c r="J697" s="97" t="s">
        <v>72</v>
      </c>
      <c r="K697" s="97" t="s">
        <v>73</v>
      </c>
      <c r="L697">
        <v>701000</v>
      </c>
      <c r="M697" s="97" t="s">
        <v>62</v>
      </c>
      <c r="N697" s="97" t="s">
        <v>33</v>
      </c>
      <c r="O697">
        <v>2503</v>
      </c>
      <c r="P697">
        <v>1.05</v>
      </c>
      <c r="Q697">
        <v>2.63</v>
      </c>
      <c r="R697" s="97" t="s">
        <v>1202</v>
      </c>
      <c r="S697" s="97" t="s">
        <v>195</v>
      </c>
    </row>
    <row r="698" spans="1:19" x14ac:dyDescent="0.3">
      <c r="A698" s="97" t="s">
        <v>1131</v>
      </c>
      <c r="B698" s="97" t="s">
        <v>22</v>
      </c>
      <c r="C698">
        <v>2026</v>
      </c>
      <c r="D698">
        <v>2</v>
      </c>
      <c r="E698" s="2">
        <v>46054</v>
      </c>
      <c r="F698" s="97" t="s">
        <v>7</v>
      </c>
      <c r="G698" s="97" t="s">
        <v>8</v>
      </c>
      <c r="H698" s="97" t="s">
        <v>74</v>
      </c>
      <c r="I698" s="97" t="s">
        <v>71</v>
      </c>
      <c r="J698" s="97" t="s">
        <v>72</v>
      </c>
      <c r="K698" s="97" t="s">
        <v>73</v>
      </c>
      <c r="L698">
        <v>701000</v>
      </c>
      <c r="M698" s="97" t="s">
        <v>62</v>
      </c>
      <c r="N698" s="97" t="s">
        <v>33</v>
      </c>
      <c r="O698">
        <v>3034</v>
      </c>
      <c r="P698">
        <v>1.05</v>
      </c>
      <c r="Q698">
        <v>3.19</v>
      </c>
      <c r="R698" s="97" t="s">
        <v>1203</v>
      </c>
      <c r="S698" s="97" t="s">
        <v>195</v>
      </c>
    </row>
    <row r="699" spans="1:19" x14ac:dyDescent="0.3">
      <c r="A699" s="97" t="s">
        <v>1132</v>
      </c>
      <c r="B699" s="97" t="s">
        <v>22</v>
      </c>
      <c r="C699">
        <v>2026</v>
      </c>
      <c r="D699">
        <v>2</v>
      </c>
      <c r="E699" s="2">
        <v>46054</v>
      </c>
      <c r="F699" s="97" t="s">
        <v>7</v>
      </c>
      <c r="G699" s="97" t="s">
        <v>8</v>
      </c>
      <c r="H699" s="97" t="s">
        <v>74</v>
      </c>
      <c r="I699" s="97" t="s">
        <v>71</v>
      </c>
      <c r="J699" s="97" t="s">
        <v>72</v>
      </c>
      <c r="K699" s="97" t="s">
        <v>73</v>
      </c>
      <c r="L699">
        <v>701000</v>
      </c>
      <c r="M699" s="97" t="s">
        <v>62</v>
      </c>
      <c r="N699" s="97" t="s">
        <v>33</v>
      </c>
      <c r="O699">
        <v>1682</v>
      </c>
      <c r="P699">
        <v>1.05</v>
      </c>
      <c r="Q699">
        <v>1.77</v>
      </c>
      <c r="R699" s="97" t="s">
        <v>1199</v>
      </c>
      <c r="S699" s="97" t="s">
        <v>195</v>
      </c>
    </row>
    <row r="700" spans="1:19" x14ac:dyDescent="0.3">
      <c r="A700" s="97" t="s">
        <v>1133</v>
      </c>
      <c r="B700" s="97" t="s">
        <v>22</v>
      </c>
      <c r="C700">
        <v>2026</v>
      </c>
      <c r="D700">
        <v>2</v>
      </c>
      <c r="E700" s="2">
        <v>46054</v>
      </c>
      <c r="F700" s="97" t="s">
        <v>7</v>
      </c>
      <c r="G700" s="97" t="s">
        <v>8</v>
      </c>
      <c r="H700" s="97" t="s">
        <v>74</v>
      </c>
      <c r="I700" s="97" t="s">
        <v>71</v>
      </c>
      <c r="J700" s="97" t="s">
        <v>72</v>
      </c>
      <c r="K700" s="97" t="s">
        <v>73</v>
      </c>
      <c r="L700">
        <v>701000</v>
      </c>
      <c r="M700" s="97" t="s">
        <v>62</v>
      </c>
      <c r="N700" s="97" t="s">
        <v>33</v>
      </c>
      <c r="O700">
        <v>1164</v>
      </c>
      <c r="P700">
        <v>1.05</v>
      </c>
      <c r="Q700">
        <v>1.22</v>
      </c>
      <c r="R700" s="97" t="s">
        <v>1204</v>
      </c>
      <c r="S700" s="97" t="s">
        <v>195</v>
      </c>
    </row>
    <row r="701" spans="1:19" x14ac:dyDescent="0.3">
      <c r="A701" s="97" t="s">
        <v>1134</v>
      </c>
      <c r="B701" s="97" t="s">
        <v>22</v>
      </c>
      <c r="C701">
        <v>2026</v>
      </c>
      <c r="D701">
        <v>2</v>
      </c>
      <c r="E701" s="2">
        <v>46054</v>
      </c>
      <c r="F701" s="97" t="s">
        <v>7</v>
      </c>
      <c r="G701" s="97" t="s">
        <v>8</v>
      </c>
      <c r="H701" s="97" t="s">
        <v>74</v>
      </c>
      <c r="I701" s="97" t="s">
        <v>71</v>
      </c>
      <c r="J701" s="97" t="s">
        <v>72</v>
      </c>
      <c r="K701" s="97" t="s">
        <v>73</v>
      </c>
      <c r="L701">
        <v>701000</v>
      </c>
      <c r="M701" s="97" t="s">
        <v>62</v>
      </c>
      <c r="N701" s="97" t="s">
        <v>33</v>
      </c>
      <c r="O701">
        <v>347</v>
      </c>
      <c r="P701">
        <v>1.04</v>
      </c>
      <c r="Q701">
        <v>0.36</v>
      </c>
      <c r="R701" s="97" t="s">
        <v>1198</v>
      </c>
      <c r="S701" s="97" t="s">
        <v>195</v>
      </c>
    </row>
    <row r="702" spans="1:19" x14ac:dyDescent="0.3">
      <c r="A702" s="97" t="s">
        <v>945</v>
      </c>
      <c r="B702" s="97" t="s">
        <v>22</v>
      </c>
      <c r="C702">
        <v>2026</v>
      </c>
      <c r="D702">
        <v>2</v>
      </c>
      <c r="E702" s="2">
        <v>46055</v>
      </c>
      <c r="F702" s="97" t="s">
        <v>7</v>
      </c>
      <c r="G702" s="97" t="s">
        <v>8</v>
      </c>
      <c r="H702" s="97" t="s">
        <v>70</v>
      </c>
      <c r="I702" s="97" t="s">
        <v>84</v>
      </c>
      <c r="J702" s="97" t="s">
        <v>85</v>
      </c>
      <c r="K702" s="97" t="s">
        <v>73</v>
      </c>
      <c r="L702">
        <v>701000</v>
      </c>
      <c r="M702" s="97" t="s">
        <v>62</v>
      </c>
      <c r="N702" s="97" t="s">
        <v>33</v>
      </c>
      <c r="O702">
        <v>4551</v>
      </c>
      <c r="P702">
        <v>0.95</v>
      </c>
      <c r="Q702">
        <v>4.32</v>
      </c>
      <c r="R702" s="97" t="s">
        <v>1204</v>
      </c>
      <c r="S702" s="97" t="s">
        <v>195</v>
      </c>
    </row>
    <row r="703" spans="1:19" x14ac:dyDescent="0.3">
      <c r="A703" s="97" t="s">
        <v>946</v>
      </c>
      <c r="B703" s="97" t="s">
        <v>22</v>
      </c>
      <c r="C703">
        <v>2026</v>
      </c>
      <c r="D703">
        <v>2</v>
      </c>
      <c r="E703" s="2">
        <v>46055</v>
      </c>
      <c r="F703" s="97" t="s">
        <v>7</v>
      </c>
      <c r="G703" s="97" t="s">
        <v>8</v>
      </c>
      <c r="H703" s="97" t="s">
        <v>70</v>
      </c>
      <c r="I703" s="97" t="s">
        <v>84</v>
      </c>
      <c r="J703" s="97" t="s">
        <v>85</v>
      </c>
      <c r="K703" s="97" t="s">
        <v>73</v>
      </c>
      <c r="L703">
        <v>701000</v>
      </c>
      <c r="M703" s="97" t="s">
        <v>62</v>
      </c>
      <c r="N703" s="97" t="s">
        <v>33</v>
      </c>
      <c r="O703">
        <v>9497</v>
      </c>
      <c r="P703">
        <v>0.95</v>
      </c>
      <c r="Q703">
        <v>9.02</v>
      </c>
      <c r="R703" s="97" t="s">
        <v>1203</v>
      </c>
      <c r="S703" s="97" t="s">
        <v>195</v>
      </c>
    </row>
    <row r="704" spans="1:19" x14ac:dyDescent="0.3">
      <c r="A704" s="97" t="s">
        <v>947</v>
      </c>
      <c r="B704" s="97" t="s">
        <v>22</v>
      </c>
      <c r="C704">
        <v>2026</v>
      </c>
      <c r="D704">
        <v>2</v>
      </c>
      <c r="E704" s="2">
        <v>46055</v>
      </c>
      <c r="F704" s="97" t="s">
        <v>7</v>
      </c>
      <c r="G704" s="97" t="s">
        <v>8</v>
      </c>
      <c r="H704" s="97" t="s">
        <v>70</v>
      </c>
      <c r="I704" s="97" t="s">
        <v>84</v>
      </c>
      <c r="J704" s="97" t="s">
        <v>85</v>
      </c>
      <c r="K704" s="97" t="s">
        <v>73</v>
      </c>
      <c r="L704">
        <v>701000</v>
      </c>
      <c r="M704" s="97" t="s">
        <v>62</v>
      </c>
      <c r="N704" s="97" t="s">
        <v>33</v>
      </c>
      <c r="O704">
        <v>3308</v>
      </c>
      <c r="P704">
        <v>0.95</v>
      </c>
      <c r="Q704">
        <v>3.14</v>
      </c>
      <c r="R704" s="97" t="s">
        <v>1205</v>
      </c>
      <c r="S704" s="97" t="s">
        <v>195</v>
      </c>
    </row>
    <row r="705" spans="1:19" x14ac:dyDescent="0.3">
      <c r="A705" s="97" t="s">
        <v>948</v>
      </c>
      <c r="B705" s="97" t="s">
        <v>22</v>
      </c>
      <c r="C705">
        <v>2026</v>
      </c>
      <c r="D705">
        <v>2</v>
      </c>
      <c r="E705" s="2">
        <v>46055</v>
      </c>
      <c r="F705" s="97" t="s">
        <v>7</v>
      </c>
      <c r="G705" s="97" t="s">
        <v>8</v>
      </c>
      <c r="H705" s="97" t="s">
        <v>70</v>
      </c>
      <c r="I705" s="97" t="s">
        <v>84</v>
      </c>
      <c r="J705" s="97" t="s">
        <v>85</v>
      </c>
      <c r="K705" s="97" t="s">
        <v>73</v>
      </c>
      <c r="L705">
        <v>701000</v>
      </c>
      <c r="M705" s="97" t="s">
        <v>62</v>
      </c>
      <c r="N705" s="97" t="s">
        <v>33</v>
      </c>
      <c r="O705">
        <v>3388</v>
      </c>
      <c r="P705">
        <v>0.95</v>
      </c>
      <c r="Q705">
        <v>3.22</v>
      </c>
      <c r="R705" s="97" t="s">
        <v>1199</v>
      </c>
      <c r="S705" s="97" t="s">
        <v>195</v>
      </c>
    </row>
    <row r="706" spans="1:19" x14ac:dyDescent="0.3">
      <c r="A706" s="97" t="s">
        <v>949</v>
      </c>
      <c r="B706" s="97" t="s">
        <v>22</v>
      </c>
      <c r="C706">
        <v>2026</v>
      </c>
      <c r="D706">
        <v>2</v>
      </c>
      <c r="E706" s="2">
        <v>46055</v>
      </c>
      <c r="F706" s="97" t="s">
        <v>7</v>
      </c>
      <c r="G706" s="97" t="s">
        <v>8</v>
      </c>
      <c r="H706" s="97" t="s">
        <v>70</v>
      </c>
      <c r="I706" s="97" t="s">
        <v>84</v>
      </c>
      <c r="J706" s="97" t="s">
        <v>85</v>
      </c>
      <c r="K706" s="97" t="s">
        <v>73</v>
      </c>
      <c r="L706">
        <v>701000</v>
      </c>
      <c r="M706" s="97" t="s">
        <v>62</v>
      </c>
      <c r="N706" s="97" t="s">
        <v>33</v>
      </c>
      <c r="O706">
        <v>2536</v>
      </c>
      <c r="P706">
        <v>0.95</v>
      </c>
      <c r="Q706">
        <v>2.42</v>
      </c>
      <c r="R706" s="97" t="s">
        <v>1202</v>
      </c>
      <c r="S706" s="97" t="s">
        <v>195</v>
      </c>
    </row>
    <row r="707" spans="1:19" x14ac:dyDescent="0.3">
      <c r="A707" s="97" t="s">
        <v>1035</v>
      </c>
      <c r="B707" s="97" t="s">
        <v>22</v>
      </c>
      <c r="C707">
        <v>2026</v>
      </c>
      <c r="D707">
        <v>2</v>
      </c>
      <c r="E707" s="2">
        <v>46055</v>
      </c>
      <c r="F707" s="97" t="s">
        <v>7</v>
      </c>
      <c r="G707" s="97" t="s">
        <v>8</v>
      </c>
      <c r="H707" s="97" t="s">
        <v>74</v>
      </c>
      <c r="I707" s="97" t="s">
        <v>71</v>
      </c>
      <c r="J707" s="97" t="s">
        <v>72</v>
      </c>
      <c r="K707" s="97" t="s">
        <v>73</v>
      </c>
      <c r="L707">
        <v>701000</v>
      </c>
      <c r="M707" s="97" t="s">
        <v>62</v>
      </c>
      <c r="N707" s="97" t="s">
        <v>33</v>
      </c>
      <c r="O707">
        <v>1512</v>
      </c>
      <c r="P707">
        <v>1.05</v>
      </c>
      <c r="Q707">
        <v>1.59</v>
      </c>
      <c r="R707" s="97" t="s">
        <v>1201</v>
      </c>
      <c r="S707" s="97" t="s">
        <v>195</v>
      </c>
    </row>
    <row r="708" spans="1:19" x14ac:dyDescent="0.3">
      <c r="A708" s="97" t="s">
        <v>1036</v>
      </c>
      <c r="B708" s="97" t="s">
        <v>22</v>
      </c>
      <c r="C708">
        <v>2026</v>
      </c>
      <c r="D708">
        <v>2</v>
      </c>
      <c r="E708" s="2">
        <v>46055</v>
      </c>
      <c r="F708" s="97" t="s">
        <v>7</v>
      </c>
      <c r="G708" s="97" t="s">
        <v>8</v>
      </c>
      <c r="H708" s="97" t="s">
        <v>74</v>
      </c>
      <c r="I708" s="97" t="s">
        <v>71</v>
      </c>
      <c r="J708" s="97" t="s">
        <v>72</v>
      </c>
      <c r="K708" s="97" t="s">
        <v>73</v>
      </c>
      <c r="L708">
        <v>701000</v>
      </c>
      <c r="M708" s="97" t="s">
        <v>62</v>
      </c>
      <c r="N708" s="97" t="s">
        <v>33</v>
      </c>
      <c r="O708">
        <v>184</v>
      </c>
      <c r="P708">
        <v>1.03</v>
      </c>
      <c r="Q708">
        <v>0.19</v>
      </c>
      <c r="R708" s="97" t="s">
        <v>1202</v>
      </c>
      <c r="S708" s="97" t="s">
        <v>195</v>
      </c>
    </row>
    <row r="709" spans="1:19" x14ac:dyDescent="0.3">
      <c r="A709" s="97" t="s">
        <v>1037</v>
      </c>
      <c r="B709" s="97" t="s">
        <v>22</v>
      </c>
      <c r="C709">
        <v>2026</v>
      </c>
      <c r="D709">
        <v>2</v>
      </c>
      <c r="E709" s="2">
        <v>46055</v>
      </c>
      <c r="F709" s="97" t="s">
        <v>7</v>
      </c>
      <c r="G709" s="97" t="s">
        <v>8</v>
      </c>
      <c r="H709" s="97" t="s">
        <v>74</v>
      </c>
      <c r="I709" s="97" t="s">
        <v>71</v>
      </c>
      <c r="J709" s="97" t="s">
        <v>72</v>
      </c>
      <c r="K709" s="97" t="s">
        <v>73</v>
      </c>
      <c r="L709">
        <v>701000</v>
      </c>
      <c r="M709" s="97" t="s">
        <v>62</v>
      </c>
      <c r="N709" s="97" t="s">
        <v>33</v>
      </c>
      <c r="O709">
        <v>2593</v>
      </c>
      <c r="P709">
        <v>1.05</v>
      </c>
      <c r="Q709">
        <v>2.72</v>
      </c>
      <c r="R709" s="97" t="s">
        <v>1204</v>
      </c>
      <c r="S709" s="97" t="s">
        <v>195</v>
      </c>
    </row>
    <row r="710" spans="1:19" x14ac:dyDescent="0.3">
      <c r="A710" s="97" t="s">
        <v>1038</v>
      </c>
      <c r="B710" s="97" t="s">
        <v>22</v>
      </c>
      <c r="C710">
        <v>2026</v>
      </c>
      <c r="D710">
        <v>2</v>
      </c>
      <c r="E710" s="2">
        <v>46055</v>
      </c>
      <c r="F710" s="97" t="s">
        <v>7</v>
      </c>
      <c r="G710" s="97" t="s">
        <v>8</v>
      </c>
      <c r="H710" s="97" t="s">
        <v>74</v>
      </c>
      <c r="I710" s="97" t="s">
        <v>71</v>
      </c>
      <c r="J710" s="97" t="s">
        <v>72</v>
      </c>
      <c r="K710" s="97" t="s">
        <v>73</v>
      </c>
      <c r="L710">
        <v>701000</v>
      </c>
      <c r="M710" s="97" t="s">
        <v>62</v>
      </c>
      <c r="N710" s="97" t="s">
        <v>33</v>
      </c>
      <c r="O710">
        <v>1094</v>
      </c>
      <c r="P710">
        <v>1.05</v>
      </c>
      <c r="Q710">
        <v>1.1499999999999999</v>
      </c>
      <c r="R710" s="97" t="s">
        <v>1205</v>
      </c>
      <c r="S710" s="97" t="s">
        <v>195</v>
      </c>
    </row>
    <row r="711" spans="1:19" x14ac:dyDescent="0.3">
      <c r="A711" s="97" t="s">
        <v>1039</v>
      </c>
      <c r="B711" s="97" t="s">
        <v>22</v>
      </c>
      <c r="C711">
        <v>2026</v>
      </c>
      <c r="D711">
        <v>2</v>
      </c>
      <c r="E711" s="2">
        <v>46055</v>
      </c>
      <c r="F711" s="97" t="s">
        <v>7</v>
      </c>
      <c r="G711" s="97" t="s">
        <v>8</v>
      </c>
      <c r="H711" s="97" t="s">
        <v>74</v>
      </c>
      <c r="I711" s="97" t="s">
        <v>71</v>
      </c>
      <c r="J711" s="97" t="s">
        <v>72</v>
      </c>
      <c r="K711" s="97" t="s">
        <v>73</v>
      </c>
      <c r="L711">
        <v>701000</v>
      </c>
      <c r="M711" s="97" t="s">
        <v>62</v>
      </c>
      <c r="N711" s="97" t="s">
        <v>33</v>
      </c>
      <c r="O711">
        <v>2269</v>
      </c>
      <c r="P711">
        <v>1.05</v>
      </c>
      <c r="Q711">
        <v>2.38</v>
      </c>
      <c r="R711" s="97" t="s">
        <v>1197</v>
      </c>
      <c r="S711" s="97" t="s">
        <v>195</v>
      </c>
    </row>
    <row r="712" spans="1:19" x14ac:dyDescent="0.3">
      <c r="A712" s="97" t="s">
        <v>1025</v>
      </c>
      <c r="B712" s="97" t="s">
        <v>22</v>
      </c>
      <c r="C712">
        <v>2026</v>
      </c>
      <c r="D712">
        <v>2</v>
      </c>
      <c r="E712" s="2">
        <v>46056</v>
      </c>
      <c r="F712" s="97" t="s">
        <v>7</v>
      </c>
      <c r="G712" s="97" t="s">
        <v>8</v>
      </c>
      <c r="H712" s="97" t="s">
        <v>74</v>
      </c>
      <c r="I712" s="97" t="s">
        <v>71</v>
      </c>
      <c r="J712" s="97" t="s">
        <v>72</v>
      </c>
      <c r="K712" s="97" t="s">
        <v>73</v>
      </c>
      <c r="L712">
        <v>701000</v>
      </c>
      <c r="M712" s="97" t="s">
        <v>62</v>
      </c>
      <c r="N712" s="97" t="s">
        <v>33</v>
      </c>
      <c r="O712">
        <v>1474</v>
      </c>
      <c r="P712">
        <v>1.05</v>
      </c>
      <c r="Q712">
        <v>1.55</v>
      </c>
      <c r="R712" s="97" t="s">
        <v>1204</v>
      </c>
      <c r="S712" s="97" t="s">
        <v>195</v>
      </c>
    </row>
    <row r="713" spans="1:19" x14ac:dyDescent="0.3">
      <c r="A713" s="97" t="s">
        <v>1026</v>
      </c>
      <c r="B713" s="97" t="s">
        <v>22</v>
      </c>
      <c r="C713">
        <v>2026</v>
      </c>
      <c r="D713">
        <v>2</v>
      </c>
      <c r="E713" s="2">
        <v>46056</v>
      </c>
      <c r="F713" s="97" t="s">
        <v>7</v>
      </c>
      <c r="G713" s="97" t="s">
        <v>8</v>
      </c>
      <c r="H713" s="97" t="s">
        <v>74</v>
      </c>
      <c r="I713" s="97" t="s">
        <v>71</v>
      </c>
      <c r="J713" s="97" t="s">
        <v>72</v>
      </c>
      <c r="K713" s="97" t="s">
        <v>73</v>
      </c>
      <c r="L713">
        <v>701000</v>
      </c>
      <c r="M713" s="97" t="s">
        <v>62</v>
      </c>
      <c r="N713" s="97" t="s">
        <v>33</v>
      </c>
      <c r="O713">
        <v>1525</v>
      </c>
      <c r="P713">
        <v>1.05</v>
      </c>
      <c r="Q713">
        <v>1.6</v>
      </c>
      <c r="R713" s="97" t="s">
        <v>1199</v>
      </c>
      <c r="S713" s="97" t="s">
        <v>195</v>
      </c>
    </row>
    <row r="714" spans="1:19" x14ac:dyDescent="0.3">
      <c r="A714" s="97" t="s">
        <v>1027</v>
      </c>
      <c r="B714" s="97" t="s">
        <v>22</v>
      </c>
      <c r="C714">
        <v>2026</v>
      </c>
      <c r="D714">
        <v>2</v>
      </c>
      <c r="E714" s="2">
        <v>46056</v>
      </c>
      <c r="F714" s="97" t="s">
        <v>7</v>
      </c>
      <c r="G714" s="97" t="s">
        <v>8</v>
      </c>
      <c r="H714" s="97" t="s">
        <v>74</v>
      </c>
      <c r="I714" s="97" t="s">
        <v>71</v>
      </c>
      <c r="J714" s="97" t="s">
        <v>72</v>
      </c>
      <c r="K714" s="97" t="s">
        <v>73</v>
      </c>
      <c r="L714">
        <v>701000</v>
      </c>
      <c r="M714" s="97" t="s">
        <v>62</v>
      </c>
      <c r="N714" s="97" t="s">
        <v>33</v>
      </c>
      <c r="O714">
        <v>1296</v>
      </c>
      <c r="P714">
        <v>1.05</v>
      </c>
      <c r="Q714">
        <v>1.36</v>
      </c>
      <c r="R714" s="97" t="s">
        <v>1201</v>
      </c>
      <c r="S714" s="97" t="s">
        <v>195</v>
      </c>
    </row>
    <row r="715" spans="1:19" x14ac:dyDescent="0.3">
      <c r="A715" s="97" t="s">
        <v>1028</v>
      </c>
      <c r="B715" s="97" t="s">
        <v>22</v>
      </c>
      <c r="C715">
        <v>2026</v>
      </c>
      <c r="D715">
        <v>2</v>
      </c>
      <c r="E715" s="2">
        <v>46056</v>
      </c>
      <c r="F715" s="97" t="s">
        <v>7</v>
      </c>
      <c r="G715" s="97" t="s">
        <v>8</v>
      </c>
      <c r="H715" s="97" t="s">
        <v>74</v>
      </c>
      <c r="I715" s="97" t="s">
        <v>71</v>
      </c>
      <c r="J715" s="97" t="s">
        <v>72</v>
      </c>
      <c r="K715" s="97" t="s">
        <v>73</v>
      </c>
      <c r="L715">
        <v>701000</v>
      </c>
      <c r="M715" s="97" t="s">
        <v>62</v>
      </c>
      <c r="N715" s="97" t="s">
        <v>33</v>
      </c>
      <c r="O715">
        <v>1454</v>
      </c>
      <c r="P715">
        <v>1.05</v>
      </c>
      <c r="Q715">
        <v>1.53</v>
      </c>
      <c r="R715" s="97" t="s">
        <v>1203</v>
      </c>
      <c r="S715" s="97" t="s">
        <v>195</v>
      </c>
    </row>
    <row r="716" spans="1:19" x14ac:dyDescent="0.3">
      <c r="A716" s="97" t="s">
        <v>1029</v>
      </c>
      <c r="B716" s="97" t="s">
        <v>22</v>
      </c>
      <c r="C716">
        <v>2026</v>
      </c>
      <c r="D716">
        <v>2</v>
      </c>
      <c r="E716" s="2">
        <v>46056</v>
      </c>
      <c r="F716" s="97" t="s">
        <v>7</v>
      </c>
      <c r="G716" s="97" t="s">
        <v>8</v>
      </c>
      <c r="H716" s="97" t="s">
        <v>74</v>
      </c>
      <c r="I716" s="97" t="s">
        <v>71</v>
      </c>
      <c r="J716" s="97" t="s">
        <v>72</v>
      </c>
      <c r="K716" s="97" t="s">
        <v>73</v>
      </c>
      <c r="L716">
        <v>701000</v>
      </c>
      <c r="M716" s="97" t="s">
        <v>62</v>
      </c>
      <c r="N716" s="97" t="s">
        <v>33</v>
      </c>
      <c r="O716">
        <v>1246</v>
      </c>
      <c r="P716">
        <v>1.04</v>
      </c>
      <c r="Q716">
        <v>1.3</v>
      </c>
      <c r="R716" s="97" t="s">
        <v>1197</v>
      </c>
      <c r="S716" s="97" t="s">
        <v>195</v>
      </c>
    </row>
    <row r="717" spans="1:19" x14ac:dyDescent="0.3">
      <c r="A717" s="97" t="s">
        <v>1080</v>
      </c>
      <c r="B717" s="97" t="s">
        <v>22</v>
      </c>
      <c r="C717">
        <v>2026</v>
      </c>
      <c r="D717">
        <v>2</v>
      </c>
      <c r="E717" s="2">
        <v>46057</v>
      </c>
      <c r="F717" s="97" t="s">
        <v>7</v>
      </c>
      <c r="G717" s="97" t="s">
        <v>8</v>
      </c>
      <c r="H717" s="97" t="s">
        <v>74</v>
      </c>
      <c r="I717" s="97" t="s">
        <v>71</v>
      </c>
      <c r="J717" s="97" t="s">
        <v>72</v>
      </c>
      <c r="K717" s="97" t="s">
        <v>73</v>
      </c>
      <c r="L717">
        <v>701000</v>
      </c>
      <c r="M717" s="97" t="s">
        <v>62</v>
      </c>
      <c r="N717" s="97" t="s">
        <v>33</v>
      </c>
      <c r="O717">
        <v>2246</v>
      </c>
      <c r="P717">
        <v>1.05</v>
      </c>
      <c r="Q717">
        <v>2.36</v>
      </c>
      <c r="R717" s="97" t="s">
        <v>1199</v>
      </c>
      <c r="S717" s="97" t="s">
        <v>195</v>
      </c>
    </row>
    <row r="718" spans="1:19" x14ac:dyDescent="0.3">
      <c r="A718" s="97" t="s">
        <v>1081</v>
      </c>
      <c r="B718" s="97" t="s">
        <v>22</v>
      </c>
      <c r="C718">
        <v>2026</v>
      </c>
      <c r="D718">
        <v>2</v>
      </c>
      <c r="E718" s="2">
        <v>46057</v>
      </c>
      <c r="F718" s="97" t="s">
        <v>7</v>
      </c>
      <c r="G718" s="97" t="s">
        <v>8</v>
      </c>
      <c r="H718" s="97" t="s">
        <v>74</v>
      </c>
      <c r="I718" s="97" t="s">
        <v>71</v>
      </c>
      <c r="J718" s="97" t="s">
        <v>72</v>
      </c>
      <c r="K718" s="97" t="s">
        <v>73</v>
      </c>
      <c r="L718">
        <v>701000</v>
      </c>
      <c r="M718" s="97" t="s">
        <v>62</v>
      </c>
      <c r="N718" s="97" t="s">
        <v>33</v>
      </c>
      <c r="O718">
        <v>2400</v>
      </c>
      <c r="P718">
        <v>1.05</v>
      </c>
      <c r="Q718">
        <v>2.52</v>
      </c>
      <c r="R718" s="97" t="s">
        <v>1198</v>
      </c>
      <c r="S718" s="97" t="s">
        <v>195</v>
      </c>
    </row>
    <row r="719" spans="1:19" x14ac:dyDescent="0.3">
      <c r="A719" s="97" t="s">
        <v>1082</v>
      </c>
      <c r="B719" s="97" t="s">
        <v>22</v>
      </c>
      <c r="C719">
        <v>2026</v>
      </c>
      <c r="D719">
        <v>2</v>
      </c>
      <c r="E719" s="2">
        <v>46057</v>
      </c>
      <c r="F719" s="97" t="s">
        <v>7</v>
      </c>
      <c r="G719" s="97" t="s">
        <v>8</v>
      </c>
      <c r="H719" s="97" t="s">
        <v>74</v>
      </c>
      <c r="I719" s="97" t="s">
        <v>71</v>
      </c>
      <c r="J719" s="97" t="s">
        <v>72</v>
      </c>
      <c r="K719" s="97" t="s">
        <v>73</v>
      </c>
      <c r="L719">
        <v>701000</v>
      </c>
      <c r="M719" s="97" t="s">
        <v>62</v>
      </c>
      <c r="N719" s="97" t="s">
        <v>33</v>
      </c>
      <c r="O719">
        <v>1753</v>
      </c>
      <c r="P719">
        <v>1.05</v>
      </c>
      <c r="Q719">
        <v>1.84</v>
      </c>
      <c r="R719" s="97" t="s">
        <v>1200</v>
      </c>
      <c r="S719" s="97" t="s">
        <v>195</v>
      </c>
    </row>
    <row r="720" spans="1:19" x14ac:dyDescent="0.3">
      <c r="A720" s="97" t="s">
        <v>1083</v>
      </c>
      <c r="B720" s="97" t="s">
        <v>22</v>
      </c>
      <c r="C720">
        <v>2026</v>
      </c>
      <c r="D720">
        <v>2</v>
      </c>
      <c r="E720" s="2">
        <v>46057</v>
      </c>
      <c r="F720" s="97" t="s">
        <v>7</v>
      </c>
      <c r="G720" s="97" t="s">
        <v>8</v>
      </c>
      <c r="H720" s="97" t="s">
        <v>74</v>
      </c>
      <c r="I720" s="97" t="s">
        <v>71</v>
      </c>
      <c r="J720" s="97" t="s">
        <v>72</v>
      </c>
      <c r="K720" s="97" t="s">
        <v>73</v>
      </c>
      <c r="L720">
        <v>701000</v>
      </c>
      <c r="M720" s="97" t="s">
        <v>62</v>
      </c>
      <c r="N720" s="97" t="s">
        <v>33</v>
      </c>
      <c r="O720">
        <v>1401</v>
      </c>
      <c r="P720">
        <v>1.05</v>
      </c>
      <c r="Q720">
        <v>1.47</v>
      </c>
      <c r="R720" s="97" t="s">
        <v>1203</v>
      </c>
      <c r="S720" s="97" t="s">
        <v>195</v>
      </c>
    </row>
    <row r="721" spans="1:19" x14ac:dyDescent="0.3">
      <c r="A721" s="97" t="s">
        <v>1084</v>
      </c>
      <c r="B721" s="97" t="s">
        <v>22</v>
      </c>
      <c r="C721">
        <v>2026</v>
      </c>
      <c r="D721">
        <v>2</v>
      </c>
      <c r="E721" s="2">
        <v>46057</v>
      </c>
      <c r="F721" s="97" t="s">
        <v>7</v>
      </c>
      <c r="G721" s="97" t="s">
        <v>8</v>
      </c>
      <c r="H721" s="97" t="s">
        <v>74</v>
      </c>
      <c r="I721" s="97" t="s">
        <v>71</v>
      </c>
      <c r="J721" s="97" t="s">
        <v>72</v>
      </c>
      <c r="K721" s="97" t="s">
        <v>73</v>
      </c>
      <c r="L721">
        <v>701000</v>
      </c>
      <c r="M721" s="97" t="s">
        <v>62</v>
      </c>
      <c r="N721" s="97" t="s">
        <v>33</v>
      </c>
      <c r="O721">
        <v>1217</v>
      </c>
      <c r="P721">
        <v>1.05</v>
      </c>
      <c r="Q721">
        <v>1.28</v>
      </c>
      <c r="R721" s="97" t="s">
        <v>1201</v>
      </c>
      <c r="S721" s="97" t="s">
        <v>195</v>
      </c>
    </row>
    <row r="722" spans="1:19" x14ac:dyDescent="0.3">
      <c r="A722" s="97" t="s">
        <v>1165</v>
      </c>
      <c r="B722" s="97" t="s">
        <v>22</v>
      </c>
      <c r="C722">
        <v>2026</v>
      </c>
      <c r="D722">
        <v>2</v>
      </c>
      <c r="E722" s="2">
        <v>46057</v>
      </c>
      <c r="F722" s="97" t="s">
        <v>7</v>
      </c>
      <c r="G722" s="97" t="s">
        <v>8</v>
      </c>
      <c r="H722" s="97" t="s">
        <v>74</v>
      </c>
      <c r="I722" s="97" t="s">
        <v>71</v>
      </c>
      <c r="J722" s="97" t="s">
        <v>72</v>
      </c>
      <c r="K722" s="97" t="s">
        <v>73</v>
      </c>
      <c r="L722">
        <v>701000</v>
      </c>
      <c r="M722" s="97" t="s">
        <v>62</v>
      </c>
      <c r="N722" s="97" t="s">
        <v>33</v>
      </c>
      <c r="O722">
        <v>2633</v>
      </c>
      <c r="P722">
        <v>1.05</v>
      </c>
      <c r="Q722">
        <v>2.76</v>
      </c>
      <c r="R722" s="97" t="s">
        <v>1197</v>
      </c>
      <c r="S722" s="97" t="s">
        <v>195</v>
      </c>
    </row>
    <row r="723" spans="1:19" x14ac:dyDescent="0.3">
      <c r="A723" s="97" t="s">
        <v>1166</v>
      </c>
      <c r="B723" s="97" t="s">
        <v>22</v>
      </c>
      <c r="C723">
        <v>2026</v>
      </c>
      <c r="D723">
        <v>2</v>
      </c>
      <c r="E723" s="2">
        <v>46057</v>
      </c>
      <c r="F723" s="97" t="s">
        <v>7</v>
      </c>
      <c r="G723" s="97" t="s">
        <v>8</v>
      </c>
      <c r="H723" s="97" t="s">
        <v>74</v>
      </c>
      <c r="I723" s="97" t="s">
        <v>71</v>
      </c>
      <c r="J723" s="97" t="s">
        <v>72</v>
      </c>
      <c r="K723" s="97" t="s">
        <v>73</v>
      </c>
      <c r="L723">
        <v>701000</v>
      </c>
      <c r="M723" s="97" t="s">
        <v>62</v>
      </c>
      <c r="N723" s="97" t="s">
        <v>33</v>
      </c>
      <c r="O723">
        <v>2145</v>
      </c>
      <c r="P723">
        <v>1.05</v>
      </c>
      <c r="Q723">
        <v>2.25</v>
      </c>
      <c r="R723" s="97" t="s">
        <v>1200</v>
      </c>
      <c r="S723" s="97" t="s">
        <v>195</v>
      </c>
    </row>
    <row r="724" spans="1:19" x14ac:dyDescent="0.3">
      <c r="A724" s="97" t="s">
        <v>1167</v>
      </c>
      <c r="B724" s="97" t="s">
        <v>22</v>
      </c>
      <c r="C724">
        <v>2026</v>
      </c>
      <c r="D724">
        <v>2</v>
      </c>
      <c r="E724" s="2">
        <v>46057</v>
      </c>
      <c r="F724" s="97" t="s">
        <v>7</v>
      </c>
      <c r="G724" s="97" t="s">
        <v>8</v>
      </c>
      <c r="H724" s="97" t="s">
        <v>74</v>
      </c>
      <c r="I724" s="97" t="s">
        <v>71</v>
      </c>
      <c r="J724" s="97" t="s">
        <v>72</v>
      </c>
      <c r="K724" s="97" t="s">
        <v>73</v>
      </c>
      <c r="L724">
        <v>701000</v>
      </c>
      <c r="M724" s="97" t="s">
        <v>62</v>
      </c>
      <c r="N724" s="97" t="s">
        <v>33</v>
      </c>
      <c r="O724">
        <v>3244</v>
      </c>
      <c r="P724">
        <v>1.05</v>
      </c>
      <c r="Q724">
        <v>3.41</v>
      </c>
      <c r="R724" s="97" t="s">
        <v>1201</v>
      </c>
      <c r="S724" s="97" t="s">
        <v>195</v>
      </c>
    </row>
    <row r="725" spans="1:19" x14ac:dyDescent="0.3">
      <c r="A725" s="97" t="s">
        <v>1168</v>
      </c>
      <c r="B725" s="97" t="s">
        <v>22</v>
      </c>
      <c r="C725">
        <v>2026</v>
      </c>
      <c r="D725">
        <v>2</v>
      </c>
      <c r="E725" s="2">
        <v>46057</v>
      </c>
      <c r="F725" s="97" t="s">
        <v>7</v>
      </c>
      <c r="G725" s="97" t="s">
        <v>8</v>
      </c>
      <c r="H725" s="97" t="s">
        <v>74</v>
      </c>
      <c r="I725" s="97" t="s">
        <v>71</v>
      </c>
      <c r="J725" s="97" t="s">
        <v>72</v>
      </c>
      <c r="K725" s="97" t="s">
        <v>73</v>
      </c>
      <c r="L725">
        <v>701000</v>
      </c>
      <c r="M725" s="97" t="s">
        <v>62</v>
      </c>
      <c r="N725" s="97" t="s">
        <v>33</v>
      </c>
      <c r="O725">
        <v>1073</v>
      </c>
      <c r="P725">
        <v>1.05</v>
      </c>
      <c r="Q725">
        <v>1.1299999999999999</v>
      </c>
      <c r="R725" s="97" t="s">
        <v>1198</v>
      </c>
      <c r="S725" s="97" t="s">
        <v>195</v>
      </c>
    </row>
    <row r="726" spans="1:19" x14ac:dyDescent="0.3">
      <c r="A726" s="97" t="s">
        <v>1169</v>
      </c>
      <c r="B726" s="97" t="s">
        <v>22</v>
      </c>
      <c r="C726">
        <v>2026</v>
      </c>
      <c r="D726">
        <v>2</v>
      </c>
      <c r="E726" s="2">
        <v>46057</v>
      </c>
      <c r="F726" s="97" t="s">
        <v>7</v>
      </c>
      <c r="G726" s="97" t="s">
        <v>8</v>
      </c>
      <c r="H726" s="97" t="s">
        <v>74</v>
      </c>
      <c r="I726" s="97" t="s">
        <v>71</v>
      </c>
      <c r="J726" s="97" t="s">
        <v>72</v>
      </c>
      <c r="K726" s="97" t="s">
        <v>73</v>
      </c>
      <c r="L726">
        <v>701000</v>
      </c>
      <c r="M726" s="97" t="s">
        <v>62</v>
      </c>
      <c r="N726" s="97" t="s">
        <v>33</v>
      </c>
      <c r="O726">
        <v>364</v>
      </c>
      <c r="P726">
        <v>1.04</v>
      </c>
      <c r="Q726">
        <v>0.38</v>
      </c>
      <c r="R726" s="97" t="s">
        <v>1203</v>
      </c>
      <c r="S726" s="97" t="s">
        <v>195</v>
      </c>
    </row>
    <row r="727" spans="1:19" x14ac:dyDescent="0.3">
      <c r="A727" s="97" t="s">
        <v>1045</v>
      </c>
      <c r="B727" s="97" t="s">
        <v>22</v>
      </c>
      <c r="C727">
        <v>2026</v>
      </c>
      <c r="D727">
        <v>2</v>
      </c>
      <c r="E727" s="2">
        <v>46058</v>
      </c>
      <c r="F727" s="97" t="s">
        <v>7</v>
      </c>
      <c r="G727" s="97" t="s">
        <v>8</v>
      </c>
      <c r="H727" s="97" t="s">
        <v>74</v>
      </c>
      <c r="I727" s="97" t="s">
        <v>71</v>
      </c>
      <c r="J727" s="97" t="s">
        <v>72</v>
      </c>
      <c r="K727" s="97" t="s">
        <v>73</v>
      </c>
      <c r="L727">
        <v>701000</v>
      </c>
      <c r="M727" s="97" t="s">
        <v>62</v>
      </c>
      <c r="N727" s="97" t="s">
        <v>33</v>
      </c>
      <c r="O727">
        <v>1410</v>
      </c>
      <c r="P727">
        <v>1.05</v>
      </c>
      <c r="Q727">
        <v>1.48</v>
      </c>
      <c r="R727" s="97" t="s">
        <v>1198</v>
      </c>
      <c r="S727" s="97" t="s">
        <v>195</v>
      </c>
    </row>
    <row r="728" spans="1:19" x14ac:dyDescent="0.3">
      <c r="A728" s="97" t="s">
        <v>1046</v>
      </c>
      <c r="B728" s="97" t="s">
        <v>22</v>
      </c>
      <c r="C728">
        <v>2026</v>
      </c>
      <c r="D728">
        <v>2</v>
      </c>
      <c r="E728" s="2">
        <v>46058</v>
      </c>
      <c r="F728" s="97" t="s">
        <v>7</v>
      </c>
      <c r="G728" s="97" t="s">
        <v>8</v>
      </c>
      <c r="H728" s="97" t="s">
        <v>74</v>
      </c>
      <c r="I728" s="97" t="s">
        <v>71</v>
      </c>
      <c r="J728" s="97" t="s">
        <v>72</v>
      </c>
      <c r="K728" s="97" t="s">
        <v>73</v>
      </c>
      <c r="L728">
        <v>701000</v>
      </c>
      <c r="M728" s="97" t="s">
        <v>62</v>
      </c>
      <c r="N728" s="97" t="s">
        <v>33</v>
      </c>
      <c r="O728">
        <v>2857</v>
      </c>
      <c r="P728">
        <v>1.05</v>
      </c>
      <c r="Q728">
        <v>3</v>
      </c>
      <c r="R728" s="97" t="s">
        <v>1197</v>
      </c>
      <c r="S728" s="97" t="s">
        <v>195</v>
      </c>
    </row>
    <row r="729" spans="1:19" x14ac:dyDescent="0.3">
      <c r="A729" s="97" t="s">
        <v>1047</v>
      </c>
      <c r="B729" s="97" t="s">
        <v>22</v>
      </c>
      <c r="C729">
        <v>2026</v>
      </c>
      <c r="D729">
        <v>2</v>
      </c>
      <c r="E729" s="2">
        <v>46058</v>
      </c>
      <c r="F729" s="97" t="s">
        <v>7</v>
      </c>
      <c r="G729" s="97" t="s">
        <v>8</v>
      </c>
      <c r="H729" s="97" t="s">
        <v>74</v>
      </c>
      <c r="I729" s="97" t="s">
        <v>71</v>
      </c>
      <c r="J729" s="97" t="s">
        <v>72</v>
      </c>
      <c r="K729" s="97" t="s">
        <v>73</v>
      </c>
      <c r="L729">
        <v>701000</v>
      </c>
      <c r="M729" s="97" t="s">
        <v>62</v>
      </c>
      <c r="N729" s="97" t="s">
        <v>33</v>
      </c>
      <c r="O729">
        <v>1759</v>
      </c>
      <c r="P729">
        <v>1.05</v>
      </c>
      <c r="Q729">
        <v>1.85</v>
      </c>
      <c r="R729" s="97" t="s">
        <v>1204</v>
      </c>
      <c r="S729" s="97" t="s">
        <v>195</v>
      </c>
    </row>
    <row r="730" spans="1:19" x14ac:dyDescent="0.3">
      <c r="A730" s="97" t="s">
        <v>1048</v>
      </c>
      <c r="B730" s="97" t="s">
        <v>22</v>
      </c>
      <c r="C730">
        <v>2026</v>
      </c>
      <c r="D730">
        <v>2</v>
      </c>
      <c r="E730" s="2">
        <v>46058</v>
      </c>
      <c r="F730" s="97" t="s">
        <v>7</v>
      </c>
      <c r="G730" s="97" t="s">
        <v>8</v>
      </c>
      <c r="H730" s="97" t="s">
        <v>74</v>
      </c>
      <c r="I730" s="97" t="s">
        <v>71</v>
      </c>
      <c r="J730" s="97" t="s">
        <v>72</v>
      </c>
      <c r="K730" s="97" t="s">
        <v>73</v>
      </c>
      <c r="L730">
        <v>701000</v>
      </c>
      <c r="M730" s="97" t="s">
        <v>62</v>
      </c>
      <c r="N730" s="97" t="s">
        <v>33</v>
      </c>
      <c r="O730">
        <v>2172</v>
      </c>
      <c r="P730">
        <v>1.05</v>
      </c>
      <c r="Q730">
        <v>2.2799999999999998</v>
      </c>
      <c r="R730" s="97" t="s">
        <v>1201</v>
      </c>
      <c r="S730" s="97" t="s">
        <v>195</v>
      </c>
    </row>
    <row r="731" spans="1:19" x14ac:dyDescent="0.3">
      <c r="A731" s="97" t="s">
        <v>1049</v>
      </c>
      <c r="B731" s="97" t="s">
        <v>22</v>
      </c>
      <c r="C731">
        <v>2026</v>
      </c>
      <c r="D731">
        <v>2</v>
      </c>
      <c r="E731" s="2">
        <v>46058</v>
      </c>
      <c r="F731" s="97" t="s">
        <v>7</v>
      </c>
      <c r="G731" s="97" t="s">
        <v>8</v>
      </c>
      <c r="H731" s="97" t="s">
        <v>74</v>
      </c>
      <c r="I731" s="97" t="s">
        <v>71</v>
      </c>
      <c r="J731" s="97" t="s">
        <v>72</v>
      </c>
      <c r="K731" s="97" t="s">
        <v>73</v>
      </c>
      <c r="L731">
        <v>701000</v>
      </c>
      <c r="M731" s="97" t="s">
        <v>62</v>
      </c>
      <c r="N731" s="97" t="s">
        <v>33</v>
      </c>
      <c r="O731">
        <v>1228</v>
      </c>
      <c r="P731">
        <v>1.05</v>
      </c>
      <c r="Q731">
        <v>1.29</v>
      </c>
      <c r="R731" s="97" t="s">
        <v>1200</v>
      </c>
      <c r="S731" s="97" t="s">
        <v>195</v>
      </c>
    </row>
    <row r="732" spans="1:19" x14ac:dyDescent="0.3">
      <c r="A732" s="97" t="s">
        <v>1140</v>
      </c>
      <c r="B732" s="97" t="s">
        <v>22</v>
      </c>
      <c r="C732">
        <v>2026</v>
      </c>
      <c r="D732">
        <v>2</v>
      </c>
      <c r="E732" s="2">
        <v>46058</v>
      </c>
      <c r="F732" s="97" t="s">
        <v>7</v>
      </c>
      <c r="G732" s="97" t="s">
        <v>8</v>
      </c>
      <c r="H732" s="97" t="s">
        <v>74</v>
      </c>
      <c r="I732" s="97" t="s">
        <v>71</v>
      </c>
      <c r="J732" s="97" t="s">
        <v>72</v>
      </c>
      <c r="K732" s="97" t="s">
        <v>73</v>
      </c>
      <c r="L732">
        <v>701000</v>
      </c>
      <c r="M732" s="97" t="s">
        <v>62</v>
      </c>
      <c r="N732" s="97" t="s">
        <v>33</v>
      </c>
      <c r="O732">
        <v>719</v>
      </c>
      <c r="P732">
        <v>1.06</v>
      </c>
      <c r="Q732">
        <v>0.76</v>
      </c>
      <c r="R732" s="97" t="s">
        <v>1199</v>
      </c>
      <c r="S732" s="97" t="s">
        <v>195</v>
      </c>
    </row>
    <row r="733" spans="1:19" x14ac:dyDescent="0.3">
      <c r="A733" s="97" t="s">
        <v>1141</v>
      </c>
      <c r="B733" s="97" t="s">
        <v>22</v>
      </c>
      <c r="C733">
        <v>2026</v>
      </c>
      <c r="D733">
        <v>2</v>
      </c>
      <c r="E733" s="2">
        <v>46058</v>
      </c>
      <c r="F733" s="97" t="s">
        <v>7</v>
      </c>
      <c r="G733" s="97" t="s">
        <v>8</v>
      </c>
      <c r="H733" s="97" t="s">
        <v>74</v>
      </c>
      <c r="I733" s="97" t="s">
        <v>71</v>
      </c>
      <c r="J733" s="97" t="s">
        <v>72</v>
      </c>
      <c r="K733" s="97" t="s">
        <v>73</v>
      </c>
      <c r="L733">
        <v>701000</v>
      </c>
      <c r="M733" s="97" t="s">
        <v>62</v>
      </c>
      <c r="N733" s="97" t="s">
        <v>33</v>
      </c>
      <c r="O733">
        <v>2135</v>
      </c>
      <c r="P733">
        <v>1.05</v>
      </c>
      <c r="Q733">
        <v>2.2400000000000002</v>
      </c>
      <c r="R733" s="97" t="s">
        <v>1197</v>
      </c>
      <c r="S733" s="97" t="s">
        <v>195</v>
      </c>
    </row>
    <row r="734" spans="1:19" x14ac:dyDescent="0.3">
      <c r="A734" s="97" t="s">
        <v>1142</v>
      </c>
      <c r="B734" s="97" t="s">
        <v>22</v>
      </c>
      <c r="C734">
        <v>2026</v>
      </c>
      <c r="D734">
        <v>2</v>
      </c>
      <c r="E734" s="2">
        <v>46058</v>
      </c>
      <c r="F734" s="97" t="s">
        <v>7</v>
      </c>
      <c r="G734" s="97" t="s">
        <v>8</v>
      </c>
      <c r="H734" s="97" t="s">
        <v>74</v>
      </c>
      <c r="I734" s="97" t="s">
        <v>71</v>
      </c>
      <c r="J734" s="97" t="s">
        <v>72</v>
      </c>
      <c r="K734" s="97" t="s">
        <v>73</v>
      </c>
      <c r="L734">
        <v>701000</v>
      </c>
      <c r="M734" s="97" t="s">
        <v>62</v>
      </c>
      <c r="N734" s="97" t="s">
        <v>33</v>
      </c>
      <c r="O734">
        <v>2580</v>
      </c>
      <c r="P734">
        <v>1.05</v>
      </c>
      <c r="Q734">
        <v>2.71</v>
      </c>
      <c r="R734" s="97" t="s">
        <v>1202</v>
      </c>
      <c r="S734" s="97" t="s">
        <v>195</v>
      </c>
    </row>
    <row r="735" spans="1:19" x14ac:dyDescent="0.3">
      <c r="A735" s="97" t="s">
        <v>1143</v>
      </c>
      <c r="B735" s="97" t="s">
        <v>22</v>
      </c>
      <c r="C735">
        <v>2026</v>
      </c>
      <c r="D735">
        <v>2</v>
      </c>
      <c r="E735" s="2">
        <v>46058</v>
      </c>
      <c r="F735" s="97" t="s">
        <v>7</v>
      </c>
      <c r="G735" s="97" t="s">
        <v>8</v>
      </c>
      <c r="H735" s="97" t="s">
        <v>74</v>
      </c>
      <c r="I735" s="97" t="s">
        <v>71</v>
      </c>
      <c r="J735" s="97" t="s">
        <v>72</v>
      </c>
      <c r="K735" s="97" t="s">
        <v>73</v>
      </c>
      <c r="L735">
        <v>701000</v>
      </c>
      <c r="M735" s="97" t="s">
        <v>62</v>
      </c>
      <c r="N735" s="97" t="s">
        <v>33</v>
      </c>
      <c r="O735">
        <v>816</v>
      </c>
      <c r="P735">
        <v>1.05</v>
      </c>
      <c r="Q735">
        <v>0.86</v>
      </c>
      <c r="R735" s="97" t="s">
        <v>1200</v>
      </c>
      <c r="S735" s="97" t="s">
        <v>195</v>
      </c>
    </row>
    <row r="736" spans="1:19" x14ac:dyDescent="0.3">
      <c r="A736" s="97" t="s">
        <v>1144</v>
      </c>
      <c r="B736" s="97" t="s">
        <v>22</v>
      </c>
      <c r="C736">
        <v>2026</v>
      </c>
      <c r="D736">
        <v>2</v>
      </c>
      <c r="E736" s="2">
        <v>46058</v>
      </c>
      <c r="F736" s="97" t="s">
        <v>7</v>
      </c>
      <c r="G736" s="97" t="s">
        <v>8</v>
      </c>
      <c r="H736" s="97" t="s">
        <v>74</v>
      </c>
      <c r="I736" s="97" t="s">
        <v>71</v>
      </c>
      <c r="J736" s="97" t="s">
        <v>72</v>
      </c>
      <c r="K736" s="97" t="s">
        <v>73</v>
      </c>
      <c r="L736">
        <v>701000</v>
      </c>
      <c r="M736" s="97" t="s">
        <v>62</v>
      </c>
      <c r="N736" s="97" t="s">
        <v>33</v>
      </c>
      <c r="O736">
        <v>784</v>
      </c>
      <c r="P736">
        <v>1.05</v>
      </c>
      <c r="Q736">
        <v>0.82</v>
      </c>
      <c r="R736" s="97" t="s">
        <v>1201</v>
      </c>
      <c r="S736" s="97" t="s">
        <v>195</v>
      </c>
    </row>
    <row r="737" spans="1:19" x14ac:dyDescent="0.3">
      <c r="A737" s="97" t="s">
        <v>990</v>
      </c>
      <c r="B737" s="97" t="s">
        <v>22</v>
      </c>
      <c r="C737">
        <v>2026</v>
      </c>
      <c r="D737">
        <v>2</v>
      </c>
      <c r="E737" s="2">
        <v>46059</v>
      </c>
      <c r="F737" s="97" t="s">
        <v>7</v>
      </c>
      <c r="G737" s="97" t="s">
        <v>8</v>
      </c>
      <c r="H737" s="97" t="s">
        <v>74</v>
      </c>
      <c r="I737" s="97" t="s">
        <v>84</v>
      </c>
      <c r="J737" s="97" t="s">
        <v>85</v>
      </c>
      <c r="K737" s="97" t="s">
        <v>73</v>
      </c>
      <c r="L737">
        <v>701000</v>
      </c>
      <c r="M737" s="97" t="s">
        <v>62</v>
      </c>
      <c r="N737" s="97" t="s">
        <v>33</v>
      </c>
      <c r="O737">
        <v>6977</v>
      </c>
      <c r="P737">
        <v>0.95</v>
      </c>
      <c r="Q737">
        <v>6.63</v>
      </c>
      <c r="R737" s="97" t="s">
        <v>1199</v>
      </c>
      <c r="S737" s="97" t="s">
        <v>195</v>
      </c>
    </row>
    <row r="738" spans="1:19" x14ac:dyDescent="0.3">
      <c r="A738" s="97" t="s">
        <v>991</v>
      </c>
      <c r="B738" s="97" t="s">
        <v>22</v>
      </c>
      <c r="C738">
        <v>2026</v>
      </c>
      <c r="D738">
        <v>2</v>
      </c>
      <c r="E738" s="2">
        <v>46059</v>
      </c>
      <c r="F738" s="97" t="s">
        <v>7</v>
      </c>
      <c r="G738" s="97" t="s">
        <v>8</v>
      </c>
      <c r="H738" s="97" t="s">
        <v>74</v>
      </c>
      <c r="I738" s="97" t="s">
        <v>84</v>
      </c>
      <c r="J738" s="97" t="s">
        <v>85</v>
      </c>
      <c r="K738" s="97" t="s">
        <v>73</v>
      </c>
      <c r="L738">
        <v>701000</v>
      </c>
      <c r="M738" s="97" t="s">
        <v>62</v>
      </c>
      <c r="N738" s="97" t="s">
        <v>33</v>
      </c>
      <c r="O738">
        <v>757</v>
      </c>
      <c r="P738">
        <v>0.95</v>
      </c>
      <c r="Q738">
        <v>0.72</v>
      </c>
      <c r="R738" s="97" t="s">
        <v>1201</v>
      </c>
      <c r="S738" s="97" t="s">
        <v>195</v>
      </c>
    </row>
    <row r="739" spans="1:19" x14ac:dyDescent="0.3">
      <c r="A739" s="97" t="s">
        <v>992</v>
      </c>
      <c r="B739" s="97" t="s">
        <v>22</v>
      </c>
      <c r="C739">
        <v>2026</v>
      </c>
      <c r="D739">
        <v>2</v>
      </c>
      <c r="E739" s="2">
        <v>46059</v>
      </c>
      <c r="F739" s="97" t="s">
        <v>7</v>
      </c>
      <c r="G739" s="97" t="s">
        <v>8</v>
      </c>
      <c r="H739" s="97" t="s">
        <v>74</v>
      </c>
      <c r="I739" s="97" t="s">
        <v>84</v>
      </c>
      <c r="J739" s="97" t="s">
        <v>85</v>
      </c>
      <c r="K739" s="97" t="s">
        <v>73</v>
      </c>
      <c r="L739">
        <v>701000</v>
      </c>
      <c r="M739" s="97" t="s">
        <v>62</v>
      </c>
      <c r="N739" s="97" t="s">
        <v>33</v>
      </c>
      <c r="O739">
        <v>2961</v>
      </c>
      <c r="P739">
        <v>0.95</v>
      </c>
      <c r="Q739">
        <v>2.81</v>
      </c>
      <c r="R739" s="97" t="s">
        <v>1203</v>
      </c>
      <c r="S739" s="97" t="s">
        <v>195</v>
      </c>
    </row>
    <row r="740" spans="1:19" x14ac:dyDescent="0.3">
      <c r="A740" s="97" t="s">
        <v>993</v>
      </c>
      <c r="B740" s="97" t="s">
        <v>22</v>
      </c>
      <c r="C740">
        <v>2026</v>
      </c>
      <c r="D740">
        <v>2</v>
      </c>
      <c r="E740" s="2">
        <v>46059</v>
      </c>
      <c r="F740" s="97" t="s">
        <v>7</v>
      </c>
      <c r="G740" s="97" t="s">
        <v>8</v>
      </c>
      <c r="H740" s="97" t="s">
        <v>74</v>
      </c>
      <c r="I740" s="97" t="s">
        <v>84</v>
      </c>
      <c r="J740" s="97" t="s">
        <v>85</v>
      </c>
      <c r="K740" s="97" t="s">
        <v>73</v>
      </c>
      <c r="L740">
        <v>701000</v>
      </c>
      <c r="M740" s="97" t="s">
        <v>62</v>
      </c>
      <c r="N740" s="97" t="s">
        <v>33</v>
      </c>
      <c r="O740">
        <v>2947</v>
      </c>
      <c r="P740">
        <v>0.95</v>
      </c>
      <c r="Q740">
        <v>2.8</v>
      </c>
      <c r="R740" s="97" t="s">
        <v>1198</v>
      </c>
      <c r="S740" s="97" t="s">
        <v>195</v>
      </c>
    </row>
    <row r="741" spans="1:19" x14ac:dyDescent="0.3">
      <c r="A741" s="97" t="s">
        <v>994</v>
      </c>
      <c r="B741" s="97" t="s">
        <v>22</v>
      </c>
      <c r="C741">
        <v>2026</v>
      </c>
      <c r="D741">
        <v>2</v>
      </c>
      <c r="E741" s="2">
        <v>46059</v>
      </c>
      <c r="F741" s="97" t="s">
        <v>7</v>
      </c>
      <c r="G741" s="97" t="s">
        <v>8</v>
      </c>
      <c r="H741" s="97" t="s">
        <v>74</v>
      </c>
      <c r="I741" s="97" t="s">
        <v>84</v>
      </c>
      <c r="J741" s="97" t="s">
        <v>85</v>
      </c>
      <c r="K741" s="97" t="s">
        <v>73</v>
      </c>
      <c r="L741">
        <v>701000</v>
      </c>
      <c r="M741" s="97" t="s">
        <v>62</v>
      </c>
      <c r="N741" s="97" t="s">
        <v>33</v>
      </c>
      <c r="O741">
        <v>6233</v>
      </c>
      <c r="P741">
        <v>0.95</v>
      </c>
      <c r="Q741">
        <v>5.92</v>
      </c>
      <c r="R741" s="97" t="s">
        <v>1202</v>
      </c>
      <c r="S741" s="97" t="s">
        <v>195</v>
      </c>
    </row>
    <row r="742" spans="1:19" x14ac:dyDescent="0.3">
      <c r="A742" s="97" t="s">
        <v>1125</v>
      </c>
      <c r="B742" s="97" t="s">
        <v>22</v>
      </c>
      <c r="C742">
        <v>2026</v>
      </c>
      <c r="D742">
        <v>2</v>
      </c>
      <c r="E742" s="2">
        <v>46059</v>
      </c>
      <c r="F742" s="97" t="s">
        <v>7</v>
      </c>
      <c r="G742" s="97" t="s">
        <v>8</v>
      </c>
      <c r="H742" s="97" t="s">
        <v>70</v>
      </c>
      <c r="I742" s="97" t="s">
        <v>71</v>
      </c>
      <c r="J742" s="97" t="s">
        <v>72</v>
      </c>
      <c r="K742" s="97" t="s">
        <v>73</v>
      </c>
      <c r="L742">
        <v>701000</v>
      </c>
      <c r="M742" s="97" t="s">
        <v>62</v>
      </c>
      <c r="N742" s="97" t="s">
        <v>33</v>
      </c>
      <c r="O742">
        <v>2254</v>
      </c>
      <c r="P742">
        <v>1.05</v>
      </c>
      <c r="Q742">
        <v>2.37</v>
      </c>
      <c r="R742" s="97" t="s">
        <v>1205</v>
      </c>
      <c r="S742" s="97" t="s">
        <v>195</v>
      </c>
    </row>
    <row r="743" spans="1:19" x14ac:dyDescent="0.3">
      <c r="A743" s="97" t="s">
        <v>1126</v>
      </c>
      <c r="B743" s="97" t="s">
        <v>22</v>
      </c>
      <c r="C743">
        <v>2026</v>
      </c>
      <c r="D743">
        <v>2</v>
      </c>
      <c r="E743" s="2">
        <v>46059</v>
      </c>
      <c r="F743" s="97" t="s">
        <v>7</v>
      </c>
      <c r="G743" s="97" t="s">
        <v>8</v>
      </c>
      <c r="H743" s="97" t="s">
        <v>70</v>
      </c>
      <c r="I743" s="97" t="s">
        <v>71</v>
      </c>
      <c r="J743" s="97" t="s">
        <v>72</v>
      </c>
      <c r="K743" s="97" t="s">
        <v>73</v>
      </c>
      <c r="L743">
        <v>701000</v>
      </c>
      <c r="M743" s="97" t="s">
        <v>62</v>
      </c>
      <c r="N743" s="97" t="s">
        <v>33</v>
      </c>
      <c r="O743">
        <v>1025</v>
      </c>
      <c r="P743">
        <v>1.05</v>
      </c>
      <c r="Q743">
        <v>1.08</v>
      </c>
      <c r="R743" s="97" t="s">
        <v>1199</v>
      </c>
      <c r="S743" s="97" t="s">
        <v>195</v>
      </c>
    </row>
    <row r="744" spans="1:19" x14ac:dyDescent="0.3">
      <c r="A744" s="97" t="s">
        <v>1127</v>
      </c>
      <c r="B744" s="97" t="s">
        <v>22</v>
      </c>
      <c r="C744">
        <v>2026</v>
      </c>
      <c r="D744">
        <v>2</v>
      </c>
      <c r="E744" s="2">
        <v>46059</v>
      </c>
      <c r="F744" s="97" t="s">
        <v>7</v>
      </c>
      <c r="G744" s="97" t="s">
        <v>8</v>
      </c>
      <c r="H744" s="97" t="s">
        <v>70</v>
      </c>
      <c r="I744" s="97" t="s">
        <v>71</v>
      </c>
      <c r="J744" s="97" t="s">
        <v>72</v>
      </c>
      <c r="K744" s="97" t="s">
        <v>73</v>
      </c>
      <c r="L744">
        <v>701000</v>
      </c>
      <c r="M744" s="97" t="s">
        <v>62</v>
      </c>
      <c r="N744" s="97" t="s">
        <v>33</v>
      </c>
      <c r="O744">
        <v>982</v>
      </c>
      <c r="P744">
        <v>1.05</v>
      </c>
      <c r="Q744">
        <v>1.03</v>
      </c>
      <c r="R744" s="97" t="s">
        <v>1202</v>
      </c>
      <c r="S744" s="97" t="s">
        <v>195</v>
      </c>
    </row>
    <row r="745" spans="1:19" x14ac:dyDescent="0.3">
      <c r="A745" s="97" t="s">
        <v>1128</v>
      </c>
      <c r="B745" s="97" t="s">
        <v>22</v>
      </c>
      <c r="C745">
        <v>2026</v>
      </c>
      <c r="D745">
        <v>2</v>
      </c>
      <c r="E745" s="2">
        <v>46059</v>
      </c>
      <c r="F745" s="97" t="s">
        <v>7</v>
      </c>
      <c r="G745" s="97" t="s">
        <v>8</v>
      </c>
      <c r="H745" s="97" t="s">
        <v>70</v>
      </c>
      <c r="I745" s="97" t="s">
        <v>71</v>
      </c>
      <c r="J745" s="97" t="s">
        <v>72</v>
      </c>
      <c r="K745" s="97" t="s">
        <v>73</v>
      </c>
      <c r="L745">
        <v>701000</v>
      </c>
      <c r="M745" s="97" t="s">
        <v>62</v>
      </c>
      <c r="N745" s="97" t="s">
        <v>33</v>
      </c>
      <c r="O745">
        <v>1946</v>
      </c>
      <c r="P745">
        <v>1.05</v>
      </c>
      <c r="Q745">
        <v>2.04</v>
      </c>
      <c r="R745" s="97" t="s">
        <v>1197</v>
      </c>
      <c r="S745" s="97" t="s">
        <v>195</v>
      </c>
    </row>
    <row r="746" spans="1:19" x14ac:dyDescent="0.3">
      <c r="A746" s="97" t="s">
        <v>1129</v>
      </c>
      <c r="B746" s="97" t="s">
        <v>22</v>
      </c>
      <c r="C746">
        <v>2026</v>
      </c>
      <c r="D746">
        <v>2</v>
      </c>
      <c r="E746" s="2">
        <v>46059</v>
      </c>
      <c r="F746" s="97" t="s">
        <v>7</v>
      </c>
      <c r="G746" s="97" t="s">
        <v>8</v>
      </c>
      <c r="H746" s="97" t="s">
        <v>70</v>
      </c>
      <c r="I746" s="97" t="s">
        <v>71</v>
      </c>
      <c r="J746" s="97" t="s">
        <v>72</v>
      </c>
      <c r="K746" s="97" t="s">
        <v>73</v>
      </c>
      <c r="L746">
        <v>701000</v>
      </c>
      <c r="M746" s="97" t="s">
        <v>62</v>
      </c>
      <c r="N746" s="97" t="s">
        <v>33</v>
      </c>
      <c r="O746">
        <v>1183</v>
      </c>
      <c r="P746">
        <v>1.05</v>
      </c>
      <c r="Q746">
        <v>1.24</v>
      </c>
      <c r="R746" s="97" t="s">
        <v>1201</v>
      </c>
      <c r="S746" s="97" t="s">
        <v>195</v>
      </c>
    </row>
    <row r="747" spans="1:19" x14ac:dyDescent="0.3">
      <c r="A747" s="97" t="s">
        <v>1010</v>
      </c>
      <c r="B747" s="97" t="s">
        <v>22</v>
      </c>
      <c r="C747">
        <v>2026</v>
      </c>
      <c r="D747">
        <v>2</v>
      </c>
      <c r="E747" s="2">
        <v>46060</v>
      </c>
      <c r="F747" s="97" t="s">
        <v>7</v>
      </c>
      <c r="G747" s="97" t="s">
        <v>8</v>
      </c>
      <c r="H747" s="97" t="s">
        <v>70</v>
      </c>
      <c r="I747" s="97" t="s">
        <v>71</v>
      </c>
      <c r="J747" s="97" t="s">
        <v>72</v>
      </c>
      <c r="K747" s="97" t="s">
        <v>73</v>
      </c>
      <c r="L747">
        <v>701000</v>
      </c>
      <c r="M747" s="97" t="s">
        <v>62</v>
      </c>
      <c r="N747" s="97" t="s">
        <v>33</v>
      </c>
      <c r="O747">
        <v>791</v>
      </c>
      <c r="P747">
        <v>1.05</v>
      </c>
      <c r="Q747">
        <v>0.83</v>
      </c>
      <c r="R747" s="97" t="s">
        <v>1203</v>
      </c>
      <c r="S747" s="97" t="s">
        <v>195</v>
      </c>
    </row>
    <row r="748" spans="1:19" x14ac:dyDescent="0.3">
      <c r="A748" s="97" t="s">
        <v>1011</v>
      </c>
      <c r="B748" s="97" t="s">
        <v>22</v>
      </c>
      <c r="C748">
        <v>2026</v>
      </c>
      <c r="D748">
        <v>2</v>
      </c>
      <c r="E748" s="2">
        <v>46060</v>
      </c>
      <c r="F748" s="97" t="s">
        <v>7</v>
      </c>
      <c r="G748" s="97" t="s">
        <v>8</v>
      </c>
      <c r="H748" s="97" t="s">
        <v>70</v>
      </c>
      <c r="I748" s="97" t="s">
        <v>71</v>
      </c>
      <c r="J748" s="97" t="s">
        <v>72</v>
      </c>
      <c r="K748" s="97" t="s">
        <v>73</v>
      </c>
      <c r="L748">
        <v>701000</v>
      </c>
      <c r="M748" s="97" t="s">
        <v>62</v>
      </c>
      <c r="N748" s="97" t="s">
        <v>33</v>
      </c>
      <c r="O748">
        <v>399</v>
      </c>
      <c r="P748">
        <v>1.05</v>
      </c>
      <c r="Q748">
        <v>0.42</v>
      </c>
      <c r="R748" s="97" t="s">
        <v>1197</v>
      </c>
      <c r="S748" s="97" t="s">
        <v>195</v>
      </c>
    </row>
    <row r="749" spans="1:19" x14ac:dyDescent="0.3">
      <c r="A749" s="97" t="s">
        <v>1012</v>
      </c>
      <c r="B749" s="97" t="s">
        <v>22</v>
      </c>
      <c r="C749">
        <v>2026</v>
      </c>
      <c r="D749">
        <v>2</v>
      </c>
      <c r="E749" s="2">
        <v>46060</v>
      </c>
      <c r="F749" s="97" t="s">
        <v>7</v>
      </c>
      <c r="G749" s="97" t="s">
        <v>8</v>
      </c>
      <c r="H749" s="97" t="s">
        <v>70</v>
      </c>
      <c r="I749" s="97" t="s">
        <v>71</v>
      </c>
      <c r="J749" s="97" t="s">
        <v>72</v>
      </c>
      <c r="K749" s="97" t="s">
        <v>73</v>
      </c>
      <c r="L749">
        <v>701000</v>
      </c>
      <c r="M749" s="97" t="s">
        <v>62</v>
      </c>
      <c r="N749" s="97" t="s">
        <v>33</v>
      </c>
      <c r="O749">
        <v>3292</v>
      </c>
      <c r="P749">
        <v>1.05</v>
      </c>
      <c r="Q749">
        <v>3.46</v>
      </c>
      <c r="R749" s="97" t="s">
        <v>1200</v>
      </c>
      <c r="S749" s="97" t="s">
        <v>195</v>
      </c>
    </row>
    <row r="750" spans="1:19" x14ac:dyDescent="0.3">
      <c r="A750" s="97" t="s">
        <v>1013</v>
      </c>
      <c r="B750" s="97" t="s">
        <v>22</v>
      </c>
      <c r="C750">
        <v>2026</v>
      </c>
      <c r="D750">
        <v>2</v>
      </c>
      <c r="E750" s="2">
        <v>46060</v>
      </c>
      <c r="F750" s="97" t="s">
        <v>7</v>
      </c>
      <c r="G750" s="97" t="s">
        <v>8</v>
      </c>
      <c r="H750" s="97" t="s">
        <v>70</v>
      </c>
      <c r="I750" s="97" t="s">
        <v>71</v>
      </c>
      <c r="J750" s="97" t="s">
        <v>72</v>
      </c>
      <c r="K750" s="97" t="s">
        <v>73</v>
      </c>
      <c r="L750">
        <v>701000</v>
      </c>
      <c r="M750" s="97" t="s">
        <v>62</v>
      </c>
      <c r="N750" s="97" t="s">
        <v>33</v>
      </c>
      <c r="O750">
        <v>2554</v>
      </c>
      <c r="P750">
        <v>1.05</v>
      </c>
      <c r="Q750">
        <v>2.68</v>
      </c>
      <c r="R750" s="97" t="s">
        <v>1201</v>
      </c>
      <c r="S750" s="97" t="s">
        <v>195</v>
      </c>
    </row>
    <row r="751" spans="1:19" x14ac:dyDescent="0.3">
      <c r="A751" s="97" t="s">
        <v>1014</v>
      </c>
      <c r="B751" s="97" t="s">
        <v>22</v>
      </c>
      <c r="C751">
        <v>2026</v>
      </c>
      <c r="D751">
        <v>2</v>
      </c>
      <c r="E751" s="2">
        <v>46060</v>
      </c>
      <c r="F751" s="97" t="s">
        <v>7</v>
      </c>
      <c r="G751" s="97" t="s">
        <v>8</v>
      </c>
      <c r="H751" s="97" t="s">
        <v>70</v>
      </c>
      <c r="I751" s="97" t="s">
        <v>71</v>
      </c>
      <c r="J751" s="97" t="s">
        <v>72</v>
      </c>
      <c r="K751" s="97" t="s">
        <v>73</v>
      </c>
      <c r="L751">
        <v>701000</v>
      </c>
      <c r="M751" s="97" t="s">
        <v>62</v>
      </c>
      <c r="N751" s="97" t="s">
        <v>33</v>
      </c>
      <c r="O751">
        <v>687</v>
      </c>
      <c r="P751">
        <v>1.05</v>
      </c>
      <c r="Q751">
        <v>0.72</v>
      </c>
      <c r="R751" s="97" t="s">
        <v>1204</v>
      </c>
      <c r="S751" s="97" t="s">
        <v>195</v>
      </c>
    </row>
    <row r="752" spans="1:19" x14ac:dyDescent="0.3">
      <c r="A752" s="97" t="s">
        <v>1065</v>
      </c>
      <c r="B752" s="97" t="s">
        <v>22</v>
      </c>
      <c r="C752">
        <v>2026</v>
      </c>
      <c r="D752">
        <v>2</v>
      </c>
      <c r="E752" s="2">
        <v>46060</v>
      </c>
      <c r="F752" s="97" t="s">
        <v>7</v>
      </c>
      <c r="G752" s="97" t="s">
        <v>8</v>
      </c>
      <c r="H752" s="97" t="s">
        <v>74</v>
      </c>
      <c r="I752" s="97" t="s">
        <v>71</v>
      </c>
      <c r="J752" s="97" t="s">
        <v>72</v>
      </c>
      <c r="K752" s="97" t="s">
        <v>73</v>
      </c>
      <c r="L752">
        <v>701000</v>
      </c>
      <c r="M752" s="97" t="s">
        <v>62</v>
      </c>
      <c r="N752" s="97" t="s">
        <v>33</v>
      </c>
      <c r="O752">
        <v>3574</v>
      </c>
      <c r="P752">
        <v>1.05</v>
      </c>
      <c r="Q752">
        <v>3.75</v>
      </c>
      <c r="R752" s="97" t="s">
        <v>1202</v>
      </c>
      <c r="S752" s="97" t="s">
        <v>195</v>
      </c>
    </row>
    <row r="753" spans="1:19" x14ac:dyDescent="0.3">
      <c r="A753" s="97" t="s">
        <v>1066</v>
      </c>
      <c r="B753" s="97" t="s">
        <v>22</v>
      </c>
      <c r="C753">
        <v>2026</v>
      </c>
      <c r="D753">
        <v>2</v>
      </c>
      <c r="E753" s="2">
        <v>46060</v>
      </c>
      <c r="F753" s="97" t="s">
        <v>7</v>
      </c>
      <c r="G753" s="97" t="s">
        <v>8</v>
      </c>
      <c r="H753" s="97" t="s">
        <v>74</v>
      </c>
      <c r="I753" s="97" t="s">
        <v>71</v>
      </c>
      <c r="J753" s="97" t="s">
        <v>72</v>
      </c>
      <c r="K753" s="97" t="s">
        <v>73</v>
      </c>
      <c r="L753">
        <v>701000</v>
      </c>
      <c r="M753" s="97" t="s">
        <v>62</v>
      </c>
      <c r="N753" s="97" t="s">
        <v>33</v>
      </c>
      <c r="O753">
        <v>1922</v>
      </c>
      <c r="P753">
        <v>1.05</v>
      </c>
      <c r="Q753">
        <v>2.02</v>
      </c>
      <c r="R753" s="97" t="s">
        <v>1198</v>
      </c>
      <c r="S753" s="97" t="s">
        <v>195</v>
      </c>
    </row>
    <row r="754" spans="1:19" x14ac:dyDescent="0.3">
      <c r="A754" s="97" t="s">
        <v>1067</v>
      </c>
      <c r="B754" s="97" t="s">
        <v>22</v>
      </c>
      <c r="C754">
        <v>2026</v>
      </c>
      <c r="D754">
        <v>2</v>
      </c>
      <c r="E754" s="2">
        <v>46060</v>
      </c>
      <c r="F754" s="97" t="s">
        <v>7</v>
      </c>
      <c r="G754" s="97" t="s">
        <v>8</v>
      </c>
      <c r="H754" s="97" t="s">
        <v>74</v>
      </c>
      <c r="I754" s="97" t="s">
        <v>71</v>
      </c>
      <c r="J754" s="97" t="s">
        <v>72</v>
      </c>
      <c r="K754" s="97" t="s">
        <v>73</v>
      </c>
      <c r="L754">
        <v>701000</v>
      </c>
      <c r="M754" s="97" t="s">
        <v>62</v>
      </c>
      <c r="N754" s="97" t="s">
        <v>33</v>
      </c>
      <c r="O754">
        <v>781</v>
      </c>
      <c r="P754">
        <v>1.05</v>
      </c>
      <c r="Q754">
        <v>0.82</v>
      </c>
      <c r="R754" s="97" t="s">
        <v>1204</v>
      </c>
      <c r="S754" s="97" t="s">
        <v>195</v>
      </c>
    </row>
    <row r="755" spans="1:19" x14ac:dyDescent="0.3">
      <c r="A755" s="97" t="s">
        <v>1068</v>
      </c>
      <c r="B755" s="97" t="s">
        <v>22</v>
      </c>
      <c r="C755">
        <v>2026</v>
      </c>
      <c r="D755">
        <v>2</v>
      </c>
      <c r="E755" s="2">
        <v>46060</v>
      </c>
      <c r="F755" s="97" t="s">
        <v>7</v>
      </c>
      <c r="G755" s="97" t="s">
        <v>8</v>
      </c>
      <c r="H755" s="97" t="s">
        <v>74</v>
      </c>
      <c r="I755" s="97" t="s">
        <v>71</v>
      </c>
      <c r="J755" s="97" t="s">
        <v>72</v>
      </c>
      <c r="K755" s="97" t="s">
        <v>73</v>
      </c>
      <c r="L755">
        <v>701000</v>
      </c>
      <c r="M755" s="97" t="s">
        <v>62</v>
      </c>
      <c r="N755" s="97" t="s">
        <v>33</v>
      </c>
      <c r="O755">
        <v>403</v>
      </c>
      <c r="P755">
        <v>1.04</v>
      </c>
      <c r="Q755">
        <v>0.42</v>
      </c>
      <c r="R755" s="97" t="s">
        <v>1201</v>
      </c>
      <c r="S755" s="97" t="s">
        <v>195</v>
      </c>
    </row>
    <row r="756" spans="1:19" x14ac:dyDescent="0.3">
      <c r="A756" s="97" t="s">
        <v>1069</v>
      </c>
      <c r="B756" s="97" t="s">
        <v>22</v>
      </c>
      <c r="C756">
        <v>2026</v>
      </c>
      <c r="D756">
        <v>2</v>
      </c>
      <c r="E756" s="2">
        <v>46060</v>
      </c>
      <c r="F756" s="97" t="s">
        <v>7</v>
      </c>
      <c r="G756" s="97" t="s">
        <v>8</v>
      </c>
      <c r="H756" s="97" t="s">
        <v>74</v>
      </c>
      <c r="I756" s="97" t="s">
        <v>71</v>
      </c>
      <c r="J756" s="97" t="s">
        <v>72</v>
      </c>
      <c r="K756" s="97" t="s">
        <v>73</v>
      </c>
      <c r="L756">
        <v>701000</v>
      </c>
      <c r="M756" s="97" t="s">
        <v>62</v>
      </c>
      <c r="N756" s="97" t="s">
        <v>33</v>
      </c>
      <c r="O756">
        <v>331</v>
      </c>
      <c r="P756">
        <v>1.06</v>
      </c>
      <c r="Q756">
        <v>0.35</v>
      </c>
      <c r="R756" s="97" t="s">
        <v>1199</v>
      </c>
      <c r="S756" s="97" t="s">
        <v>195</v>
      </c>
    </row>
    <row r="757" spans="1:19" x14ac:dyDescent="0.3">
      <c r="A757" s="97" t="s">
        <v>1075</v>
      </c>
      <c r="B757" s="97" t="s">
        <v>22</v>
      </c>
      <c r="C757">
        <v>2026</v>
      </c>
      <c r="D757">
        <v>2</v>
      </c>
      <c r="E757" s="2">
        <v>46060</v>
      </c>
      <c r="F757" s="97" t="s">
        <v>7</v>
      </c>
      <c r="G757" s="97" t="s">
        <v>8</v>
      </c>
      <c r="H757" s="97" t="s">
        <v>70</v>
      </c>
      <c r="I757" s="97" t="s">
        <v>71</v>
      </c>
      <c r="J757" s="97" t="s">
        <v>72</v>
      </c>
      <c r="K757" s="97" t="s">
        <v>73</v>
      </c>
      <c r="L757">
        <v>706000</v>
      </c>
      <c r="M757" s="97" t="s">
        <v>63</v>
      </c>
      <c r="N757" s="97" t="s">
        <v>33</v>
      </c>
      <c r="O757">
        <v>3239</v>
      </c>
      <c r="P757">
        <v>1.05</v>
      </c>
      <c r="Q757">
        <v>3.4</v>
      </c>
      <c r="R757" s="97" t="s">
        <v>1204</v>
      </c>
      <c r="S757" s="97" t="s">
        <v>195</v>
      </c>
    </row>
    <row r="758" spans="1:19" x14ac:dyDescent="0.3">
      <c r="A758" s="97" t="s">
        <v>1076</v>
      </c>
      <c r="B758" s="97" t="s">
        <v>22</v>
      </c>
      <c r="C758">
        <v>2026</v>
      </c>
      <c r="D758">
        <v>2</v>
      </c>
      <c r="E758" s="2">
        <v>46060</v>
      </c>
      <c r="F758" s="97" t="s">
        <v>7</v>
      </c>
      <c r="G758" s="97" t="s">
        <v>8</v>
      </c>
      <c r="H758" s="97" t="s">
        <v>70</v>
      </c>
      <c r="I758" s="97" t="s">
        <v>71</v>
      </c>
      <c r="J758" s="97" t="s">
        <v>72</v>
      </c>
      <c r="K758" s="97" t="s">
        <v>73</v>
      </c>
      <c r="L758">
        <v>706000</v>
      </c>
      <c r="M758" s="97" t="s">
        <v>63</v>
      </c>
      <c r="N758" s="97" t="s">
        <v>33</v>
      </c>
      <c r="O758">
        <v>2330</v>
      </c>
      <c r="P758">
        <v>1.05</v>
      </c>
      <c r="Q758">
        <v>2.44</v>
      </c>
      <c r="R758" s="97" t="s">
        <v>1202</v>
      </c>
      <c r="S758" s="97" t="s">
        <v>195</v>
      </c>
    </row>
    <row r="759" spans="1:19" x14ac:dyDescent="0.3">
      <c r="A759" s="97" t="s">
        <v>1077</v>
      </c>
      <c r="B759" s="97" t="s">
        <v>22</v>
      </c>
      <c r="C759">
        <v>2026</v>
      </c>
      <c r="D759">
        <v>2</v>
      </c>
      <c r="E759" s="2">
        <v>46060</v>
      </c>
      <c r="F759" s="97" t="s">
        <v>7</v>
      </c>
      <c r="G759" s="97" t="s">
        <v>8</v>
      </c>
      <c r="H759" s="97" t="s">
        <v>70</v>
      </c>
      <c r="I759" s="97" t="s">
        <v>71</v>
      </c>
      <c r="J759" s="97" t="s">
        <v>72</v>
      </c>
      <c r="K759" s="97" t="s">
        <v>73</v>
      </c>
      <c r="L759">
        <v>706000</v>
      </c>
      <c r="M759" s="97" t="s">
        <v>63</v>
      </c>
      <c r="N759" s="97" t="s">
        <v>33</v>
      </c>
      <c r="O759">
        <v>347</v>
      </c>
      <c r="P759">
        <v>1.04</v>
      </c>
      <c r="Q759">
        <v>0.36</v>
      </c>
      <c r="R759" s="97" t="s">
        <v>1201</v>
      </c>
      <c r="S759" s="97" t="s">
        <v>195</v>
      </c>
    </row>
    <row r="760" spans="1:19" x14ac:dyDescent="0.3">
      <c r="A760" s="97" t="s">
        <v>1078</v>
      </c>
      <c r="B760" s="97" t="s">
        <v>22</v>
      </c>
      <c r="C760">
        <v>2026</v>
      </c>
      <c r="D760">
        <v>2</v>
      </c>
      <c r="E760" s="2">
        <v>46060</v>
      </c>
      <c r="F760" s="97" t="s">
        <v>7</v>
      </c>
      <c r="G760" s="97" t="s">
        <v>8</v>
      </c>
      <c r="H760" s="97" t="s">
        <v>70</v>
      </c>
      <c r="I760" s="97" t="s">
        <v>71</v>
      </c>
      <c r="J760" s="97" t="s">
        <v>72</v>
      </c>
      <c r="K760" s="97" t="s">
        <v>73</v>
      </c>
      <c r="L760">
        <v>706000</v>
      </c>
      <c r="M760" s="97" t="s">
        <v>63</v>
      </c>
      <c r="N760" s="97" t="s">
        <v>33</v>
      </c>
      <c r="O760">
        <v>986</v>
      </c>
      <c r="P760">
        <v>1.04</v>
      </c>
      <c r="Q760">
        <v>1.03</v>
      </c>
      <c r="R760" s="97" t="s">
        <v>1199</v>
      </c>
      <c r="S760" s="97" t="s">
        <v>195</v>
      </c>
    </row>
    <row r="761" spans="1:19" x14ac:dyDescent="0.3">
      <c r="A761" s="97" t="s">
        <v>1079</v>
      </c>
      <c r="B761" s="97" t="s">
        <v>22</v>
      </c>
      <c r="C761">
        <v>2026</v>
      </c>
      <c r="D761">
        <v>2</v>
      </c>
      <c r="E761" s="2">
        <v>46060</v>
      </c>
      <c r="F761" s="97" t="s">
        <v>7</v>
      </c>
      <c r="G761" s="97" t="s">
        <v>8</v>
      </c>
      <c r="H761" s="97" t="s">
        <v>70</v>
      </c>
      <c r="I761" s="97" t="s">
        <v>71</v>
      </c>
      <c r="J761" s="97" t="s">
        <v>72</v>
      </c>
      <c r="K761" s="97" t="s">
        <v>73</v>
      </c>
      <c r="L761">
        <v>706000</v>
      </c>
      <c r="M761" s="97" t="s">
        <v>63</v>
      </c>
      <c r="N761" s="97" t="s">
        <v>33</v>
      </c>
      <c r="O761">
        <v>1255</v>
      </c>
      <c r="P761">
        <v>1.06</v>
      </c>
      <c r="Q761">
        <v>1.33</v>
      </c>
      <c r="R761" s="97" t="s">
        <v>1197</v>
      </c>
      <c r="S761" s="97" t="s">
        <v>195</v>
      </c>
    </row>
    <row r="762" spans="1:19" x14ac:dyDescent="0.3">
      <c r="A762" s="97" t="s">
        <v>1180</v>
      </c>
      <c r="B762" s="97" t="s">
        <v>22</v>
      </c>
      <c r="C762">
        <v>2026</v>
      </c>
      <c r="D762">
        <v>2</v>
      </c>
      <c r="E762" s="2">
        <v>46060</v>
      </c>
      <c r="F762" s="97" t="s">
        <v>7</v>
      </c>
      <c r="G762" s="97" t="s">
        <v>8</v>
      </c>
      <c r="H762" s="97" t="s">
        <v>74</v>
      </c>
      <c r="I762" s="97" t="s">
        <v>75</v>
      </c>
      <c r="J762" s="97" t="s">
        <v>76</v>
      </c>
      <c r="K762" s="97" t="s">
        <v>73</v>
      </c>
      <c r="L762">
        <v>701000</v>
      </c>
      <c r="M762" s="97" t="s">
        <v>62</v>
      </c>
      <c r="N762" s="97" t="s">
        <v>33</v>
      </c>
      <c r="O762">
        <v>1453</v>
      </c>
      <c r="P762">
        <v>1.4</v>
      </c>
      <c r="Q762">
        <v>2.0299999999999998</v>
      </c>
      <c r="R762" s="97" t="s">
        <v>1203</v>
      </c>
      <c r="S762" s="97" t="s">
        <v>195</v>
      </c>
    </row>
    <row r="763" spans="1:19" x14ac:dyDescent="0.3">
      <c r="A763" s="97" t="s">
        <v>1181</v>
      </c>
      <c r="B763" s="97" t="s">
        <v>22</v>
      </c>
      <c r="C763">
        <v>2026</v>
      </c>
      <c r="D763">
        <v>2</v>
      </c>
      <c r="E763" s="2">
        <v>46060</v>
      </c>
      <c r="F763" s="97" t="s">
        <v>7</v>
      </c>
      <c r="G763" s="97" t="s">
        <v>8</v>
      </c>
      <c r="H763" s="97" t="s">
        <v>74</v>
      </c>
      <c r="I763" s="97" t="s">
        <v>75</v>
      </c>
      <c r="J763" s="97" t="s">
        <v>76</v>
      </c>
      <c r="K763" s="97" t="s">
        <v>73</v>
      </c>
      <c r="L763">
        <v>701000</v>
      </c>
      <c r="M763" s="97" t="s">
        <v>62</v>
      </c>
      <c r="N763" s="97" t="s">
        <v>33</v>
      </c>
      <c r="O763">
        <v>2461</v>
      </c>
      <c r="P763">
        <v>1.4</v>
      </c>
      <c r="Q763">
        <v>3.45</v>
      </c>
      <c r="R763" s="97" t="s">
        <v>1198</v>
      </c>
      <c r="S763" s="97" t="s">
        <v>195</v>
      </c>
    </row>
    <row r="764" spans="1:19" x14ac:dyDescent="0.3">
      <c r="A764" s="97" t="s">
        <v>1182</v>
      </c>
      <c r="B764" s="97" t="s">
        <v>22</v>
      </c>
      <c r="C764">
        <v>2026</v>
      </c>
      <c r="D764">
        <v>2</v>
      </c>
      <c r="E764" s="2">
        <v>46060</v>
      </c>
      <c r="F764" s="97" t="s">
        <v>7</v>
      </c>
      <c r="G764" s="97" t="s">
        <v>8</v>
      </c>
      <c r="H764" s="97" t="s">
        <v>74</v>
      </c>
      <c r="I764" s="97" t="s">
        <v>75</v>
      </c>
      <c r="J764" s="97" t="s">
        <v>76</v>
      </c>
      <c r="K764" s="97" t="s">
        <v>73</v>
      </c>
      <c r="L764">
        <v>701000</v>
      </c>
      <c r="M764" s="97" t="s">
        <v>62</v>
      </c>
      <c r="N764" s="97" t="s">
        <v>33</v>
      </c>
      <c r="O764">
        <v>3395</v>
      </c>
      <c r="P764">
        <v>1.4</v>
      </c>
      <c r="Q764">
        <v>4.75</v>
      </c>
      <c r="R764" s="97" t="s">
        <v>1205</v>
      </c>
      <c r="S764" s="97" t="s">
        <v>195</v>
      </c>
    </row>
    <row r="765" spans="1:19" x14ac:dyDescent="0.3">
      <c r="A765" s="97" t="s">
        <v>1183</v>
      </c>
      <c r="B765" s="97" t="s">
        <v>22</v>
      </c>
      <c r="C765">
        <v>2026</v>
      </c>
      <c r="D765">
        <v>2</v>
      </c>
      <c r="E765" s="2">
        <v>46060</v>
      </c>
      <c r="F765" s="97" t="s">
        <v>7</v>
      </c>
      <c r="G765" s="97" t="s">
        <v>8</v>
      </c>
      <c r="H765" s="97" t="s">
        <v>74</v>
      </c>
      <c r="I765" s="97" t="s">
        <v>75</v>
      </c>
      <c r="J765" s="97" t="s">
        <v>76</v>
      </c>
      <c r="K765" s="97" t="s">
        <v>73</v>
      </c>
      <c r="L765">
        <v>701000</v>
      </c>
      <c r="M765" s="97" t="s">
        <v>62</v>
      </c>
      <c r="N765" s="97" t="s">
        <v>33</v>
      </c>
      <c r="O765">
        <v>1805</v>
      </c>
      <c r="P765">
        <v>1.4</v>
      </c>
      <c r="Q765">
        <v>2.5299999999999998</v>
      </c>
      <c r="R765" s="97" t="s">
        <v>1199</v>
      </c>
      <c r="S765" s="97" t="s">
        <v>195</v>
      </c>
    </row>
    <row r="766" spans="1:19" x14ac:dyDescent="0.3">
      <c r="A766" s="97" t="s">
        <v>1184</v>
      </c>
      <c r="B766" s="97" t="s">
        <v>22</v>
      </c>
      <c r="C766">
        <v>2026</v>
      </c>
      <c r="D766">
        <v>2</v>
      </c>
      <c r="E766" s="2">
        <v>46060</v>
      </c>
      <c r="F766" s="97" t="s">
        <v>7</v>
      </c>
      <c r="G766" s="97" t="s">
        <v>8</v>
      </c>
      <c r="H766" s="97" t="s">
        <v>74</v>
      </c>
      <c r="I766" s="97" t="s">
        <v>75</v>
      </c>
      <c r="J766" s="97" t="s">
        <v>76</v>
      </c>
      <c r="K766" s="97" t="s">
        <v>73</v>
      </c>
      <c r="L766">
        <v>701000</v>
      </c>
      <c r="M766" s="97" t="s">
        <v>62</v>
      </c>
      <c r="N766" s="97" t="s">
        <v>33</v>
      </c>
      <c r="O766">
        <v>3894</v>
      </c>
      <c r="P766">
        <v>1.4</v>
      </c>
      <c r="Q766">
        <v>5.45</v>
      </c>
      <c r="R766" s="97" t="s">
        <v>1201</v>
      </c>
      <c r="S766" s="97" t="s">
        <v>195</v>
      </c>
    </row>
    <row r="767" spans="1:19" x14ac:dyDescent="0.3">
      <c r="A767" s="97" t="s">
        <v>980</v>
      </c>
      <c r="B767" s="97" t="s">
        <v>22</v>
      </c>
      <c r="C767">
        <v>2026</v>
      </c>
      <c r="D767">
        <v>2</v>
      </c>
      <c r="E767" s="2">
        <v>46061</v>
      </c>
      <c r="F767" s="97" t="s">
        <v>7</v>
      </c>
      <c r="G767" s="97" t="s">
        <v>8</v>
      </c>
      <c r="H767" s="97" t="s">
        <v>70</v>
      </c>
      <c r="I767" s="97" t="s">
        <v>84</v>
      </c>
      <c r="J767" s="97" t="s">
        <v>85</v>
      </c>
      <c r="K767" s="97" t="s">
        <v>73</v>
      </c>
      <c r="L767">
        <v>701000</v>
      </c>
      <c r="M767" s="97" t="s">
        <v>62</v>
      </c>
      <c r="N767" s="97" t="s">
        <v>33</v>
      </c>
      <c r="O767">
        <v>2351</v>
      </c>
      <c r="P767">
        <v>0.95</v>
      </c>
      <c r="Q767">
        <v>2.23</v>
      </c>
      <c r="R767" s="97" t="s">
        <v>1201</v>
      </c>
      <c r="S767" s="97" t="s">
        <v>195</v>
      </c>
    </row>
    <row r="768" spans="1:19" x14ac:dyDescent="0.3">
      <c r="A768" s="97" t="s">
        <v>981</v>
      </c>
      <c r="B768" s="97" t="s">
        <v>22</v>
      </c>
      <c r="C768">
        <v>2026</v>
      </c>
      <c r="D768">
        <v>2</v>
      </c>
      <c r="E768" s="2">
        <v>46061</v>
      </c>
      <c r="F768" s="97" t="s">
        <v>7</v>
      </c>
      <c r="G768" s="97" t="s">
        <v>8</v>
      </c>
      <c r="H768" s="97" t="s">
        <v>70</v>
      </c>
      <c r="I768" s="97" t="s">
        <v>84</v>
      </c>
      <c r="J768" s="97" t="s">
        <v>85</v>
      </c>
      <c r="K768" s="97" t="s">
        <v>73</v>
      </c>
      <c r="L768">
        <v>701000</v>
      </c>
      <c r="M768" s="97" t="s">
        <v>62</v>
      </c>
      <c r="N768" s="97" t="s">
        <v>33</v>
      </c>
      <c r="O768">
        <v>4062</v>
      </c>
      <c r="P768">
        <v>0.95</v>
      </c>
      <c r="Q768">
        <v>3.86</v>
      </c>
      <c r="R768" s="97" t="s">
        <v>1200</v>
      </c>
      <c r="S768" s="97" t="s">
        <v>195</v>
      </c>
    </row>
    <row r="769" spans="1:19" x14ac:dyDescent="0.3">
      <c r="A769" s="97" t="s">
        <v>982</v>
      </c>
      <c r="B769" s="97" t="s">
        <v>22</v>
      </c>
      <c r="C769">
        <v>2026</v>
      </c>
      <c r="D769">
        <v>2</v>
      </c>
      <c r="E769" s="2">
        <v>46061</v>
      </c>
      <c r="F769" s="97" t="s">
        <v>7</v>
      </c>
      <c r="G769" s="97" t="s">
        <v>8</v>
      </c>
      <c r="H769" s="97" t="s">
        <v>70</v>
      </c>
      <c r="I769" s="97" t="s">
        <v>84</v>
      </c>
      <c r="J769" s="97" t="s">
        <v>85</v>
      </c>
      <c r="K769" s="97" t="s">
        <v>73</v>
      </c>
      <c r="L769">
        <v>701000</v>
      </c>
      <c r="M769" s="97" t="s">
        <v>62</v>
      </c>
      <c r="N769" s="97" t="s">
        <v>33</v>
      </c>
      <c r="O769">
        <v>2718</v>
      </c>
      <c r="P769">
        <v>0.95</v>
      </c>
      <c r="Q769">
        <v>2.58</v>
      </c>
      <c r="R769" s="97" t="s">
        <v>1199</v>
      </c>
      <c r="S769" s="97" t="s">
        <v>195</v>
      </c>
    </row>
    <row r="770" spans="1:19" x14ac:dyDescent="0.3">
      <c r="A770" s="97" t="s">
        <v>983</v>
      </c>
      <c r="B770" s="97" t="s">
        <v>22</v>
      </c>
      <c r="C770">
        <v>2026</v>
      </c>
      <c r="D770">
        <v>2</v>
      </c>
      <c r="E770" s="2">
        <v>46061</v>
      </c>
      <c r="F770" s="97" t="s">
        <v>7</v>
      </c>
      <c r="G770" s="97" t="s">
        <v>8</v>
      </c>
      <c r="H770" s="97" t="s">
        <v>70</v>
      </c>
      <c r="I770" s="97" t="s">
        <v>84</v>
      </c>
      <c r="J770" s="97" t="s">
        <v>85</v>
      </c>
      <c r="K770" s="97" t="s">
        <v>73</v>
      </c>
      <c r="L770">
        <v>701000</v>
      </c>
      <c r="M770" s="97" t="s">
        <v>62</v>
      </c>
      <c r="N770" s="97" t="s">
        <v>33</v>
      </c>
      <c r="O770">
        <v>4559</v>
      </c>
      <c r="P770">
        <v>0.95</v>
      </c>
      <c r="Q770">
        <v>4.33</v>
      </c>
      <c r="R770" s="97" t="s">
        <v>1203</v>
      </c>
      <c r="S770" s="97" t="s">
        <v>195</v>
      </c>
    </row>
    <row r="771" spans="1:19" x14ac:dyDescent="0.3">
      <c r="A771" s="97" t="s">
        <v>984</v>
      </c>
      <c r="B771" s="97" t="s">
        <v>22</v>
      </c>
      <c r="C771">
        <v>2026</v>
      </c>
      <c r="D771">
        <v>2</v>
      </c>
      <c r="E771" s="2">
        <v>46061</v>
      </c>
      <c r="F771" s="97" t="s">
        <v>7</v>
      </c>
      <c r="G771" s="97" t="s">
        <v>8</v>
      </c>
      <c r="H771" s="97" t="s">
        <v>70</v>
      </c>
      <c r="I771" s="97" t="s">
        <v>84</v>
      </c>
      <c r="J771" s="97" t="s">
        <v>85</v>
      </c>
      <c r="K771" s="97" t="s">
        <v>73</v>
      </c>
      <c r="L771">
        <v>701000</v>
      </c>
      <c r="M771" s="97" t="s">
        <v>62</v>
      </c>
      <c r="N771" s="97" t="s">
        <v>33</v>
      </c>
      <c r="O771">
        <v>6685</v>
      </c>
      <c r="P771">
        <v>0.95</v>
      </c>
      <c r="Q771">
        <v>6.36</v>
      </c>
      <c r="R771" s="97" t="s">
        <v>1198</v>
      </c>
      <c r="S771" s="97" t="s">
        <v>195</v>
      </c>
    </row>
    <row r="772" spans="1:19" x14ac:dyDescent="0.3">
      <c r="A772" s="97" t="s">
        <v>1030</v>
      </c>
      <c r="B772" s="97" t="s">
        <v>22</v>
      </c>
      <c r="C772">
        <v>2026</v>
      </c>
      <c r="D772">
        <v>2</v>
      </c>
      <c r="E772" s="2">
        <v>46061</v>
      </c>
      <c r="F772" s="97" t="s">
        <v>7</v>
      </c>
      <c r="G772" s="97" t="s">
        <v>8</v>
      </c>
      <c r="H772" s="97" t="s">
        <v>74</v>
      </c>
      <c r="I772" s="97" t="s">
        <v>71</v>
      </c>
      <c r="J772" s="97" t="s">
        <v>72</v>
      </c>
      <c r="K772" s="97" t="s">
        <v>73</v>
      </c>
      <c r="L772">
        <v>701000</v>
      </c>
      <c r="M772" s="97" t="s">
        <v>62</v>
      </c>
      <c r="N772" s="97" t="s">
        <v>33</v>
      </c>
      <c r="O772">
        <v>4242</v>
      </c>
      <c r="P772">
        <v>1.05</v>
      </c>
      <c r="Q772">
        <v>4.45</v>
      </c>
      <c r="R772" s="97" t="s">
        <v>1200</v>
      </c>
      <c r="S772" s="97" t="s">
        <v>195</v>
      </c>
    </row>
    <row r="773" spans="1:19" x14ac:dyDescent="0.3">
      <c r="A773" s="97" t="s">
        <v>1031</v>
      </c>
      <c r="B773" s="97" t="s">
        <v>22</v>
      </c>
      <c r="C773">
        <v>2026</v>
      </c>
      <c r="D773">
        <v>2</v>
      </c>
      <c r="E773" s="2">
        <v>46061</v>
      </c>
      <c r="F773" s="97" t="s">
        <v>7</v>
      </c>
      <c r="G773" s="97" t="s">
        <v>8</v>
      </c>
      <c r="H773" s="97" t="s">
        <v>74</v>
      </c>
      <c r="I773" s="97" t="s">
        <v>71</v>
      </c>
      <c r="J773" s="97" t="s">
        <v>72</v>
      </c>
      <c r="K773" s="97" t="s">
        <v>73</v>
      </c>
      <c r="L773">
        <v>701000</v>
      </c>
      <c r="M773" s="97" t="s">
        <v>62</v>
      </c>
      <c r="N773" s="97" t="s">
        <v>33</v>
      </c>
      <c r="O773">
        <v>1572</v>
      </c>
      <c r="P773">
        <v>1.05</v>
      </c>
      <c r="Q773">
        <v>1.65</v>
      </c>
      <c r="R773" s="97" t="s">
        <v>1202</v>
      </c>
      <c r="S773" s="97" t="s">
        <v>195</v>
      </c>
    </row>
    <row r="774" spans="1:19" x14ac:dyDescent="0.3">
      <c r="A774" s="97" t="s">
        <v>1032</v>
      </c>
      <c r="B774" s="97" t="s">
        <v>22</v>
      </c>
      <c r="C774">
        <v>2026</v>
      </c>
      <c r="D774">
        <v>2</v>
      </c>
      <c r="E774" s="2">
        <v>46061</v>
      </c>
      <c r="F774" s="97" t="s">
        <v>7</v>
      </c>
      <c r="G774" s="97" t="s">
        <v>8</v>
      </c>
      <c r="H774" s="97" t="s">
        <v>74</v>
      </c>
      <c r="I774" s="97" t="s">
        <v>71</v>
      </c>
      <c r="J774" s="97" t="s">
        <v>72</v>
      </c>
      <c r="K774" s="97" t="s">
        <v>73</v>
      </c>
      <c r="L774">
        <v>701000</v>
      </c>
      <c r="M774" s="97" t="s">
        <v>62</v>
      </c>
      <c r="N774" s="97" t="s">
        <v>33</v>
      </c>
      <c r="O774">
        <v>592</v>
      </c>
      <c r="P774">
        <v>1.05</v>
      </c>
      <c r="Q774">
        <v>0.62</v>
      </c>
      <c r="R774" s="97" t="s">
        <v>1205</v>
      </c>
      <c r="S774" s="97" t="s">
        <v>195</v>
      </c>
    </row>
    <row r="775" spans="1:19" x14ac:dyDescent="0.3">
      <c r="A775" s="97" t="s">
        <v>1033</v>
      </c>
      <c r="B775" s="97" t="s">
        <v>22</v>
      </c>
      <c r="C775">
        <v>2026</v>
      </c>
      <c r="D775">
        <v>2</v>
      </c>
      <c r="E775" s="2">
        <v>46061</v>
      </c>
      <c r="F775" s="97" t="s">
        <v>7</v>
      </c>
      <c r="G775" s="97" t="s">
        <v>8</v>
      </c>
      <c r="H775" s="97" t="s">
        <v>74</v>
      </c>
      <c r="I775" s="97" t="s">
        <v>71</v>
      </c>
      <c r="J775" s="97" t="s">
        <v>72</v>
      </c>
      <c r="K775" s="97" t="s">
        <v>73</v>
      </c>
      <c r="L775">
        <v>701000</v>
      </c>
      <c r="M775" s="97" t="s">
        <v>62</v>
      </c>
      <c r="N775" s="97" t="s">
        <v>33</v>
      </c>
      <c r="O775">
        <v>492</v>
      </c>
      <c r="P775">
        <v>1.06</v>
      </c>
      <c r="Q775">
        <v>0.52</v>
      </c>
      <c r="R775" s="97" t="s">
        <v>1199</v>
      </c>
      <c r="S775" s="97" t="s">
        <v>195</v>
      </c>
    </row>
    <row r="776" spans="1:19" x14ac:dyDescent="0.3">
      <c r="A776" s="97" t="s">
        <v>1034</v>
      </c>
      <c r="B776" s="97" t="s">
        <v>22</v>
      </c>
      <c r="C776">
        <v>2026</v>
      </c>
      <c r="D776">
        <v>2</v>
      </c>
      <c r="E776" s="2">
        <v>46061</v>
      </c>
      <c r="F776" s="97" t="s">
        <v>7</v>
      </c>
      <c r="G776" s="97" t="s">
        <v>8</v>
      </c>
      <c r="H776" s="97" t="s">
        <v>74</v>
      </c>
      <c r="I776" s="97" t="s">
        <v>71</v>
      </c>
      <c r="J776" s="97" t="s">
        <v>72</v>
      </c>
      <c r="K776" s="97" t="s">
        <v>73</v>
      </c>
      <c r="L776">
        <v>701000</v>
      </c>
      <c r="M776" s="97" t="s">
        <v>62</v>
      </c>
      <c r="N776" s="97" t="s">
        <v>33</v>
      </c>
      <c r="O776">
        <v>1492</v>
      </c>
      <c r="P776">
        <v>1.05</v>
      </c>
      <c r="Q776">
        <v>1.57</v>
      </c>
      <c r="R776" s="97" t="s">
        <v>1201</v>
      </c>
      <c r="S776" s="97" t="s">
        <v>195</v>
      </c>
    </row>
    <row r="777" spans="1:19" x14ac:dyDescent="0.3">
      <c r="A777" s="97" t="s">
        <v>1115</v>
      </c>
      <c r="B777" s="97" t="s">
        <v>22</v>
      </c>
      <c r="C777">
        <v>2026</v>
      </c>
      <c r="D777">
        <v>2</v>
      </c>
      <c r="E777" s="2">
        <v>46061</v>
      </c>
      <c r="F777" s="97" t="s">
        <v>7</v>
      </c>
      <c r="G777" s="97" t="s">
        <v>8</v>
      </c>
      <c r="H777" s="97" t="s">
        <v>74</v>
      </c>
      <c r="I777" s="97" t="s">
        <v>71</v>
      </c>
      <c r="J777" s="97" t="s">
        <v>72</v>
      </c>
      <c r="K777" s="97" t="s">
        <v>73</v>
      </c>
      <c r="L777">
        <v>701000</v>
      </c>
      <c r="M777" s="97" t="s">
        <v>62</v>
      </c>
      <c r="N777" s="97" t="s">
        <v>33</v>
      </c>
      <c r="O777">
        <v>3034</v>
      </c>
      <c r="P777">
        <v>1.05</v>
      </c>
      <c r="Q777">
        <v>3.19</v>
      </c>
      <c r="R777" s="97" t="s">
        <v>1202</v>
      </c>
      <c r="S777" s="97" t="s">
        <v>195</v>
      </c>
    </row>
    <row r="778" spans="1:19" x14ac:dyDescent="0.3">
      <c r="A778" s="97" t="s">
        <v>1116</v>
      </c>
      <c r="B778" s="97" t="s">
        <v>22</v>
      </c>
      <c r="C778">
        <v>2026</v>
      </c>
      <c r="D778">
        <v>2</v>
      </c>
      <c r="E778" s="2">
        <v>46061</v>
      </c>
      <c r="F778" s="97" t="s">
        <v>7</v>
      </c>
      <c r="G778" s="97" t="s">
        <v>8</v>
      </c>
      <c r="H778" s="97" t="s">
        <v>74</v>
      </c>
      <c r="I778" s="97" t="s">
        <v>71</v>
      </c>
      <c r="J778" s="97" t="s">
        <v>72</v>
      </c>
      <c r="K778" s="97" t="s">
        <v>73</v>
      </c>
      <c r="L778">
        <v>701000</v>
      </c>
      <c r="M778" s="97" t="s">
        <v>62</v>
      </c>
      <c r="N778" s="97" t="s">
        <v>33</v>
      </c>
      <c r="O778">
        <v>977</v>
      </c>
      <c r="P778">
        <v>1.05</v>
      </c>
      <c r="Q778">
        <v>1.03</v>
      </c>
      <c r="R778" s="97" t="s">
        <v>1205</v>
      </c>
      <c r="S778" s="97" t="s">
        <v>195</v>
      </c>
    </row>
    <row r="779" spans="1:19" x14ac:dyDescent="0.3">
      <c r="A779" s="97" t="s">
        <v>1117</v>
      </c>
      <c r="B779" s="97" t="s">
        <v>22</v>
      </c>
      <c r="C779">
        <v>2026</v>
      </c>
      <c r="D779">
        <v>2</v>
      </c>
      <c r="E779" s="2">
        <v>46061</v>
      </c>
      <c r="F779" s="97" t="s">
        <v>7</v>
      </c>
      <c r="G779" s="97" t="s">
        <v>8</v>
      </c>
      <c r="H779" s="97" t="s">
        <v>74</v>
      </c>
      <c r="I779" s="97" t="s">
        <v>71</v>
      </c>
      <c r="J779" s="97" t="s">
        <v>72</v>
      </c>
      <c r="K779" s="97" t="s">
        <v>73</v>
      </c>
      <c r="L779">
        <v>701000</v>
      </c>
      <c r="M779" s="97" t="s">
        <v>62</v>
      </c>
      <c r="N779" s="97" t="s">
        <v>33</v>
      </c>
      <c r="O779">
        <v>2382</v>
      </c>
      <c r="P779">
        <v>1.05</v>
      </c>
      <c r="Q779">
        <v>2.5</v>
      </c>
      <c r="R779" s="97" t="s">
        <v>1201</v>
      </c>
      <c r="S779" s="97" t="s">
        <v>195</v>
      </c>
    </row>
    <row r="780" spans="1:19" x14ac:dyDescent="0.3">
      <c r="A780" s="97" t="s">
        <v>1118</v>
      </c>
      <c r="B780" s="97" t="s">
        <v>22</v>
      </c>
      <c r="C780">
        <v>2026</v>
      </c>
      <c r="D780">
        <v>2</v>
      </c>
      <c r="E780" s="2">
        <v>46061</v>
      </c>
      <c r="F780" s="97" t="s">
        <v>7</v>
      </c>
      <c r="G780" s="97" t="s">
        <v>8</v>
      </c>
      <c r="H780" s="97" t="s">
        <v>74</v>
      </c>
      <c r="I780" s="97" t="s">
        <v>71</v>
      </c>
      <c r="J780" s="97" t="s">
        <v>72</v>
      </c>
      <c r="K780" s="97" t="s">
        <v>73</v>
      </c>
      <c r="L780">
        <v>701000</v>
      </c>
      <c r="M780" s="97" t="s">
        <v>62</v>
      </c>
      <c r="N780" s="97" t="s">
        <v>33</v>
      </c>
      <c r="O780">
        <v>1585</v>
      </c>
      <c r="P780">
        <v>1.05</v>
      </c>
      <c r="Q780">
        <v>1.66</v>
      </c>
      <c r="R780" s="97" t="s">
        <v>1203</v>
      </c>
      <c r="S780" s="97" t="s">
        <v>195</v>
      </c>
    </row>
    <row r="781" spans="1:19" x14ac:dyDescent="0.3">
      <c r="A781" s="97" t="s">
        <v>1119</v>
      </c>
      <c r="B781" s="97" t="s">
        <v>22</v>
      </c>
      <c r="C781">
        <v>2026</v>
      </c>
      <c r="D781">
        <v>2</v>
      </c>
      <c r="E781" s="2">
        <v>46061</v>
      </c>
      <c r="F781" s="97" t="s">
        <v>7</v>
      </c>
      <c r="G781" s="97" t="s">
        <v>8</v>
      </c>
      <c r="H781" s="97" t="s">
        <v>74</v>
      </c>
      <c r="I781" s="97" t="s">
        <v>71</v>
      </c>
      <c r="J781" s="97" t="s">
        <v>72</v>
      </c>
      <c r="K781" s="97" t="s">
        <v>73</v>
      </c>
      <c r="L781">
        <v>701000</v>
      </c>
      <c r="M781" s="97" t="s">
        <v>62</v>
      </c>
      <c r="N781" s="97" t="s">
        <v>33</v>
      </c>
      <c r="O781">
        <v>896</v>
      </c>
      <c r="P781">
        <v>1.05</v>
      </c>
      <c r="Q781">
        <v>0.94</v>
      </c>
      <c r="R781" s="97" t="s">
        <v>1198</v>
      </c>
      <c r="S781" s="97" t="s">
        <v>195</v>
      </c>
    </row>
    <row r="782" spans="1:19" x14ac:dyDescent="0.3">
      <c r="A782" s="97" t="s">
        <v>1055</v>
      </c>
      <c r="B782" s="97" t="s">
        <v>22</v>
      </c>
      <c r="C782">
        <v>2026</v>
      </c>
      <c r="D782">
        <v>2</v>
      </c>
      <c r="E782" s="2">
        <v>46062</v>
      </c>
      <c r="F782" s="97" t="s">
        <v>7</v>
      </c>
      <c r="G782" s="97" t="s">
        <v>8</v>
      </c>
      <c r="H782" s="97" t="s">
        <v>74</v>
      </c>
      <c r="I782" s="97" t="s">
        <v>71</v>
      </c>
      <c r="J782" s="97" t="s">
        <v>72</v>
      </c>
      <c r="K782" s="97" t="s">
        <v>73</v>
      </c>
      <c r="L782">
        <v>701000</v>
      </c>
      <c r="M782" s="97" t="s">
        <v>62</v>
      </c>
      <c r="N782" s="97" t="s">
        <v>33</v>
      </c>
      <c r="O782">
        <v>1223</v>
      </c>
      <c r="P782">
        <v>1.05</v>
      </c>
      <c r="Q782">
        <v>1.28</v>
      </c>
      <c r="R782" s="97" t="s">
        <v>1200</v>
      </c>
      <c r="S782" s="97" t="s">
        <v>195</v>
      </c>
    </row>
    <row r="783" spans="1:19" x14ac:dyDescent="0.3">
      <c r="A783" s="97" t="s">
        <v>1056</v>
      </c>
      <c r="B783" s="97" t="s">
        <v>22</v>
      </c>
      <c r="C783">
        <v>2026</v>
      </c>
      <c r="D783">
        <v>2</v>
      </c>
      <c r="E783" s="2">
        <v>46062</v>
      </c>
      <c r="F783" s="97" t="s">
        <v>7</v>
      </c>
      <c r="G783" s="97" t="s">
        <v>8</v>
      </c>
      <c r="H783" s="97" t="s">
        <v>74</v>
      </c>
      <c r="I783" s="97" t="s">
        <v>71</v>
      </c>
      <c r="J783" s="97" t="s">
        <v>72</v>
      </c>
      <c r="K783" s="97" t="s">
        <v>73</v>
      </c>
      <c r="L783">
        <v>701000</v>
      </c>
      <c r="M783" s="97" t="s">
        <v>62</v>
      </c>
      <c r="N783" s="97" t="s">
        <v>33</v>
      </c>
      <c r="O783">
        <v>2052</v>
      </c>
      <c r="P783">
        <v>1.05</v>
      </c>
      <c r="Q783">
        <v>2.15</v>
      </c>
      <c r="R783" s="97" t="s">
        <v>1203</v>
      </c>
      <c r="S783" s="97" t="s">
        <v>195</v>
      </c>
    </row>
    <row r="784" spans="1:19" x14ac:dyDescent="0.3">
      <c r="A784" s="97" t="s">
        <v>1057</v>
      </c>
      <c r="B784" s="97" t="s">
        <v>22</v>
      </c>
      <c r="C784">
        <v>2026</v>
      </c>
      <c r="D784">
        <v>2</v>
      </c>
      <c r="E784" s="2">
        <v>46062</v>
      </c>
      <c r="F784" s="97" t="s">
        <v>7</v>
      </c>
      <c r="G784" s="97" t="s">
        <v>8</v>
      </c>
      <c r="H784" s="97" t="s">
        <v>74</v>
      </c>
      <c r="I784" s="97" t="s">
        <v>71</v>
      </c>
      <c r="J784" s="97" t="s">
        <v>72</v>
      </c>
      <c r="K784" s="97" t="s">
        <v>73</v>
      </c>
      <c r="L784">
        <v>701000</v>
      </c>
      <c r="M784" s="97" t="s">
        <v>62</v>
      </c>
      <c r="N784" s="97" t="s">
        <v>33</v>
      </c>
      <c r="O784">
        <v>2090</v>
      </c>
      <c r="P784">
        <v>1.05</v>
      </c>
      <c r="Q784">
        <v>2.19</v>
      </c>
      <c r="R784" s="97" t="s">
        <v>1197</v>
      </c>
      <c r="S784" s="97" t="s">
        <v>195</v>
      </c>
    </row>
    <row r="785" spans="1:19" x14ac:dyDescent="0.3">
      <c r="A785" s="97" t="s">
        <v>1058</v>
      </c>
      <c r="B785" s="97" t="s">
        <v>22</v>
      </c>
      <c r="C785">
        <v>2026</v>
      </c>
      <c r="D785">
        <v>2</v>
      </c>
      <c r="E785" s="2">
        <v>46062</v>
      </c>
      <c r="F785" s="97" t="s">
        <v>7</v>
      </c>
      <c r="G785" s="97" t="s">
        <v>8</v>
      </c>
      <c r="H785" s="97" t="s">
        <v>74</v>
      </c>
      <c r="I785" s="97" t="s">
        <v>71</v>
      </c>
      <c r="J785" s="97" t="s">
        <v>72</v>
      </c>
      <c r="K785" s="97" t="s">
        <v>73</v>
      </c>
      <c r="L785">
        <v>701000</v>
      </c>
      <c r="M785" s="97" t="s">
        <v>62</v>
      </c>
      <c r="N785" s="97" t="s">
        <v>33</v>
      </c>
      <c r="O785">
        <v>1265</v>
      </c>
      <c r="P785">
        <v>1.05</v>
      </c>
      <c r="Q785">
        <v>1.33</v>
      </c>
      <c r="R785" s="97" t="s">
        <v>1201</v>
      </c>
      <c r="S785" s="97" t="s">
        <v>195</v>
      </c>
    </row>
    <row r="786" spans="1:19" x14ac:dyDescent="0.3">
      <c r="A786" s="97" t="s">
        <v>1059</v>
      </c>
      <c r="B786" s="97" t="s">
        <v>22</v>
      </c>
      <c r="C786">
        <v>2026</v>
      </c>
      <c r="D786">
        <v>2</v>
      </c>
      <c r="E786" s="2">
        <v>46062</v>
      </c>
      <c r="F786" s="97" t="s">
        <v>7</v>
      </c>
      <c r="G786" s="97" t="s">
        <v>8</v>
      </c>
      <c r="H786" s="97" t="s">
        <v>74</v>
      </c>
      <c r="I786" s="97" t="s">
        <v>71</v>
      </c>
      <c r="J786" s="97" t="s">
        <v>72</v>
      </c>
      <c r="K786" s="97" t="s">
        <v>73</v>
      </c>
      <c r="L786">
        <v>701000</v>
      </c>
      <c r="M786" s="97" t="s">
        <v>62</v>
      </c>
      <c r="N786" s="97" t="s">
        <v>33</v>
      </c>
      <c r="O786">
        <v>553</v>
      </c>
      <c r="P786">
        <v>1.07</v>
      </c>
      <c r="Q786">
        <v>0.59</v>
      </c>
      <c r="R786" s="97" t="s">
        <v>1204</v>
      </c>
      <c r="S786" s="97" t="s">
        <v>195</v>
      </c>
    </row>
    <row r="787" spans="1:19" x14ac:dyDescent="0.3">
      <c r="A787" s="97" t="s">
        <v>1120</v>
      </c>
      <c r="B787" s="97" t="s">
        <v>22</v>
      </c>
      <c r="C787">
        <v>2026</v>
      </c>
      <c r="D787">
        <v>2</v>
      </c>
      <c r="E787" s="2">
        <v>46062</v>
      </c>
      <c r="F787" s="97" t="s">
        <v>7</v>
      </c>
      <c r="G787" s="97" t="s">
        <v>8</v>
      </c>
      <c r="H787" s="97" t="s">
        <v>74</v>
      </c>
      <c r="I787" s="97" t="s">
        <v>71</v>
      </c>
      <c r="J787" s="97" t="s">
        <v>72</v>
      </c>
      <c r="K787" s="97" t="s">
        <v>73</v>
      </c>
      <c r="L787">
        <v>701000</v>
      </c>
      <c r="M787" s="97" t="s">
        <v>62</v>
      </c>
      <c r="N787" s="97" t="s">
        <v>33</v>
      </c>
      <c r="O787">
        <v>2934</v>
      </c>
      <c r="P787">
        <v>1.05</v>
      </c>
      <c r="Q787">
        <v>3.08</v>
      </c>
      <c r="R787" s="97" t="s">
        <v>1201</v>
      </c>
      <c r="S787" s="97" t="s">
        <v>195</v>
      </c>
    </row>
    <row r="788" spans="1:19" x14ac:dyDescent="0.3">
      <c r="A788" s="97" t="s">
        <v>1121</v>
      </c>
      <c r="B788" s="97" t="s">
        <v>22</v>
      </c>
      <c r="C788">
        <v>2026</v>
      </c>
      <c r="D788">
        <v>2</v>
      </c>
      <c r="E788" s="2">
        <v>46062</v>
      </c>
      <c r="F788" s="97" t="s">
        <v>7</v>
      </c>
      <c r="G788" s="97" t="s">
        <v>8</v>
      </c>
      <c r="H788" s="97" t="s">
        <v>74</v>
      </c>
      <c r="I788" s="97" t="s">
        <v>71</v>
      </c>
      <c r="J788" s="97" t="s">
        <v>72</v>
      </c>
      <c r="K788" s="97" t="s">
        <v>73</v>
      </c>
      <c r="L788">
        <v>701000</v>
      </c>
      <c r="M788" s="97" t="s">
        <v>62</v>
      </c>
      <c r="N788" s="97" t="s">
        <v>33</v>
      </c>
      <c r="O788">
        <v>1828</v>
      </c>
      <c r="P788">
        <v>1.05</v>
      </c>
      <c r="Q788">
        <v>1.92</v>
      </c>
      <c r="R788" s="97" t="s">
        <v>1202</v>
      </c>
      <c r="S788" s="97" t="s">
        <v>195</v>
      </c>
    </row>
    <row r="789" spans="1:19" x14ac:dyDescent="0.3">
      <c r="A789" s="97" t="s">
        <v>1122</v>
      </c>
      <c r="B789" s="97" t="s">
        <v>22</v>
      </c>
      <c r="C789">
        <v>2026</v>
      </c>
      <c r="D789">
        <v>2</v>
      </c>
      <c r="E789" s="2">
        <v>46062</v>
      </c>
      <c r="F789" s="97" t="s">
        <v>7</v>
      </c>
      <c r="G789" s="97" t="s">
        <v>8</v>
      </c>
      <c r="H789" s="97" t="s">
        <v>74</v>
      </c>
      <c r="I789" s="97" t="s">
        <v>71</v>
      </c>
      <c r="J789" s="97" t="s">
        <v>72</v>
      </c>
      <c r="K789" s="97" t="s">
        <v>73</v>
      </c>
      <c r="L789">
        <v>701000</v>
      </c>
      <c r="M789" s="97" t="s">
        <v>62</v>
      </c>
      <c r="N789" s="97" t="s">
        <v>33</v>
      </c>
      <c r="O789">
        <v>2001</v>
      </c>
      <c r="P789">
        <v>1.05</v>
      </c>
      <c r="Q789">
        <v>2.1</v>
      </c>
      <c r="R789" s="97" t="s">
        <v>1198</v>
      </c>
      <c r="S789" s="97" t="s">
        <v>195</v>
      </c>
    </row>
    <row r="790" spans="1:19" x14ac:dyDescent="0.3">
      <c r="A790" s="97" t="s">
        <v>1123</v>
      </c>
      <c r="B790" s="97" t="s">
        <v>22</v>
      </c>
      <c r="C790">
        <v>2026</v>
      </c>
      <c r="D790">
        <v>2</v>
      </c>
      <c r="E790" s="2">
        <v>46062</v>
      </c>
      <c r="F790" s="97" t="s">
        <v>7</v>
      </c>
      <c r="G790" s="97" t="s">
        <v>8</v>
      </c>
      <c r="H790" s="97" t="s">
        <v>74</v>
      </c>
      <c r="I790" s="97" t="s">
        <v>71</v>
      </c>
      <c r="J790" s="97" t="s">
        <v>72</v>
      </c>
      <c r="K790" s="97" t="s">
        <v>73</v>
      </c>
      <c r="L790">
        <v>701000</v>
      </c>
      <c r="M790" s="97" t="s">
        <v>62</v>
      </c>
      <c r="N790" s="97" t="s">
        <v>33</v>
      </c>
      <c r="O790">
        <v>1160</v>
      </c>
      <c r="P790">
        <v>1.05</v>
      </c>
      <c r="Q790">
        <v>1.22</v>
      </c>
      <c r="R790" s="97" t="s">
        <v>1204</v>
      </c>
      <c r="S790" s="97" t="s">
        <v>195</v>
      </c>
    </row>
    <row r="791" spans="1:19" x14ac:dyDescent="0.3">
      <c r="A791" s="97" t="s">
        <v>1124</v>
      </c>
      <c r="B791" s="97" t="s">
        <v>22</v>
      </c>
      <c r="C791">
        <v>2026</v>
      </c>
      <c r="D791">
        <v>2</v>
      </c>
      <c r="E791" s="2">
        <v>46062</v>
      </c>
      <c r="F791" s="97" t="s">
        <v>7</v>
      </c>
      <c r="G791" s="97" t="s">
        <v>8</v>
      </c>
      <c r="H791" s="97" t="s">
        <v>74</v>
      </c>
      <c r="I791" s="97" t="s">
        <v>71</v>
      </c>
      <c r="J791" s="97" t="s">
        <v>72</v>
      </c>
      <c r="K791" s="97" t="s">
        <v>73</v>
      </c>
      <c r="L791">
        <v>701000</v>
      </c>
      <c r="M791" s="97" t="s">
        <v>62</v>
      </c>
      <c r="N791" s="97" t="s">
        <v>33</v>
      </c>
      <c r="O791">
        <v>1261</v>
      </c>
      <c r="P791">
        <v>1.05</v>
      </c>
      <c r="Q791">
        <v>1.32</v>
      </c>
      <c r="R791" s="97" t="s">
        <v>1199</v>
      </c>
      <c r="S791" s="97" t="s">
        <v>195</v>
      </c>
    </row>
    <row r="792" spans="1:19" x14ac:dyDescent="0.3">
      <c r="A792" s="97" t="s">
        <v>1175</v>
      </c>
      <c r="B792" s="97" t="s">
        <v>22</v>
      </c>
      <c r="C792">
        <v>2026</v>
      </c>
      <c r="D792">
        <v>2</v>
      </c>
      <c r="E792" s="2">
        <v>46062</v>
      </c>
      <c r="F792" s="97" t="s">
        <v>7</v>
      </c>
      <c r="G792" s="97" t="s">
        <v>8</v>
      </c>
      <c r="H792" s="97" t="s">
        <v>70</v>
      </c>
      <c r="I792" s="97" t="s">
        <v>75</v>
      </c>
      <c r="J792" s="97" t="s">
        <v>76</v>
      </c>
      <c r="K792" s="97" t="s">
        <v>73</v>
      </c>
      <c r="L792">
        <v>701000</v>
      </c>
      <c r="M792" s="97" t="s">
        <v>62</v>
      </c>
      <c r="N792" s="97" t="s">
        <v>33</v>
      </c>
      <c r="O792">
        <v>5108</v>
      </c>
      <c r="P792">
        <v>1.4</v>
      </c>
      <c r="Q792">
        <v>7.15</v>
      </c>
      <c r="R792" s="97" t="s">
        <v>1200</v>
      </c>
      <c r="S792" s="97" t="s">
        <v>195</v>
      </c>
    </row>
    <row r="793" spans="1:19" x14ac:dyDescent="0.3">
      <c r="A793" s="97" t="s">
        <v>1176</v>
      </c>
      <c r="B793" s="97" t="s">
        <v>22</v>
      </c>
      <c r="C793">
        <v>2026</v>
      </c>
      <c r="D793">
        <v>2</v>
      </c>
      <c r="E793" s="2">
        <v>46062</v>
      </c>
      <c r="F793" s="97" t="s">
        <v>7</v>
      </c>
      <c r="G793" s="97" t="s">
        <v>8</v>
      </c>
      <c r="H793" s="97" t="s">
        <v>70</v>
      </c>
      <c r="I793" s="97" t="s">
        <v>75</v>
      </c>
      <c r="J793" s="97" t="s">
        <v>76</v>
      </c>
      <c r="K793" s="97" t="s">
        <v>73</v>
      </c>
      <c r="L793">
        <v>701000</v>
      </c>
      <c r="M793" s="97" t="s">
        <v>62</v>
      </c>
      <c r="N793" s="97" t="s">
        <v>33</v>
      </c>
      <c r="O793">
        <v>715</v>
      </c>
      <c r="P793">
        <v>1.4</v>
      </c>
      <c r="Q793">
        <v>1</v>
      </c>
      <c r="R793" s="97" t="s">
        <v>1202</v>
      </c>
      <c r="S793" s="97" t="s">
        <v>195</v>
      </c>
    </row>
    <row r="794" spans="1:19" x14ac:dyDescent="0.3">
      <c r="A794" s="97" t="s">
        <v>1177</v>
      </c>
      <c r="B794" s="97" t="s">
        <v>22</v>
      </c>
      <c r="C794">
        <v>2026</v>
      </c>
      <c r="D794">
        <v>2</v>
      </c>
      <c r="E794" s="2">
        <v>46062</v>
      </c>
      <c r="F794" s="97" t="s">
        <v>7</v>
      </c>
      <c r="G794" s="97" t="s">
        <v>8</v>
      </c>
      <c r="H794" s="97" t="s">
        <v>70</v>
      </c>
      <c r="I794" s="97" t="s">
        <v>75</v>
      </c>
      <c r="J794" s="97" t="s">
        <v>76</v>
      </c>
      <c r="K794" s="97" t="s">
        <v>73</v>
      </c>
      <c r="L794">
        <v>701000</v>
      </c>
      <c r="M794" s="97" t="s">
        <v>62</v>
      </c>
      <c r="N794" s="97" t="s">
        <v>33</v>
      </c>
      <c r="O794">
        <v>2705</v>
      </c>
      <c r="P794">
        <v>1.4</v>
      </c>
      <c r="Q794">
        <v>3.79</v>
      </c>
      <c r="R794" s="97" t="s">
        <v>1199</v>
      </c>
      <c r="S794" s="97" t="s">
        <v>195</v>
      </c>
    </row>
    <row r="795" spans="1:19" x14ac:dyDescent="0.3">
      <c r="A795" s="97" t="s">
        <v>1178</v>
      </c>
      <c r="B795" s="97" t="s">
        <v>22</v>
      </c>
      <c r="C795">
        <v>2026</v>
      </c>
      <c r="D795">
        <v>2</v>
      </c>
      <c r="E795" s="2">
        <v>46062</v>
      </c>
      <c r="F795" s="97" t="s">
        <v>7</v>
      </c>
      <c r="G795" s="97" t="s">
        <v>8</v>
      </c>
      <c r="H795" s="97" t="s">
        <v>70</v>
      </c>
      <c r="I795" s="97" t="s">
        <v>75</v>
      </c>
      <c r="J795" s="97" t="s">
        <v>76</v>
      </c>
      <c r="K795" s="97" t="s">
        <v>73</v>
      </c>
      <c r="L795">
        <v>701000</v>
      </c>
      <c r="M795" s="97" t="s">
        <v>62</v>
      </c>
      <c r="N795" s="97" t="s">
        <v>33</v>
      </c>
      <c r="O795">
        <v>2031</v>
      </c>
      <c r="P795">
        <v>1.4</v>
      </c>
      <c r="Q795">
        <v>2.84</v>
      </c>
      <c r="R795" s="97" t="s">
        <v>1198</v>
      </c>
      <c r="S795" s="97" t="s">
        <v>195</v>
      </c>
    </row>
    <row r="796" spans="1:19" x14ac:dyDescent="0.3">
      <c r="A796" s="97" t="s">
        <v>1179</v>
      </c>
      <c r="B796" s="97" t="s">
        <v>22</v>
      </c>
      <c r="C796">
        <v>2026</v>
      </c>
      <c r="D796">
        <v>2</v>
      </c>
      <c r="E796" s="2">
        <v>46062</v>
      </c>
      <c r="F796" s="97" t="s">
        <v>7</v>
      </c>
      <c r="G796" s="97" t="s">
        <v>8</v>
      </c>
      <c r="H796" s="97" t="s">
        <v>70</v>
      </c>
      <c r="I796" s="97" t="s">
        <v>75</v>
      </c>
      <c r="J796" s="97" t="s">
        <v>76</v>
      </c>
      <c r="K796" s="97" t="s">
        <v>73</v>
      </c>
      <c r="L796">
        <v>701000</v>
      </c>
      <c r="M796" s="97" t="s">
        <v>62</v>
      </c>
      <c r="N796" s="97" t="s">
        <v>33</v>
      </c>
      <c r="O796">
        <v>1702</v>
      </c>
      <c r="P796">
        <v>1.4</v>
      </c>
      <c r="Q796">
        <v>2.39</v>
      </c>
      <c r="R796" s="97" t="s">
        <v>1197</v>
      </c>
      <c r="S796" s="97" t="s">
        <v>195</v>
      </c>
    </row>
    <row r="797" spans="1:19" x14ac:dyDescent="0.3">
      <c r="A797" s="97" t="s">
        <v>935</v>
      </c>
      <c r="B797" s="97" t="s">
        <v>22</v>
      </c>
      <c r="C797">
        <v>2026</v>
      </c>
      <c r="D797">
        <v>2</v>
      </c>
      <c r="E797" s="2">
        <v>46063</v>
      </c>
      <c r="F797" s="97" t="s">
        <v>7</v>
      </c>
      <c r="G797" s="97" t="s">
        <v>8</v>
      </c>
      <c r="H797" s="97" t="s">
        <v>74</v>
      </c>
      <c r="I797" s="97" t="s">
        <v>84</v>
      </c>
      <c r="J797" s="97" t="s">
        <v>85</v>
      </c>
      <c r="K797" s="97" t="s">
        <v>73</v>
      </c>
      <c r="L797">
        <v>701000</v>
      </c>
      <c r="M797" s="97" t="s">
        <v>62</v>
      </c>
      <c r="N797" s="97" t="s">
        <v>33</v>
      </c>
      <c r="O797">
        <v>953</v>
      </c>
      <c r="P797">
        <v>0.94</v>
      </c>
      <c r="Q797">
        <v>0.9</v>
      </c>
      <c r="R797" s="97" t="s">
        <v>1203</v>
      </c>
      <c r="S797" s="97" t="s">
        <v>195</v>
      </c>
    </row>
    <row r="798" spans="1:19" x14ac:dyDescent="0.3">
      <c r="A798" s="97" t="s">
        <v>936</v>
      </c>
      <c r="B798" s="97" t="s">
        <v>22</v>
      </c>
      <c r="C798">
        <v>2026</v>
      </c>
      <c r="D798">
        <v>2</v>
      </c>
      <c r="E798" s="2">
        <v>46063</v>
      </c>
      <c r="F798" s="97" t="s">
        <v>7</v>
      </c>
      <c r="G798" s="97" t="s">
        <v>8</v>
      </c>
      <c r="H798" s="97" t="s">
        <v>74</v>
      </c>
      <c r="I798" s="97" t="s">
        <v>84</v>
      </c>
      <c r="J798" s="97" t="s">
        <v>85</v>
      </c>
      <c r="K798" s="97" t="s">
        <v>73</v>
      </c>
      <c r="L798">
        <v>701000</v>
      </c>
      <c r="M798" s="97" t="s">
        <v>62</v>
      </c>
      <c r="N798" s="97" t="s">
        <v>33</v>
      </c>
      <c r="O798">
        <v>3644</v>
      </c>
      <c r="P798">
        <v>0.95</v>
      </c>
      <c r="Q798">
        <v>3.46</v>
      </c>
      <c r="R798" s="97" t="s">
        <v>1197</v>
      </c>
      <c r="S798" s="97" t="s">
        <v>195</v>
      </c>
    </row>
    <row r="799" spans="1:19" x14ac:dyDescent="0.3">
      <c r="A799" s="97" t="s">
        <v>937</v>
      </c>
      <c r="B799" s="97" t="s">
        <v>22</v>
      </c>
      <c r="C799">
        <v>2026</v>
      </c>
      <c r="D799">
        <v>2</v>
      </c>
      <c r="E799" s="2">
        <v>46063</v>
      </c>
      <c r="F799" s="97" t="s">
        <v>7</v>
      </c>
      <c r="G799" s="97" t="s">
        <v>8</v>
      </c>
      <c r="H799" s="97" t="s">
        <v>74</v>
      </c>
      <c r="I799" s="97" t="s">
        <v>84</v>
      </c>
      <c r="J799" s="97" t="s">
        <v>85</v>
      </c>
      <c r="K799" s="97" t="s">
        <v>73</v>
      </c>
      <c r="L799">
        <v>701000</v>
      </c>
      <c r="M799" s="97" t="s">
        <v>62</v>
      </c>
      <c r="N799" s="97" t="s">
        <v>33</v>
      </c>
      <c r="O799">
        <v>6011</v>
      </c>
      <c r="P799">
        <v>0.95</v>
      </c>
      <c r="Q799">
        <v>5.71</v>
      </c>
      <c r="R799" s="97" t="s">
        <v>1199</v>
      </c>
      <c r="S799" s="97" t="s">
        <v>195</v>
      </c>
    </row>
    <row r="800" spans="1:19" x14ac:dyDescent="0.3">
      <c r="A800" s="97" t="s">
        <v>938</v>
      </c>
      <c r="B800" s="97" t="s">
        <v>22</v>
      </c>
      <c r="C800">
        <v>2026</v>
      </c>
      <c r="D800">
        <v>2</v>
      </c>
      <c r="E800" s="2">
        <v>46063</v>
      </c>
      <c r="F800" s="97" t="s">
        <v>7</v>
      </c>
      <c r="G800" s="97" t="s">
        <v>8</v>
      </c>
      <c r="H800" s="97" t="s">
        <v>74</v>
      </c>
      <c r="I800" s="97" t="s">
        <v>84</v>
      </c>
      <c r="J800" s="97" t="s">
        <v>85</v>
      </c>
      <c r="K800" s="97" t="s">
        <v>73</v>
      </c>
      <c r="L800">
        <v>701000</v>
      </c>
      <c r="M800" s="97" t="s">
        <v>62</v>
      </c>
      <c r="N800" s="97" t="s">
        <v>33</v>
      </c>
      <c r="O800">
        <v>4071</v>
      </c>
      <c r="P800">
        <v>0.95</v>
      </c>
      <c r="Q800">
        <v>3.87</v>
      </c>
      <c r="R800" s="97" t="s">
        <v>1200</v>
      </c>
      <c r="S800" s="97" t="s">
        <v>195</v>
      </c>
    </row>
    <row r="801" spans="1:19" x14ac:dyDescent="0.3">
      <c r="A801" s="97" t="s">
        <v>939</v>
      </c>
      <c r="B801" s="97" t="s">
        <v>22</v>
      </c>
      <c r="C801">
        <v>2026</v>
      </c>
      <c r="D801">
        <v>2</v>
      </c>
      <c r="E801" s="2">
        <v>46063</v>
      </c>
      <c r="F801" s="97" t="s">
        <v>7</v>
      </c>
      <c r="G801" s="97" t="s">
        <v>8</v>
      </c>
      <c r="H801" s="97" t="s">
        <v>74</v>
      </c>
      <c r="I801" s="97" t="s">
        <v>84</v>
      </c>
      <c r="J801" s="97" t="s">
        <v>85</v>
      </c>
      <c r="K801" s="97" t="s">
        <v>73</v>
      </c>
      <c r="L801">
        <v>701000</v>
      </c>
      <c r="M801" s="97" t="s">
        <v>62</v>
      </c>
      <c r="N801" s="97" t="s">
        <v>33</v>
      </c>
      <c r="O801">
        <v>2397</v>
      </c>
      <c r="P801">
        <v>0.95</v>
      </c>
      <c r="Q801">
        <v>2.2799999999999998</v>
      </c>
      <c r="R801" s="97" t="s">
        <v>1204</v>
      </c>
      <c r="S801" s="97" t="s">
        <v>195</v>
      </c>
    </row>
    <row r="802" spans="1:19" x14ac:dyDescent="0.3">
      <c r="A802" s="97" t="s">
        <v>1095</v>
      </c>
      <c r="B802" s="97" t="s">
        <v>22</v>
      </c>
      <c r="C802">
        <v>2026</v>
      </c>
      <c r="D802">
        <v>2</v>
      </c>
      <c r="E802" s="2">
        <v>46065</v>
      </c>
      <c r="F802" s="97" t="s">
        <v>7</v>
      </c>
      <c r="G802" s="97" t="s">
        <v>8</v>
      </c>
      <c r="H802" s="97" t="s">
        <v>70</v>
      </c>
      <c r="I802" s="97" t="s">
        <v>71</v>
      </c>
      <c r="J802" s="97" t="s">
        <v>72</v>
      </c>
      <c r="K802" s="97" t="s">
        <v>73</v>
      </c>
      <c r="L802">
        <v>701000</v>
      </c>
      <c r="M802" s="97" t="s">
        <v>62</v>
      </c>
      <c r="N802" s="97" t="s">
        <v>33</v>
      </c>
      <c r="O802">
        <v>1141</v>
      </c>
      <c r="P802">
        <v>1.05</v>
      </c>
      <c r="Q802">
        <v>1.2</v>
      </c>
      <c r="R802" s="97" t="s">
        <v>1202</v>
      </c>
      <c r="S802" s="97" t="s">
        <v>195</v>
      </c>
    </row>
    <row r="803" spans="1:19" x14ac:dyDescent="0.3">
      <c r="A803" s="97" t="s">
        <v>1096</v>
      </c>
      <c r="B803" s="97" t="s">
        <v>22</v>
      </c>
      <c r="C803">
        <v>2026</v>
      </c>
      <c r="D803">
        <v>2</v>
      </c>
      <c r="E803" s="2">
        <v>46065</v>
      </c>
      <c r="F803" s="97" t="s">
        <v>7</v>
      </c>
      <c r="G803" s="97" t="s">
        <v>8</v>
      </c>
      <c r="H803" s="97" t="s">
        <v>70</v>
      </c>
      <c r="I803" s="97" t="s">
        <v>71</v>
      </c>
      <c r="J803" s="97" t="s">
        <v>72</v>
      </c>
      <c r="K803" s="97" t="s">
        <v>73</v>
      </c>
      <c r="L803">
        <v>701000</v>
      </c>
      <c r="M803" s="97" t="s">
        <v>62</v>
      </c>
      <c r="N803" s="97" t="s">
        <v>33</v>
      </c>
      <c r="O803">
        <v>1764</v>
      </c>
      <c r="P803">
        <v>1.05</v>
      </c>
      <c r="Q803">
        <v>1.85</v>
      </c>
      <c r="R803" s="97" t="s">
        <v>1204</v>
      </c>
      <c r="S803" s="97" t="s">
        <v>195</v>
      </c>
    </row>
    <row r="804" spans="1:19" x14ac:dyDescent="0.3">
      <c r="A804" s="97" t="s">
        <v>1097</v>
      </c>
      <c r="B804" s="97" t="s">
        <v>22</v>
      </c>
      <c r="C804">
        <v>2026</v>
      </c>
      <c r="D804">
        <v>2</v>
      </c>
      <c r="E804" s="2">
        <v>46065</v>
      </c>
      <c r="F804" s="97" t="s">
        <v>7</v>
      </c>
      <c r="G804" s="97" t="s">
        <v>8</v>
      </c>
      <c r="H804" s="97" t="s">
        <v>70</v>
      </c>
      <c r="I804" s="97" t="s">
        <v>71</v>
      </c>
      <c r="J804" s="97" t="s">
        <v>72</v>
      </c>
      <c r="K804" s="97" t="s">
        <v>73</v>
      </c>
      <c r="L804">
        <v>701000</v>
      </c>
      <c r="M804" s="97" t="s">
        <v>62</v>
      </c>
      <c r="N804" s="97" t="s">
        <v>33</v>
      </c>
      <c r="O804">
        <v>1071</v>
      </c>
      <c r="P804">
        <v>1.05</v>
      </c>
      <c r="Q804">
        <v>1.1200000000000001</v>
      </c>
      <c r="R804" s="97" t="s">
        <v>1199</v>
      </c>
      <c r="S804" s="97" t="s">
        <v>195</v>
      </c>
    </row>
    <row r="805" spans="1:19" x14ac:dyDescent="0.3">
      <c r="A805" s="97" t="s">
        <v>1098</v>
      </c>
      <c r="B805" s="97" t="s">
        <v>22</v>
      </c>
      <c r="C805">
        <v>2026</v>
      </c>
      <c r="D805">
        <v>2</v>
      </c>
      <c r="E805" s="2">
        <v>46065</v>
      </c>
      <c r="F805" s="97" t="s">
        <v>7</v>
      </c>
      <c r="G805" s="97" t="s">
        <v>8</v>
      </c>
      <c r="H805" s="97" t="s">
        <v>70</v>
      </c>
      <c r="I805" s="97" t="s">
        <v>71</v>
      </c>
      <c r="J805" s="97" t="s">
        <v>72</v>
      </c>
      <c r="K805" s="97" t="s">
        <v>73</v>
      </c>
      <c r="L805">
        <v>701000</v>
      </c>
      <c r="M805" s="97" t="s">
        <v>62</v>
      </c>
      <c r="N805" s="97" t="s">
        <v>33</v>
      </c>
      <c r="O805">
        <v>2490</v>
      </c>
      <c r="P805">
        <v>1.05</v>
      </c>
      <c r="Q805">
        <v>2.62</v>
      </c>
      <c r="R805" s="97" t="s">
        <v>1197</v>
      </c>
      <c r="S805" s="97" t="s">
        <v>195</v>
      </c>
    </row>
    <row r="806" spans="1:19" x14ac:dyDescent="0.3">
      <c r="A806" s="97" t="s">
        <v>1099</v>
      </c>
      <c r="B806" s="97" t="s">
        <v>22</v>
      </c>
      <c r="C806">
        <v>2026</v>
      </c>
      <c r="D806">
        <v>2</v>
      </c>
      <c r="E806" s="2">
        <v>46065</v>
      </c>
      <c r="F806" s="97" t="s">
        <v>7</v>
      </c>
      <c r="G806" s="97" t="s">
        <v>8</v>
      </c>
      <c r="H806" s="97" t="s">
        <v>70</v>
      </c>
      <c r="I806" s="97" t="s">
        <v>71</v>
      </c>
      <c r="J806" s="97" t="s">
        <v>72</v>
      </c>
      <c r="K806" s="97" t="s">
        <v>73</v>
      </c>
      <c r="L806">
        <v>701000</v>
      </c>
      <c r="M806" s="97" t="s">
        <v>62</v>
      </c>
      <c r="N806" s="97" t="s">
        <v>33</v>
      </c>
      <c r="O806">
        <v>265</v>
      </c>
      <c r="P806">
        <v>1.06</v>
      </c>
      <c r="Q806">
        <v>0.28000000000000003</v>
      </c>
      <c r="R806" s="97" t="s">
        <v>1200</v>
      </c>
      <c r="S806" s="97" t="s">
        <v>195</v>
      </c>
    </row>
    <row r="807" spans="1:19" x14ac:dyDescent="0.3">
      <c r="A807" s="97" t="s">
        <v>1135</v>
      </c>
      <c r="B807" s="97" t="s">
        <v>22</v>
      </c>
      <c r="C807">
        <v>2026</v>
      </c>
      <c r="D807">
        <v>2</v>
      </c>
      <c r="E807" s="2">
        <v>46065</v>
      </c>
      <c r="F807" s="97" t="s">
        <v>7</v>
      </c>
      <c r="G807" s="97" t="s">
        <v>8</v>
      </c>
      <c r="H807" s="97" t="s">
        <v>74</v>
      </c>
      <c r="I807" s="97" t="s">
        <v>71</v>
      </c>
      <c r="J807" s="97" t="s">
        <v>72</v>
      </c>
      <c r="K807" s="97" t="s">
        <v>73</v>
      </c>
      <c r="L807">
        <v>701000</v>
      </c>
      <c r="M807" s="97" t="s">
        <v>62</v>
      </c>
      <c r="N807" s="97" t="s">
        <v>33</v>
      </c>
      <c r="O807">
        <v>1616</v>
      </c>
      <c r="P807">
        <v>1.05</v>
      </c>
      <c r="Q807">
        <v>1.7</v>
      </c>
      <c r="R807" s="97" t="s">
        <v>1199</v>
      </c>
      <c r="S807" s="97" t="s">
        <v>195</v>
      </c>
    </row>
    <row r="808" spans="1:19" x14ac:dyDescent="0.3">
      <c r="A808" s="97" t="s">
        <v>1136</v>
      </c>
      <c r="B808" s="97" t="s">
        <v>22</v>
      </c>
      <c r="C808">
        <v>2026</v>
      </c>
      <c r="D808">
        <v>2</v>
      </c>
      <c r="E808" s="2">
        <v>46065</v>
      </c>
      <c r="F808" s="97" t="s">
        <v>7</v>
      </c>
      <c r="G808" s="97" t="s">
        <v>8</v>
      </c>
      <c r="H808" s="97" t="s">
        <v>74</v>
      </c>
      <c r="I808" s="97" t="s">
        <v>71</v>
      </c>
      <c r="J808" s="97" t="s">
        <v>72</v>
      </c>
      <c r="K808" s="97" t="s">
        <v>73</v>
      </c>
      <c r="L808">
        <v>701000</v>
      </c>
      <c r="M808" s="97" t="s">
        <v>62</v>
      </c>
      <c r="N808" s="97" t="s">
        <v>33</v>
      </c>
      <c r="O808">
        <v>1023</v>
      </c>
      <c r="P808">
        <v>1.05</v>
      </c>
      <c r="Q808">
        <v>1.07</v>
      </c>
      <c r="R808" s="97" t="s">
        <v>1201</v>
      </c>
      <c r="S808" s="97" t="s">
        <v>195</v>
      </c>
    </row>
    <row r="809" spans="1:19" x14ac:dyDescent="0.3">
      <c r="A809" s="97" t="s">
        <v>1137</v>
      </c>
      <c r="B809" s="97" t="s">
        <v>22</v>
      </c>
      <c r="C809">
        <v>2026</v>
      </c>
      <c r="D809">
        <v>2</v>
      </c>
      <c r="E809" s="2">
        <v>46065</v>
      </c>
      <c r="F809" s="97" t="s">
        <v>7</v>
      </c>
      <c r="G809" s="97" t="s">
        <v>8</v>
      </c>
      <c r="H809" s="97" t="s">
        <v>74</v>
      </c>
      <c r="I809" s="97" t="s">
        <v>71</v>
      </c>
      <c r="J809" s="97" t="s">
        <v>72</v>
      </c>
      <c r="K809" s="97" t="s">
        <v>73</v>
      </c>
      <c r="L809">
        <v>701000</v>
      </c>
      <c r="M809" s="97" t="s">
        <v>62</v>
      </c>
      <c r="N809" s="97" t="s">
        <v>33</v>
      </c>
      <c r="O809">
        <v>2963</v>
      </c>
      <c r="P809">
        <v>1.05</v>
      </c>
      <c r="Q809">
        <v>3.11</v>
      </c>
      <c r="R809" s="97" t="s">
        <v>1198</v>
      </c>
      <c r="S809" s="97" t="s">
        <v>195</v>
      </c>
    </row>
    <row r="810" spans="1:19" x14ac:dyDescent="0.3">
      <c r="A810" s="97" t="s">
        <v>1138</v>
      </c>
      <c r="B810" s="97" t="s">
        <v>22</v>
      </c>
      <c r="C810">
        <v>2026</v>
      </c>
      <c r="D810">
        <v>2</v>
      </c>
      <c r="E810" s="2">
        <v>46065</v>
      </c>
      <c r="F810" s="97" t="s">
        <v>7</v>
      </c>
      <c r="G810" s="97" t="s">
        <v>8</v>
      </c>
      <c r="H810" s="97" t="s">
        <v>74</v>
      </c>
      <c r="I810" s="97" t="s">
        <v>71</v>
      </c>
      <c r="J810" s="97" t="s">
        <v>72</v>
      </c>
      <c r="K810" s="97" t="s">
        <v>73</v>
      </c>
      <c r="L810">
        <v>701000</v>
      </c>
      <c r="M810" s="97" t="s">
        <v>62</v>
      </c>
      <c r="N810" s="97" t="s">
        <v>33</v>
      </c>
      <c r="O810">
        <v>1467</v>
      </c>
      <c r="P810">
        <v>1.05</v>
      </c>
      <c r="Q810">
        <v>1.54</v>
      </c>
      <c r="R810" s="97" t="s">
        <v>1202</v>
      </c>
      <c r="S810" s="97" t="s">
        <v>195</v>
      </c>
    </row>
    <row r="811" spans="1:19" x14ac:dyDescent="0.3">
      <c r="A811" s="97" t="s">
        <v>1139</v>
      </c>
      <c r="B811" s="97" t="s">
        <v>22</v>
      </c>
      <c r="C811">
        <v>2026</v>
      </c>
      <c r="D811">
        <v>2</v>
      </c>
      <c r="E811" s="2">
        <v>46065</v>
      </c>
      <c r="F811" s="97" t="s">
        <v>7</v>
      </c>
      <c r="G811" s="97" t="s">
        <v>8</v>
      </c>
      <c r="H811" s="97" t="s">
        <v>74</v>
      </c>
      <c r="I811" s="97" t="s">
        <v>71</v>
      </c>
      <c r="J811" s="97" t="s">
        <v>72</v>
      </c>
      <c r="K811" s="97" t="s">
        <v>73</v>
      </c>
      <c r="L811">
        <v>701000</v>
      </c>
      <c r="M811" s="97" t="s">
        <v>62</v>
      </c>
      <c r="N811" s="97" t="s">
        <v>33</v>
      </c>
      <c r="O811">
        <v>969</v>
      </c>
      <c r="P811">
        <v>1.05</v>
      </c>
      <c r="Q811">
        <v>1.02</v>
      </c>
      <c r="R811" s="97" t="s">
        <v>1205</v>
      </c>
      <c r="S811" s="97" t="s">
        <v>195</v>
      </c>
    </row>
    <row r="812" spans="1:19" x14ac:dyDescent="0.3">
      <c r="A812" s="97" t="s">
        <v>1160</v>
      </c>
      <c r="B812" s="97" t="s">
        <v>22</v>
      </c>
      <c r="C812">
        <v>2026</v>
      </c>
      <c r="D812">
        <v>2</v>
      </c>
      <c r="E812" s="2">
        <v>46065</v>
      </c>
      <c r="F812" s="97" t="s">
        <v>7</v>
      </c>
      <c r="G812" s="97" t="s">
        <v>8</v>
      </c>
      <c r="H812" s="97" t="s">
        <v>74</v>
      </c>
      <c r="I812" s="97" t="s">
        <v>71</v>
      </c>
      <c r="J812" s="97" t="s">
        <v>72</v>
      </c>
      <c r="K812" s="97" t="s">
        <v>73</v>
      </c>
      <c r="L812">
        <v>701000</v>
      </c>
      <c r="M812" s="97" t="s">
        <v>62</v>
      </c>
      <c r="N812" s="97" t="s">
        <v>33</v>
      </c>
      <c r="O812">
        <v>3817</v>
      </c>
      <c r="P812">
        <v>1.05</v>
      </c>
      <c r="Q812">
        <v>4.01</v>
      </c>
      <c r="R812" s="97" t="s">
        <v>1197</v>
      </c>
      <c r="S812" s="97" t="s">
        <v>195</v>
      </c>
    </row>
    <row r="813" spans="1:19" x14ac:dyDescent="0.3">
      <c r="A813" s="97" t="s">
        <v>1161</v>
      </c>
      <c r="B813" s="97" t="s">
        <v>22</v>
      </c>
      <c r="C813">
        <v>2026</v>
      </c>
      <c r="D813">
        <v>2</v>
      </c>
      <c r="E813" s="2">
        <v>46065</v>
      </c>
      <c r="F813" s="97" t="s">
        <v>7</v>
      </c>
      <c r="G813" s="97" t="s">
        <v>8</v>
      </c>
      <c r="H813" s="97" t="s">
        <v>74</v>
      </c>
      <c r="I813" s="97" t="s">
        <v>71</v>
      </c>
      <c r="J813" s="97" t="s">
        <v>72</v>
      </c>
      <c r="K813" s="97" t="s">
        <v>73</v>
      </c>
      <c r="L813">
        <v>701000</v>
      </c>
      <c r="M813" s="97" t="s">
        <v>62</v>
      </c>
      <c r="N813" s="97" t="s">
        <v>33</v>
      </c>
      <c r="O813">
        <v>300</v>
      </c>
      <c r="P813">
        <v>1.03</v>
      </c>
      <c r="Q813">
        <v>0.31</v>
      </c>
      <c r="R813" s="97" t="s">
        <v>1200</v>
      </c>
      <c r="S813" s="97" t="s">
        <v>195</v>
      </c>
    </row>
    <row r="814" spans="1:19" x14ac:dyDescent="0.3">
      <c r="A814" s="97" t="s">
        <v>1162</v>
      </c>
      <c r="B814" s="97" t="s">
        <v>22</v>
      </c>
      <c r="C814">
        <v>2026</v>
      </c>
      <c r="D814">
        <v>2</v>
      </c>
      <c r="E814" s="2">
        <v>46065</v>
      </c>
      <c r="F814" s="97" t="s">
        <v>7</v>
      </c>
      <c r="G814" s="97" t="s">
        <v>8</v>
      </c>
      <c r="H814" s="97" t="s">
        <v>74</v>
      </c>
      <c r="I814" s="97" t="s">
        <v>71</v>
      </c>
      <c r="J814" s="97" t="s">
        <v>72</v>
      </c>
      <c r="K814" s="97" t="s">
        <v>73</v>
      </c>
      <c r="L814">
        <v>701000</v>
      </c>
      <c r="M814" s="97" t="s">
        <v>62</v>
      </c>
      <c r="N814" s="97" t="s">
        <v>33</v>
      </c>
      <c r="O814">
        <v>838</v>
      </c>
      <c r="P814">
        <v>1.05</v>
      </c>
      <c r="Q814">
        <v>0.88</v>
      </c>
      <c r="R814" s="97" t="s">
        <v>1202</v>
      </c>
      <c r="S814" s="97" t="s">
        <v>195</v>
      </c>
    </row>
    <row r="815" spans="1:19" x14ac:dyDescent="0.3">
      <c r="A815" s="97" t="s">
        <v>1163</v>
      </c>
      <c r="B815" s="97" t="s">
        <v>22</v>
      </c>
      <c r="C815">
        <v>2026</v>
      </c>
      <c r="D815">
        <v>2</v>
      </c>
      <c r="E815" s="2">
        <v>46065</v>
      </c>
      <c r="F815" s="97" t="s">
        <v>7</v>
      </c>
      <c r="G815" s="97" t="s">
        <v>8</v>
      </c>
      <c r="H815" s="97" t="s">
        <v>74</v>
      </c>
      <c r="I815" s="97" t="s">
        <v>71</v>
      </c>
      <c r="J815" s="97" t="s">
        <v>72</v>
      </c>
      <c r="K815" s="97" t="s">
        <v>73</v>
      </c>
      <c r="L815">
        <v>701000</v>
      </c>
      <c r="M815" s="97" t="s">
        <v>62</v>
      </c>
      <c r="N815" s="97" t="s">
        <v>33</v>
      </c>
      <c r="O815">
        <v>366</v>
      </c>
      <c r="P815">
        <v>1.04</v>
      </c>
      <c r="Q815">
        <v>0.38</v>
      </c>
      <c r="R815" s="97" t="s">
        <v>1205</v>
      </c>
      <c r="S815" s="97" t="s">
        <v>195</v>
      </c>
    </row>
    <row r="816" spans="1:19" x14ac:dyDescent="0.3">
      <c r="A816" s="97" t="s">
        <v>1164</v>
      </c>
      <c r="B816" s="97" t="s">
        <v>22</v>
      </c>
      <c r="C816">
        <v>2026</v>
      </c>
      <c r="D816">
        <v>2</v>
      </c>
      <c r="E816" s="2">
        <v>46065</v>
      </c>
      <c r="F816" s="97" t="s">
        <v>7</v>
      </c>
      <c r="G816" s="97" t="s">
        <v>8</v>
      </c>
      <c r="H816" s="97" t="s">
        <v>74</v>
      </c>
      <c r="I816" s="97" t="s">
        <v>71</v>
      </c>
      <c r="J816" s="97" t="s">
        <v>72</v>
      </c>
      <c r="K816" s="97" t="s">
        <v>73</v>
      </c>
      <c r="L816">
        <v>701000</v>
      </c>
      <c r="M816" s="97" t="s">
        <v>62</v>
      </c>
      <c r="N816" s="97" t="s">
        <v>33</v>
      </c>
      <c r="O816">
        <v>3649</v>
      </c>
      <c r="P816">
        <v>1.05</v>
      </c>
      <c r="Q816">
        <v>3.84</v>
      </c>
      <c r="R816" s="97" t="s">
        <v>1203</v>
      </c>
      <c r="S816" s="97" t="s">
        <v>195</v>
      </c>
    </row>
    <row r="817" spans="1:19" x14ac:dyDescent="0.3">
      <c r="A817" s="97" t="s">
        <v>1190</v>
      </c>
      <c r="B817" s="97" t="s">
        <v>22</v>
      </c>
      <c r="C817">
        <v>2026</v>
      </c>
      <c r="D817">
        <v>2</v>
      </c>
      <c r="E817" s="2">
        <v>46065</v>
      </c>
      <c r="F817" s="97" t="s">
        <v>7</v>
      </c>
      <c r="G817" s="97" t="s">
        <v>8</v>
      </c>
      <c r="H817" s="97" t="s">
        <v>74</v>
      </c>
      <c r="I817" s="97" t="s">
        <v>75</v>
      </c>
      <c r="J817" s="97" t="s">
        <v>76</v>
      </c>
      <c r="K817" s="97" t="s">
        <v>73</v>
      </c>
      <c r="L817">
        <v>701000</v>
      </c>
      <c r="M817" s="97" t="s">
        <v>62</v>
      </c>
      <c r="N817" s="97" t="s">
        <v>33</v>
      </c>
      <c r="O817">
        <v>4446</v>
      </c>
      <c r="P817">
        <v>1.4</v>
      </c>
      <c r="Q817">
        <v>6.22</v>
      </c>
      <c r="R817" s="97" t="s">
        <v>1204</v>
      </c>
      <c r="S817" s="97" t="s">
        <v>195</v>
      </c>
    </row>
    <row r="818" spans="1:19" x14ac:dyDescent="0.3">
      <c r="A818" s="97" t="s">
        <v>1191</v>
      </c>
      <c r="B818" s="97" t="s">
        <v>22</v>
      </c>
      <c r="C818">
        <v>2026</v>
      </c>
      <c r="D818">
        <v>2</v>
      </c>
      <c r="E818" s="2">
        <v>46065</v>
      </c>
      <c r="F818" s="97" t="s">
        <v>7</v>
      </c>
      <c r="G818" s="97" t="s">
        <v>8</v>
      </c>
      <c r="H818" s="97" t="s">
        <v>74</v>
      </c>
      <c r="I818" s="97" t="s">
        <v>75</v>
      </c>
      <c r="J818" s="97" t="s">
        <v>76</v>
      </c>
      <c r="K818" s="97" t="s">
        <v>73</v>
      </c>
      <c r="L818">
        <v>701000</v>
      </c>
      <c r="M818" s="97" t="s">
        <v>62</v>
      </c>
      <c r="N818" s="97" t="s">
        <v>33</v>
      </c>
      <c r="O818">
        <v>2008</v>
      </c>
      <c r="P818">
        <v>1.4</v>
      </c>
      <c r="Q818">
        <v>2.81</v>
      </c>
      <c r="R818" s="97" t="s">
        <v>1201</v>
      </c>
      <c r="S818" s="97" t="s">
        <v>195</v>
      </c>
    </row>
    <row r="819" spans="1:19" x14ac:dyDescent="0.3">
      <c r="A819" s="97" t="s">
        <v>1192</v>
      </c>
      <c r="B819" s="97" t="s">
        <v>22</v>
      </c>
      <c r="C819">
        <v>2026</v>
      </c>
      <c r="D819">
        <v>2</v>
      </c>
      <c r="E819" s="2">
        <v>46065</v>
      </c>
      <c r="F819" s="97" t="s">
        <v>7</v>
      </c>
      <c r="G819" s="97" t="s">
        <v>8</v>
      </c>
      <c r="H819" s="97" t="s">
        <v>74</v>
      </c>
      <c r="I819" s="97" t="s">
        <v>75</v>
      </c>
      <c r="J819" s="97" t="s">
        <v>76</v>
      </c>
      <c r="K819" s="97" t="s">
        <v>73</v>
      </c>
      <c r="L819">
        <v>701000</v>
      </c>
      <c r="M819" s="97" t="s">
        <v>62</v>
      </c>
      <c r="N819" s="97" t="s">
        <v>33</v>
      </c>
      <c r="O819">
        <v>1764</v>
      </c>
      <c r="P819">
        <v>1.4</v>
      </c>
      <c r="Q819">
        <v>2.4700000000000002</v>
      </c>
      <c r="R819" s="97" t="s">
        <v>1203</v>
      </c>
      <c r="S819" s="97" t="s">
        <v>195</v>
      </c>
    </row>
    <row r="820" spans="1:19" x14ac:dyDescent="0.3">
      <c r="A820" s="97" t="s">
        <v>1193</v>
      </c>
      <c r="B820" s="97" t="s">
        <v>22</v>
      </c>
      <c r="C820">
        <v>2026</v>
      </c>
      <c r="D820">
        <v>2</v>
      </c>
      <c r="E820" s="2">
        <v>46065</v>
      </c>
      <c r="F820" s="97" t="s">
        <v>7</v>
      </c>
      <c r="G820" s="97" t="s">
        <v>8</v>
      </c>
      <c r="H820" s="97" t="s">
        <v>74</v>
      </c>
      <c r="I820" s="97" t="s">
        <v>75</v>
      </c>
      <c r="J820" s="97" t="s">
        <v>76</v>
      </c>
      <c r="K820" s="97" t="s">
        <v>73</v>
      </c>
      <c r="L820">
        <v>701000</v>
      </c>
      <c r="M820" s="97" t="s">
        <v>62</v>
      </c>
      <c r="N820" s="97" t="s">
        <v>33</v>
      </c>
      <c r="O820">
        <v>1705</v>
      </c>
      <c r="P820">
        <v>1.4</v>
      </c>
      <c r="Q820">
        <v>2.39</v>
      </c>
      <c r="R820" s="97" t="s">
        <v>1197</v>
      </c>
      <c r="S820" s="97" t="s">
        <v>195</v>
      </c>
    </row>
    <row r="821" spans="1:19" x14ac:dyDescent="0.3">
      <c r="A821" s="97" t="s">
        <v>1194</v>
      </c>
      <c r="B821" s="97" t="s">
        <v>22</v>
      </c>
      <c r="C821">
        <v>2026</v>
      </c>
      <c r="D821">
        <v>2</v>
      </c>
      <c r="E821" s="2">
        <v>46065</v>
      </c>
      <c r="F821" s="97" t="s">
        <v>7</v>
      </c>
      <c r="G821" s="97" t="s">
        <v>8</v>
      </c>
      <c r="H821" s="97" t="s">
        <v>74</v>
      </c>
      <c r="I821" s="97" t="s">
        <v>75</v>
      </c>
      <c r="J821" s="97" t="s">
        <v>76</v>
      </c>
      <c r="K821" s="97" t="s">
        <v>73</v>
      </c>
      <c r="L821">
        <v>701000</v>
      </c>
      <c r="M821" s="97" t="s">
        <v>62</v>
      </c>
      <c r="N821" s="97" t="s">
        <v>33</v>
      </c>
      <c r="O821">
        <v>2014</v>
      </c>
      <c r="P821">
        <v>1.4</v>
      </c>
      <c r="Q821">
        <v>2.82</v>
      </c>
      <c r="R821" s="97" t="s">
        <v>1199</v>
      </c>
      <c r="S821" s="97" t="s">
        <v>195</v>
      </c>
    </row>
    <row r="822" spans="1:19" x14ac:dyDescent="0.3">
      <c r="A822" s="97" t="s">
        <v>920</v>
      </c>
      <c r="B822" s="97" t="s">
        <v>22</v>
      </c>
      <c r="C822">
        <v>2026</v>
      </c>
      <c r="D822">
        <v>2</v>
      </c>
      <c r="E822" s="2">
        <v>46066</v>
      </c>
      <c r="F822" s="97" t="s">
        <v>7</v>
      </c>
      <c r="G822" s="97" t="s">
        <v>8</v>
      </c>
      <c r="H822" s="97" t="s">
        <v>70</v>
      </c>
      <c r="I822" s="97" t="s">
        <v>84</v>
      </c>
      <c r="J822" s="97" t="s">
        <v>85</v>
      </c>
      <c r="K822" s="97" t="s">
        <v>73</v>
      </c>
      <c r="L822">
        <v>701000</v>
      </c>
      <c r="M822" s="97" t="s">
        <v>62</v>
      </c>
      <c r="N822" s="97" t="s">
        <v>33</v>
      </c>
      <c r="O822">
        <v>2545</v>
      </c>
      <c r="P822">
        <v>0.95</v>
      </c>
      <c r="Q822">
        <v>2.42</v>
      </c>
      <c r="R822" s="97" t="s">
        <v>1198</v>
      </c>
      <c r="S822" s="97" t="s">
        <v>195</v>
      </c>
    </row>
    <row r="823" spans="1:19" x14ac:dyDescent="0.3">
      <c r="A823" s="97" t="s">
        <v>921</v>
      </c>
      <c r="B823" s="97" t="s">
        <v>22</v>
      </c>
      <c r="C823">
        <v>2026</v>
      </c>
      <c r="D823">
        <v>2</v>
      </c>
      <c r="E823" s="2">
        <v>46066</v>
      </c>
      <c r="F823" s="97" t="s">
        <v>7</v>
      </c>
      <c r="G823" s="97" t="s">
        <v>8</v>
      </c>
      <c r="H823" s="97" t="s">
        <v>70</v>
      </c>
      <c r="I823" s="97" t="s">
        <v>84</v>
      </c>
      <c r="J823" s="97" t="s">
        <v>85</v>
      </c>
      <c r="K823" s="97" t="s">
        <v>73</v>
      </c>
      <c r="L823">
        <v>701000</v>
      </c>
      <c r="M823" s="97" t="s">
        <v>62</v>
      </c>
      <c r="N823" s="97" t="s">
        <v>33</v>
      </c>
      <c r="O823">
        <v>5264</v>
      </c>
      <c r="P823">
        <v>0.95</v>
      </c>
      <c r="Q823">
        <v>5</v>
      </c>
      <c r="R823" s="97" t="s">
        <v>1201</v>
      </c>
      <c r="S823" s="97" t="s">
        <v>195</v>
      </c>
    </row>
    <row r="824" spans="1:19" x14ac:dyDescent="0.3">
      <c r="A824" s="97" t="s">
        <v>922</v>
      </c>
      <c r="B824" s="97" t="s">
        <v>22</v>
      </c>
      <c r="C824">
        <v>2026</v>
      </c>
      <c r="D824">
        <v>2</v>
      </c>
      <c r="E824" s="2">
        <v>46066</v>
      </c>
      <c r="F824" s="97" t="s">
        <v>7</v>
      </c>
      <c r="G824" s="97" t="s">
        <v>8</v>
      </c>
      <c r="H824" s="97" t="s">
        <v>70</v>
      </c>
      <c r="I824" s="97" t="s">
        <v>84</v>
      </c>
      <c r="J824" s="97" t="s">
        <v>85</v>
      </c>
      <c r="K824" s="97" t="s">
        <v>73</v>
      </c>
      <c r="L824">
        <v>701000</v>
      </c>
      <c r="M824" s="97" t="s">
        <v>62</v>
      </c>
      <c r="N824" s="97" t="s">
        <v>33</v>
      </c>
      <c r="O824">
        <v>3341</v>
      </c>
      <c r="P824">
        <v>0.95</v>
      </c>
      <c r="Q824">
        <v>3.17</v>
      </c>
      <c r="R824" s="97" t="s">
        <v>1203</v>
      </c>
      <c r="S824" s="97" t="s">
        <v>195</v>
      </c>
    </row>
    <row r="825" spans="1:19" x14ac:dyDescent="0.3">
      <c r="A825" s="97" t="s">
        <v>923</v>
      </c>
      <c r="B825" s="97" t="s">
        <v>22</v>
      </c>
      <c r="C825">
        <v>2026</v>
      </c>
      <c r="D825">
        <v>2</v>
      </c>
      <c r="E825" s="2">
        <v>46066</v>
      </c>
      <c r="F825" s="97" t="s">
        <v>7</v>
      </c>
      <c r="G825" s="97" t="s">
        <v>8</v>
      </c>
      <c r="H825" s="97" t="s">
        <v>70</v>
      </c>
      <c r="I825" s="97" t="s">
        <v>84</v>
      </c>
      <c r="J825" s="97" t="s">
        <v>85</v>
      </c>
      <c r="K825" s="97" t="s">
        <v>73</v>
      </c>
      <c r="L825">
        <v>701000</v>
      </c>
      <c r="M825" s="97" t="s">
        <v>62</v>
      </c>
      <c r="N825" s="97" t="s">
        <v>33</v>
      </c>
      <c r="O825">
        <v>3118</v>
      </c>
      <c r="P825">
        <v>0.95</v>
      </c>
      <c r="Q825">
        <v>2.96</v>
      </c>
      <c r="R825" s="97" t="s">
        <v>1202</v>
      </c>
      <c r="S825" s="97" t="s">
        <v>195</v>
      </c>
    </row>
    <row r="826" spans="1:19" x14ac:dyDescent="0.3">
      <c r="A826" s="97" t="s">
        <v>924</v>
      </c>
      <c r="B826" s="97" t="s">
        <v>22</v>
      </c>
      <c r="C826">
        <v>2026</v>
      </c>
      <c r="D826">
        <v>2</v>
      </c>
      <c r="E826" s="2">
        <v>46066</v>
      </c>
      <c r="F826" s="97" t="s">
        <v>7</v>
      </c>
      <c r="G826" s="97" t="s">
        <v>8</v>
      </c>
      <c r="H826" s="97" t="s">
        <v>70</v>
      </c>
      <c r="I826" s="97" t="s">
        <v>84</v>
      </c>
      <c r="J826" s="97" t="s">
        <v>85</v>
      </c>
      <c r="K826" s="97" t="s">
        <v>73</v>
      </c>
      <c r="L826">
        <v>701000</v>
      </c>
      <c r="M826" s="97" t="s">
        <v>62</v>
      </c>
      <c r="N826" s="97" t="s">
        <v>33</v>
      </c>
      <c r="O826">
        <v>2413</v>
      </c>
      <c r="P826">
        <v>0.95</v>
      </c>
      <c r="Q826">
        <v>2.2999999999999998</v>
      </c>
      <c r="R826" s="97" t="s">
        <v>1205</v>
      </c>
      <c r="S826" s="97" t="s">
        <v>195</v>
      </c>
    </row>
    <row r="827" spans="1:19" x14ac:dyDescent="0.3">
      <c r="A827" s="97" t="s">
        <v>960</v>
      </c>
      <c r="B827" s="97" t="s">
        <v>22</v>
      </c>
      <c r="C827">
        <v>2026</v>
      </c>
      <c r="D827">
        <v>2</v>
      </c>
      <c r="E827" s="2">
        <v>46066</v>
      </c>
      <c r="F827" s="97" t="s">
        <v>7</v>
      </c>
      <c r="G827" s="97" t="s">
        <v>8</v>
      </c>
      <c r="H827" s="97" t="s">
        <v>70</v>
      </c>
      <c r="I827" s="97" t="s">
        <v>84</v>
      </c>
      <c r="J827" s="97" t="s">
        <v>85</v>
      </c>
      <c r="K827" s="97" t="s">
        <v>73</v>
      </c>
      <c r="L827">
        <v>701000</v>
      </c>
      <c r="M827" s="97" t="s">
        <v>62</v>
      </c>
      <c r="N827" s="97" t="s">
        <v>33</v>
      </c>
      <c r="O827">
        <v>3938</v>
      </c>
      <c r="P827">
        <v>0.95</v>
      </c>
      <c r="Q827">
        <v>3.74</v>
      </c>
      <c r="R827" s="97" t="s">
        <v>1201</v>
      </c>
      <c r="S827" s="97" t="s">
        <v>195</v>
      </c>
    </row>
    <row r="828" spans="1:19" x14ac:dyDescent="0.3">
      <c r="A828" s="97" t="s">
        <v>961</v>
      </c>
      <c r="B828" s="97" t="s">
        <v>22</v>
      </c>
      <c r="C828">
        <v>2026</v>
      </c>
      <c r="D828">
        <v>2</v>
      </c>
      <c r="E828" s="2">
        <v>46066</v>
      </c>
      <c r="F828" s="97" t="s">
        <v>7</v>
      </c>
      <c r="G828" s="97" t="s">
        <v>8</v>
      </c>
      <c r="H828" s="97" t="s">
        <v>70</v>
      </c>
      <c r="I828" s="97" t="s">
        <v>84</v>
      </c>
      <c r="J828" s="97" t="s">
        <v>85</v>
      </c>
      <c r="K828" s="97" t="s">
        <v>73</v>
      </c>
      <c r="L828">
        <v>701000</v>
      </c>
      <c r="M828" s="97" t="s">
        <v>62</v>
      </c>
      <c r="N828" s="97" t="s">
        <v>33</v>
      </c>
      <c r="O828">
        <v>2261</v>
      </c>
      <c r="P828">
        <v>0.95</v>
      </c>
      <c r="Q828">
        <v>2.15</v>
      </c>
      <c r="R828" s="97" t="s">
        <v>1197</v>
      </c>
      <c r="S828" s="97" t="s">
        <v>195</v>
      </c>
    </row>
    <row r="829" spans="1:19" x14ac:dyDescent="0.3">
      <c r="A829" s="97" t="s">
        <v>962</v>
      </c>
      <c r="B829" s="97" t="s">
        <v>22</v>
      </c>
      <c r="C829">
        <v>2026</v>
      </c>
      <c r="D829">
        <v>2</v>
      </c>
      <c r="E829" s="2">
        <v>46066</v>
      </c>
      <c r="F829" s="97" t="s">
        <v>7</v>
      </c>
      <c r="G829" s="97" t="s">
        <v>8</v>
      </c>
      <c r="H829" s="97" t="s">
        <v>70</v>
      </c>
      <c r="I829" s="97" t="s">
        <v>84</v>
      </c>
      <c r="J829" s="97" t="s">
        <v>85</v>
      </c>
      <c r="K829" s="97" t="s">
        <v>73</v>
      </c>
      <c r="L829">
        <v>701000</v>
      </c>
      <c r="M829" s="97" t="s">
        <v>62</v>
      </c>
      <c r="N829" s="97" t="s">
        <v>33</v>
      </c>
      <c r="O829">
        <v>6121</v>
      </c>
      <c r="P829">
        <v>0.95</v>
      </c>
      <c r="Q829">
        <v>5.81</v>
      </c>
      <c r="R829" s="97" t="s">
        <v>1204</v>
      </c>
      <c r="S829" s="97" t="s">
        <v>195</v>
      </c>
    </row>
    <row r="830" spans="1:19" x14ac:dyDescent="0.3">
      <c r="A830" s="97" t="s">
        <v>963</v>
      </c>
      <c r="B830" s="97" t="s">
        <v>22</v>
      </c>
      <c r="C830">
        <v>2026</v>
      </c>
      <c r="D830">
        <v>2</v>
      </c>
      <c r="E830" s="2">
        <v>46066</v>
      </c>
      <c r="F830" s="97" t="s">
        <v>7</v>
      </c>
      <c r="G830" s="97" t="s">
        <v>8</v>
      </c>
      <c r="H830" s="97" t="s">
        <v>70</v>
      </c>
      <c r="I830" s="97" t="s">
        <v>84</v>
      </c>
      <c r="J830" s="97" t="s">
        <v>85</v>
      </c>
      <c r="K830" s="97" t="s">
        <v>73</v>
      </c>
      <c r="L830">
        <v>701000</v>
      </c>
      <c r="M830" s="97" t="s">
        <v>62</v>
      </c>
      <c r="N830" s="97" t="s">
        <v>33</v>
      </c>
      <c r="O830">
        <v>3085</v>
      </c>
      <c r="P830">
        <v>0.95</v>
      </c>
      <c r="Q830">
        <v>2.93</v>
      </c>
      <c r="R830" s="97" t="s">
        <v>1202</v>
      </c>
      <c r="S830" s="97" t="s">
        <v>195</v>
      </c>
    </row>
    <row r="831" spans="1:19" x14ac:dyDescent="0.3">
      <c r="A831" s="97" t="s">
        <v>964</v>
      </c>
      <c r="B831" s="97" t="s">
        <v>22</v>
      </c>
      <c r="C831">
        <v>2026</v>
      </c>
      <c r="D831">
        <v>2</v>
      </c>
      <c r="E831" s="2">
        <v>46066</v>
      </c>
      <c r="F831" s="97" t="s">
        <v>7</v>
      </c>
      <c r="G831" s="97" t="s">
        <v>8</v>
      </c>
      <c r="H831" s="97" t="s">
        <v>70</v>
      </c>
      <c r="I831" s="97" t="s">
        <v>84</v>
      </c>
      <c r="J831" s="97" t="s">
        <v>85</v>
      </c>
      <c r="K831" s="97" t="s">
        <v>73</v>
      </c>
      <c r="L831">
        <v>701000</v>
      </c>
      <c r="M831" s="97" t="s">
        <v>62</v>
      </c>
      <c r="N831" s="97" t="s">
        <v>33</v>
      </c>
      <c r="O831">
        <v>2458</v>
      </c>
      <c r="P831">
        <v>0.95</v>
      </c>
      <c r="Q831">
        <v>2.34</v>
      </c>
      <c r="R831" s="97" t="s">
        <v>1199</v>
      </c>
      <c r="S831" s="97" t="s">
        <v>195</v>
      </c>
    </row>
    <row r="832" spans="1:19" x14ac:dyDescent="0.3">
      <c r="A832" s="97" t="s">
        <v>995</v>
      </c>
      <c r="B832" s="97" t="s">
        <v>22</v>
      </c>
      <c r="C832">
        <v>2026</v>
      </c>
      <c r="D832">
        <v>2</v>
      </c>
      <c r="E832" s="2">
        <v>46066</v>
      </c>
      <c r="F832" s="97" t="s">
        <v>7</v>
      </c>
      <c r="G832" s="97" t="s">
        <v>8</v>
      </c>
      <c r="H832" s="97" t="s">
        <v>74</v>
      </c>
      <c r="I832" s="97" t="s">
        <v>84</v>
      </c>
      <c r="J832" s="97" t="s">
        <v>85</v>
      </c>
      <c r="K832" s="97" t="s">
        <v>73</v>
      </c>
      <c r="L832">
        <v>701000</v>
      </c>
      <c r="M832" s="97" t="s">
        <v>62</v>
      </c>
      <c r="N832" s="97" t="s">
        <v>33</v>
      </c>
      <c r="O832">
        <v>5527</v>
      </c>
      <c r="P832">
        <v>0.95</v>
      </c>
      <c r="Q832">
        <v>5.25</v>
      </c>
      <c r="R832" s="97" t="s">
        <v>1202</v>
      </c>
      <c r="S832" s="97" t="s">
        <v>195</v>
      </c>
    </row>
    <row r="833" spans="1:19" x14ac:dyDescent="0.3">
      <c r="A833" s="97" t="s">
        <v>996</v>
      </c>
      <c r="B833" s="97" t="s">
        <v>22</v>
      </c>
      <c r="C833">
        <v>2026</v>
      </c>
      <c r="D833">
        <v>2</v>
      </c>
      <c r="E833" s="2">
        <v>46066</v>
      </c>
      <c r="F833" s="97" t="s">
        <v>7</v>
      </c>
      <c r="G833" s="97" t="s">
        <v>8</v>
      </c>
      <c r="H833" s="97" t="s">
        <v>74</v>
      </c>
      <c r="I833" s="97" t="s">
        <v>84</v>
      </c>
      <c r="J833" s="97" t="s">
        <v>85</v>
      </c>
      <c r="K833" s="97" t="s">
        <v>73</v>
      </c>
      <c r="L833">
        <v>701000</v>
      </c>
      <c r="M833" s="97" t="s">
        <v>62</v>
      </c>
      <c r="N833" s="97" t="s">
        <v>33</v>
      </c>
      <c r="O833">
        <v>7149</v>
      </c>
      <c r="P833">
        <v>0.95</v>
      </c>
      <c r="Q833">
        <v>6.79</v>
      </c>
      <c r="R833" s="97" t="s">
        <v>1198</v>
      </c>
      <c r="S833" s="97" t="s">
        <v>195</v>
      </c>
    </row>
    <row r="834" spans="1:19" x14ac:dyDescent="0.3">
      <c r="A834" s="97" t="s">
        <v>997</v>
      </c>
      <c r="B834" s="97" t="s">
        <v>22</v>
      </c>
      <c r="C834">
        <v>2026</v>
      </c>
      <c r="D834">
        <v>2</v>
      </c>
      <c r="E834" s="2">
        <v>46066</v>
      </c>
      <c r="F834" s="97" t="s">
        <v>7</v>
      </c>
      <c r="G834" s="97" t="s">
        <v>8</v>
      </c>
      <c r="H834" s="97" t="s">
        <v>74</v>
      </c>
      <c r="I834" s="97" t="s">
        <v>84</v>
      </c>
      <c r="J834" s="97" t="s">
        <v>85</v>
      </c>
      <c r="K834" s="97" t="s">
        <v>73</v>
      </c>
      <c r="L834">
        <v>701000</v>
      </c>
      <c r="M834" s="97" t="s">
        <v>62</v>
      </c>
      <c r="N834" s="97" t="s">
        <v>33</v>
      </c>
      <c r="O834">
        <v>1633</v>
      </c>
      <c r="P834">
        <v>0.95</v>
      </c>
      <c r="Q834">
        <v>1.55</v>
      </c>
      <c r="R834" s="97" t="s">
        <v>1201</v>
      </c>
      <c r="S834" s="97" t="s">
        <v>195</v>
      </c>
    </row>
    <row r="835" spans="1:19" x14ac:dyDescent="0.3">
      <c r="A835" s="97" t="s">
        <v>998</v>
      </c>
      <c r="B835" s="97" t="s">
        <v>22</v>
      </c>
      <c r="C835">
        <v>2026</v>
      </c>
      <c r="D835">
        <v>2</v>
      </c>
      <c r="E835" s="2">
        <v>46066</v>
      </c>
      <c r="F835" s="97" t="s">
        <v>7</v>
      </c>
      <c r="G835" s="97" t="s">
        <v>8</v>
      </c>
      <c r="H835" s="97" t="s">
        <v>74</v>
      </c>
      <c r="I835" s="97" t="s">
        <v>84</v>
      </c>
      <c r="J835" s="97" t="s">
        <v>85</v>
      </c>
      <c r="K835" s="97" t="s">
        <v>73</v>
      </c>
      <c r="L835">
        <v>701000</v>
      </c>
      <c r="M835" s="97" t="s">
        <v>62</v>
      </c>
      <c r="N835" s="97" t="s">
        <v>33</v>
      </c>
      <c r="O835">
        <v>4058</v>
      </c>
      <c r="P835">
        <v>0.95</v>
      </c>
      <c r="Q835">
        <v>3.86</v>
      </c>
      <c r="R835" s="97" t="s">
        <v>1205</v>
      </c>
      <c r="S835" s="97" t="s">
        <v>195</v>
      </c>
    </row>
    <row r="836" spans="1:19" x14ac:dyDescent="0.3">
      <c r="A836" s="97" t="s">
        <v>999</v>
      </c>
      <c r="B836" s="97" t="s">
        <v>22</v>
      </c>
      <c r="C836">
        <v>2026</v>
      </c>
      <c r="D836">
        <v>2</v>
      </c>
      <c r="E836" s="2">
        <v>46066</v>
      </c>
      <c r="F836" s="97" t="s">
        <v>7</v>
      </c>
      <c r="G836" s="97" t="s">
        <v>8</v>
      </c>
      <c r="H836" s="97" t="s">
        <v>74</v>
      </c>
      <c r="I836" s="97" t="s">
        <v>84</v>
      </c>
      <c r="J836" s="97" t="s">
        <v>85</v>
      </c>
      <c r="K836" s="97" t="s">
        <v>73</v>
      </c>
      <c r="L836">
        <v>701000</v>
      </c>
      <c r="M836" s="97" t="s">
        <v>62</v>
      </c>
      <c r="N836" s="97" t="s">
        <v>33</v>
      </c>
      <c r="O836">
        <v>812</v>
      </c>
      <c r="P836">
        <v>0.95</v>
      </c>
      <c r="Q836">
        <v>0.77</v>
      </c>
      <c r="R836" s="97" t="s">
        <v>1197</v>
      </c>
      <c r="S836" s="97" t="s">
        <v>195</v>
      </c>
    </row>
    <row r="837" spans="1:19" x14ac:dyDescent="0.3">
      <c r="A837" s="97" t="s">
        <v>955</v>
      </c>
      <c r="B837" s="97" t="s">
        <v>22</v>
      </c>
      <c r="C837">
        <v>2026</v>
      </c>
      <c r="D837">
        <v>2</v>
      </c>
      <c r="E837" s="2">
        <v>46067</v>
      </c>
      <c r="F837" s="97" t="s">
        <v>7</v>
      </c>
      <c r="G837" s="97" t="s">
        <v>8</v>
      </c>
      <c r="H837" s="97" t="s">
        <v>74</v>
      </c>
      <c r="I837" s="97" t="s">
        <v>84</v>
      </c>
      <c r="J837" s="97" t="s">
        <v>85</v>
      </c>
      <c r="K837" s="97" t="s">
        <v>73</v>
      </c>
      <c r="L837">
        <v>701000</v>
      </c>
      <c r="M837" s="97" t="s">
        <v>62</v>
      </c>
      <c r="N837" s="97" t="s">
        <v>33</v>
      </c>
      <c r="O837">
        <v>5798</v>
      </c>
      <c r="P837">
        <v>0.95</v>
      </c>
      <c r="Q837">
        <v>5.51</v>
      </c>
      <c r="R837" s="97" t="s">
        <v>1200</v>
      </c>
      <c r="S837" s="97" t="s">
        <v>195</v>
      </c>
    </row>
    <row r="838" spans="1:19" x14ac:dyDescent="0.3">
      <c r="A838" s="97" t="s">
        <v>956</v>
      </c>
      <c r="B838" s="97" t="s">
        <v>22</v>
      </c>
      <c r="C838">
        <v>2026</v>
      </c>
      <c r="D838">
        <v>2</v>
      </c>
      <c r="E838" s="2">
        <v>46067</v>
      </c>
      <c r="F838" s="97" t="s">
        <v>7</v>
      </c>
      <c r="G838" s="97" t="s">
        <v>8</v>
      </c>
      <c r="H838" s="97" t="s">
        <v>74</v>
      </c>
      <c r="I838" s="97" t="s">
        <v>84</v>
      </c>
      <c r="J838" s="97" t="s">
        <v>85</v>
      </c>
      <c r="K838" s="97" t="s">
        <v>73</v>
      </c>
      <c r="L838">
        <v>701000</v>
      </c>
      <c r="M838" s="97" t="s">
        <v>62</v>
      </c>
      <c r="N838" s="97" t="s">
        <v>33</v>
      </c>
      <c r="O838">
        <v>3008</v>
      </c>
      <c r="P838">
        <v>0.95</v>
      </c>
      <c r="Q838">
        <v>2.86</v>
      </c>
      <c r="R838" s="97" t="s">
        <v>1201</v>
      </c>
      <c r="S838" s="97" t="s">
        <v>195</v>
      </c>
    </row>
    <row r="839" spans="1:19" x14ac:dyDescent="0.3">
      <c r="A839" s="97" t="s">
        <v>957</v>
      </c>
      <c r="B839" s="97" t="s">
        <v>22</v>
      </c>
      <c r="C839">
        <v>2026</v>
      </c>
      <c r="D839">
        <v>2</v>
      </c>
      <c r="E839" s="2">
        <v>46067</v>
      </c>
      <c r="F839" s="97" t="s">
        <v>7</v>
      </c>
      <c r="G839" s="97" t="s">
        <v>8</v>
      </c>
      <c r="H839" s="97" t="s">
        <v>74</v>
      </c>
      <c r="I839" s="97" t="s">
        <v>84</v>
      </c>
      <c r="J839" s="97" t="s">
        <v>85</v>
      </c>
      <c r="K839" s="97" t="s">
        <v>73</v>
      </c>
      <c r="L839">
        <v>701000</v>
      </c>
      <c r="M839" s="97" t="s">
        <v>62</v>
      </c>
      <c r="N839" s="97" t="s">
        <v>33</v>
      </c>
      <c r="O839">
        <v>2434</v>
      </c>
      <c r="P839">
        <v>0.95</v>
      </c>
      <c r="Q839">
        <v>2.31</v>
      </c>
      <c r="R839" s="97" t="s">
        <v>1202</v>
      </c>
      <c r="S839" s="97" t="s">
        <v>195</v>
      </c>
    </row>
    <row r="840" spans="1:19" x14ac:dyDescent="0.3">
      <c r="A840" s="97" t="s">
        <v>958</v>
      </c>
      <c r="B840" s="97" t="s">
        <v>22</v>
      </c>
      <c r="C840">
        <v>2026</v>
      </c>
      <c r="D840">
        <v>2</v>
      </c>
      <c r="E840" s="2">
        <v>46067</v>
      </c>
      <c r="F840" s="97" t="s">
        <v>7</v>
      </c>
      <c r="G840" s="97" t="s">
        <v>8</v>
      </c>
      <c r="H840" s="97" t="s">
        <v>74</v>
      </c>
      <c r="I840" s="97" t="s">
        <v>84</v>
      </c>
      <c r="J840" s="97" t="s">
        <v>85</v>
      </c>
      <c r="K840" s="97" t="s">
        <v>73</v>
      </c>
      <c r="L840">
        <v>701000</v>
      </c>
      <c r="M840" s="97" t="s">
        <v>62</v>
      </c>
      <c r="N840" s="97" t="s">
        <v>33</v>
      </c>
      <c r="O840">
        <v>9030</v>
      </c>
      <c r="P840">
        <v>0.95</v>
      </c>
      <c r="Q840">
        <v>8.58</v>
      </c>
      <c r="R840" s="97" t="s">
        <v>1197</v>
      </c>
      <c r="S840" s="97" t="s">
        <v>195</v>
      </c>
    </row>
    <row r="841" spans="1:19" x14ac:dyDescent="0.3">
      <c r="A841" s="97" t="s">
        <v>959</v>
      </c>
      <c r="B841" s="97" t="s">
        <v>22</v>
      </c>
      <c r="C841">
        <v>2026</v>
      </c>
      <c r="D841">
        <v>2</v>
      </c>
      <c r="E841" s="2">
        <v>46067</v>
      </c>
      <c r="F841" s="97" t="s">
        <v>7</v>
      </c>
      <c r="G841" s="97" t="s">
        <v>8</v>
      </c>
      <c r="H841" s="97" t="s">
        <v>74</v>
      </c>
      <c r="I841" s="97" t="s">
        <v>84</v>
      </c>
      <c r="J841" s="97" t="s">
        <v>85</v>
      </c>
      <c r="K841" s="97" t="s">
        <v>73</v>
      </c>
      <c r="L841">
        <v>701000</v>
      </c>
      <c r="M841" s="97" t="s">
        <v>62</v>
      </c>
      <c r="N841" s="97" t="s">
        <v>33</v>
      </c>
      <c r="O841">
        <v>2415</v>
      </c>
      <c r="P841">
        <v>0.95</v>
      </c>
      <c r="Q841">
        <v>2.29</v>
      </c>
      <c r="R841" s="97" t="s">
        <v>1204</v>
      </c>
      <c r="S841" s="97" t="s">
        <v>195</v>
      </c>
    </row>
    <row r="842" spans="1:19" x14ac:dyDescent="0.3">
      <c r="A842" s="97" t="s">
        <v>1105</v>
      </c>
      <c r="B842" s="97" t="s">
        <v>22</v>
      </c>
      <c r="C842">
        <v>2026</v>
      </c>
      <c r="D842">
        <v>2</v>
      </c>
      <c r="E842" s="2">
        <v>46068</v>
      </c>
      <c r="F842" s="97" t="s">
        <v>7</v>
      </c>
      <c r="G842" s="97" t="s">
        <v>8</v>
      </c>
      <c r="H842" s="97" t="s">
        <v>74</v>
      </c>
      <c r="I842" s="97" t="s">
        <v>71</v>
      </c>
      <c r="J842" s="97" t="s">
        <v>72</v>
      </c>
      <c r="K842" s="97" t="s">
        <v>73</v>
      </c>
      <c r="L842">
        <v>701000</v>
      </c>
      <c r="M842" s="97" t="s">
        <v>62</v>
      </c>
      <c r="N842" s="97" t="s">
        <v>33</v>
      </c>
      <c r="O842">
        <v>1037</v>
      </c>
      <c r="P842">
        <v>1.05</v>
      </c>
      <c r="Q842">
        <v>1.0900000000000001</v>
      </c>
      <c r="R842" s="97" t="s">
        <v>1197</v>
      </c>
      <c r="S842" s="97" t="s">
        <v>195</v>
      </c>
    </row>
    <row r="843" spans="1:19" x14ac:dyDescent="0.3">
      <c r="A843" s="97" t="s">
        <v>1106</v>
      </c>
      <c r="B843" s="97" t="s">
        <v>22</v>
      </c>
      <c r="C843">
        <v>2026</v>
      </c>
      <c r="D843">
        <v>2</v>
      </c>
      <c r="E843" s="2">
        <v>46068</v>
      </c>
      <c r="F843" s="97" t="s">
        <v>7</v>
      </c>
      <c r="G843" s="97" t="s">
        <v>8</v>
      </c>
      <c r="H843" s="97" t="s">
        <v>74</v>
      </c>
      <c r="I843" s="97" t="s">
        <v>71</v>
      </c>
      <c r="J843" s="97" t="s">
        <v>72</v>
      </c>
      <c r="K843" s="97" t="s">
        <v>73</v>
      </c>
      <c r="L843">
        <v>701000</v>
      </c>
      <c r="M843" s="97" t="s">
        <v>62</v>
      </c>
      <c r="N843" s="97" t="s">
        <v>33</v>
      </c>
      <c r="O843">
        <v>2759</v>
      </c>
      <c r="P843">
        <v>1.05</v>
      </c>
      <c r="Q843">
        <v>2.9</v>
      </c>
      <c r="R843" s="97" t="s">
        <v>1204</v>
      </c>
      <c r="S843" s="97" t="s">
        <v>195</v>
      </c>
    </row>
    <row r="844" spans="1:19" x14ac:dyDescent="0.3">
      <c r="A844" s="97" t="s">
        <v>1107</v>
      </c>
      <c r="B844" s="97" t="s">
        <v>22</v>
      </c>
      <c r="C844">
        <v>2026</v>
      </c>
      <c r="D844">
        <v>2</v>
      </c>
      <c r="E844" s="2">
        <v>46068</v>
      </c>
      <c r="F844" s="97" t="s">
        <v>7</v>
      </c>
      <c r="G844" s="97" t="s">
        <v>8</v>
      </c>
      <c r="H844" s="97" t="s">
        <v>74</v>
      </c>
      <c r="I844" s="97" t="s">
        <v>71</v>
      </c>
      <c r="J844" s="97" t="s">
        <v>72</v>
      </c>
      <c r="K844" s="97" t="s">
        <v>73</v>
      </c>
      <c r="L844">
        <v>701000</v>
      </c>
      <c r="M844" s="97" t="s">
        <v>62</v>
      </c>
      <c r="N844" s="97" t="s">
        <v>33</v>
      </c>
      <c r="O844">
        <v>2271</v>
      </c>
      <c r="P844">
        <v>1.05</v>
      </c>
      <c r="Q844">
        <v>2.38</v>
      </c>
      <c r="R844" s="97" t="s">
        <v>1199</v>
      </c>
      <c r="S844" s="97" t="s">
        <v>195</v>
      </c>
    </row>
    <row r="845" spans="1:19" x14ac:dyDescent="0.3">
      <c r="A845" s="97" t="s">
        <v>1108</v>
      </c>
      <c r="B845" s="97" t="s">
        <v>22</v>
      </c>
      <c r="C845">
        <v>2026</v>
      </c>
      <c r="D845">
        <v>2</v>
      </c>
      <c r="E845" s="2">
        <v>46068</v>
      </c>
      <c r="F845" s="97" t="s">
        <v>7</v>
      </c>
      <c r="G845" s="97" t="s">
        <v>8</v>
      </c>
      <c r="H845" s="97" t="s">
        <v>74</v>
      </c>
      <c r="I845" s="97" t="s">
        <v>71</v>
      </c>
      <c r="J845" s="97" t="s">
        <v>72</v>
      </c>
      <c r="K845" s="97" t="s">
        <v>73</v>
      </c>
      <c r="L845">
        <v>701000</v>
      </c>
      <c r="M845" s="97" t="s">
        <v>62</v>
      </c>
      <c r="N845" s="97" t="s">
        <v>33</v>
      </c>
      <c r="O845">
        <v>470</v>
      </c>
      <c r="P845">
        <v>1.04</v>
      </c>
      <c r="Q845">
        <v>0.49</v>
      </c>
      <c r="R845" s="97" t="s">
        <v>1205</v>
      </c>
      <c r="S845" s="97" t="s">
        <v>195</v>
      </c>
    </row>
    <row r="846" spans="1:19" x14ac:dyDescent="0.3">
      <c r="A846" s="97" t="s">
        <v>1109</v>
      </c>
      <c r="B846" s="97" t="s">
        <v>22</v>
      </c>
      <c r="C846">
        <v>2026</v>
      </c>
      <c r="D846">
        <v>2</v>
      </c>
      <c r="E846" s="2">
        <v>46068</v>
      </c>
      <c r="F846" s="97" t="s">
        <v>7</v>
      </c>
      <c r="G846" s="97" t="s">
        <v>8</v>
      </c>
      <c r="H846" s="97" t="s">
        <v>74</v>
      </c>
      <c r="I846" s="97" t="s">
        <v>71</v>
      </c>
      <c r="J846" s="97" t="s">
        <v>72</v>
      </c>
      <c r="K846" s="97" t="s">
        <v>73</v>
      </c>
      <c r="L846">
        <v>701000</v>
      </c>
      <c r="M846" s="97" t="s">
        <v>62</v>
      </c>
      <c r="N846" s="97" t="s">
        <v>33</v>
      </c>
      <c r="O846">
        <v>2653</v>
      </c>
      <c r="P846">
        <v>1.05</v>
      </c>
      <c r="Q846">
        <v>2.79</v>
      </c>
      <c r="R846" s="97" t="s">
        <v>1198</v>
      </c>
      <c r="S846" s="97" t="s">
        <v>195</v>
      </c>
    </row>
    <row r="847" spans="1:19" x14ac:dyDescent="0.3">
      <c r="A847" s="97" t="s">
        <v>895</v>
      </c>
      <c r="B847" s="97" t="s">
        <v>22</v>
      </c>
      <c r="C847">
        <v>2026</v>
      </c>
      <c r="D847">
        <v>2</v>
      </c>
      <c r="E847" s="2">
        <v>46069</v>
      </c>
      <c r="F847" s="97" t="s">
        <v>7</v>
      </c>
      <c r="G847" s="97" t="s">
        <v>8</v>
      </c>
      <c r="H847" s="97" t="s">
        <v>70</v>
      </c>
      <c r="I847" s="97" t="s">
        <v>84</v>
      </c>
      <c r="J847" s="97" t="s">
        <v>85</v>
      </c>
      <c r="K847" s="97" t="s">
        <v>73</v>
      </c>
      <c r="L847">
        <v>706000</v>
      </c>
      <c r="M847" s="97" t="s">
        <v>63</v>
      </c>
      <c r="N847" s="97" t="s">
        <v>33</v>
      </c>
      <c r="O847">
        <v>1929</v>
      </c>
      <c r="P847">
        <v>0.95</v>
      </c>
      <c r="Q847">
        <v>1.83</v>
      </c>
      <c r="R847" s="97" t="s">
        <v>1199</v>
      </c>
      <c r="S847" s="97" t="s">
        <v>195</v>
      </c>
    </row>
    <row r="848" spans="1:19" x14ac:dyDescent="0.3">
      <c r="A848" s="97" t="s">
        <v>896</v>
      </c>
      <c r="B848" s="97" t="s">
        <v>22</v>
      </c>
      <c r="C848">
        <v>2026</v>
      </c>
      <c r="D848">
        <v>2</v>
      </c>
      <c r="E848" s="2">
        <v>46069</v>
      </c>
      <c r="F848" s="97" t="s">
        <v>7</v>
      </c>
      <c r="G848" s="97" t="s">
        <v>8</v>
      </c>
      <c r="H848" s="97" t="s">
        <v>70</v>
      </c>
      <c r="I848" s="97" t="s">
        <v>84</v>
      </c>
      <c r="J848" s="97" t="s">
        <v>85</v>
      </c>
      <c r="K848" s="97" t="s">
        <v>73</v>
      </c>
      <c r="L848">
        <v>706000</v>
      </c>
      <c r="M848" s="97" t="s">
        <v>63</v>
      </c>
      <c r="N848" s="97" t="s">
        <v>33</v>
      </c>
      <c r="O848">
        <v>1083</v>
      </c>
      <c r="P848">
        <v>0.95</v>
      </c>
      <c r="Q848">
        <v>1.03</v>
      </c>
      <c r="R848" s="97" t="s">
        <v>1198</v>
      </c>
      <c r="S848" s="97" t="s">
        <v>195</v>
      </c>
    </row>
    <row r="849" spans="1:19" x14ac:dyDescent="0.3">
      <c r="A849" s="97" t="s">
        <v>897</v>
      </c>
      <c r="B849" s="97" t="s">
        <v>22</v>
      </c>
      <c r="C849">
        <v>2026</v>
      </c>
      <c r="D849">
        <v>2</v>
      </c>
      <c r="E849" s="2">
        <v>46069</v>
      </c>
      <c r="F849" s="97" t="s">
        <v>7</v>
      </c>
      <c r="G849" s="97" t="s">
        <v>8</v>
      </c>
      <c r="H849" s="97" t="s">
        <v>70</v>
      </c>
      <c r="I849" s="97" t="s">
        <v>84</v>
      </c>
      <c r="J849" s="97" t="s">
        <v>85</v>
      </c>
      <c r="K849" s="97" t="s">
        <v>73</v>
      </c>
      <c r="L849">
        <v>706000</v>
      </c>
      <c r="M849" s="97" t="s">
        <v>63</v>
      </c>
      <c r="N849" s="97" t="s">
        <v>33</v>
      </c>
      <c r="O849">
        <v>3579</v>
      </c>
      <c r="P849">
        <v>0.95</v>
      </c>
      <c r="Q849">
        <v>3.4</v>
      </c>
      <c r="R849" s="97" t="s">
        <v>1200</v>
      </c>
      <c r="S849" s="97" t="s">
        <v>195</v>
      </c>
    </row>
    <row r="850" spans="1:19" x14ac:dyDescent="0.3">
      <c r="A850" s="97" t="s">
        <v>898</v>
      </c>
      <c r="B850" s="97" t="s">
        <v>22</v>
      </c>
      <c r="C850">
        <v>2026</v>
      </c>
      <c r="D850">
        <v>2</v>
      </c>
      <c r="E850" s="2">
        <v>46069</v>
      </c>
      <c r="F850" s="97" t="s">
        <v>7</v>
      </c>
      <c r="G850" s="97" t="s">
        <v>8</v>
      </c>
      <c r="H850" s="97" t="s">
        <v>70</v>
      </c>
      <c r="I850" s="97" t="s">
        <v>84</v>
      </c>
      <c r="J850" s="97" t="s">
        <v>85</v>
      </c>
      <c r="K850" s="97" t="s">
        <v>73</v>
      </c>
      <c r="L850">
        <v>706000</v>
      </c>
      <c r="M850" s="97" t="s">
        <v>63</v>
      </c>
      <c r="N850" s="97" t="s">
        <v>33</v>
      </c>
      <c r="O850">
        <v>1558</v>
      </c>
      <c r="P850">
        <v>0.95</v>
      </c>
      <c r="Q850">
        <v>1.48</v>
      </c>
      <c r="R850" s="97" t="s">
        <v>1205</v>
      </c>
      <c r="S850" s="97" t="s">
        <v>195</v>
      </c>
    </row>
    <row r="851" spans="1:19" x14ac:dyDescent="0.3">
      <c r="A851" s="97" t="s">
        <v>899</v>
      </c>
      <c r="B851" s="97" t="s">
        <v>22</v>
      </c>
      <c r="C851">
        <v>2026</v>
      </c>
      <c r="D851">
        <v>2</v>
      </c>
      <c r="E851" s="2">
        <v>46069</v>
      </c>
      <c r="F851" s="97" t="s">
        <v>7</v>
      </c>
      <c r="G851" s="97" t="s">
        <v>8</v>
      </c>
      <c r="H851" s="97" t="s">
        <v>70</v>
      </c>
      <c r="I851" s="97" t="s">
        <v>84</v>
      </c>
      <c r="J851" s="97" t="s">
        <v>85</v>
      </c>
      <c r="K851" s="97" t="s">
        <v>73</v>
      </c>
      <c r="L851">
        <v>706000</v>
      </c>
      <c r="M851" s="97" t="s">
        <v>63</v>
      </c>
      <c r="N851" s="97" t="s">
        <v>33</v>
      </c>
      <c r="O851">
        <v>10501</v>
      </c>
      <c r="P851">
        <v>0.95</v>
      </c>
      <c r="Q851">
        <v>9.98</v>
      </c>
      <c r="R851" s="97" t="s">
        <v>1197</v>
      </c>
      <c r="S851" s="97" t="s">
        <v>195</v>
      </c>
    </row>
    <row r="852" spans="1:19" x14ac:dyDescent="0.3">
      <c r="A852" s="97" t="s">
        <v>905</v>
      </c>
      <c r="B852" s="97" t="s">
        <v>22</v>
      </c>
      <c r="C852">
        <v>2026</v>
      </c>
      <c r="D852">
        <v>2</v>
      </c>
      <c r="E852" s="2">
        <v>46069</v>
      </c>
      <c r="F852" s="97" t="s">
        <v>7</v>
      </c>
      <c r="G852" s="97" t="s">
        <v>8</v>
      </c>
      <c r="H852" s="97" t="s">
        <v>74</v>
      </c>
      <c r="I852" s="97" t="s">
        <v>84</v>
      </c>
      <c r="J852" s="97" t="s">
        <v>85</v>
      </c>
      <c r="K852" s="97" t="s">
        <v>73</v>
      </c>
      <c r="L852">
        <v>701000</v>
      </c>
      <c r="M852" s="97" t="s">
        <v>62</v>
      </c>
      <c r="N852" s="97" t="s">
        <v>33</v>
      </c>
      <c r="O852">
        <v>10058</v>
      </c>
      <c r="P852">
        <v>0.95</v>
      </c>
      <c r="Q852">
        <v>9.5500000000000007</v>
      </c>
      <c r="R852" s="97" t="s">
        <v>1198</v>
      </c>
      <c r="S852" s="97" t="s">
        <v>195</v>
      </c>
    </row>
    <row r="853" spans="1:19" x14ac:dyDescent="0.3">
      <c r="A853" s="97" t="s">
        <v>906</v>
      </c>
      <c r="B853" s="97" t="s">
        <v>22</v>
      </c>
      <c r="C853">
        <v>2026</v>
      </c>
      <c r="D853">
        <v>2</v>
      </c>
      <c r="E853" s="2">
        <v>46069</v>
      </c>
      <c r="F853" s="97" t="s">
        <v>7</v>
      </c>
      <c r="G853" s="97" t="s">
        <v>8</v>
      </c>
      <c r="H853" s="97" t="s">
        <v>74</v>
      </c>
      <c r="I853" s="97" t="s">
        <v>84</v>
      </c>
      <c r="J853" s="97" t="s">
        <v>85</v>
      </c>
      <c r="K853" s="97" t="s">
        <v>73</v>
      </c>
      <c r="L853">
        <v>701000</v>
      </c>
      <c r="M853" s="97" t="s">
        <v>62</v>
      </c>
      <c r="N853" s="97" t="s">
        <v>33</v>
      </c>
      <c r="O853">
        <v>2154</v>
      </c>
      <c r="P853">
        <v>0.95</v>
      </c>
      <c r="Q853">
        <v>2.0499999999999998</v>
      </c>
      <c r="R853" s="97" t="s">
        <v>1204</v>
      </c>
      <c r="S853" s="97" t="s">
        <v>195</v>
      </c>
    </row>
    <row r="854" spans="1:19" x14ac:dyDescent="0.3">
      <c r="A854" s="97" t="s">
        <v>907</v>
      </c>
      <c r="B854" s="97" t="s">
        <v>22</v>
      </c>
      <c r="C854">
        <v>2026</v>
      </c>
      <c r="D854">
        <v>2</v>
      </c>
      <c r="E854" s="2">
        <v>46069</v>
      </c>
      <c r="F854" s="97" t="s">
        <v>7</v>
      </c>
      <c r="G854" s="97" t="s">
        <v>8</v>
      </c>
      <c r="H854" s="97" t="s">
        <v>74</v>
      </c>
      <c r="I854" s="97" t="s">
        <v>84</v>
      </c>
      <c r="J854" s="97" t="s">
        <v>85</v>
      </c>
      <c r="K854" s="97" t="s">
        <v>73</v>
      </c>
      <c r="L854">
        <v>701000</v>
      </c>
      <c r="M854" s="97" t="s">
        <v>62</v>
      </c>
      <c r="N854" s="97" t="s">
        <v>33</v>
      </c>
      <c r="O854">
        <v>2095</v>
      </c>
      <c r="P854">
        <v>0.95</v>
      </c>
      <c r="Q854">
        <v>1.99</v>
      </c>
      <c r="R854" s="97" t="s">
        <v>1200</v>
      </c>
      <c r="S854" s="97" t="s">
        <v>195</v>
      </c>
    </row>
    <row r="855" spans="1:19" x14ac:dyDescent="0.3">
      <c r="A855" s="97" t="s">
        <v>908</v>
      </c>
      <c r="B855" s="97" t="s">
        <v>22</v>
      </c>
      <c r="C855">
        <v>2026</v>
      </c>
      <c r="D855">
        <v>2</v>
      </c>
      <c r="E855" s="2">
        <v>46069</v>
      </c>
      <c r="F855" s="97" t="s">
        <v>7</v>
      </c>
      <c r="G855" s="97" t="s">
        <v>8</v>
      </c>
      <c r="H855" s="97" t="s">
        <v>74</v>
      </c>
      <c r="I855" s="97" t="s">
        <v>84</v>
      </c>
      <c r="J855" s="97" t="s">
        <v>85</v>
      </c>
      <c r="K855" s="97" t="s">
        <v>73</v>
      </c>
      <c r="L855">
        <v>701000</v>
      </c>
      <c r="M855" s="97" t="s">
        <v>62</v>
      </c>
      <c r="N855" s="97" t="s">
        <v>33</v>
      </c>
      <c r="O855">
        <v>2893</v>
      </c>
      <c r="P855">
        <v>0.95</v>
      </c>
      <c r="Q855">
        <v>2.75</v>
      </c>
      <c r="R855" s="97" t="s">
        <v>1197</v>
      </c>
      <c r="S855" s="97" t="s">
        <v>195</v>
      </c>
    </row>
    <row r="856" spans="1:19" x14ac:dyDescent="0.3">
      <c r="A856" s="97" t="s">
        <v>909</v>
      </c>
      <c r="B856" s="97" t="s">
        <v>22</v>
      </c>
      <c r="C856">
        <v>2026</v>
      </c>
      <c r="D856">
        <v>2</v>
      </c>
      <c r="E856" s="2">
        <v>46069</v>
      </c>
      <c r="F856" s="97" t="s">
        <v>7</v>
      </c>
      <c r="G856" s="97" t="s">
        <v>8</v>
      </c>
      <c r="H856" s="97" t="s">
        <v>74</v>
      </c>
      <c r="I856" s="97" t="s">
        <v>84</v>
      </c>
      <c r="J856" s="97" t="s">
        <v>85</v>
      </c>
      <c r="K856" s="97" t="s">
        <v>73</v>
      </c>
      <c r="L856">
        <v>701000</v>
      </c>
      <c r="M856" s="97" t="s">
        <v>62</v>
      </c>
      <c r="N856" s="97" t="s">
        <v>33</v>
      </c>
      <c r="O856">
        <v>3337</v>
      </c>
      <c r="P856">
        <v>0.95</v>
      </c>
      <c r="Q856">
        <v>3.17</v>
      </c>
      <c r="R856" s="97" t="s">
        <v>1202</v>
      </c>
      <c r="S856" s="97" t="s">
        <v>195</v>
      </c>
    </row>
    <row r="857" spans="1:19" x14ac:dyDescent="0.3">
      <c r="A857" s="97" t="s">
        <v>925</v>
      </c>
      <c r="B857" s="97" t="s">
        <v>22</v>
      </c>
      <c r="C857">
        <v>2026</v>
      </c>
      <c r="D857">
        <v>2</v>
      </c>
      <c r="E857" s="2">
        <v>46069</v>
      </c>
      <c r="F857" s="97" t="s">
        <v>7</v>
      </c>
      <c r="G857" s="97" t="s">
        <v>8</v>
      </c>
      <c r="H857" s="97" t="s">
        <v>70</v>
      </c>
      <c r="I857" s="97" t="s">
        <v>84</v>
      </c>
      <c r="J857" s="97" t="s">
        <v>85</v>
      </c>
      <c r="K857" s="97" t="s">
        <v>73</v>
      </c>
      <c r="L857">
        <v>707000</v>
      </c>
      <c r="M857" s="97" t="s">
        <v>81</v>
      </c>
      <c r="N857" s="97" t="s">
        <v>33</v>
      </c>
      <c r="O857">
        <v>8651</v>
      </c>
      <c r="P857">
        <v>0.95</v>
      </c>
      <c r="Q857">
        <v>8.2200000000000006</v>
      </c>
      <c r="R857" s="97" t="s">
        <v>1198</v>
      </c>
      <c r="S857" s="97" t="s">
        <v>195</v>
      </c>
    </row>
    <row r="858" spans="1:19" x14ac:dyDescent="0.3">
      <c r="A858" s="97" t="s">
        <v>926</v>
      </c>
      <c r="B858" s="97" t="s">
        <v>22</v>
      </c>
      <c r="C858">
        <v>2026</v>
      </c>
      <c r="D858">
        <v>2</v>
      </c>
      <c r="E858" s="2">
        <v>46069</v>
      </c>
      <c r="F858" s="97" t="s">
        <v>7</v>
      </c>
      <c r="G858" s="97" t="s">
        <v>8</v>
      </c>
      <c r="H858" s="97" t="s">
        <v>70</v>
      </c>
      <c r="I858" s="97" t="s">
        <v>84</v>
      </c>
      <c r="J858" s="97" t="s">
        <v>85</v>
      </c>
      <c r="K858" s="97" t="s">
        <v>73</v>
      </c>
      <c r="L858">
        <v>707000</v>
      </c>
      <c r="M858" s="97" t="s">
        <v>81</v>
      </c>
      <c r="N858" s="97" t="s">
        <v>33</v>
      </c>
      <c r="O858">
        <v>2191</v>
      </c>
      <c r="P858">
        <v>0.95</v>
      </c>
      <c r="Q858">
        <v>2.08</v>
      </c>
      <c r="R858" s="97" t="s">
        <v>1199</v>
      </c>
      <c r="S858" s="97" t="s">
        <v>195</v>
      </c>
    </row>
    <row r="859" spans="1:19" x14ac:dyDescent="0.3">
      <c r="A859" s="97" t="s">
        <v>927</v>
      </c>
      <c r="B859" s="97" t="s">
        <v>22</v>
      </c>
      <c r="C859">
        <v>2026</v>
      </c>
      <c r="D859">
        <v>2</v>
      </c>
      <c r="E859" s="2">
        <v>46069</v>
      </c>
      <c r="F859" s="97" t="s">
        <v>7</v>
      </c>
      <c r="G859" s="97" t="s">
        <v>8</v>
      </c>
      <c r="H859" s="97" t="s">
        <v>70</v>
      </c>
      <c r="I859" s="97" t="s">
        <v>84</v>
      </c>
      <c r="J859" s="97" t="s">
        <v>85</v>
      </c>
      <c r="K859" s="97" t="s">
        <v>73</v>
      </c>
      <c r="L859">
        <v>707000</v>
      </c>
      <c r="M859" s="97" t="s">
        <v>81</v>
      </c>
      <c r="N859" s="97" t="s">
        <v>33</v>
      </c>
      <c r="O859">
        <v>5139</v>
      </c>
      <c r="P859">
        <v>0.95</v>
      </c>
      <c r="Q859">
        <v>4.88</v>
      </c>
      <c r="R859" s="97" t="s">
        <v>1203</v>
      </c>
      <c r="S859" s="97" t="s">
        <v>195</v>
      </c>
    </row>
    <row r="860" spans="1:19" x14ac:dyDescent="0.3">
      <c r="A860" s="97" t="s">
        <v>928</v>
      </c>
      <c r="B860" s="97" t="s">
        <v>22</v>
      </c>
      <c r="C860">
        <v>2026</v>
      </c>
      <c r="D860">
        <v>2</v>
      </c>
      <c r="E860" s="2">
        <v>46069</v>
      </c>
      <c r="F860" s="97" t="s">
        <v>7</v>
      </c>
      <c r="G860" s="97" t="s">
        <v>8</v>
      </c>
      <c r="H860" s="97" t="s">
        <v>70</v>
      </c>
      <c r="I860" s="97" t="s">
        <v>84</v>
      </c>
      <c r="J860" s="97" t="s">
        <v>85</v>
      </c>
      <c r="K860" s="97" t="s">
        <v>73</v>
      </c>
      <c r="L860">
        <v>707000</v>
      </c>
      <c r="M860" s="97" t="s">
        <v>81</v>
      </c>
      <c r="N860" s="97" t="s">
        <v>33</v>
      </c>
      <c r="O860">
        <v>3395</v>
      </c>
      <c r="P860">
        <v>0.95</v>
      </c>
      <c r="Q860">
        <v>3.23</v>
      </c>
      <c r="R860" s="97" t="s">
        <v>1197</v>
      </c>
      <c r="S860" s="97" t="s">
        <v>195</v>
      </c>
    </row>
    <row r="861" spans="1:19" x14ac:dyDescent="0.3">
      <c r="A861" s="97" t="s">
        <v>929</v>
      </c>
      <c r="B861" s="97" t="s">
        <v>22</v>
      </c>
      <c r="C861">
        <v>2026</v>
      </c>
      <c r="D861">
        <v>2</v>
      </c>
      <c r="E861" s="2">
        <v>46069</v>
      </c>
      <c r="F861" s="97" t="s">
        <v>7</v>
      </c>
      <c r="G861" s="97" t="s">
        <v>8</v>
      </c>
      <c r="H861" s="97" t="s">
        <v>70</v>
      </c>
      <c r="I861" s="97" t="s">
        <v>84</v>
      </c>
      <c r="J861" s="97" t="s">
        <v>85</v>
      </c>
      <c r="K861" s="97" t="s">
        <v>73</v>
      </c>
      <c r="L861">
        <v>707000</v>
      </c>
      <c r="M861" s="97" t="s">
        <v>81</v>
      </c>
      <c r="N861" s="97" t="s">
        <v>33</v>
      </c>
      <c r="O861">
        <v>2472</v>
      </c>
      <c r="P861">
        <v>0.95</v>
      </c>
      <c r="Q861">
        <v>2.35</v>
      </c>
      <c r="R861" s="97" t="s">
        <v>1200</v>
      </c>
      <c r="S861" s="97" t="s">
        <v>195</v>
      </c>
    </row>
    <row r="862" spans="1:19" x14ac:dyDescent="0.3">
      <c r="A862" s="97" t="s">
        <v>890</v>
      </c>
      <c r="B862" s="97" t="s">
        <v>22</v>
      </c>
      <c r="C862">
        <v>2026</v>
      </c>
      <c r="D862">
        <v>2</v>
      </c>
      <c r="E862" s="2">
        <v>46070</v>
      </c>
      <c r="F862" s="97" t="s">
        <v>7</v>
      </c>
      <c r="G862" s="97" t="s">
        <v>8</v>
      </c>
      <c r="H862" s="97" t="s">
        <v>70</v>
      </c>
      <c r="I862" s="97" t="s">
        <v>84</v>
      </c>
      <c r="J862" s="97" t="s">
        <v>85</v>
      </c>
      <c r="K862" s="97" t="s">
        <v>73</v>
      </c>
      <c r="L862">
        <v>701000</v>
      </c>
      <c r="M862" s="97" t="s">
        <v>62</v>
      </c>
      <c r="N862" s="97" t="s">
        <v>33</v>
      </c>
      <c r="O862">
        <v>2129</v>
      </c>
      <c r="P862">
        <v>0.95</v>
      </c>
      <c r="Q862">
        <v>2.02</v>
      </c>
      <c r="R862" s="97" t="s">
        <v>1203</v>
      </c>
      <c r="S862" s="97" t="s">
        <v>195</v>
      </c>
    </row>
    <row r="863" spans="1:19" x14ac:dyDescent="0.3">
      <c r="A863" s="97" t="s">
        <v>891</v>
      </c>
      <c r="B863" s="97" t="s">
        <v>22</v>
      </c>
      <c r="C863">
        <v>2026</v>
      </c>
      <c r="D863">
        <v>2</v>
      </c>
      <c r="E863" s="2">
        <v>46070</v>
      </c>
      <c r="F863" s="97" t="s">
        <v>7</v>
      </c>
      <c r="G863" s="97" t="s">
        <v>8</v>
      </c>
      <c r="H863" s="97" t="s">
        <v>70</v>
      </c>
      <c r="I863" s="97" t="s">
        <v>84</v>
      </c>
      <c r="J863" s="97" t="s">
        <v>85</v>
      </c>
      <c r="K863" s="97" t="s">
        <v>73</v>
      </c>
      <c r="L863">
        <v>701000</v>
      </c>
      <c r="M863" s="97" t="s">
        <v>62</v>
      </c>
      <c r="N863" s="97" t="s">
        <v>33</v>
      </c>
      <c r="O863">
        <v>6318</v>
      </c>
      <c r="P863">
        <v>0.95</v>
      </c>
      <c r="Q863">
        <v>6</v>
      </c>
      <c r="R863" s="97" t="s">
        <v>1202</v>
      </c>
      <c r="S863" s="97" t="s">
        <v>195</v>
      </c>
    </row>
    <row r="864" spans="1:19" x14ac:dyDescent="0.3">
      <c r="A864" s="97" t="s">
        <v>892</v>
      </c>
      <c r="B864" s="97" t="s">
        <v>22</v>
      </c>
      <c r="C864">
        <v>2026</v>
      </c>
      <c r="D864">
        <v>2</v>
      </c>
      <c r="E864" s="2">
        <v>46070</v>
      </c>
      <c r="F864" s="97" t="s">
        <v>7</v>
      </c>
      <c r="G864" s="97" t="s">
        <v>8</v>
      </c>
      <c r="H864" s="97" t="s">
        <v>70</v>
      </c>
      <c r="I864" s="97" t="s">
        <v>84</v>
      </c>
      <c r="J864" s="97" t="s">
        <v>85</v>
      </c>
      <c r="K864" s="97" t="s">
        <v>73</v>
      </c>
      <c r="L864">
        <v>701000</v>
      </c>
      <c r="M864" s="97" t="s">
        <v>62</v>
      </c>
      <c r="N864" s="97" t="s">
        <v>33</v>
      </c>
      <c r="O864">
        <v>2709</v>
      </c>
      <c r="P864">
        <v>0.95</v>
      </c>
      <c r="Q864">
        <v>2.57</v>
      </c>
      <c r="R864" s="97" t="s">
        <v>1205</v>
      </c>
      <c r="S864" s="97" t="s">
        <v>195</v>
      </c>
    </row>
    <row r="865" spans="1:19" x14ac:dyDescent="0.3">
      <c r="A865" s="97" t="s">
        <v>893</v>
      </c>
      <c r="B865" s="97" t="s">
        <v>22</v>
      </c>
      <c r="C865">
        <v>2026</v>
      </c>
      <c r="D865">
        <v>2</v>
      </c>
      <c r="E865" s="2">
        <v>46070</v>
      </c>
      <c r="F865" s="97" t="s">
        <v>7</v>
      </c>
      <c r="G865" s="97" t="s">
        <v>8</v>
      </c>
      <c r="H865" s="97" t="s">
        <v>70</v>
      </c>
      <c r="I865" s="97" t="s">
        <v>84</v>
      </c>
      <c r="J865" s="97" t="s">
        <v>85</v>
      </c>
      <c r="K865" s="97" t="s">
        <v>73</v>
      </c>
      <c r="L865">
        <v>701000</v>
      </c>
      <c r="M865" s="97" t="s">
        <v>62</v>
      </c>
      <c r="N865" s="97" t="s">
        <v>33</v>
      </c>
      <c r="O865">
        <v>4933</v>
      </c>
      <c r="P865">
        <v>0.95</v>
      </c>
      <c r="Q865">
        <v>4.6900000000000004</v>
      </c>
      <c r="R865" s="97" t="s">
        <v>1198</v>
      </c>
      <c r="S865" s="97" t="s">
        <v>195</v>
      </c>
    </row>
    <row r="866" spans="1:19" x14ac:dyDescent="0.3">
      <c r="A866" s="97" t="s">
        <v>894</v>
      </c>
      <c r="B866" s="97" t="s">
        <v>22</v>
      </c>
      <c r="C866">
        <v>2026</v>
      </c>
      <c r="D866">
        <v>2</v>
      </c>
      <c r="E866" s="2">
        <v>46070</v>
      </c>
      <c r="F866" s="97" t="s">
        <v>7</v>
      </c>
      <c r="G866" s="97" t="s">
        <v>8</v>
      </c>
      <c r="H866" s="97" t="s">
        <v>70</v>
      </c>
      <c r="I866" s="97" t="s">
        <v>84</v>
      </c>
      <c r="J866" s="97" t="s">
        <v>85</v>
      </c>
      <c r="K866" s="97" t="s">
        <v>73</v>
      </c>
      <c r="L866">
        <v>701000</v>
      </c>
      <c r="M866" s="97" t="s">
        <v>62</v>
      </c>
      <c r="N866" s="97" t="s">
        <v>33</v>
      </c>
      <c r="O866">
        <v>1569</v>
      </c>
      <c r="P866">
        <v>0.96</v>
      </c>
      <c r="Q866">
        <v>1.5</v>
      </c>
      <c r="R866" s="97" t="s">
        <v>1199</v>
      </c>
      <c r="S866" s="97" t="s">
        <v>195</v>
      </c>
    </row>
    <row r="867" spans="1:19" x14ac:dyDescent="0.3">
      <c r="A867" s="97" t="s">
        <v>1020</v>
      </c>
      <c r="B867" s="97" t="s">
        <v>22</v>
      </c>
      <c r="C867">
        <v>2026</v>
      </c>
      <c r="D867">
        <v>2</v>
      </c>
      <c r="E867" s="2">
        <v>46070</v>
      </c>
      <c r="F867" s="97" t="s">
        <v>7</v>
      </c>
      <c r="G867" s="97" t="s">
        <v>8</v>
      </c>
      <c r="H867" s="97" t="s">
        <v>74</v>
      </c>
      <c r="I867" s="97" t="s">
        <v>71</v>
      </c>
      <c r="J867" s="97" t="s">
        <v>72</v>
      </c>
      <c r="K867" s="97" t="s">
        <v>73</v>
      </c>
      <c r="L867">
        <v>701000</v>
      </c>
      <c r="M867" s="97" t="s">
        <v>62</v>
      </c>
      <c r="N867" s="97" t="s">
        <v>33</v>
      </c>
      <c r="O867">
        <v>368</v>
      </c>
      <c r="P867">
        <v>1.06</v>
      </c>
      <c r="Q867">
        <v>0.39</v>
      </c>
      <c r="R867" s="97" t="s">
        <v>1204</v>
      </c>
      <c r="S867" s="97" t="s">
        <v>195</v>
      </c>
    </row>
    <row r="868" spans="1:19" x14ac:dyDescent="0.3">
      <c r="A868" s="97" t="s">
        <v>1021</v>
      </c>
      <c r="B868" s="97" t="s">
        <v>22</v>
      </c>
      <c r="C868">
        <v>2026</v>
      </c>
      <c r="D868">
        <v>2</v>
      </c>
      <c r="E868" s="2">
        <v>46070</v>
      </c>
      <c r="F868" s="97" t="s">
        <v>7</v>
      </c>
      <c r="G868" s="97" t="s">
        <v>8</v>
      </c>
      <c r="H868" s="97" t="s">
        <v>74</v>
      </c>
      <c r="I868" s="97" t="s">
        <v>71</v>
      </c>
      <c r="J868" s="97" t="s">
        <v>72</v>
      </c>
      <c r="K868" s="97" t="s">
        <v>73</v>
      </c>
      <c r="L868">
        <v>701000</v>
      </c>
      <c r="M868" s="97" t="s">
        <v>62</v>
      </c>
      <c r="N868" s="97" t="s">
        <v>33</v>
      </c>
      <c r="O868">
        <v>1861</v>
      </c>
      <c r="P868">
        <v>1.05</v>
      </c>
      <c r="Q868">
        <v>1.96</v>
      </c>
      <c r="R868" s="97" t="s">
        <v>1203</v>
      </c>
      <c r="S868" s="97" t="s">
        <v>195</v>
      </c>
    </row>
    <row r="869" spans="1:19" x14ac:dyDescent="0.3">
      <c r="A869" s="97" t="s">
        <v>1022</v>
      </c>
      <c r="B869" s="97" t="s">
        <v>22</v>
      </c>
      <c r="C869">
        <v>2026</v>
      </c>
      <c r="D869">
        <v>2</v>
      </c>
      <c r="E869" s="2">
        <v>46070</v>
      </c>
      <c r="F869" s="97" t="s">
        <v>7</v>
      </c>
      <c r="G869" s="97" t="s">
        <v>8</v>
      </c>
      <c r="H869" s="97" t="s">
        <v>74</v>
      </c>
      <c r="I869" s="97" t="s">
        <v>71</v>
      </c>
      <c r="J869" s="97" t="s">
        <v>72</v>
      </c>
      <c r="K869" s="97" t="s">
        <v>73</v>
      </c>
      <c r="L869">
        <v>701000</v>
      </c>
      <c r="M869" s="97" t="s">
        <v>62</v>
      </c>
      <c r="N869" s="97" t="s">
        <v>33</v>
      </c>
      <c r="O869">
        <v>1760</v>
      </c>
      <c r="P869">
        <v>1.05</v>
      </c>
      <c r="Q869">
        <v>1.85</v>
      </c>
      <c r="R869" s="97" t="s">
        <v>1198</v>
      </c>
      <c r="S869" s="97" t="s">
        <v>195</v>
      </c>
    </row>
    <row r="870" spans="1:19" x14ac:dyDescent="0.3">
      <c r="A870" s="97" t="s">
        <v>1023</v>
      </c>
      <c r="B870" s="97" t="s">
        <v>22</v>
      </c>
      <c r="C870">
        <v>2026</v>
      </c>
      <c r="D870">
        <v>2</v>
      </c>
      <c r="E870" s="2">
        <v>46070</v>
      </c>
      <c r="F870" s="97" t="s">
        <v>7</v>
      </c>
      <c r="G870" s="97" t="s">
        <v>8</v>
      </c>
      <c r="H870" s="97" t="s">
        <v>74</v>
      </c>
      <c r="I870" s="97" t="s">
        <v>71</v>
      </c>
      <c r="J870" s="97" t="s">
        <v>72</v>
      </c>
      <c r="K870" s="97" t="s">
        <v>73</v>
      </c>
      <c r="L870">
        <v>701000</v>
      </c>
      <c r="M870" s="97" t="s">
        <v>62</v>
      </c>
      <c r="N870" s="97" t="s">
        <v>33</v>
      </c>
      <c r="O870">
        <v>1428</v>
      </c>
      <c r="P870">
        <v>1.05</v>
      </c>
      <c r="Q870">
        <v>1.5</v>
      </c>
      <c r="R870" s="97" t="s">
        <v>1200</v>
      </c>
      <c r="S870" s="97" t="s">
        <v>195</v>
      </c>
    </row>
    <row r="871" spans="1:19" x14ac:dyDescent="0.3">
      <c r="A871" s="97" t="s">
        <v>1024</v>
      </c>
      <c r="B871" s="97" t="s">
        <v>22</v>
      </c>
      <c r="C871">
        <v>2026</v>
      </c>
      <c r="D871">
        <v>2</v>
      </c>
      <c r="E871" s="2">
        <v>46070</v>
      </c>
      <c r="F871" s="97" t="s">
        <v>7</v>
      </c>
      <c r="G871" s="97" t="s">
        <v>8</v>
      </c>
      <c r="H871" s="97" t="s">
        <v>74</v>
      </c>
      <c r="I871" s="97" t="s">
        <v>71</v>
      </c>
      <c r="J871" s="97" t="s">
        <v>72</v>
      </c>
      <c r="K871" s="97" t="s">
        <v>73</v>
      </c>
      <c r="L871">
        <v>701000</v>
      </c>
      <c r="M871" s="97" t="s">
        <v>62</v>
      </c>
      <c r="N871" s="97" t="s">
        <v>33</v>
      </c>
      <c r="O871">
        <v>1407</v>
      </c>
      <c r="P871">
        <v>1.04</v>
      </c>
      <c r="Q871">
        <v>1.47</v>
      </c>
      <c r="R871" s="97" t="s">
        <v>1197</v>
      </c>
      <c r="S871" s="97" t="s">
        <v>195</v>
      </c>
    </row>
    <row r="872" spans="1:19" x14ac:dyDescent="0.3">
      <c r="A872" s="97" t="s">
        <v>1070</v>
      </c>
      <c r="B872" s="97" t="s">
        <v>22</v>
      </c>
      <c r="C872">
        <v>2026</v>
      </c>
      <c r="D872">
        <v>2</v>
      </c>
      <c r="E872" s="2">
        <v>46070</v>
      </c>
      <c r="F872" s="97" t="s">
        <v>7</v>
      </c>
      <c r="G872" s="97" t="s">
        <v>8</v>
      </c>
      <c r="H872" s="97" t="s">
        <v>70</v>
      </c>
      <c r="I872" s="97" t="s">
        <v>71</v>
      </c>
      <c r="J872" s="97" t="s">
        <v>72</v>
      </c>
      <c r="K872" s="97" t="s">
        <v>73</v>
      </c>
      <c r="L872">
        <v>701000</v>
      </c>
      <c r="M872" s="97" t="s">
        <v>62</v>
      </c>
      <c r="N872" s="97" t="s">
        <v>33</v>
      </c>
      <c r="O872">
        <v>1316</v>
      </c>
      <c r="P872">
        <v>1.05</v>
      </c>
      <c r="Q872">
        <v>1.38</v>
      </c>
      <c r="R872" s="97" t="s">
        <v>1202</v>
      </c>
      <c r="S872" s="97" t="s">
        <v>195</v>
      </c>
    </row>
    <row r="873" spans="1:19" x14ac:dyDescent="0.3">
      <c r="A873" s="97" t="s">
        <v>1071</v>
      </c>
      <c r="B873" s="97" t="s">
        <v>22</v>
      </c>
      <c r="C873">
        <v>2026</v>
      </c>
      <c r="D873">
        <v>2</v>
      </c>
      <c r="E873" s="2">
        <v>46070</v>
      </c>
      <c r="F873" s="97" t="s">
        <v>7</v>
      </c>
      <c r="G873" s="97" t="s">
        <v>8</v>
      </c>
      <c r="H873" s="97" t="s">
        <v>70</v>
      </c>
      <c r="I873" s="97" t="s">
        <v>71</v>
      </c>
      <c r="J873" s="97" t="s">
        <v>72</v>
      </c>
      <c r="K873" s="97" t="s">
        <v>73</v>
      </c>
      <c r="L873">
        <v>701000</v>
      </c>
      <c r="M873" s="97" t="s">
        <v>62</v>
      </c>
      <c r="N873" s="97" t="s">
        <v>33</v>
      </c>
      <c r="O873">
        <v>2067</v>
      </c>
      <c r="P873">
        <v>1.05</v>
      </c>
      <c r="Q873">
        <v>2.17</v>
      </c>
      <c r="R873" s="97" t="s">
        <v>1200</v>
      </c>
      <c r="S873" s="97" t="s">
        <v>195</v>
      </c>
    </row>
    <row r="874" spans="1:19" x14ac:dyDescent="0.3">
      <c r="A874" s="97" t="s">
        <v>1072</v>
      </c>
      <c r="B874" s="97" t="s">
        <v>22</v>
      </c>
      <c r="C874">
        <v>2026</v>
      </c>
      <c r="D874">
        <v>2</v>
      </c>
      <c r="E874" s="2">
        <v>46070</v>
      </c>
      <c r="F874" s="97" t="s">
        <v>7</v>
      </c>
      <c r="G874" s="97" t="s">
        <v>8</v>
      </c>
      <c r="H874" s="97" t="s">
        <v>70</v>
      </c>
      <c r="I874" s="97" t="s">
        <v>71</v>
      </c>
      <c r="J874" s="97" t="s">
        <v>72</v>
      </c>
      <c r="K874" s="97" t="s">
        <v>73</v>
      </c>
      <c r="L874">
        <v>701000</v>
      </c>
      <c r="M874" s="97" t="s">
        <v>62</v>
      </c>
      <c r="N874" s="97" t="s">
        <v>33</v>
      </c>
      <c r="O874">
        <v>1984</v>
      </c>
      <c r="P874">
        <v>1.05</v>
      </c>
      <c r="Q874">
        <v>2.08</v>
      </c>
      <c r="R874" s="97" t="s">
        <v>1198</v>
      </c>
      <c r="S874" s="97" t="s">
        <v>195</v>
      </c>
    </row>
    <row r="875" spans="1:19" x14ac:dyDescent="0.3">
      <c r="A875" s="97" t="s">
        <v>1073</v>
      </c>
      <c r="B875" s="97" t="s">
        <v>22</v>
      </c>
      <c r="C875">
        <v>2026</v>
      </c>
      <c r="D875">
        <v>2</v>
      </c>
      <c r="E875" s="2">
        <v>46070</v>
      </c>
      <c r="F875" s="97" t="s">
        <v>7</v>
      </c>
      <c r="G875" s="97" t="s">
        <v>8</v>
      </c>
      <c r="H875" s="97" t="s">
        <v>70</v>
      </c>
      <c r="I875" s="97" t="s">
        <v>71</v>
      </c>
      <c r="J875" s="97" t="s">
        <v>72</v>
      </c>
      <c r="K875" s="97" t="s">
        <v>73</v>
      </c>
      <c r="L875">
        <v>701000</v>
      </c>
      <c r="M875" s="97" t="s">
        <v>62</v>
      </c>
      <c r="N875" s="97" t="s">
        <v>33</v>
      </c>
      <c r="O875">
        <v>604</v>
      </c>
      <c r="P875">
        <v>1.04</v>
      </c>
      <c r="Q875">
        <v>0.63</v>
      </c>
      <c r="R875" s="97" t="s">
        <v>1197</v>
      </c>
      <c r="S875" s="97" t="s">
        <v>195</v>
      </c>
    </row>
    <row r="876" spans="1:19" x14ac:dyDescent="0.3">
      <c r="A876" s="97" t="s">
        <v>1074</v>
      </c>
      <c r="B876" s="97" t="s">
        <v>22</v>
      </c>
      <c r="C876">
        <v>2026</v>
      </c>
      <c r="D876">
        <v>2</v>
      </c>
      <c r="E876" s="2">
        <v>46070</v>
      </c>
      <c r="F876" s="97" t="s">
        <v>7</v>
      </c>
      <c r="G876" s="97" t="s">
        <v>8</v>
      </c>
      <c r="H876" s="97" t="s">
        <v>70</v>
      </c>
      <c r="I876" s="97" t="s">
        <v>71</v>
      </c>
      <c r="J876" s="97" t="s">
        <v>72</v>
      </c>
      <c r="K876" s="97" t="s">
        <v>73</v>
      </c>
      <c r="L876">
        <v>701000</v>
      </c>
      <c r="M876" s="97" t="s">
        <v>62</v>
      </c>
      <c r="N876" s="97" t="s">
        <v>33</v>
      </c>
      <c r="O876">
        <v>2520</v>
      </c>
      <c r="P876">
        <v>1.06</v>
      </c>
      <c r="Q876">
        <v>2.66</v>
      </c>
      <c r="R876" s="97" t="s">
        <v>1204</v>
      </c>
      <c r="S876" s="97" t="s">
        <v>195</v>
      </c>
    </row>
    <row r="877" spans="1:19" x14ac:dyDescent="0.3">
      <c r="A877" s="97" t="s">
        <v>1015</v>
      </c>
      <c r="B877" s="97" t="s">
        <v>22</v>
      </c>
      <c r="C877">
        <v>2026</v>
      </c>
      <c r="D877">
        <v>2</v>
      </c>
      <c r="E877" s="2">
        <v>46071</v>
      </c>
      <c r="F877" s="97" t="s">
        <v>7</v>
      </c>
      <c r="G877" s="97" t="s">
        <v>8</v>
      </c>
      <c r="H877" s="97" t="s">
        <v>74</v>
      </c>
      <c r="I877" s="97" t="s">
        <v>71</v>
      </c>
      <c r="J877" s="97" t="s">
        <v>72</v>
      </c>
      <c r="K877" s="97" t="s">
        <v>73</v>
      </c>
      <c r="L877">
        <v>701000</v>
      </c>
      <c r="M877" s="97" t="s">
        <v>62</v>
      </c>
      <c r="N877" s="97" t="s">
        <v>33</v>
      </c>
      <c r="O877">
        <v>401</v>
      </c>
      <c r="P877">
        <v>1.05</v>
      </c>
      <c r="Q877">
        <v>0.42</v>
      </c>
      <c r="R877" s="97" t="s">
        <v>1203</v>
      </c>
      <c r="S877" s="97" t="s">
        <v>195</v>
      </c>
    </row>
    <row r="878" spans="1:19" x14ac:dyDescent="0.3">
      <c r="A878" s="97" t="s">
        <v>1016</v>
      </c>
      <c r="B878" s="97" t="s">
        <v>22</v>
      </c>
      <c r="C878">
        <v>2026</v>
      </c>
      <c r="D878">
        <v>2</v>
      </c>
      <c r="E878" s="2">
        <v>46071</v>
      </c>
      <c r="F878" s="97" t="s">
        <v>7</v>
      </c>
      <c r="G878" s="97" t="s">
        <v>8</v>
      </c>
      <c r="H878" s="97" t="s">
        <v>74</v>
      </c>
      <c r="I878" s="97" t="s">
        <v>71</v>
      </c>
      <c r="J878" s="97" t="s">
        <v>72</v>
      </c>
      <c r="K878" s="97" t="s">
        <v>73</v>
      </c>
      <c r="L878">
        <v>701000</v>
      </c>
      <c r="M878" s="97" t="s">
        <v>62</v>
      </c>
      <c r="N878" s="97" t="s">
        <v>33</v>
      </c>
      <c r="O878">
        <v>1184</v>
      </c>
      <c r="P878">
        <v>1.05</v>
      </c>
      <c r="Q878">
        <v>1.24</v>
      </c>
      <c r="R878" s="97" t="s">
        <v>1198</v>
      </c>
      <c r="S878" s="97" t="s">
        <v>195</v>
      </c>
    </row>
    <row r="879" spans="1:19" x14ac:dyDescent="0.3">
      <c r="A879" s="97" t="s">
        <v>1017</v>
      </c>
      <c r="B879" s="97" t="s">
        <v>22</v>
      </c>
      <c r="C879">
        <v>2026</v>
      </c>
      <c r="D879">
        <v>2</v>
      </c>
      <c r="E879" s="2">
        <v>46071</v>
      </c>
      <c r="F879" s="97" t="s">
        <v>7</v>
      </c>
      <c r="G879" s="97" t="s">
        <v>8</v>
      </c>
      <c r="H879" s="97" t="s">
        <v>74</v>
      </c>
      <c r="I879" s="97" t="s">
        <v>71</v>
      </c>
      <c r="J879" s="97" t="s">
        <v>72</v>
      </c>
      <c r="K879" s="97" t="s">
        <v>73</v>
      </c>
      <c r="L879">
        <v>701000</v>
      </c>
      <c r="M879" s="97" t="s">
        <v>62</v>
      </c>
      <c r="N879" s="97" t="s">
        <v>33</v>
      </c>
      <c r="O879">
        <v>1619</v>
      </c>
      <c r="P879">
        <v>1.05</v>
      </c>
      <c r="Q879">
        <v>1.7</v>
      </c>
      <c r="R879" s="97" t="s">
        <v>1204</v>
      </c>
      <c r="S879" s="97" t="s">
        <v>195</v>
      </c>
    </row>
    <row r="880" spans="1:19" x14ac:dyDescent="0.3">
      <c r="A880" s="97" t="s">
        <v>1018</v>
      </c>
      <c r="B880" s="97" t="s">
        <v>22</v>
      </c>
      <c r="C880">
        <v>2026</v>
      </c>
      <c r="D880">
        <v>2</v>
      </c>
      <c r="E880" s="2">
        <v>46071</v>
      </c>
      <c r="F880" s="97" t="s">
        <v>7</v>
      </c>
      <c r="G880" s="97" t="s">
        <v>8</v>
      </c>
      <c r="H880" s="97" t="s">
        <v>74</v>
      </c>
      <c r="I880" s="97" t="s">
        <v>71</v>
      </c>
      <c r="J880" s="97" t="s">
        <v>72</v>
      </c>
      <c r="K880" s="97" t="s">
        <v>73</v>
      </c>
      <c r="L880">
        <v>701000</v>
      </c>
      <c r="M880" s="97" t="s">
        <v>62</v>
      </c>
      <c r="N880" s="97" t="s">
        <v>33</v>
      </c>
      <c r="O880">
        <v>5269</v>
      </c>
      <c r="P880">
        <v>1.05</v>
      </c>
      <c r="Q880">
        <v>5.53</v>
      </c>
      <c r="R880" s="97" t="s">
        <v>1201</v>
      </c>
      <c r="S880" s="97" t="s">
        <v>195</v>
      </c>
    </row>
    <row r="881" spans="1:19" x14ac:dyDescent="0.3">
      <c r="A881" s="97" t="s">
        <v>1019</v>
      </c>
      <c r="B881" s="97" t="s">
        <v>22</v>
      </c>
      <c r="C881">
        <v>2026</v>
      </c>
      <c r="D881">
        <v>2</v>
      </c>
      <c r="E881" s="2">
        <v>46071</v>
      </c>
      <c r="F881" s="97" t="s">
        <v>7</v>
      </c>
      <c r="G881" s="97" t="s">
        <v>8</v>
      </c>
      <c r="H881" s="97" t="s">
        <v>74</v>
      </c>
      <c r="I881" s="97" t="s">
        <v>71</v>
      </c>
      <c r="J881" s="97" t="s">
        <v>72</v>
      </c>
      <c r="K881" s="97" t="s">
        <v>73</v>
      </c>
      <c r="L881">
        <v>701000</v>
      </c>
      <c r="M881" s="97" t="s">
        <v>62</v>
      </c>
      <c r="N881" s="97" t="s">
        <v>33</v>
      </c>
      <c r="O881">
        <v>257</v>
      </c>
      <c r="P881">
        <v>1.0900000000000001</v>
      </c>
      <c r="Q881">
        <v>0.28000000000000003</v>
      </c>
      <c r="R881" s="97" t="s">
        <v>1197</v>
      </c>
      <c r="S881" s="97" t="s">
        <v>195</v>
      </c>
    </row>
    <row r="882" spans="1:19" x14ac:dyDescent="0.3">
      <c r="A882" s="97" t="s">
        <v>975</v>
      </c>
      <c r="B882" s="97" t="s">
        <v>22</v>
      </c>
      <c r="C882">
        <v>2026</v>
      </c>
      <c r="D882">
        <v>2</v>
      </c>
      <c r="E882" s="2">
        <v>46072</v>
      </c>
      <c r="F882" s="97" t="s">
        <v>7</v>
      </c>
      <c r="G882" s="97" t="s">
        <v>8</v>
      </c>
      <c r="H882" s="97" t="s">
        <v>74</v>
      </c>
      <c r="I882" s="97" t="s">
        <v>84</v>
      </c>
      <c r="J882" s="97" t="s">
        <v>85</v>
      </c>
      <c r="K882" s="97" t="s">
        <v>73</v>
      </c>
      <c r="L882">
        <v>701000</v>
      </c>
      <c r="M882" s="97" t="s">
        <v>62</v>
      </c>
      <c r="N882" s="97" t="s">
        <v>33</v>
      </c>
      <c r="O882">
        <v>9542</v>
      </c>
      <c r="P882">
        <v>0.95</v>
      </c>
      <c r="Q882">
        <v>9.07</v>
      </c>
      <c r="R882" s="97" t="s">
        <v>1203</v>
      </c>
      <c r="S882" s="97" t="s">
        <v>195</v>
      </c>
    </row>
    <row r="883" spans="1:19" x14ac:dyDescent="0.3">
      <c r="A883" s="97" t="s">
        <v>976</v>
      </c>
      <c r="B883" s="97" t="s">
        <v>22</v>
      </c>
      <c r="C883">
        <v>2026</v>
      </c>
      <c r="D883">
        <v>2</v>
      </c>
      <c r="E883" s="2">
        <v>46072</v>
      </c>
      <c r="F883" s="97" t="s">
        <v>7</v>
      </c>
      <c r="G883" s="97" t="s">
        <v>8</v>
      </c>
      <c r="H883" s="97" t="s">
        <v>74</v>
      </c>
      <c r="I883" s="97" t="s">
        <v>84</v>
      </c>
      <c r="J883" s="97" t="s">
        <v>85</v>
      </c>
      <c r="K883" s="97" t="s">
        <v>73</v>
      </c>
      <c r="L883">
        <v>701000</v>
      </c>
      <c r="M883" s="97" t="s">
        <v>62</v>
      </c>
      <c r="N883" s="97" t="s">
        <v>33</v>
      </c>
      <c r="O883">
        <v>245</v>
      </c>
      <c r="P883">
        <v>0.94</v>
      </c>
      <c r="Q883">
        <v>0.23</v>
      </c>
      <c r="R883" s="97" t="s">
        <v>1197</v>
      </c>
      <c r="S883" s="97" t="s">
        <v>195</v>
      </c>
    </row>
    <row r="884" spans="1:19" x14ac:dyDescent="0.3">
      <c r="A884" s="97" t="s">
        <v>977</v>
      </c>
      <c r="B884" s="97" t="s">
        <v>22</v>
      </c>
      <c r="C884">
        <v>2026</v>
      </c>
      <c r="D884">
        <v>2</v>
      </c>
      <c r="E884" s="2">
        <v>46072</v>
      </c>
      <c r="F884" s="97" t="s">
        <v>7</v>
      </c>
      <c r="G884" s="97" t="s">
        <v>8</v>
      </c>
      <c r="H884" s="97" t="s">
        <v>74</v>
      </c>
      <c r="I884" s="97" t="s">
        <v>84</v>
      </c>
      <c r="J884" s="97" t="s">
        <v>85</v>
      </c>
      <c r="K884" s="97" t="s">
        <v>73</v>
      </c>
      <c r="L884">
        <v>701000</v>
      </c>
      <c r="M884" s="97" t="s">
        <v>62</v>
      </c>
      <c r="N884" s="97" t="s">
        <v>33</v>
      </c>
      <c r="O884">
        <v>3952</v>
      </c>
      <c r="P884">
        <v>0.95</v>
      </c>
      <c r="Q884">
        <v>3.75</v>
      </c>
      <c r="R884" s="97" t="s">
        <v>1204</v>
      </c>
      <c r="S884" s="97" t="s">
        <v>195</v>
      </c>
    </row>
    <row r="885" spans="1:19" x14ac:dyDescent="0.3">
      <c r="A885" s="97" t="s">
        <v>978</v>
      </c>
      <c r="B885" s="97" t="s">
        <v>22</v>
      </c>
      <c r="C885">
        <v>2026</v>
      </c>
      <c r="D885">
        <v>2</v>
      </c>
      <c r="E885" s="2">
        <v>46072</v>
      </c>
      <c r="F885" s="97" t="s">
        <v>7</v>
      </c>
      <c r="G885" s="97" t="s">
        <v>8</v>
      </c>
      <c r="H885" s="97" t="s">
        <v>74</v>
      </c>
      <c r="I885" s="97" t="s">
        <v>84</v>
      </c>
      <c r="J885" s="97" t="s">
        <v>85</v>
      </c>
      <c r="K885" s="97" t="s">
        <v>73</v>
      </c>
      <c r="L885">
        <v>701000</v>
      </c>
      <c r="M885" s="97" t="s">
        <v>62</v>
      </c>
      <c r="N885" s="97" t="s">
        <v>33</v>
      </c>
      <c r="O885">
        <v>2854</v>
      </c>
      <c r="P885">
        <v>0.95</v>
      </c>
      <c r="Q885">
        <v>2.71</v>
      </c>
      <c r="R885" s="97" t="s">
        <v>1202</v>
      </c>
      <c r="S885" s="97" t="s">
        <v>195</v>
      </c>
    </row>
    <row r="886" spans="1:19" x14ac:dyDescent="0.3">
      <c r="A886" s="97" t="s">
        <v>979</v>
      </c>
      <c r="B886" s="97" t="s">
        <v>22</v>
      </c>
      <c r="C886">
        <v>2026</v>
      </c>
      <c r="D886">
        <v>2</v>
      </c>
      <c r="E886" s="2">
        <v>46072</v>
      </c>
      <c r="F886" s="97" t="s">
        <v>7</v>
      </c>
      <c r="G886" s="97" t="s">
        <v>8</v>
      </c>
      <c r="H886" s="97" t="s">
        <v>74</v>
      </c>
      <c r="I886" s="97" t="s">
        <v>84</v>
      </c>
      <c r="J886" s="97" t="s">
        <v>85</v>
      </c>
      <c r="K886" s="97" t="s">
        <v>73</v>
      </c>
      <c r="L886">
        <v>701000</v>
      </c>
      <c r="M886" s="97" t="s">
        <v>62</v>
      </c>
      <c r="N886" s="97" t="s">
        <v>33</v>
      </c>
      <c r="O886">
        <v>1562</v>
      </c>
      <c r="P886">
        <v>0.95</v>
      </c>
      <c r="Q886">
        <v>1.49</v>
      </c>
      <c r="R886" s="97" t="s">
        <v>1199</v>
      </c>
      <c r="S886" s="97" t="s">
        <v>195</v>
      </c>
    </row>
    <row r="887" spans="1:19" x14ac:dyDescent="0.3">
      <c r="A887" s="97" t="s">
        <v>1000</v>
      </c>
      <c r="B887" s="97" t="s">
        <v>22</v>
      </c>
      <c r="C887">
        <v>2026</v>
      </c>
      <c r="D887">
        <v>2</v>
      </c>
      <c r="E887" s="2">
        <v>46072</v>
      </c>
      <c r="F887" s="97" t="s">
        <v>7</v>
      </c>
      <c r="G887" s="97" t="s">
        <v>8</v>
      </c>
      <c r="H887" s="97" t="s">
        <v>70</v>
      </c>
      <c r="I887" s="97" t="s">
        <v>71</v>
      </c>
      <c r="J887" s="97" t="s">
        <v>72</v>
      </c>
      <c r="K887" s="97" t="s">
        <v>73</v>
      </c>
      <c r="L887">
        <v>701000</v>
      </c>
      <c r="M887" s="97" t="s">
        <v>62</v>
      </c>
      <c r="N887" s="97" t="s">
        <v>33</v>
      </c>
      <c r="O887">
        <v>1737</v>
      </c>
      <c r="P887">
        <v>1.05</v>
      </c>
      <c r="Q887">
        <v>1.82</v>
      </c>
      <c r="R887" s="97" t="s">
        <v>1198</v>
      </c>
      <c r="S887" s="97" t="s">
        <v>195</v>
      </c>
    </row>
    <row r="888" spans="1:19" x14ac:dyDescent="0.3">
      <c r="A888" s="97" t="s">
        <v>1001</v>
      </c>
      <c r="B888" s="97" t="s">
        <v>22</v>
      </c>
      <c r="C888">
        <v>2026</v>
      </c>
      <c r="D888">
        <v>2</v>
      </c>
      <c r="E888" s="2">
        <v>46072</v>
      </c>
      <c r="F888" s="97" t="s">
        <v>7</v>
      </c>
      <c r="G888" s="97" t="s">
        <v>8</v>
      </c>
      <c r="H888" s="97" t="s">
        <v>70</v>
      </c>
      <c r="I888" s="97" t="s">
        <v>71</v>
      </c>
      <c r="J888" s="97" t="s">
        <v>72</v>
      </c>
      <c r="K888" s="97" t="s">
        <v>73</v>
      </c>
      <c r="L888">
        <v>701000</v>
      </c>
      <c r="M888" s="97" t="s">
        <v>62</v>
      </c>
      <c r="N888" s="97" t="s">
        <v>33</v>
      </c>
      <c r="O888">
        <v>964</v>
      </c>
      <c r="P888">
        <v>1.05</v>
      </c>
      <c r="Q888">
        <v>1.01</v>
      </c>
      <c r="R888" s="97" t="s">
        <v>1202</v>
      </c>
      <c r="S888" s="97" t="s">
        <v>195</v>
      </c>
    </row>
    <row r="889" spans="1:19" x14ac:dyDescent="0.3">
      <c r="A889" s="97" t="s">
        <v>1002</v>
      </c>
      <c r="B889" s="97" t="s">
        <v>22</v>
      </c>
      <c r="C889">
        <v>2026</v>
      </c>
      <c r="D889">
        <v>2</v>
      </c>
      <c r="E889" s="2">
        <v>46072</v>
      </c>
      <c r="F889" s="97" t="s">
        <v>7</v>
      </c>
      <c r="G889" s="97" t="s">
        <v>8</v>
      </c>
      <c r="H889" s="97" t="s">
        <v>70</v>
      </c>
      <c r="I889" s="97" t="s">
        <v>71</v>
      </c>
      <c r="J889" s="97" t="s">
        <v>72</v>
      </c>
      <c r="K889" s="97" t="s">
        <v>73</v>
      </c>
      <c r="L889">
        <v>701000</v>
      </c>
      <c r="M889" s="97" t="s">
        <v>62</v>
      </c>
      <c r="N889" s="97" t="s">
        <v>33</v>
      </c>
      <c r="O889">
        <v>1342</v>
      </c>
      <c r="P889">
        <v>1.05</v>
      </c>
      <c r="Q889">
        <v>1.41</v>
      </c>
      <c r="R889" s="97" t="s">
        <v>1199</v>
      </c>
      <c r="S889" s="97" t="s">
        <v>195</v>
      </c>
    </row>
    <row r="890" spans="1:19" x14ac:dyDescent="0.3">
      <c r="A890" s="97" t="s">
        <v>1003</v>
      </c>
      <c r="B890" s="97" t="s">
        <v>22</v>
      </c>
      <c r="C890">
        <v>2026</v>
      </c>
      <c r="D890">
        <v>2</v>
      </c>
      <c r="E890" s="2">
        <v>46072</v>
      </c>
      <c r="F890" s="97" t="s">
        <v>7</v>
      </c>
      <c r="G890" s="97" t="s">
        <v>8</v>
      </c>
      <c r="H890" s="97" t="s">
        <v>70</v>
      </c>
      <c r="I890" s="97" t="s">
        <v>71</v>
      </c>
      <c r="J890" s="97" t="s">
        <v>72</v>
      </c>
      <c r="K890" s="97" t="s">
        <v>73</v>
      </c>
      <c r="L890">
        <v>701000</v>
      </c>
      <c r="M890" s="97" t="s">
        <v>62</v>
      </c>
      <c r="N890" s="97" t="s">
        <v>33</v>
      </c>
      <c r="O890">
        <v>3803</v>
      </c>
      <c r="P890">
        <v>1.05</v>
      </c>
      <c r="Q890">
        <v>3.99</v>
      </c>
      <c r="R890" s="97" t="s">
        <v>1205</v>
      </c>
      <c r="S890" s="97" t="s">
        <v>195</v>
      </c>
    </row>
    <row r="891" spans="1:19" x14ac:dyDescent="0.3">
      <c r="A891" s="97" t="s">
        <v>1004</v>
      </c>
      <c r="B891" s="97" t="s">
        <v>22</v>
      </c>
      <c r="C891">
        <v>2026</v>
      </c>
      <c r="D891">
        <v>2</v>
      </c>
      <c r="E891" s="2">
        <v>46072</v>
      </c>
      <c r="F891" s="97" t="s">
        <v>7</v>
      </c>
      <c r="G891" s="97" t="s">
        <v>8</v>
      </c>
      <c r="H891" s="97" t="s">
        <v>70</v>
      </c>
      <c r="I891" s="97" t="s">
        <v>71</v>
      </c>
      <c r="J891" s="97" t="s">
        <v>72</v>
      </c>
      <c r="K891" s="97" t="s">
        <v>73</v>
      </c>
      <c r="L891">
        <v>701000</v>
      </c>
      <c r="M891" s="97" t="s">
        <v>62</v>
      </c>
      <c r="N891" s="97" t="s">
        <v>33</v>
      </c>
      <c r="O891">
        <v>923</v>
      </c>
      <c r="P891">
        <v>1.06</v>
      </c>
      <c r="Q891">
        <v>0.98</v>
      </c>
      <c r="R891" s="97" t="s">
        <v>1204</v>
      </c>
      <c r="S891" s="97" t="s">
        <v>195</v>
      </c>
    </row>
    <row r="892" spans="1:19" x14ac:dyDescent="0.3">
      <c r="A892" s="97" t="s">
        <v>1050</v>
      </c>
      <c r="B892" s="97" t="s">
        <v>22</v>
      </c>
      <c r="C892">
        <v>2026</v>
      </c>
      <c r="D892">
        <v>2</v>
      </c>
      <c r="E892" s="2">
        <v>46072</v>
      </c>
      <c r="F892" s="97" t="s">
        <v>7</v>
      </c>
      <c r="G892" s="97" t="s">
        <v>8</v>
      </c>
      <c r="H892" s="97" t="s">
        <v>74</v>
      </c>
      <c r="I892" s="97" t="s">
        <v>71</v>
      </c>
      <c r="J892" s="97" t="s">
        <v>72</v>
      </c>
      <c r="K892" s="97" t="s">
        <v>73</v>
      </c>
      <c r="L892">
        <v>701000</v>
      </c>
      <c r="M892" s="97" t="s">
        <v>62</v>
      </c>
      <c r="N892" s="97" t="s">
        <v>33</v>
      </c>
      <c r="O892">
        <v>1672</v>
      </c>
      <c r="P892">
        <v>1.05</v>
      </c>
      <c r="Q892">
        <v>1.75</v>
      </c>
      <c r="R892" s="97" t="s">
        <v>1205</v>
      </c>
      <c r="S892" s="97" t="s">
        <v>195</v>
      </c>
    </row>
    <row r="893" spans="1:19" x14ac:dyDescent="0.3">
      <c r="A893" s="97" t="s">
        <v>1051</v>
      </c>
      <c r="B893" s="97" t="s">
        <v>22</v>
      </c>
      <c r="C893">
        <v>2026</v>
      </c>
      <c r="D893">
        <v>2</v>
      </c>
      <c r="E893" s="2">
        <v>46072</v>
      </c>
      <c r="F893" s="97" t="s">
        <v>7</v>
      </c>
      <c r="G893" s="97" t="s">
        <v>8</v>
      </c>
      <c r="H893" s="97" t="s">
        <v>74</v>
      </c>
      <c r="I893" s="97" t="s">
        <v>71</v>
      </c>
      <c r="J893" s="97" t="s">
        <v>72</v>
      </c>
      <c r="K893" s="97" t="s">
        <v>73</v>
      </c>
      <c r="L893">
        <v>701000</v>
      </c>
      <c r="M893" s="97" t="s">
        <v>62</v>
      </c>
      <c r="N893" s="97" t="s">
        <v>33</v>
      </c>
      <c r="O893">
        <v>2460</v>
      </c>
      <c r="P893">
        <v>1.05</v>
      </c>
      <c r="Q893">
        <v>2.58</v>
      </c>
      <c r="R893" s="97" t="s">
        <v>1199</v>
      </c>
      <c r="S893" s="97" t="s">
        <v>195</v>
      </c>
    </row>
    <row r="894" spans="1:19" x14ac:dyDescent="0.3">
      <c r="A894" s="97" t="s">
        <v>1052</v>
      </c>
      <c r="B894" s="97" t="s">
        <v>22</v>
      </c>
      <c r="C894">
        <v>2026</v>
      </c>
      <c r="D894">
        <v>2</v>
      </c>
      <c r="E894" s="2">
        <v>46072</v>
      </c>
      <c r="F894" s="97" t="s">
        <v>7</v>
      </c>
      <c r="G894" s="97" t="s">
        <v>8</v>
      </c>
      <c r="H894" s="97" t="s">
        <v>74</v>
      </c>
      <c r="I894" s="97" t="s">
        <v>71</v>
      </c>
      <c r="J894" s="97" t="s">
        <v>72</v>
      </c>
      <c r="K894" s="97" t="s">
        <v>73</v>
      </c>
      <c r="L894">
        <v>701000</v>
      </c>
      <c r="M894" s="97" t="s">
        <v>62</v>
      </c>
      <c r="N894" s="97" t="s">
        <v>33</v>
      </c>
      <c r="O894">
        <v>1106</v>
      </c>
      <c r="P894">
        <v>1.05</v>
      </c>
      <c r="Q894">
        <v>1.1599999999999999</v>
      </c>
      <c r="R894" s="97" t="s">
        <v>1197</v>
      </c>
      <c r="S894" s="97" t="s">
        <v>195</v>
      </c>
    </row>
    <row r="895" spans="1:19" x14ac:dyDescent="0.3">
      <c r="A895" s="97" t="s">
        <v>1053</v>
      </c>
      <c r="B895" s="97" t="s">
        <v>22</v>
      </c>
      <c r="C895">
        <v>2026</v>
      </c>
      <c r="D895">
        <v>2</v>
      </c>
      <c r="E895" s="2">
        <v>46072</v>
      </c>
      <c r="F895" s="97" t="s">
        <v>7</v>
      </c>
      <c r="G895" s="97" t="s">
        <v>8</v>
      </c>
      <c r="H895" s="97" t="s">
        <v>74</v>
      </c>
      <c r="I895" s="97" t="s">
        <v>71</v>
      </c>
      <c r="J895" s="97" t="s">
        <v>72</v>
      </c>
      <c r="K895" s="97" t="s">
        <v>73</v>
      </c>
      <c r="L895">
        <v>701000</v>
      </c>
      <c r="M895" s="97" t="s">
        <v>62</v>
      </c>
      <c r="N895" s="97" t="s">
        <v>33</v>
      </c>
      <c r="O895">
        <v>1438</v>
      </c>
      <c r="P895">
        <v>1.05</v>
      </c>
      <c r="Q895">
        <v>1.51</v>
      </c>
      <c r="R895" s="97" t="s">
        <v>1200</v>
      </c>
      <c r="S895" s="97" t="s">
        <v>195</v>
      </c>
    </row>
    <row r="896" spans="1:19" x14ac:dyDescent="0.3">
      <c r="A896" s="97" t="s">
        <v>1054</v>
      </c>
      <c r="B896" s="97" t="s">
        <v>22</v>
      </c>
      <c r="C896">
        <v>2026</v>
      </c>
      <c r="D896">
        <v>2</v>
      </c>
      <c r="E896" s="2">
        <v>46072</v>
      </c>
      <c r="F896" s="97" t="s">
        <v>7</v>
      </c>
      <c r="G896" s="97" t="s">
        <v>8</v>
      </c>
      <c r="H896" s="97" t="s">
        <v>74</v>
      </c>
      <c r="I896" s="97" t="s">
        <v>71</v>
      </c>
      <c r="J896" s="97" t="s">
        <v>72</v>
      </c>
      <c r="K896" s="97" t="s">
        <v>73</v>
      </c>
      <c r="L896">
        <v>701000</v>
      </c>
      <c r="M896" s="97" t="s">
        <v>62</v>
      </c>
      <c r="N896" s="97" t="s">
        <v>33</v>
      </c>
      <c r="O896">
        <v>230</v>
      </c>
      <c r="P896">
        <v>1.0900000000000001</v>
      </c>
      <c r="Q896">
        <v>0.25</v>
      </c>
      <c r="R896" s="97" t="s">
        <v>1204</v>
      </c>
      <c r="S896" s="97" t="s">
        <v>195</v>
      </c>
    </row>
    <row r="897" spans="1:19" x14ac:dyDescent="0.3">
      <c r="A897" s="97" t="s">
        <v>1085</v>
      </c>
      <c r="B897" s="97" t="s">
        <v>22</v>
      </c>
      <c r="C897">
        <v>2026</v>
      </c>
      <c r="D897">
        <v>2</v>
      </c>
      <c r="E897" s="2">
        <v>46072</v>
      </c>
      <c r="F897" s="97" t="s">
        <v>7</v>
      </c>
      <c r="G897" s="97" t="s">
        <v>8</v>
      </c>
      <c r="H897" s="97" t="s">
        <v>74</v>
      </c>
      <c r="I897" s="97" t="s">
        <v>71</v>
      </c>
      <c r="J897" s="97" t="s">
        <v>72</v>
      </c>
      <c r="K897" s="97" t="s">
        <v>73</v>
      </c>
      <c r="L897">
        <v>701000</v>
      </c>
      <c r="M897" s="97" t="s">
        <v>62</v>
      </c>
      <c r="N897" s="97" t="s">
        <v>33</v>
      </c>
      <c r="O897">
        <v>2313</v>
      </c>
      <c r="P897">
        <v>1.05</v>
      </c>
      <c r="Q897">
        <v>2.4300000000000002</v>
      </c>
      <c r="R897" s="97" t="s">
        <v>1199</v>
      </c>
      <c r="S897" s="97" t="s">
        <v>195</v>
      </c>
    </row>
    <row r="898" spans="1:19" x14ac:dyDescent="0.3">
      <c r="A898" s="97" t="s">
        <v>1086</v>
      </c>
      <c r="B898" s="97" t="s">
        <v>22</v>
      </c>
      <c r="C898">
        <v>2026</v>
      </c>
      <c r="D898">
        <v>2</v>
      </c>
      <c r="E898" s="2">
        <v>46072</v>
      </c>
      <c r="F898" s="97" t="s">
        <v>7</v>
      </c>
      <c r="G898" s="97" t="s">
        <v>8</v>
      </c>
      <c r="H898" s="97" t="s">
        <v>74</v>
      </c>
      <c r="I898" s="97" t="s">
        <v>71</v>
      </c>
      <c r="J898" s="97" t="s">
        <v>72</v>
      </c>
      <c r="K898" s="97" t="s">
        <v>73</v>
      </c>
      <c r="L898">
        <v>701000</v>
      </c>
      <c r="M898" s="97" t="s">
        <v>62</v>
      </c>
      <c r="N898" s="97" t="s">
        <v>33</v>
      </c>
      <c r="O898">
        <v>1066</v>
      </c>
      <c r="P898">
        <v>1.05</v>
      </c>
      <c r="Q898">
        <v>1.1200000000000001</v>
      </c>
      <c r="R898" s="97" t="s">
        <v>1205</v>
      </c>
      <c r="S898" s="97" t="s">
        <v>195</v>
      </c>
    </row>
    <row r="899" spans="1:19" x14ac:dyDescent="0.3">
      <c r="A899" s="97" t="s">
        <v>1087</v>
      </c>
      <c r="B899" s="97" t="s">
        <v>22</v>
      </c>
      <c r="C899">
        <v>2026</v>
      </c>
      <c r="D899">
        <v>2</v>
      </c>
      <c r="E899" s="2">
        <v>46072</v>
      </c>
      <c r="F899" s="97" t="s">
        <v>7</v>
      </c>
      <c r="G899" s="97" t="s">
        <v>8</v>
      </c>
      <c r="H899" s="97" t="s">
        <v>74</v>
      </c>
      <c r="I899" s="97" t="s">
        <v>71</v>
      </c>
      <c r="J899" s="97" t="s">
        <v>72</v>
      </c>
      <c r="K899" s="97" t="s">
        <v>73</v>
      </c>
      <c r="L899">
        <v>701000</v>
      </c>
      <c r="M899" s="97" t="s">
        <v>62</v>
      </c>
      <c r="N899" s="97" t="s">
        <v>33</v>
      </c>
      <c r="O899">
        <v>3620</v>
      </c>
      <c r="P899">
        <v>1.05</v>
      </c>
      <c r="Q899">
        <v>3.8</v>
      </c>
      <c r="R899" s="97" t="s">
        <v>1200</v>
      </c>
      <c r="S899" s="97" t="s">
        <v>195</v>
      </c>
    </row>
    <row r="900" spans="1:19" x14ac:dyDescent="0.3">
      <c r="A900" s="97" t="s">
        <v>1088</v>
      </c>
      <c r="B900" s="97" t="s">
        <v>22</v>
      </c>
      <c r="C900">
        <v>2026</v>
      </c>
      <c r="D900">
        <v>2</v>
      </c>
      <c r="E900" s="2">
        <v>46072</v>
      </c>
      <c r="F900" s="97" t="s">
        <v>7</v>
      </c>
      <c r="G900" s="97" t="s">
        <v>8</v>
      </c>
      <c r="H900" s="97" t="s">
        <v>74</v>
      </c>
      <c r="I900" s="97" t="s">
        <v>71</v>
      </c>
      <c r="J900" s="97" t="s">
        <v>72</v>
      </c>
      <c r="K900" s="97" t="s">
        <v>73</v>
      </c>
      <c r="L900">
        <v>701000</v>
      </c>
      <c r="M900" s="97" t="s">
        <v>62</v>
      </c>
      <c r="N900" s="97" t="s">
        <v>33</v>
      </c>
      <c r="O900">
        <v>905</v>
      </c>
      <c r="P900">
        <v>1.05</v>
      </c>
      <c r="Q900">
        <v>0.95</v>
      </c>
      <c r="R900" s="97" t="s">
        <v>1197</v>
      </c>
      <c r="S900" s="97" t="s">
        <v>195</v>
      </c>
    </row>
    <row r="901" spans="1:19" x14ac:dyDescent="0.3">
      <c r="A901" s="97" t="s">
        <v>1089</v>
      </c>
      <c r="B901" s="97" t="s">
        <v>22</v>
      </c>
      <c r="C901">
        <v>2026</v>
      </c>
      <c r="D901">
        <v>2</v>
      </c>
      <c r="E901" s="2">
        <v>46072</v>
      </c>
      <c r="F901" s="97" t="s">
        <v>7</v>
      </c>
      <c r="G901" s="97" t="s">
        <v>8</v>
      </c>
      <c r="H901" s="97" t="s">
        <v>74</v>
      </c>
      <c r="I901" s="97" t="s">
        <v>71</v>
      </c>
      <c r="J901" s="97" t="s">
        <v>72</v>
      </c>
      <c r="K901" s="97" t="s">
        <v>73</v>
      </c>
      <c r="L901">
        <v>701000</v>
      </c>
      <c r="M901" s="97" t="s">
        <v>62</v>
      </c>
      <c r="N901" s="97" t="s">
        <v>33</v>
      </c>
      <c r="O901">
        <v>1239</v>
      </c>
      <c r="P901">
        <v>1.05</v>
      </c>
      <c r="Q901">
        <v>1.3</v>
      </c>
      <c r="R901" s="97" t="s">
        <v>1202</v>
      </c>
      <c r="S901" s="97" t="s">
        <v>195</v>
      </c>
    </row>
    <row r="902" spans="1:19" x14ac:dyDescent="0.3">
      <c r="A902" s="97" t="s">
        <v>1145</v>
      </c>
      <c r="B902" s="97" t="s">
        <v>22</v>
      </c>
      <c r="C902">
        <v>2026</v>
      </c>
      <c r="D902">
        <v>2</v>
      </c>
      <c r="E902" s="2">
        <v>46072</v>
      </c>
      <c r="F902" s="97" t="s">
        <v>7</v>
      </c>
      <c r="G902" s="97" t="s">
        <v>8</v>
      </c>
      <c r="H902" s="97" t="s">
        <v>70</v>
      </c>
      <c r="I902" s="97" t="s">
        <v>71</v>
      </c>
      <c r="J902" s="97" t="s">
        <v>72</v>
      </c>
      <c r="K902" s="97" t="s">
        <v>73</v>
      </c>
      <c r="L902">
        <v>701000</v>
      </c>
      <c r="M902" s="97" t="s">
        <v>62</v>
      </c>
      <c r="N902" s="97" t="s">
        <v>33</v>
      </c>
      <c r="O902">
        <v>1055</v>
      </c>
      <c r="P902">
        <v>1.05</v>
      </c>
      <c r="Q902">
        <v>1.1100000000000001</v>
      </c>
      <c r="R902" s="97" t="s">
        <v>1197</v>
      </c>
      <c r="S902" s="97" t="s">
        <v>195</v>
      </c>
    </row>
    <row r="903" spans="1:19" x14ac:dyDescent="0.3">
      <c r="A903" s="97" t="s">
        <v>1146</v>
      </c>
      <c r="B903" s="97" t="s">
        <v>22</v>
      </c>
      <c r="C903">
        <v>2026</v>
      </c>
      <c r="D903">
        <v>2</v>
      </c>
      <c r="E903" s="2">
        <v>46072</v>
      </c>
      <c r="F903" s="97" t="s">
        <v>7</v>
      </c>
      <c r="G903" s="97" t="s">
        <v>8</v>
      </c>
      <c r="H903" s="97" t="s">
        <v>70</v>
      </c>
      <c r="I903" s="97" t="s">
        <v>71</v>
      </c>
      <c r="J903" s="97" t="s">
        <v>72</v>
      </c>
      <c r="K903" s="97" t="s">
        <v>73</v>
      </c>
      <c r="L903">
        <v>701000</v>
      </c>
      <c r="M903" s="97" t="s">
        <v>62</v>
      </c>
      <c r="N903" s="97" t="s">
        <v>33</v>
      </c>
      <c r="O903">
        <v>1866</v>
      </c>
      <c r="P903">
        <v>1.05</v>
      </c>
      <c r="Q903">
        <v>1.96</v>
      </c>
      <c r="R903" s="97" t="s">
        <v>1199</v>
      </c>
      <c r="S903" s="97" t="s">
        <v>195</v>
      </c>
    </row>
    <row r="904" spans="1:19" x14ac:dyDescent="0.3">
      <c r="A904" s="97" t="s">
        <v>1147</v>
      </c>
      <c r="B904" s="97" t="s">
        <v>22</v>
      </c>
      <c r="C904">
        <v>2026</v>
      </c>
      <c r="D904">
        <v>2</v>
      </c>
      <c r="E904" s="2">
        <v>46072</v>
      </c>
      <c r="F904" s="97" t="s">
        <v>7</v>
      </c>
      <c r="G904" s="97" t="s">
        <v>8</v>
      </c>
      <c r="H904" s="97" t="s">
        <v>70</v>
      </c>
      <c r="I904" s="97" t="s">
        <v>71</v>
      </c>
      <c r="J904" s="97" t="s">
        <v>72</v>
      </c>
      <c r="K904" s="97" t="s">
        <v>73</v>
      </c>
      <c r="L904">
        <v>701000</v>
      </c>
      <c r="M904" s="97" t="s">
        <v>62</v>
      </c>
      <c r="N904" s="97" t="s">
        <v>33</v>
      </c>
      <c r="O904">
        <v>2719</v>
      </c>
      <c r="P904">
        <v>1.05</v>
      </c>
      <c r="Q904">
        <v>2.85</v>
      </c>
      <c r="R904" s="97" t="s">
        <v>1202</v>
      </c>
      <c r="S904" s="97" t="s">
        <v>195</v>
      </c>
    </row>
    <row r="905" spans="1:19" x14ac:dyDescent="0.3">
      <c r="A905" s="97" t="s">
        <v>1148</v>
      </c>
      <c r="B905" s="97" t="s">
        <v>22</v>
      </c>
      <c r="C905">
        <v>2026</v>
      </c>
      <c r="D905">
        <v>2</v>
      </c>
      <c r="E905" s="2">
        <v>46072</v>
      </c>
      <c r="F905" s="97" t="s">
        <v>7</v>
      </c>
      <c r="G905" s="97" t="s">
        <v>8</v>
      </c>
      <c r="H905" s="97" t="s">
        <v>70</v>
      </c>
      <c r="I905" s="97" t="s">
        <v>71</v>
      </c>
      <c r="J905" s="97" t="s">
        <v>72</v>
      </c>
      <c r="K905" s="97" t="s">
        <v>73</v>
      </c>
      <c r="L905">
        <v>701000</v>
      </c>
      <c r="M905" s="97" t="s">
        <v>62</v>
      </c>
      <c r="N905" s="97" t="s">
        <v>33</v>
      </c>
      <c r="O905">
        <v>1953</v>
      </c>
      <c r="P905">
        <v>1.05</v>
      </c>
      <c r="Q905">
        <v>2.0499999999999998</v>
      </c>
      <c r="R905" s="97" t="s">
        <v>1200</v>
      </c>
      <c r="S905" s="97" t="s">
        <v>195</v>
      </c>
    </row>
    <row r="906" spans="1:19" x14ac:dyDescent="0.3">
      <c r="A906" s="97" t="s">
        <v>1149</v>
      </c>
      <c r="B906" s="97" t="s">
        <v>22</v>
      </c>
      <c r="C906">
        <v>2026</v>
      </c>
      <c r="D906">
        <v>2</v>
      </c>
      <c r="E906" s="2">
        <v>46072</v>
      </c>
      <c r="F906" s="97" t="s">
        <v>7</v>
      </c>
      <c r="G906" s="97" t="s">
        <v>8</v>
      </c>
      <c r="H906" s="97" t="s">
        <v>70</v>
      </c>
      <c r="I906" s="97" t="s">
        <v>71</v>
      </c>
      <c r="J906" s="97" t="s">
        <v>72</v>
      </c>
      <c r="K906" s="97" t="s">
        <v>73</v>
      </c>
      <c r="L906">
        <v>701000</v>
      </c>
      <c r="M906" s="97" t="s">
        <v>62</v>
      </c>
      <c r="N906" s="97" t="s">
        <v>33</v>
      </c>
      <c r="O906">
        <v>1438</v>
      </c>
      <c r="P906">
        <v>1.05</v>
      </c>
      <c r="Q906">
        <v>1.51</v>
      </c>
      <c r="R906" s="97" t="s">
        <v>1201</v>
      </c>
      <c r="S906" s="97" t="s">
        <v>195</v>
      </c>
    </row>
    <row r="907" spans="1:19" x14ac:dyDescent="0.3">
      <c r="A907" s="97" t="s">
        <v>985</v>
      </c>
      <c r="B907" s="97" t="s">
        <v>22</v>
      </c>
      <c r="C907">
        <v>2026</v>
      </c>
      <c r="D907">
        <v>2</v>
      </c>
      <c r="E907" s="2">
        <v>46073</v>
      </c>
      <c r="F907" s="97" t="s">
        <v>7</v>
      </c>
      <c r="G907" s="97" t="s">
        <v>8</v>
      </c>
      <c r="H907" s="97" t="s">
        <v>74</v>
      </c>
      <c r="I907" s="97" t="s">
        <v>84</v>
      </c>
      <c r="J907" s="97" t="s">
        <v>85</v>
      </c>
      <c r="K907" s="97" t="s">
        <v>73</v>
      </c>
      <c r="L907">
        <v>707000</v>
      </c>
      <c r="M907" s="97" t="s">
        <v>81</v>
      </c>
      <c r="N907" s="97" t="s">
        <v>33</v>
      </c>
      <c r="O907">
        <v>2621</v>
      </c>
      <c r="P907">
        <v>0.95</v>
      </c>
      <c r="Q907">
        <v>2.4900000000000002</v>
      </c>
      <c r="R907" s="97" t="s">
        <v>1199</v>
      </c>
      <c r="S907" s="97" t="s">
        <v>195</v>
      </c>
    </row>
    <row r="908" spans="1:19" x14ac:dyDescent="0.3">
      <c r="A908" s="97" t="s">
        <v>986</v>
      </c>
      <c r="B908" s="97" t="s">
        <v>22</v>
      </c>
      <c r="C908">
        <v>2026</v>
      </c>
      <c r="D908">
        <v>2</v>
      </c>
      <c r="E908" s="2">
        <v>46073</v>
      </c>
      <c r="F908" s="97" t="s">
        <v>7</v>
      </c>
      <c r="G908" s="97" t="s">
        <v>8</v>
      </c>
      <c r="H908" s="97" t="s">
        <v>74</v>
      </c>
      <c r="I908" s="97" t="s">
        <v>84</v>
      </c>
      <c r="J908" s="97" t="s">
        <v>85</v>
      </c>
      <c r="K908" s="97" t="s">
        <v>73</v>
      </c>
      <c r="L908">
        <v>707000</v>
      </c>
      <c r="M908" s="97" t="s">
        <v>81</v>
      </c>
      <c r="N908" s="97" t="s">
        <v>33</v>
      </c>
      <c r="O908">
        <v>2033</v>
      </c>
      <c r="P908">
        <v>0.95</v>
      </c>
      <c r="Q908">
        <v>1.93</v>
      </c>
      <c r="R908" s="97" t="s">
        <v>1200</v>
      </c>
      <c r="S908" s="97" t="s">
        <v>195</v>
      </c>
    </row>
    <row r="909" spans="1:19" x14ac:dyDescent="0.3">
      <c r="A909" s="97" t="s">
        <v>987</v>
      </c>
      <c r="B909" s="97" t="s">
        <v>22</v>
      </c>
      <c r="C909">
        <v>2026</v>
      </c>
      <c r="D909">
        <v>2</v>
      </c>
      <c r="E909" s="2">
        <v>46073</v>
      </c>
      <c r="F909" s="97" t="s">
        <v>7</v>
      </c>
      <c r="G909" s="97" t="s">
        <v>8</v>
      </c>
      <c r="H909" s="97" t="s">
        <v>74</v>
      </c>
      <c r="I909" s="97" t="s">
        <v>84</v>
      </c>
      <c r="J909" s="97" t="s">
        <v>85</v>
      </c>
      <c r="K909" s="97" t="s">
        <v>73</v>
      </c>
      <c r="L909">
        <v>707000</v>
      </c>
      <c r="M909" s="97" t="s">
        <v>81</v>
      </c>
      <c r="N909" s="97" t="s">
        <v>33</v>
      </c>
      <c r="O909">
        <v>8636</v>
      </c>
      <c r="P909">
        <v>0.95</v>
      </c>
      <c r="Q909">
        <v>8.2100000000000009</v>
      </c>
      <c r="R909" s="97" t="s">
        <v>1202</v>
      </c>
      <c r="S909" s="97" t="s">
        <v>195</v>
      </c>
    </row>
    <row r="910" spans="1:19" x14ac:dyDescent="0.3">
      <c r="A910" s="97" t="s">
        <v>988</v>
      </c>
      <c r="B910" s="97" t="s">
        <v>22</v>
      </c>
      <c r="C910">
        <v>2026</v>
      </c>
      <c r="D910">
        <v>2</v>
      </c>
      <c r="E910" s="2">
        <v>46073</v>
      </c>
      <c r="F910" s="97" t="s">
        <v>7</v>
      </c>
      <c r="G910" s="97" t="s">
        <v>8</v>
      </c>
      <c r="H910" s="97" t="s">
        <v>74</v>
      </c>
      <c r="I910" s="97" t="s">
        <v>84</v>
      </c>
      <c r="J910" s="97" t="s">
        <v>85</v>
      </c>
      <c r="K910" s="97" t="s">
        <v>73</v>
      </c>
      <c r="L910">
        <v>707000</v>
      </c>
      <c r="M910" s="97" t="s">
        <v>81</v>
      </c>
      <c r="N910" s="97" t="s">
        <v>33</v>
      </c>
      <c r="O910">
        <v>4005</v>
      </c>
      <c r="P910">
        <v>0.95</v>
      </c>
      <c r="Q910">
        <v>3.8</v>
      </c>
      <c r="R910" s="97" t="s">
        <v>1204</v>
      </c>
      <c r="S910" s="97" t="s">
        <v>195</v>
      </c>
    </row>
    <row r="911" spans="1:19" x14ac:dyDescent="0.3">
      <c r="A911" s="97" t="s">
        <v>989</v>
      </c>
      <c r="B911" s="97" t="s">
        <v>22</v>
      </c>
      <c r="C911">
        <v>2026</v>
      </c>
      <c r="D911">
        <v>2</v>
      </c>
      <c r="E911" s="2">
        <v>46073</v>
      </c>
      <c r="F911" s="97" t="s">
        <v>7</v>
      </c>
      <c r="G911" s="97" t="s">
        <v>8</v>
      </c>
      <c r="H911" s="97" t="s">
        <v>74</v>
      </c>
      <c r="I911" s="97" t="s">
        <v>84</v>
      </c>
      <c r="J911" s="97" t="s">
        <v>85</v>
      </c>
      <c r="K911" s="97" t="s">
        <v>73</v>
      </c>
      <c r="L911">
        <v>707000</v>
      </c>
      <c r="M911" s="97" t="s">
        <v>81</v>
      </c>
      <c r="N911" s="97" t="s">
        <v>33</v>
      </c>
      <c r="O911">
        <v>2912</v>
      </c>
      <c r="P911">
        <v>0.95</v>
      </c>
      <c r="Q911">
        <v>2.77</v>
      </c>
      <c r="R911" s="97" t="s">
        <v>1197</v>
      </c>
      <c r="S911" s="97" t="s">
        <v>195</v>
      </c>
    </row>
    <row r="912" spans="1:19" x14ac:dyDescent="0.3">
      <c r="A912" s="97" t="s">
        <v>1040</v>
      </c>
      <c r="B912" s="97" t="s">
        <v>22</v>
      </c>
      <c r="C912">
        <v>2026</v>
      </c>
      <c r="D912">
        <v>2</v>
      </c>
      <c r="E912" s="2">
        <v>46073</v>
      </c>
      <c r="F912" s="97" t="s">
        <v>7</v>
      </c>
      <c r="G912" s="97" t="s">
        <v>8</v>
      </c>
      <c r="H912" s="97" t="s">
        <v>74</v>
      </c>
      <c r="I912" s="97" t="s">
        <v>71</v>
      </c>
      <c r="J912" s="97" t="s">
        <v>72</v>
      </c>
      <c r="K912" s="97" t="s">
        <v>73</v>
      </c>
      <c r="L912">
        <v>701000</v>
      </c>
      <c r="M912" s="97" t="s">
        <v>62</v>
      </c>
      <c r="N912" s="97" t="s">
        <v>33</v>
      </c>
      <c r="O912">
        <v>1977</v>
      </c>
      <c r="P912">
        <v>1.05</v>
      </c>
      <c r="Q912">
        <v>2.08</v>
      </c>
      <c r="R912" s="97" t="s">
        <v>1205</v>
      </c>
      <c r="S912" s="97" t="s">
        <v>195</v>
      </c>
    </row>
    <row r="913" spans="1:19" x14ac:dyDescent="0.3">
      <c r="A913" s="97" t="s">
        <v>1041</v>
      </c>
      <c r="B913" s="97" t="s">
        <v>22</v>
      </c>
      <c r="C913">
        <v>2026</v>
      </c>
      <c r="D913">
        <v>2</v>
      </c>
      <c r="E913" s="2">
        <v>46073</v>
      </c>
      <c r="F913" s="97" t="s">
        <v>7</v>
      </c>
      <c r="G913" s="97" t="s">
        <v>8</v>
      </c>
      <c r="H913" s="97" t="s">
        <v>74</v>
      </c>
      <c r="I913" s="97" t="s">
        <v>71</v>
      </c>
      <c r="J913" s="97" t="s">
        <v>72</v>
      </c>
      <c r="K913" s="97" t="s">
        <v>73</v>
      </c>
      <c r="L913">
        <v>701000</v>
      </c>
      <c r="M913" s="97" t="s">
        <v>62</v>
      </c>
      <c r="N913" s="97" t="s">
        <v>33</v>
      </c>
      <c r="O913">
        <v>1511</v>
      </c>
      <c r="P913">
        <v>1.05</v>
      </c>
      <c r="Q913">
        <v>1.59</v>
      </c>
      <c r="R913" s="97" t="s">
        <v>1199</v>
      </c>
      <c r="S913" s="97" t="s">
        <v>195</v>
      </c>
    </row>
    <row r="914" spans="1:19" x14ac:dyDescent="0.3">
      <c r="A914" s="97" t="s">
        <v>1042</v>
      </c>
      <c r="B914" s="97" t="s">
        <v>22</v>
      </c>
      <c r="C914">
        <v>2026</v>
      </c>
      <c r="D914">
        <v>2</v>
      </c>
      <c r="E914" s="2">
        <v>46073</v>
      </c>
      <c r="F914" s="97" t="s">
        <v>7</v>
      </c>
      <c r="G914" s="97" t="s">
        <v>8</v>
      </c>
      <c r="H914" s="97" t="s">
        <v>74</v>
      </c>
      <c r="I914" s="97" t="s">
        <v>71</v>
      </c>
      <c r="J914" s="97" t="s">
        <v>72</v>
      </c>
      <c r="K914" s="97" t="s">
        <v>73</v>
      </c>
      <c r="L914">
        <v>701000</v>
      </c>
      <c r="M914" s="97" t="s">
        <v>62</v>
      </c>
      <c r="N914" s="97" t="s">
        <v>33</v>
      </c>
      <c r="O914">
        <v>967</v>
      </c>
      <c r="P914">
        <v>1.05</v>
      </c>
      <c r="Q914">
        <v>1.02</v>
      </c>
      <c r="R914" s="97" t="s">
        <v>1198</v>
      </c>
      <c r="S914" s="97" t="s">
        <v>195</v>
      </c>
    </row>
    <row r="915" spans="1:19" x14ac:dyDescent="0.3">
      <c r="A915" s="97" t="s">
        <v>1043</v>
      </c>
      <c r="B915" s="97" t="s">
        <v>22</v>
      </c>
      <c r="C915">
        <v>2026</v>
      </c>
      <c r="D915">
        <v>2</v>
      </c>
      <c r="E915" s="2">
        <v>46073</v>
      </c>
      <c r="F915" s="97" t="s">
        <v>7</v>
      </c>
      <c r="G915" s="97" t="s">
        <v>8</v>
      </c>
      <c r="H915" s="97" t="s">
        <v>74</v>
      </c>
      <c r="I915" s="97" t="s">
        <v>71</v>
      </c>
      <c r="J915" s="97" t="s">
        <v>72</v>
      </c>
      <c r="K915" s="97" t="s">
        <v>73</v>
      </c>
      <c r="L915">
        <v>701000</v>
      </c>
      <c r="M915" s="97" t="s">
        <v>62</v>
      </c>
      <c r="N915" s="97" t="s">
        <v>33</v>
      </c>
      <c r="O915">
        <v>2293</v>
      </c>
      <c r="P915">
        <v>1.05</v>
      </c>
      <c r="Q915">
        <v>2.41</v>
      </c>
      <c r="R915" s="97" t="s">
        <v>1197</v>
      </c>
      <c r="S915" s="97" t="s">
        <v>195</v>
      </c>
    </row>
    <row r="916" spans="1:19" x14ac:dyDescent="0.3">
      <c r="A916" s="97" t="s">
        <v>1044</v>
      </c>
      <c r="B916" s="97" t="s">
        <v>22</v>
      </c>
      <c r="C916">
        <v>2026</v>
      </c>
      <c r="D916">
        <v>2</v>
      </c>
      <c r="E916" s="2">
        <v>46073</v>
      </c>
      <c r="F916" s="97" t="s">
        <v>7</v>
      </c>
      <c r="G916" s="97" t="s">
        <v>8</v>
      </c>
      <c r="H916" s="97" t="s">
        <v>74</v>
      </c>
      <c r="I916" s="97" t="s">
        <v>71</v>
      </c>
      <c r="J916" s="97" t="s">
        <v>72</v>
      </c>
      <c r="K916" s="97" t="s">
        <v>73</v>
      </c>
      <c r="L916">
        <v>701000</v>
      </c>
      <c r="M916" s="97" t="s">
        <v>62</v>
      </c>
      <c r="N916" s="97" t="s">
        <v>33</v>
      </c>
      <c r="O916">
        <v>2130</v>
      </c>
      <c r="P916">
        <v>1.04</v>
      </c>
      <c r="Q916">
        <v>2.2200000000000002</v>
      </c>
      <c r="R916" s="97" t="s">
        <v>1202</v>
      </c>
      <c r="S916" s="97" t="s">
        <v>195</v>
      </c>
    </row>
    <row r="917" spans="1:19" x14ac:dyDescent="0.3">
      <c r="A917" s="97" t="s">
        <v>930</v>
      </c>
      <c r="B917" s="97" t="s">
        <v>22</v>
      </c>
      <c r="C917">
        <v>2026</v>
      </c>
      <c r="D917">
        <v>2</v>
      </c>
      <c r="E917" s="2">
        <v>46074</v>
      </c>
      <c r="F917" s="97" t="s">
        <v>7</v>
      </c>
      <c r="G917" s="97" t="s">
        <v>8</v>
      </c>
      <c r="H917" s="97" t="s">
        <v>70</v>
      </c>
      <c r="I917" s="97" t="s">
        <v>84</v>
      </c>
      <c r="J917" s="97" t="s">
        <v>85</v>
      </c>
      <c r="K917" s="97" t="s">
        <v>73</v>
      </c>
      <c r="L917">
        <v>701000</v>
      </c>
      <c r="M917" s="97" t="s">
        <v>62</v>
      </c>
      <c r="N917" s="97" t="s">
        <v>33</v>
      </c>
      <c r="O917">
        <v>1055</v>
      </c>
      <c r="P917">
        <v>0.95</v>
      </c>
      <c r="Q917">
        <v>1</v>
      </c>
      <c r="R917" s="97" t="s">
        <v>1201</v>
      </c>
      <c r="S917" s="97" t="s">
        <v>195</v>
      </c>
    </row>
    <row r="918" spans="1:19" x14ac:dyDescent="0.3">
      <c r="A918" s="97" t="s">
        <v>931</v>
      </c>
      <c r="B918" s="97" t="s">
        <v>22</v>
      </c>
      <c r="C918">
        <v>2026</v>
      </c>
      <c r="D918">
        <v>2</v>
      </c>
      <c r="E918" s="2">
        <v>46074</v>
      </c>
      <c r="F918" s="97" t="s">
        <v>7</v>
      </c>
      <c r="G918" s="97" t="s">
        <v>8</v>
      </c>
      <c r="H918" s="97" t="s">
        <v>70</v>
      </c>
      <c r="I918" s="97" t="s">
        <v>84</v>
      </c>
      <c r="J918" s="97" t="s">
        <v>85</v>
      </c>
      <c r="K918" s="97" t="s">
        <v>73</v>
      </c>
      <c r="L918">
        <v>701000</v>
      </c>
      <c r="M918" s="97" t="s">
        <v>62</v>
      </c>
      <c r="N918" s="97" t="s">
        <v>33</v>
      </c>
      <c r="O918">
        <v>7899</v>
      </c>
      <c r="P918">
        <v>0.95</v>
      </c>
      <c r="Q918">
        <v>7.5</v>
      </c>
      <c r="R918" s="97" t="s">
        <v>1200</v>
      </c>
      <c r="S918" s="97" t="s">
        <v>195</v>
      </c>
    </row>
    <row r="919" spans="1:19" x14ac:dyDescent="0.3">
      <c r="A919" s="97" t="s">
        <v>932</v>
      </c>
      <c r="B919" s="97" t="s">
        <v>22</v>
      </c>
      <c r="C919">
        <v>2026</v>
      </c>
      <c r="D919">
        <v>2</v>
      </c>
      <c r="E919" s="2">
        <v>46074</v>
      </c>
      <c r="F919" s="97" t="s">
        <v>7</v>
      </c>
      <c r="G919" s="97" t="s">
        <v>8</v>
      </c>
      <c r="H919" s="97" t="s">
        <v>70</v>
      </c>
      <c r="I919" s="97" t="s">
        <v>84</v>
      </c>
      <c r="J919" s="97" t="s">
        <v>85</v>
      </c>
      <c r="K919" s="97" t="s">
        <v>73</v>
      </c>
      <c r="L919">
        <v>701000</v>
      </c>
      <c r="M919" s="97" t="s">
        <v>62</v>
      </c>
      <c r="N919" s="97" t="s">
        <v>33</v>
      </c>
      <c r="O919">
        <v>1294</v>
      </c>
      <c r="P919">
        <v>0.95</v>
      </c>
      <c r="Q919">
        <v>1.23</v>
      </c>
      <c r="R919" s="97" t="s">
        <v>1205</v>
      </c>
      <c r="S919" s="97" t="s">
        <v>195</v>
      </c>
    </row>
    <row r="920" spans="1:19" x14ac:dyDescent="0.3">
      <c r="A920" s="97" t="s">
        <v>933</v>
      </c>
      <c r="B920" s="97" t="s">
        <v>22</v>
      </c>
      <c r="C920">
        <v>2026</v>
      </c>
      <c r="D920">
        <v>2</v>
      </c>
      <c r="E920" s="2">
        <v>46074</v>
      </c>
      <c r="F920" s="97" t="s">
        <v>7</v>
      </c>
      <c r="G920" s="97" t="s">
        <v>8</v>
      </c>
      <c r="H920" s="97" t="s">
        <v>70</v>
      </c>
      <c r="I920" s="97" t="s">
        <v>84</v>
      </c>
      <c r="J920" s="97" t="s">
        <v>85</v>
      </c>
      <c r="K920" s="97" t="s">
        <v>73</v>
      </c>
      <c r="L920">
        <v>701000</v>
      </c>
      <c r="M920" s="97" t="s">
        <v>62</v>
      </c>
      <c r="N920" s="97" t="s">
        <v>33</v>
      </c>
      <c r="O920">
        <v>2915</v>
      </c>
      <c r="P920">
        <v>0.95</v>
      </c>
      <c r="Q920">
        <v>2.77</v>
      </c>
      <c r="R920" s="97" t="s">
        <v>1197</v>
      </c>
      <c r="S920" s="97" t="s">
        <v>195</v>
      </c>
    </row>
    <row r="921" spans="1:19" x14ac:dyDescent="0.3">
      <c r="A921" s="97" t="s">
        <v>934</v>
      </c>
      <c r="B921" s="97" t="s">
        <v>22</v>
      </c>
      <c r="C921">
        <v>2026</v>
      </c>
      <c r="D921">
        <v>2</v>
      </c>
      <c r="E921" s="2">
        <v>46074</v>
      </c>
      <c r="F921" s="97" t="s">
        <v>7</v>
      </c>
      <c r="G921" s="97" t="s">
        <v>8</v>
      </c>
      <c r="H921" s="97" t="s">
        <v>70</v>
      </c>
      <c r="I921" s="97" t="s">
        <v>84</v>
      </c>
      <c r="J921" s="97" t="s">
        <v>85</v>
      </c>
      <c r="K921" s="97" t="s">
        <v>73</v>
      </c>
      <c r="L921">
        <v>701000</v>
      </c>
      <c r="M921" s="97" t="s">
        <v>62</v>
      </c>
      <c r="N921" s="97" t="s">
        <v>33</v>
      </c>
      <c r="O921">
        <v>3489</v>
      </c>
      <c r="P921">
        <v>0.95</v>
      </c>
      <c r="Q921">
        <v>3.32</v>
      </c>
      <c r="R921" s="97" t="s">
        <v>1203</v>
      </c>
      <c r="S921" s="97" t="s">
        <v>195</v>
      </c>
    </row>
    <row r="922" spans="1:19" x14ac:dyDescent="0.3">
      <c r="A922" s="97" t="s">
        <v>965</v>
      </c>
      <c r="B922" s="97" t="s">
        <v>22</v>
      </c>
      <c r="C922">
        <v>2026</v>
      </c>
      <c r="D922">
        <v>2</v>
      </c>
      <c r="E922" s="2">
        <v>46074</v>
      </c>
      <c r="F922" s="97" t="s">
        <v>7</v>
      </c>
      <c r="G922" s="97" t="s">
        <v>8</v>
      </c>
      <c r="H922" s="97" t="s">
        <v>70</v>
      </c>
      <c r="I922" s="97" t="s">
        <v>84</v>
      </c>
      <c r="J922" s="97" t="s">
        <v>85</v>
      </c>
      <c r="K922" s="97" t="s">
        <v>73</v>
      </c>
      <c r="L922">
        <v>706000</v>
      </c>
      <c r="M922" s="97" t="s">
        <v>63</v>
      </c>
      <c r="N922" s="97" t="s">
        <v>33</v>
      </c>
      <c r="O922">
        <v>3066</v>
      </c>
      <c r="P922">
        <v>0.95</v>
      </c>
      <c r="Q922">
        <v>2.91</v>
      </c>
      <c r="R922" s="97" t="s">
        <v>1198</v>
      </c>
      <c r="S922" s="97" t="s">
        <v>195</v>
      </c>
    </row>
    <row r="923" spans="1:19" x14ac:dyDescent="0.3">
      <c r="A923" s="97" t="s">
        <v>966</v>
      </c>
      <c r="B923" s="97" t="s">
        <v>22</v>
      </c>
      <c r="C923">
        <v>2026</v>
      </c>
      <c r="D923">
        <v>2</v>
      </c>
      <c r="E923" s="2">
        <v>46074</v>
      </c>
      <c r="F923" s="97" t="s">
        <v>7</v>
      </c>
      <c r="G923" s="97" t="s">
        <v>8</v>
      </c>
      <c r="H923" s="97" t="s">
        <v>70</v>
      </c>
      <c r="I923" s="97" t="s">
        <v>84</v>
      </c>
      <c r="J923" s="97" t="s">
        <v>85</v>
      </c>
      <c r="K923" s="97" t="s">
        <v>73</v>
      </c>
      <c r="L923">
        <v>706000</v>
      </c>
      <c r="M923" s="97" t="s">
        <v>63</v>
      </c>
      <c r="N923" s="97" t="s">
        <v>33</v>
      </c>
      <c r="O923">
        <v>6292</v>
      </c>
      <c r="P923">
        <v>0.95</v>
      </c>
      <c r="Q923">
        <v>5.98</v>
      </c>
      <c r="R923" s="97" t="s">
        <v>1202</v>
      </c>
      <c r="S923" s="97" t="s">
        <v>195</v>
      </c>
    </row>
    <row r="924" spans="1:19" x14ac:dyDescent="0.3">
      <c r="A924" s="97" t="s">
        <v>967</v>
      </c>
      <c r="B924" s="97" t="s">
        <v>22</v>
      </c>
      <c r="C924">
        <v>2026</v>
      </c>
      <c r="D924">
        <v>2</v>
      </c>
      <c r="E924" s="2">
        <v>46074</v>
      </c>
      <c r="F924" s="97" t="s">
        <v>7</v>
      </c>
      <c r="G924" s="97" t="s">
        <v>8</v>
      </c>
      <c r="H924" s="97" t="s">
        <v>70</v>
      </c>
      <c r="I924" s="97" t="s">
        <v>84</v>
      </c>
      <c r="J924" s="97" t="s">
        <v>85</v>
      </c>
      <c r="K924" s="97" t="s">
        <v>73</v>
      </c>
      <c r="L924">
        <v>706000</v>
      </c>
      <c r="M924" s="97" t="s">
        <v>63</v>
      </c>
      <c r="N924" s="97" t="s">
        <v>33</v>
      </c>
      <c r="O924">
        <v>1659</v>
      </c>
      <c r="P924">
        <v>0.95</v>
      </c>
      <c r="Q924">
        <v>1.58</v>
      </c>
      <c r="R924" s="97" t="s">
        <v>1197</v>
      </c>
      <c r="S924" s="97" t="s">
        <v>195</v>
      </c>
    </row>
    <row r="925" spans="1:19" x14ac:dyDescent="0.3">
      <c r="A925" s="97" t="s">
        <v>968</v>
      </c>
      <c r="B925" s="97" t="s">
        <v>22</v>
      </c>
      <c r="C925">
        <v>2026</v>
      </c>
      <c r="D925">
        <v>2</v>
      </c>
      <c r="E925" s="2">
        <v>46074</v>
      </c>
      <c r="F925" s="97" t="s">
        <v>7</v>
      </c>
      <c r="G925" s="97" t="s">
        <v>8</v>
      </c>
      <c r="H925" s="97" t="s">
        <v>70</v>
      </c>
      <c r="I925" s="97" t="s">
        <v>84</v>
      </c>
      <c r="J925" s="97" t="s">
        <v>85</v>
      </c>
      <c r="K925" s="97" t="s">
        <v>73</v>
      </c>
      <c r="L925">
        <v>706000</v>
      </c>
      <c r="M925" s="97" t="s">
        <v>63</v>
      </c>
      <c r="N925" s="97" t="s">
        <v>33</v>
      </c>
      <c r="O925">
        <v>4957</v>
      </c>
      <c r="P925">
        <v>0.95</v>
      </c>
      <c r="Q925">
        <v>4.71</v>
      </c>
      <c r="R925" s="97" t="s">
        <v>1199</v>
      </c>
      <c r="S925" s="97" t="s">
        <v>195</v>
      </c>
    </row>
    <row r="926" spans="1:19" x14ac:dyDescent="0.3">
      <c r="A926" s="97" t="s">
        <v>969</v>
      </c>
      <c r="B926" s="97" t="s">
        <v>22</v>
      </c>
      <c r="C926">
        <v>2026</v>
      </c>
      <c r="D926">
        <v>2</v>
      </c>
      <c r="E926" s="2">
        <v>46074</v>
      </c>
      <c r="F926" s="97" t="s">
        <v>7</v>
      </c>
      <c r="G926" s="97" t="s">
        <v>8</v>
      </c>
      <c r="H926" s="97" t="s">
        <v>70</v>
      </c>
      <c r="I926" s="97" t="s">
        <v>84</v>
      </c>
      <c r="J926" s="97" t="s">
        <v>85</v>
      </c>
      <c r="K926" s="97" t="s">
        <v>73</v>
      </c>
      <c r="L926">
        <v>706000</v>
      </c>
      <c r="M926" s="97" t="s">
        <v>63</v>
      </c>
      <c r="N926" s="97" t="s">
        <v>33</v>
      </c>
      <c r="O926">
        <v>1744</v>
      </c>
      <c r="P926">
        <v>0.95</v>
      </c>
      <c r="Q926">
        <v>1.65</v>
      </c>
      <c r="R926" s="97" t="s">
        <v>1204</v>
      </c>
      <c r="S926" s="97" t="s">
        <v>195</v>
      </c>
    </row>
    <row r="927" spans="1:19" x14ac:dyDescent="0.3">
      <c r="A927" s="97" t="s">
        <v>1090</v>
      </c>
      <c r="B927" s="97" t="s">
        <v>22</v>
      </c>
      <c r="C927">
        <v>2026</v>
      </c>
      <c r="D927">
        <v>2</v>
      </c>
      <c r="E927" s="2">
        <v>46074</v>
      </c>
      <c r="F927" s="97" t="s">
        <v>7</v>
      </c>
      <c r="G927" s="97" t="s">
        <v>8</v>
      </c>
      <c r="H927" s="97" t="s">
        <v>70</v>
      </c>
      <c r="I927" s="97" t="s">
        <v>71</v>
      </c>
      <c r="J927" s="97" t="s">
        <v>72</v>
      </c>
      <c r="K927" s="97" t="s">
        <v>73</v>
      </c>
      <c r="L927">
        <v>701000</v>
      </c>
      <c r="M927" s="97" t="s">
        <v>62</v>
      </c>
      <c r="N927" s="97" t="s">
        <v>33</v>
      </c>
      <c r="O927">
        <v>367</v>
      </c>
      <c r="P927">
        <v>1.06</v>
      </c>
      <c r="Q927">
        <v>0.39</v>
      </c>
      <c r="R927" s="97" t="s">
        <v>1205</v>
      </c>
      <c r="S927" s="97" t="s">
        <v>195</v>
      </c>
    </row>
    <row r="928" spans="1:19" x14ac:dyDescent="0.3">
      <c r="A928" s="97" t="s">
        <v>1091</v>
      </c>
      <c r="B928" s="97" t="s">
        <v>22</v>
      </c>
      <c r="C928">
        <v>2026</v>
      </c>
      <c r="D928">
        <v>2</v>
      </c>
      <c r="E928" s="2">
        <v>46074</v>
      </c>
      <c r="F928" s="97" t="s">
        <v>7</v>
      </c>
      <c r="G928" s="97" t="s">
        <v>8</v>
      </c>
      <c r="H928" s="97" t="s">
        <v>70</v>
      </c>
      <c r="I928" s="97" t="s">
        <v>71</v>
      </c>
      <c r="J928" s="97" t="s">
        <v>72</v>
      </c>
      <c r="K928" s="97" t="s">
        <v>73</v>
      </c>
      <c r="L928">
        <v>701000</v>
      </c>
      <c r="M928" s="97" t="s">
        <v>62</v>
      </c>
      <c r="N928" s="97" t="s">
        <v>33</v>
      </c>
      <c r="O928">
        <v>1096</v>
      </c>
      <c r="P928">
        <v>1.05</v>
      </c>
      <c r="Q928">
        <v>1.1499999999999999</v>
      </c>
      <c r="R928" s="97" t="s">
        <v>1201</v>
      </c>
      <c r="S928" s="97" t="s">
        <v>195</v>
      </c>
    </row>
    <row r="929" spans="1:19" x14ac:dyDescent="0.3">
      <c r="A929" s="97" t="s">
        <v>1092</v>
      </c>
      <c r="B929" s="97" t="s">
        <v>22</v>
      </c>
      <c r="C929">
        <v>2026</v>
      </c>
      <c r="D929">
        <v>2</v>
      </c>
      <c r="E929" s="2">
        <v>46074</v>
      </c>
      <c r="F929" s="97" t="s">
        <v>7</v>
      </c>
      <c r="G929" s="97" t="s">
        <v>8</v>
      </c>
      <c r="H929" s="97" t="s">
        <v>70</v>
      </c>
      <c r="I929" s="97" t="s">
        <v>71</v>
      </c>
      <c r="J929" s="97" t="s">
        <v>72</v>
      </c>
      <c r="K929" s="97" t="s">
        <v>73</v>
      </c>
      <c r="L929">
        <v>701000</v>
      </c>
      <c r="M929" s="97" t="s">
        <v>62</v>
      </c>
      <c r="N929" s="97" t="s">
        <v>33</v>
      </c>
      <c r="O929">
        <v>2038</v>
      </c>
      <c r="P929">
        <v>1.05</v>
      </c>
      <c r="Q929">
        <v>2.14</v>
      </c>
      <c r="R929" s="97" t="s">
        <v>1202</v>
      </c>
      <c r="S929" s="97" t="s">
        <v>195</v>
      </c>
    </row>
    <row r="930" spans="1:19" x14ac:dyDescent="0.3">
      <c r="A930" s="97" t="s">
        <v>1093</v>
      </c>
      <c r="B930" s="97" t="s">
        <v>22</v>
      </c>
      <c r="C930">
        <v>2026</v>
      </c>
      <c r="D930">
        <v>2</v>
      </c>
      <c r="E930" s="2">
        <v>46074</v>
      </c>
      <c r="F930" s="97" t="s">
        <v>7</v>
      </c>
      <c r="G930" s="97" t="s">
        <v>8</v>
      </c>
      <c r="H930" s="97" t="s">
        <v>70</v>
      </c>
      <c r="I930" s="97" t="s">
        <v>71</v>
      </c>
      <c r="J930" s="97" t="s">
        <v>72</v>
      </c>
      <c r="K930" s="97" t="s">
        <v>73</v>
      </c>
      <c r="L930">
        <v>701000</v>
      </c>
      <c r="M930" s="97" t="s">
        <v>62</v>
      </c>
      <c r="N930" s="97" t="s">
        <v>33</v>
      </c>
      <c r="O930">
        <v>4370</v>
      </c>
      <c r="P930">
        <v>1.05</v>
      </c>
      <c r="Q930">
        <v>4.59</v>
      </c>
      <c r="R930" s="97" t="s">
        <v>1203</v>
      </c>
      <c r="S930" s="97" t="s">
        <v>195</v>
      </c>
    </row>
    <row r="931" spans="1:19" x14ac:dyDescent="0.3">
      <c r="A931" s="97" t="s">
        <v>1094</v>
      </c>
      <c r="B931" s="97" t="s">
        <v>22</v>
      </c>
      <c r="C931">
        <v>2026</v>
      </c>
      <c r="D931">
        <v>2</v>
      </c>
      <c r="E931" s="2">
        <v>46074</v>
      </c>
      <c r="F931" s="97" t="s">
        <v>7</v>
      </c>
      <c r="G931" s="97" t="s">
        <v>8</v>
      </c>
      <c r="H931" s="97" t="s">
        <v>70</v>
      </c>
      <c r="I931" s="97" t="s">
        <v>71</v>
      </c>
      <c r="J931" s="97" t="s">
        <v>72</v>
      </c>
      <c r="K931" s="97" t="s">
        <v>73</v>
      </c>
      <c r="L931">
        <v>701000</v>
      </c>
      <c r="M931" s="97" t="s">
        <v>62</v>
      </c>
      <c r="N931" s="97" t="s">
        <v>33</v>
      </c>
      <c r="O931">
        <v>1093</v>
      </c>
      <c r="P931">
        <v>1.04</v>
      </c>
      <c r="Q931">
        <v>1.1399999999999999</v>
      </c>
      <c r="R931" s="97" t="s">
        <v>1200</v>
      </c>
      <c r="S931" s="97" t="s">
        <v>195</v>
      </c>
    </row>
    <row r="932" spans="1:19" x14ac:dyDescent="0.3">
      <c r="A932" s="97" t="s">
        <v>1110</v>
      </c>
      <c r="B932" s="97" t="s">
        <v>22</v>
      </c>
      <c r="C932">
        <v>2026</v>
      </c>
      <c r="D932">
        <v>2</v>
      </c>
      <c r="E932" s="2">
        <v>46074</v>
      </c>
      <c r="F932" s="97" t="s">
        <v>7</v>
      </c>
      <c r="G932" s="97" t="s">
        <v>8</v>
      </c>
      <c r="H932" s="97" t="s">
        <v>74</v>
      </c>
      <c r="I932" s="97" t="s">
        <v>71</v>
      </c>
      <c r="J932" s="97" t="s">
        <v>72</v>
      </c>
      <c r="K932" s="97" t="s">
        <v>73</v>
      </c>
      <c r="L932">
        <v>707000</v>
      </c>
      <c r="M932" s="97" t="s">
        <v>81</v>
      </c>
      <c r="N932" s="97" t="s">
        <v>33</v>
      </c>
      <c r="O932">
        <v>2608</v>
      </c>
      <c r="P932">
        <v>1.05</v>
      </c>
      <c r="Q932">
        <v>2.74</v>
      </c>
      <c r="R932" s="97" t="s">
        <v>1201</v>
      </c>
      <c r="S932" s="97" t="s">
        <v>195</v>
      </c>
    </row>
    <row r="933" spans="1:19" x14ac:dyDescent="0.3">
      <c r="A933" s="97" t="s">
        <v>1111</v>
      </c>
      <c r="B933" s="97" t="s">
        <v>22</v>
      </c>
      <c r="C933">
        <v>2026</v>
      </c>
      <c r="D933">
        <v>2</v>
      </c>
      <c r="E933" s="2">
        <v>46074</v>
      </c>
      <c r="F933" s="97" t="s">
        <v>7</v>
      </c>
      <c r="G933" s="97" t="s">
        <v>8</v>
      </c>
      <c r="H933" s="97" t="s">
        <v>74</v>
      </c>
      <c r="I933" s="97" t="s">
        <v>71</v>
      </c>
      <c r="J933" s="97" t="s">
        <v>72</v>
      </c>
      <c r="K933" s="97" t="s">
        <v>73</v>
      </c>
      <c r="L933">
        <v>707000</v>
      </c>
      <c r="M933" s="97" t="s">
        <v>81</v>
      </c>
      <c r="N933" s="97" t="s">
        <v>33</v>
      </c>
      <c r="O933">
        <v>61</v>
      </c>
      <c r="P933">
        <v>0.98</v>
      </c>
      <c r="Q933">
        <v>0.06</v>
      </c>
      <c r="R933" s="97" t="s">
        <v>1203</v>
      </c>
      <c r="S933" s="97" t="s">
        <v>195</v>
      </c>
    </row>
    <row r="934" spans="1:19" x14ac:dyDescent="0.3">
      <c r="A934" s="97" t="s">
        <v>1112</v>
      </c>
      <c r="B934" s="97" t="s">
        <v>22</v>
      </c>
      <c r="C934">
        <v>2026</v>
      </c>
      <c r="D934">
        <v>2</v>
      </c>
      <c r="E934" s="2">
        <v>46074</v>
      </c>
      <c r="F934" s="97" t="s">
        <v>7</v>
      </c>
      <c r="G934" s="97" t="s">
        <v>8</v>
      </c>
      <c r="H934" s="97" t="s">
        <v>74</v>
      </c>
      <c r="I934" s="97" t="s">
        <v>71</v>
      </c>
      <c r="J934" s="97" t="s">
        <v>72</v>
      </c>
      <c r="K934" s="97" t="s">
        <v>73</v>
      </c>
      <c r="L934">
        <v>707000</v>
      </c>
      <c r="M934" s="97" t="s">
        <v>81</v>
      </c>
      <c r="N934" s="97" t="s">
        <v>33</v>
      </c>
      <c r="O934">
        <v>1228</v>
      </c>
      <c r="P934">
        <v>1.05</v>
      </c>
      <c r="Q934">
        <v>1.29</v>
      </c>
      <c r="R934" s="97" t="s">
        <v>1198</v>
      </c>
      <c r="S934" s="97" t="s">
        <v>195</v>
      </c>
    </row>
    <row r="935" spans="1:19" x14ac:dyDescent="0.3">
      <c r="A935" s="97" t="s">
        <v>1113</v>
      </c>
      <c r="B935" s="97" t="s">
        <v>22</v>
      </c>
      <c r="C935">
        <v>2026</v>
      </c>
      <c r="D935">
        <v>2</v>
      </c>
      <c r="E935" s="2">
        <v>46074</v>
      </c>
      <c r="F935" s="97" t="s">
        <v>7</v>
      </c>
      <c r="G935" s="97" t="s">
        <v>8</v>
      </c>
      <c r="H935" s="97" t="s">
        <v>74</v>
      </c>
      <c r="I935" s="97" t="s">
        <v>71</v>
      </c>
      <c r="J935" s="97" t="s">
        <v>72</v>
      </c>
      <c r="K935" s="97" t="s">
        <v>73</v>
      </c>
      <c r="L935">
        <v>707000</v>
      </c>
      <c r="M935" s="97" t="s">
        <v>81</v>
      </c>
      <c r="N935" s="97" t="s">
        <v>33</v>
      </c>
      <c r="O935">
        <v>875</v>
      </c>
      <c r="P935">
        <v>1.05</v>
      </c>
      <c r="Q935">
        <v>0.92</v>
      </c>
      <c r="R935" s="97" t="s">
        <v>1199</v>
      </c>
      <c r="S935" s="97" t="s">
        <v>195</v>
      </c>
    </row>
    <row r="936" spans="1:19" x14ac:dyDescent="0.3">
      <c r="A936" s="97" t="s">
        <v>1114</v>
      </c>
      <c r="B936" s="97" t="s">
        <v>22</v>
      </c>
      <c r="C936">
        <v>2026</v>
      </c>
      <c r="D936">
        <v>2</v>
      </c>
      <c r="E936" s="2">
        <v>46074</v>
      </c>
      <c r="F936" s="97" t="s">
        <v>7</v>
      </c>
      <c r="G936" s="97" t="s">
        <v>8</v>
      </c>
      <c r="H936" s="97" t="s">
        <v>74</v>
      </c>
      <c r="I936" s="97" t="s">
        <v>71</v>
      </c>
      <c r="J936" s="97" t="s">
        <v>72</v>
      </c>
      <c r="K936" s="97" t="s">
        <v>73</v>
      </c>
      <c r="L936">
        <v>707000</v>
      </c>
      <c r="M936" s="97" t="s">
        <v>81</v>
      </c>
      <c r="N936" s="97" t="s">
        <v>33</v>
      </c>
      <c r="O936">
        <v>1874</v>
      </c>
      <c r="P936">
        <v>1.05</v>
      </c>
      <c r="Q936">
        <v>1.97</v>
      </c>
      <c r="R936" s="97" t="s">
        <v>1197</v>
      </c>
      <c r="S936" s="97" t="s">
        <v>195</v>
      </c>
    </row>
    <row r="937" spans="1:19" x14ac:dyDescent="0.3">
      <c r="A937" s="97" t="s">
        <v>900</v>
      </c>
      <c r="B937" s="97" t="s">
        <v>22</v>
      </c>
      <c r="C937">
        <v>2026</v>
      </c>
      <c r="D937">
        <v>2</v>
      </c>
      <c r="E937" s="2">
        <v>46075</v>
      </c>
      <c r="F937" s="97" t="s">
        <v>7</v>
      </c>
      <c r="G937" s="97" t="s">
        <v>8</v>
      </c>
      <c r="H937" s="97" t="s">
        <v>70</v>
      </c>
      <c r="I937" s="97" t="s">
        <v>84</v>
      </c>
      <c r="J937" s="97" t="s">
        <v>85</v>
      </c>
      <c r="K937" s="97" t="s">
        <v>73</v>
      </c>
      <c r="L937">
        <v>701000</v>
      </c>
      <c r="M937" s="97" t="s">
        <v>62</v>
      </c>
      <c r="N937" s="97" t="s">
        <v>33</v>
      </c>
      <c r="O937">
        <v>3077</v>
      </c>
      <c r="P937">
        <v>0.95</v>
      </c>
      <c r="Q937">
        <v>2.92</v>
      </c>
      <c r="R937" s="97" t="s">
        <v>1199</v>
      </c>
      <c r="S937" s="97" t="s">
        <v>195</v>
      </c>
    </row>
    <row r="938" spans="1:19" x14ac:dyDescent="0.3">
      <c r="A938" s="97" t="s">
        <v>901</v>
      </c>
      <c r="B938" s="97" t="s">
        <v>22</v>
      </c>
      <c r="C938">
        <v>2026</v>
      </c>
      <c r="D938">
        <v>2</v>
      </c>
      <c r="E938" s="2">
        <v>46075</v>
      </c>
      <c r="F938" s="97" t="s">
        <v>7</v>
      </c>
      <c r="G938" s="97" t="s">
        <v>8</v>
      </c>
      <c r="H938" s="97" t="s">
        <v>70</v>
      </c>
      <c r="I938" s="97" t="s">
        <v>84</v>
      </c>
      <c r="J938" s="97" t="s">
        <v>85</v>
      </c>
      <c r="K938" s="97" t="s">
        <v>73</v>
      </c>
      <c r="L938">
        <v>701000</v>
      </c>
      <c r="M938" s="97" t="s">
        <v>62</v>
      </c>
      <c r="N938" s="97" t="s">
        <v>33</v>
      </c>
      <c r="O938">
        <v>3239</v>
      </c>
      <c r="P938">
        <v>0.95</v>
      </c>
      <c r="Q938">
        <v>3.08</v>
      </c>
      <c r="R938" s="97" t="s">
        <v>1197</v>
      </c>
      <c r="S938" s="97" t="s">
        <v>195</v>
      </c>
    </row>
    <row r="939" spans="1:19" x14ac:dyDescent="0.3">
      <c r="A939" s="97" t="s">
        <v>902</v>
      </c>
      <c r="B939" s="97" t="s">
        <v>22</v>
      </c>
      <c r="C939">
        <v>2026</v>
      </c>
      <c r="D939">
        <v>2</v>
      </c>
      <c r="E939" s="2">
        <v>46075</v>
      </c>
      <c r="F939" s="97" t="s">
        <v>7</v>
      </c>
      <c r="G939" s="97" t="s">
        <v>8</v>
      </c>
      <c r="H939" s="97" t="s">
        <v>70</v>
      </c>
      <c r="I939" s="97" t="s">
        <v>84</v>
      </c>
      <c r="J939" s="97" t="s">
        <v>85</v>
      </c>
      <c r="K939" s="97" t="s">
        <v>73</v>
      </c>
      <c r="L939">
        <v>701000</v>
      </c>
      <c r="M939" s="97" t="s">
        <v>62</v>
      </c>
      <c r="N939" s="97" t="s">
        <v>33</v>
      </c>
      <c r="O939">
        <v>2910</v>
      </c>
      <c r="P939">
        <v>0.95</v>
      </c>
      <c r="Q939">
        <v>2.76</v>
      </c>
      <c r="R939" s="97" t="s">
        <v>1203</v>
      </c>
      <c r="S939" s="97" t="s">
        <v>195</v>
      </c>
    </row>
    <row r="940" spans="1:19" x14ac:dyDescent="0.3">
      <c r="A940" s="97" t="s">
        <v>903</v>
      </c>
      <c r="B940" s="97" t="s">
        <v>22</v>
      </c>
      <c r="C940">
        <v>2026</v>
      </c>
      <c r="D940">
        <v>2</v>
      </c>
      <c r="E940" s="2">
        <v>46075</v>
      </c>
      <c r="F940" s="97" t="s">
        <v>7</v>
      </c>
      <c r="G940" s="97" t="s">
        <v>8</v>
      </c>
      <c r="H940" s="97" t="s">
        <v>70</v>
      </c>
      <c r="I940" s="97" t="s">
        <v>84</v>
      </c>
      <c r="J940" s="97" t="s">
        <v>85</v>
      </c>
      <c r="K940" s="97" t="s">
        <v>73</v>
      </c>
      <c r="L940">
        <v>701000</v>
      </c>
      <c r="M940" s="97" t="s">
        <v>62</v>
      </c>
      <c r="N940" s="97" t="s">
        <v>33</v>
      </c>
      <c r="O940">
        <v>2151</v>
      </c>
      <c r="P940">
        <v>0.95</v>
      </c>
      <c r="Q940">
        <v>2.04</v>
      </c>
      <c r="R940" s="97" t="s">
        <v>1200</v>
      </c>
      <c r="S940" s="97" t="s">
        <v>195</v>
      </c>
    </row>
    <row r="941" spans="1:19" x14ac:dyDescent="0.3">
      <c r="A941" s="97" t="s">
        <v>904</v>
      </c>
      <c r="B941" s="97" t="s">
        <v>22</v>
      </c>
      <c r="C941">
        <v>2026</v>
      </c>
      <c r="D941">
        <v>2</v>
      </c>
      <c r="E941" s="2">
        <v>46075</v>
      </c>
      <c r="F941" s="97" t="s">
        <v>7</v>
      </c>
      <c r="G941" s="97" t="s">
        <v>8</v>
      </c>
      <c r="H941" s="97" t="s">
        <v>70</v>
      </c>
      <c r="I941" s="97" t="s">
        <v>84</v>
      </c>
      <c r="J941" s="97" t="s">
        <v>85</v>
      </c>
      <c r="K941" s="97" t="s">
        <v>73</v>
      </c>
      <c r="L941">
        <v>701000</v>
      </c>
      <c r="M941" s="97" t="s">
        <v>62</v>
      </c>
      <c r="N941" s="97" t="s">
        <v>33</v>
      </c>
      <c r="O941">
        <v>6646</v>
      </c>
      <c r="P941">
        <v>0.95</v>
      </c>
      <c r="Q941">
        <v>6.32</v>
      </c>
      <c r="R941" s="97" t="s">
        <v>1198</v>
      </c>
      <c r="S941" s="97" t="s">
        <v>195</v>
      </c>
    </row>
    <row r="942" spans="1:19" x14ac:dyDescent="0.3">
      <c r="A942" s="97" t="s">
        <v>940</v>
      </c>
      <c r="B942" s="97" t="s">
        <v>22</v>
      </c>
      <c r="C942">
        <v>2026</v>
      </c>
      <c r="D942">
        <v>2</v>
      </c>
      <c r="E942" s="2">
        <v>46075</v>
      </c>
      <c r="F942" s="97" t="s">
        <v>7</v>
      </c>
      <c r="G942" s="97" t="s">
        <v>8</v>
      </c>
      <c r="H942" s="97" t="s">
        <v>70</v>
      </c>
      <c r="I942" s="97" t="s">
        <v>84</v>
      </c>
      <c r="J942" s="97" t="s">
        <v>85</v>
      </c>
      <c r="K942" s="97" t="s">
        <v>73</v>
      </c>
      <c r="L942">
        <v>701000</v>
      </c>
      <c r="M942" s="97" t="s">
        <v>62</v>
      </c>
      <c r="N942" s="97" t="s">
        <v>33</v>
      </c>
      <c r="O942">
        <v>4605</v>
      </c>
      <c r="P942">
        <v>0.95</v>
      </c>
      <c r="Q942">
        <v>4.37</v>
      </c>
      <c r="R942" s="97" t="s">
        <v>1204</v>
      </c>
      <c r="S942" s="97" t="s">
        <v>195</v>
      </c>
    </row>
    <row r="943" spans="1:19" x14ac:dyDescent="0.3">
      <c r="A943" s="97" t="s">
        <v>941</v>
      </c>
      <c r="B943" s="97" t="s">
        <v>22</v>
      </c>
      <c r="C943">
        <v>2026</v>
      </c>
      <c r="D943">
        <v>2</v>
      </c>
      <c r="E943" s="2">
        <v>46075</v>
      </c>
      <c r="F943" s="97" t="s">
        <v>7</v>
      </c>
      <c r="G943" s="97" t="s">
        <v>8</v>
      </c>
      <c r="H943" s="97" t="s">
        <v>70</v>
      </c>
      <c r="I943" s="97" t="s">
        <v>84</v>
      </c>
      <c r="J943" s="97" t="s">
        <v>85</v>
      </c>
      <c r="K943" s="97" t="s">
        <v>73</v>
      </c>
      <c r="L943">
        <v>701000</v>
      </c>
      <c r="M943" s="97" t="s">
        <v>62</v>
      </c>
      <c r="N943" s="97" t="s">
        <v>33</v>
      </c>
      <c r="O943">
        <v>3863</v>
      </c>
      <c r="P943">
        <v>0.95</v>
      </c>
      <c r="Q943">
        <v>3.67</v>
      </c>
      <c r="R943" s="97" t="s">
        <v>1198</v>
      </c>
      <c r="S943" s="97" t="s">
        <v>195</v>
      </c>
    </row>
    <row r="944" spans="1:19" x14ac:dyDescent="0.3">
      <c r="A944" s="97" t="s">
        <v>942</v>
      </c>
      <c r="B944" s="97" t="s">
        <v>22</v>
      </c>
      <c r="C944">
        <v>2026</v>
      </c>
      <c r="D944">
        <v>2</v>
      </c>
      <c r="E944" s="2">
        <v>46075</v>
      </c>
      <c r="F944" s="97" t="s">
        <v>7</v>
      </c>
      <c r="G944" s="97" t="s">
        <v>8</v>
      </c>
      <c r="H944" s="97" t="s">
        <v>70</v>
      </c>
      <c r="I944" s="97" t="s">
        <v>84</v>
      </c>
      <c r="J944" s="97" t="s">
        <v>85</v>
      </c>
      <c r="K944" s="97" t="s">
        <v>73</v>
      </c>
      <c r="L944">
        <v>701000</v>
      </c>
      <c r="M944" s="97" t="s">
        <v>62</v>
      </c>
      <c r="N944" s="97" t="s">
        <v>33</v>
      </c>
      <c r="O944">
        <v>2893</v>
      </c>
      <c r="P944">
        <v>0.95</v>
      </c>
      <c r="Q944">
        <v>2.75</v>
      </c>
      <c r="R944" s="97" t="s">
        <v>1197</v>
      </c>
      <c r="S944" s="97" t="s">
        <v>195</v>
      </c>
    </row>
    <row r="945" spans="1:19" x14ac:dyDescent="0.3">
      <c r="A945" s="97" t="s">
        <v>943</v>
      </c>
      <c r="B945" s="97" t="s">
        <v>22</v>
      </c>
      <c r="C945">
        <v>2026</v>
      </c>
      <c r="D945">
        <v>2</v>
      </c>
      <c r="E945" s="2">
        <v>46075</v>
      </c>
      <c r="F945" s="97" t="s">
        <v>7</v>
      </c>
      <c r="G945" s="97" t="s">
        <v>8</v>
      </c>
      <c r="H945" s="97" t="s">
        <v>70</v>
      </c>
      <c r="I945" s="97" t="s">
        <v>84</v>
      </c>
      <c r="J945" s="97" t="s">
        <v>85</v>
      </c>
      <c r="K945" s="97" t="s">
        <v>73</v>
      </c>
      <c r="L945">
        <v>701000</v>
      </c>
      <c r="M945" s="97" t="s">
        <v>62</v>
      </c>
      <c r="N945" s="97" t="s">
        <v>33</v>
      </c>
      <c r="O945">
        <v>1978</v>
      </c>
      <c r="P945">
        <v>0.95</v>
      </c>
      <c r="Q945">
        <v>1.88</v>
      </c>
      <c r="R945" s="97" t="s">
        <v>1199</v>
      </c>
      <c r="S945" s="97" t="s">
        <v>195</v>
      </c>
    </row>
    <row r="946" spans="1:19" x14ac:dyDescent="0.3">
      <c r="A946" s="97" t="s">
        <v>944</v>
      </c>
      <c r="B946" s="97" t="s">
        <v>22</v>
      </c>
      <c r="C946">
        <v>2026</v>
      </c>
      <c r="D946">
        <v>2</v>
      </c>
      <c r="E946" s="2">
        <v>46075</v>
      </c>
      <c r="F946" s="97" t="s">
        <v>7</v>
      </c>
      <c r="G946" s="97" t="s">
        <v>8</v>
      </c>
      <c r="H946" s="97" t="s">
        <v>70</v>
      </c>
      <c r="I946" s="97" t="s">
        <v>84</v>
      </c>
      <c r="J946" s="97" t="s">
        <v>85</v>
      </c>
      <c r="K946" s="97" t="s">
        <v>73</v>
      </c>
      <c r="L946">
        <v>701000</v>
      </c>
      <c r="M946" s="97" t="s">
        <v>62</v>
      </c>
      <c r="N946" s="97" t="s">
        <v>33</v>
      </c>
      <c r="O946">
        <v>3232</v>
      </c>
      <c r="P946">
        <v>0.95</v>
      </c>
      <c r="Q946">
        <v>3.07</v>
      </c>
      <c r="R946" s="97" t="s">
        <v>1200</v>
      </c>
      <c r="S946" s="97" t="s">
        <v>195</v>
      </c>
    </row>
    <row r="947" spans="1:19" x14ac:dyDescent="0.3">
      <c r="A947" s="97" t="s">
        <v>1005</v>
      </c>
      <c r="B947" s="97" t="s">
        <v>22</v>
      </c>
      <c r="C947">
        <v>2026</v>
      </c>
      <c r="D947">
        <v>2</v>
      </c>
      <c r="E947" s="2">
        <v>46076</v>
      </c>
      <c r="F947" s="97" t="s">
        <v>7</v>
      </c>
      <c r="G947" s="97" t="s">
        <v>8</v>
      </c>
      <c r="H947" s="97" t="s">
        <v>70</v>
      </c>
      <c r="I947" s="97" t="s">
        <v>71</v>
      </c>
      <c r="J947" s="97" t="s">
        <v>72</v>
      </c>
      <c r="K947" s="97" t="s">
        <v>73</v>
      </c>
      <c r="L947">
        <v>701000</v>
      </c>
      <c r="M947" s="97" t="s">
        <v>62</v>
      </c>
      <c r="N947" s="97" t="s">
        <v>33</v>
      </c>
      <c r="O947">
        <v>1082</v>
      </c>
      <c r="P947">
        <v>1.05</v>
      </c>
      <c r="Q947">
        <v>1.1399999999999999</v>
      </c>
      <c r="R947" s="97" t="s">
        <v>1203</v>
      </c>
      <c r="S947" s="97" t="s">
        <v>195</v>
      </c>
    </row>
    <row r="948" spans="1:19" x14ac:dyDescent="0.3">
      <c r="A948" s="97" t="s">
        <v>1006</v>
      </c>
      <c r="B948" s="97" t="s">
        <v>22</v>
      </c>
      <c r="C948">
        <v>2026</v>
      </c>
      <c r="D948">
        <v>2</v>
      </c>
      <c r="E948" s="2">
        <v>46076</v>
      </c>
      <c r="F948" s="97" t="s">
        <v>7</v>
      </c>
      <c r="G948" s="97" t="s">
        <v>8</v>
      </c>
      <c r="H948" s="97" t="s">
        <v>70</v>
      </c>
      <c r="I948" s="97" t="s">
        <v>71</v>
      </c>
      <c r="J948" s="97" t="s">
        <v>72</v>
      </c>
      <c r="K948" s="97" t="s">
        <v>73</v>
      </c>
      <c r="L948">
        <v>701000</v>
      </c>
      <c r="M948" s="97" t="s">
        <v>62</v>
      </c>
      <c r="N948" s="97" t="s">
        <v>33</v>
      </c>
      <c r="O948">
        <v>4343</v>
      </c>
      <c r="P948">
        <v>1.05</v>
      </c>
      <c r="Q948">
        <v>4.5599999999999996</v>
      </c>
      <c r="R948" s="97" t="s">
        <v>1199</v>
      </c>
      <c r="S948" s="97" t="s">
        <v>195</v>
      </c>
    </row>
    <row r="949" spans="1:19" x14ac:dyDescent="0.3">
      <c r="A949" s="97" t="s">
        <v>1007</v>
      </c>
      <c r="B949" s="97" t="s">
        <v>22</v>
      </c>
      <c r="C949">
        <v>2026</v>
      </c>
      <c r="D949">
        <v>2</v>
      </c>
      <c r="E949" s="2">
        <v>46076</v>
      </c>
      <c r="F949" s="97" t="s">
        <v>7</v>
      </c>
      <c r="G949" s="97" t="s">
        <v>8</v>
      </c>
      <c r="H949" s="97" t="s">
        <v>70</v>
      </c>
      <c r="I949" s="97" t="s">
        <v>71</v>
      </c>
      <c r="J949" s="97" t="s">
        <v>72</v>
      </c>
      <c r="K949" s="97" t="s">
        <v>73</v>
      </c>
      <c r="L949">
        <v>701000</v>
      </c>
      <c r="M949" s="97" t="s">
        <v>62</v>
      </c>
      <c r="N949" s="97" t="s">
        <v>33</v>
      </c>
      <c r="O949">
        <v>393</v>
      </c>
      <c r="P949">
        <v>1.04</v>
      </c>
      <c r="Q949">
        <v>0.41</v>
      </c>
      <c r="R949" s="97" t="s">
        <v>1200</v>
      </c>
      <c r="S949" s="97" t="s">
        <v>195</v>
      </c>
    </row>
    <row r="950" spans="1:19" x14ac:dyDescent="0.3">
      <c r="A950" s="97" t="s">
        <v>1008</v>
      </c>
      <c r="B950" s="97" t="s">
        <v>22</v>
      </c>
      <c r="C950">
        <v>2026</v>
      </c>
      <c r="D950">
        <v>2</v>
      </c>
      <c r="E950" s="2">
        <v>46076</v>
      </c>
      <c r="F950" s="97" t="s">
        <v>7</v>
      </c>
      <c r="G950" s="97" t="s">
        <v>8</v>
      </c>
      <c r="H950" s="97" t="s">
        <v>70</v>
      </c>
      <c r="I950" s="97" t="s">
        <v>71</v>
      </c>
      <c r="J950" s="97" t="s">
        <v>72</v>
      </c>
      <c r="K950" s="97" t="s">
        <v>73</v>
      </c>
      <c r="L950">
        <v>701000</v>
      </c>
      <c r="M950" s="97" t="s">
        <v>62</v>
      </c>
      <c r="N950" s="97" t="s">
        <v>33</v>
      </c>
      <c r="O950">
        <v>1903</v>
      </c>
      <c r="P950">
        <v>1.05</v>
      </c>
      <c r="Q950">
        <v>2</v>
      </c>
      <c r="R950" s="97" t="s">
        <v>1205</v>
      </c>
      <c r="S950" s="97" t="s">
        <v>195</v>
      </c>
    </row>
    <row r="951" spans="1:19" x14ac:dyDescent="0.3">
      <c r="A951" s="97" t="s">
        <v>1009</v>
      </c>
      <c r="B951" s="97" t="s">
        <v>22</v>
      </c>
      <c r="C951">
        <v>2026</v>
      </c>
      <c r="D951">
        <v>2</v>
      </c>
      <c r="E951" s="2">
        <v>46076</v>
      </c>
      <c r="F951" s="97" t="s">
        <v>7</v>
      </c>
      <c r="G951" s="97" t="s">
        <v>8</v>
      </c>
      <c r="H951" s="97" t="s">
        <v>70</v>
      </c>
      <c r="I951" s="97" t="s">
        <v>71</v>
      </c>
      <c r="J951" s="97" t="s">
        <v>72</v>
      </c>
      <c r="K951" s="97" t="s">
        <v>73</v>
      </c>
      <c r="L951">
        <v>701000</v>
      </c>
      <c r="M951" s="97" t="s">
        <v>62</v>
      </c>
      <c r="N951" s="97" t="s">
        <v>33</v>
      </c>
      <c r="O951">
        <v>464</v>
      </c>
      <c r="P951">
        <v>1.03</v>
      </c>
      <c r="Q951">
        <v>0.48</v>
      </c>
      <c r="R951" s="97" t="s">
        <v>1201</v>
      </c>
      <c r="S951" s="97" t="s">
        <v>195</v>
      </c>
    </row>
    <row r="952" spans="1:19" x14ac:dyDescent="0.3">
      <c r="A952" s="97" t="s">
        <v>1060</v>
      </c>
      <c r="B952" s="97" t="s">
        <v>22</v>
      </c>
      <c r="C952">
        <v>2026</v>
      </c>
      <c r="D952">
        <v>2</v>
      </c>
      <c r="E952" s="2">
        <v>46076</v>
      </c>
      <c r="F952" s="97" t="s">
        <v>7</v>
      </c>
      <c r="G952" s="97" t="s">
        <v>8</v>
      </c>
      <c r="H952" s="97" t="s">
        <v>70</v>
      </c>
      <c r="I952" s="97" t="s">
        <v>71</v>
      </c>
      <c r="J952" s="97" t="s">
        <v>72</v>
      </c>
      <c r="K952" s="97" t="s">
        <v>73</v>
      </c>
      <c r="L952">
        <v>707000</v>
      </c>
      <c r="M952" s="97" t="s">
        <v>81</v>
      </c>
      <c r="N952" s="97" t="s">
        <v>33</v>
      </c>
      <c r="O952">
        <v>2530</v>
      </c>
      <c r="P952">
        <v>1.05</v>
      </c>
      <c r="Q952">
        <v>2.66</v>
      </c>
      <c r="R952" s="97" t="s">
        <v>1199</v>
      </c>
      <c r="S952" s="97" t="s">
        <v>195</v>
      </c>
    </row>
    <row r="953" spans="1:19" x14ac:dyDescent="0.3">
      <c r="A953" s="97" t="s">
        <v>1061</v>
      </c>
      <c r="B953" s="97" t="s">
        <v>22</v>
      </c>
      <c r="C953">
        <v>2026</v>
      </c>
      <c r="D953">
        <v>2</v>
      </c>
      <c r="E953" s="2">
        <v>46076</v>
      </c>
      <c r="F953" s="97" t="s">
        <v>7</v>
      </c>
      <c r="G953" s="97" t="s">
        <v>8</v>
      </c>
      <c r="H953" s="97" t="s">
        <v>70</v>
      </c>
      <c r="I953" s="97" t="s">
        <v>71</v>
      </c>
      <c r="J953" s="97" t="s">
        <v>72</v>
      </c>
      <c r="K953" s="97" t="s">
        <v>73</v>
      </c>
      <c r="L953">
        <v>707000</v>
      </c>
      <c r="M953" s="97" t="s">
        <v>81</v>
      </c>
      <c r="N953" s="97" t="s">
        <v>33</v>
      </c>
      <c r="O953">
        <v>2679</v>
      </c>
      <c r="P953">
        <v>1.05</v>
      </c>
      <c r="Q953">
        <v>2.81</v>
      </c>
      <c r="R953" s="97" t="s">
        <v>1197</v>
      </c>
      <c r="S953" s="97" t="s">
        <v>195</v>
      </c>
    </row>
    <row r="954" spans="1:19" x14ac:dyDescent="0.3">
      <c r="A954" s="97" t="s">
        <v>1062</v>
      </c>
      <c r="B954" s="97" t="s">
        <v>22</v>
      </c>
      <c r="C954">
        <v>2026</v>
      </c>
      <c r="D954">
        <v>2</v>
      </c>
      <c r="E954" s="2">
        <v>46076</v>
      </c>
      <c r="F954" s="97" t="s">
        <v>7</v>
      </c>
      <c r="G954" s="97" t="s">
        <v>8</v>
      </c>
      <c r="H954" s="97" t="s">
        <v>70</v>
      </c>
      <c r="I954" s="97" t="s">
        <v>71</v>
      </c>
      <c r="J954" s="97" t="s">
        <v>72</v>
      </c>
      <c r="K954" s="97" t="s">
        <v>73</v>
      </c>
      <c r="L954">
        <v>707000</v>
      </c>
      <c r="M954" s="97" t="s">
        <v>81</v>
      </c>
      <c r="N954" s="97" t="s">
        <v>33</v>
      </c>
      <c r="O954">
        <v>2082</v>
      </c>
      <c r="P954">
        <v>1.05</v>
      </c>
      <c r="Q954">
        <v>2.19</v>
      </c>
      <c r="R954" s="97" t="s">
        <v>1201</v>
      </c>
      <c r="S954" s="97" t="s">
        <v>195</v>
      </c>
    </row>
    <row r="955" spans="1:19" x14ac:dyDescent="0.3">
      <c r="A955" s="97" t="s">
        <v>1063</v>
      </c>
      <c r="B955" s="97" t="s">
        <v>22</v>
      </c>
      <c r="C955">
        <v>2026</v>
      </c>
      <c r="D955">
        <v>2</v>
      </c>
      <c r="E955" s="2">
        <v>46076</v>
      </c>
      <c r="F955" s="97" t="s">
        <v>7</v>
      </c>
      <c r="G955" s="97" t="s">
        <v>8</v>
      </c>
      <c r="H955" s="97" t="s">
        <v>70</v>
      </c>
      <c r="I955" s="97" t="s">
        <v>71</v>
      </c>
      <c r="J955" s="97" t="s">
        <v>72</v>
      </c>
      <c r="K955" s="97" t="s">
        <v>73</v>
      </c>
      <c r="L955">
        <v>707000</v>
      </c>
      <c r="M955" s="97" t="s">
        <v>81</v>
      </c>
      <c r="N955" s="97" t="s">
        <v>33</v>
      </c>
      <c r="O955">
        <v>1531</v>
      </c>
      <c r="P955">
        <v>1.05</v>
      </c>
      <c r="Q955">
        <v>1.61</v>
      </c>
      <c r="R955" s="97" t="s">
        <v>1200</v>
      </c>
      <c r="S955" s="97" t="s">
        <v>195</v>
      </c>
    </row>
    <row r="956" spans="1:19" x14ac:dyDescent="0.3">
      <c r="A956" s="97" t="s">
        <v>1064</v>
      </c>
      <c r="B956" s="97" t="s">
        <v>22</v>
      </c>
      <c r="C956">
        <v>2026</v>
      </c>
      <c r="D956">
        <v>2</v>
      </c>
      <c r="E956" s="2">
        <v>46076</v>
      </c>
      <c r="F956" s="97" t="s">
        <v>7</v>
      </c>
      <c r="G956" s="97" t="s">
        <v>8</v>
      </c>
      <c r="H956" s="97" t="s">
        <v>70</v>
      </c>
      <c r="I956" s="97" t="s">
        <v>71</v>
      </c>
      <c r="J956" s="97" t="s">
        <v>72</v>
      </c>
      <c r="K956" s="97" t="s">
        <v>73</v>
      </c>
      <c r="L956">
        <v>707000</v>
      </c>
      <c r="M956" s="97" t="s">
        <v>81</v>
      </c>
      <c r="N956" s="97" t="s">
        <v>33</v>
      </c>
      <c r="O956">
        <v>553</v>
      </c>
      <c r="P956">
        <v>1.03</v>
      </c>
      <c r="Q956">
        <v>0.56999999999999995</v>
      </c>
      <c r="R956" s="97" t="s">
        <v>1204</v>
      </c>
      <c r="S956" s="97" t="s">
        <v>195</v>
      </c>
    </row>
    <row r="957" spans="1:19" x14ac:dyDescent="0.3">
      <c r="A957" s="97" t="s">
        <v>1100</v>
      </c>
      <c r="B957" s="97" t="s">
        <v>22</v>
      </c>
      <c r="C957">
        <v>2026</v>
      </c>
      <c r="D957">
        <v>2</v>
      </c>
      <c r="E957" s="2">
        <v>46076</v>
      </c>
      <c r="F957" s="97" t="s">
        <v>7</v>
      </c>
      <c r="G957" s="97" t="s">
        <v>8</v>
      </c>
      <c r="H957" s="97" t="s">
        <v>70</v>
      </c>
      <c r="I957" s="97" t="s">
        <v>71</v>
      </c>
      <c r="J957" s="97" t="s">
        <v>72</v>
      </c>
      <c r="K957" s="97" t="s">
        <v>73</v>
      </c>
      <c r="L957">
        <v>706000</v>
      </c>
      <c r="M957" s="97" t="s">
        <v>63</v>
      </c>
      <c r="N957" s="97" t="s">
        <v>33</v>
      </c>
      <c r="O957">
        <v>1680</v>
      </c>
      <c r="P957">
        <v>1.05</v>
      </c>
      <c r="Q957">
        <v>1.76</v>
      </c>
      <c r="R957" s="97" t="s">
        <v>1204</v>
      </c>
      <c r="S957" s="97" t="s">
        <v>195</v>
      </c>
    </row>
    <row r="958" spans="1:19" x14ac:dyDescent="0.3">
      <c r="A958" s="97" t="s">
        <v>1101</v>
      </c>
      <c r="B958" s="97" t="s">
        <v>22</v>
      </c>
      <c r="C958">
        <v>2026</v>
      </c>
      <c r="D958">
        <v>2</v>
      </c>
      <c r="E958" s="2">
        <v>46076</v>
      </c>
      <c r="F958" s="97" t="s">
        <v>7</v>
      </c>
      <c r="G958" s="97" t="s">
        <v>8</v>
      </c>
      <c r="H958" s="97" t="s">
        <v>70</v>
      </c>
      <c r="I958" s="97" t="s">
        <v>71</v>
      </c>
      <c r="J958" s="97" t="s">
        <v>72</v>
      </c>
      <c r="K958" s="97" t="s">
        <v>73</v>
      </c>
      <c r="L958">
        <v>706000</v>
      </c>
      <c r="M958" s="97" t="s">
        <v>63</v>
      </c>
      <c r="N958" s="97" t="s">
        <v>33</v>
      </c>
      <c r="O958">
        <v>1276</v>
      </c>
      <c r="P958">
        <v>1.05</v>
      </c>
      <c r="Q958">
        <v>1.34</v>
      </c>
      <c r="R958" s="97" t="s">
        <v>1197</v>
      </c>
      <c r="S958" s="97" t="s">
        <v>195</v>
      </c>
    </row>
    <row r="959" spans="1:19" x14ac:dyDescent="0.3">
      <c r="A959" s="97" t="s">
        <v>1102</v>
      </c>
      <c r="B959" s="97" t="s">
        <v>22</v>
      </c>
      <c r="C959">
        <v>2026</v>
      </c>
      <c r="D959">
        <v>2</v>
      </c>
      <c r="E959" s="2">
        <v>46076</v>
      </c>
      <c r="F959" s="97" t="s">
        <v>7</v>
      </c>
      <c r="G959" s="97" t="s">
        <v>8</v>
      </c>
      <c r="H959" s="97" t="s">
        <v>70</v>
      </c>
      <c r="I959" s="97" t="s">
        <v>71</v>
      </c>
      <c r="J959" s="97" t="s">
        <v>72</v>
      </c>
      <c r="K959" s="97" t="s">
        <v>73</v>
      </c>
      <c r="L959">
        <v>706000</v>
      </c>
      <c r="M959" s="97" t="s">
        <v>63</v>
      </c>
      <c r="N959" s="97" t="s">
        <v>33</v>
      </c>
      <c r="O959">
        <v>646</v>
      </c>
      <c r="P959">
        <v>1.05</v>
      </c>
      <c r="Q959">
        <v>0.68</v>
      </c>
      <c r="R959" s="97" t="s">
        <v>1205</v>
      </c>
      <c r="S959" s="97" t="s">
        <v>195</v>
      </c>
    </row>
    <row r="960" spans="1:19" x14ac:dyDescent="0.3">
      <c r="A960" s="97" t="s">
        <v>1103</v>
      </c>
      <c r="B960" s="97" t="s">
        <v>22</v>
      </c>
      <c r="C960">
        <v>2026</v>
      </c>
      <c r="D960">
        <v>2</v>
      </c>
      <c r="E960" s="2">
        <v>46076</v>
      </c>
      <c r="F960" s="97" t="s">
        <v>7</v>
      </c>
      <c r="G960" s="97" t="s">
        <v>8</v>
      </c>
      <c r="H960" s="97" t="s">
        <v>70</v>
      </c>
      <c r="I960" s="97" t="s">
        <v>71</v>
      </c>
      <c r="J960" s="97" t="s">
        <v>72</v>
      </c>
      <c r="K960" s="97" t="s">
        <v>73</v>
      </c>
      <c r="L960">
        <v>706000</v>
      </c>
      <c r="M960" s="97" t="s">
        <v>63</v>
      </c>
      <c r="N960" s="97" t="s">
        <v>33</v>
      </c>
      <c r="O960">
        <v>1931</v>
      </c>
      <c r="P960">
        <v>1.05</v>
      </c>
      <c r="Q960">
        <v>2.0299999999999998</v>
      </c>
      <c r="R960" s="97" t="s">
        <v>1203</v>
      </c>
      <c r="S960" s="97" t="s">
        <v>195</v>
      </c>
    </row>
    <row r="961" spans="1:19" x14ac:dyDescent="0.3">
      <c r="A961" s="97" t="s">
        <v>1104</v>
      </c>
      <c r="B961" s="97" t="s">
        <v>22</v>
      </c>
      <c r="C961">
        <v>2026</v>
      </c>
      <c r="D961">
        <v>2</v>
      </c>
      <c r="E961" s="2">
        <v>46076</v>
      </c>
      <c r="F961" s="97" t="s">
        <v>7</v>
      </c>
      <c r="G961" s="97" t="s">
        <v>8</v>
      </c>
      <c r="H961" s="97" t="s">
        <v>70</v>
      </c>
      <c r="I961" s="97" t="s">
        <v>71</v>
      </c>
      <c r="J961" s="97" t="s">
        <v>72</v>
      </c>
      <c r="K961" s="97" t="s">
        <v>73</v>
      </c>
      <c r="L961">
        <v>706000</v>
      </c>
      <c r="M961" s="97" t="s">
        <v>63</v>
      </c>
      <c r="N961" s="97" t="s">
        <v>33</v>
      </c>
      <c r="O961">
        <v>1982</v>
      </c>
      <c r="P961">
        <v>1.05</v>
      </c>
      <c r="Q961">
        <v>2.08</v>
      </c>
      <c r="R961" s="97" t="s">
        <v>1200</v>
      </c>
      <c r="S961" s="97" t="s">
        <v>195</v>
      </c>
    </row>
    <row r="962" spans="1:19" x14ac:dyDescent="0.3">
      <c r="A962" s="97" t="s">
        <v>1150</v>
      </c>
      <c r="B962" s="97" t="s">
        <v>22</v>
      </c>
      <c r="C962">
        <v>2026</v>
      </c>
      <c r="D962">
        <v>2</v>
      </c>
      <c r="E962" s="2">
        <v>46076</v>
      </c>
      <c r="F962" s="97" t="s">
        <v>7</v>
      </c>
      <c r="G962" s="97" t="s">
        <v>8</v>
      </c>
      <c r="H962" s="97" t="s">
        <v>74</v>
      </c>
      <c r="I962" s="97" t="s">
        <v>71</v>
      </c>
      <c r="J962" s="97" t="s">
        <v>72</v>
      </c>
      <c r="K962" s="97" t="s">
        <v>73</v>
      </c>
      <c r="L962">
        <v>701000</v>
      </c>
      <c r="M962" s="97" t="s">
        <v>62</v>
      </c>
      <c r="N962" s="97" t="s">
        <v>33</v>
      </c>
      <c r="O962">
        <v>1226</v>
      </c>
      <c r="P962">
        <v>1.05</v>
      </c>
      <c r="Q962">
        <v>1.29</v>
      </c>
      <c r="R962" s="97" t="s">
        <v>1197</v>
      </c>
      <c r="S962" s="97" t="s">
        <v>195</v>
      </c>
    </row>
    <row r="963" spans="1:19" x14ac:dyDescent="0.3">
      <c r="A963" s="97" t="s">
        <v>1151</v>
      </c>
      <c r="B963" s="97" t="s">
        <v>22</v>
      </c>
      <c r="C963">
        <v>2026</v>
      </c>
      <c r="D963">
        <v>2</v>
      </c>
      <c r="E963" s="2">
        <v>46076</v>
      </c>
      <c r="F963" s="97" t="s">
        <v>7</v>
      </c>
      <c r="G963" s="97" t="s">
        <v>8</v>
      </c>
      <c r="H963" s="97" t="s">
        <v>74</v>
      </c>
      <c r="I963" s="97" t="s">
        <v>71</v>
      </c>
      <c r="J963" s="97" t="s">
        <v>72</v>
      </c>
      <c r="K963" s="97" t="s">
        <v>73</v>
      </c>
      <c r="L963">
        <v>701000</v>
      </c>
      <c r="M963" s="97" t="s">
        <v>62</v>
      </c>
      <c r="N963" s="97" t="s">
        <v>33</v>
      </c>
      <c r="O963">
        <v>1778</v>
      </c>
      <c r="P963">
        <v>1.05</v>
      </c>
      <c r="Q963">
        <v>1.87</v>
      </c>
      <c r="R963" s="97" t="s">
        <v>1199</v>
      </c>
      <c r="S963" s="97" t="s">
        <v>195</v>
      </c>
    </row>
    <row r="964" spans="1:19" x14ac:dyDescent="0.3">
      <c r="A964" s="97" t="s">
        <v>1152</v>
      </c>
      <c r="B964" s="97" t="s">
        <v>22</v>
      </c>
      <c r="C964">
        <v>2026</v>
      </c>
      <c r="D964">
        <v>2</v>
      </c>
      <c r="E964" s="2">
        <v>46076</v>
      </c>
      <c r="F964" s="97" t="s">
        <v>7</v>
      </c>
      <c r="G964" s="97" t="s">
        <v>8</v>
      </c>
      <c r="H964" s="97" t="s">
        <v>74</v>
      </c>
      <c r="I964" s="97" t="s">
        <v>71</v>
      </c>
      <c r="J964" s="97" t="s">
        <v>72</v>
      </c>
      <c r="K964" s="97" t="s">
        <v>73</v>
      </c>
      <c r="L964">
        <v>701000</v>
      </c>
      <c r="M964" s="97" t="s">
        <v>62</v>
      </c>
      <c r="N964" s="97" t="s">
        <v>33</v>
      </c>
      <c r="O964">
        <v>1166</v>
      </c>
      <c r="P964">
        <v>1.05</v>
      </c>
      <c r="Q964">
        <v>1.22</v>
      </c>
      <c r="R964" s="97" t="s">
        <v>1205</v>
      </c>
      <c r="S964" s="97" t="s">
        <v>195</v>
      </c>
    </row>
    <row r="965" spans="1:19" x14ac:dyDescent="0.3">
      <c r="A965" s="97" t="s">
        <v>1153</v>
      </c>
      <c r="B965" s="97" t="s">
        <v>22</v>
      </c>
      <c r="C965">
        <v>2026</v>
      </c>
      <c r="D965">
        <v>2</v>
      </c>
      <c r="E965" s="2">
        <v>46076</v>
      </c>
      <c r="F965" s="97" t="s">
        <v>7</v>
      </c>
      <c r="G965" s="97" t="s">
        <v>8</v>
      </c>
      <c r="H965" s="97" t="s">
        <v>74</v>
      </c>
      <c r="I965" s="97" t="s">
        <v>71</v>
      </c>
      <c r="J965" s="97" t="s">
        <v>72</v>
      </c>
      <c r="K965" s="97" t="s">
        <v>73</v>
      </c>
      <c r="L965">
        <v>701000</v>
      </c>
      <c r="M965" s="97" t="s">
        <v>62</v>
      </c>
      <c r="N965" s="97" t="s">
        <v>33</v>
      </c>
      <c r="O965">
        <v>2333</v>
      </c>
      <c r="P965">
        <v>1.05</v>
      </c>
      <c r="Q965">
        <v>2.4500000000000002</v>
      </c>
      <c r="R965" s="97" t="s">
        <v>1202</v>
      </c>
      <c r="S965" s="97" t="s">
        <v>195</v>
      </c>
    </row>
    <row r="966" spans="1:19" x14ac:dyDescent="0.3">
      <c r="A966" s="97" t="s">
        <v>1154</v>
      </c>
      <c r="B966" s="97" t="s">
        <v>22</v>
      </c>
      <c r="C966">
        <v>2026</v>
      </c>
      <c r="D966">
        <v>2</v>
      </c>
      <c r="E966" s="2">
        <v>46076</v>
      </c>
      <c r="F966" s="97" t="s">
        <v>7</v>
      </c>
      <c r="G966" s="97" t="s">
        <v>8</v>
      </c>
      <c r="H966" s="97" t="s">
        <v>74</v>
      </c>
      <c r="I966" s="97" t="s">
        <v>71</v>
      </c>
      <c r="J966" s="97" t="s">
        <v>72</v>
      </c>
      <c r="K966" s="97" t="s">
        <v>73</v>
      </c>
      <c r="L966">
        <v>701000</v>
      </c>
      <c r="M966" s="97" t="s">
        <v>62</v>
      </c>
      <c r="N966" s="97" t="s">
        <v>33</v>
      </c>
      <c r="O966">
        <v>2567</v>
      </c>
      <c r="P966">
        <v>1.05</v>
      </c>
      <c r="Q966">
        <v>2.69</v>
      </c>
      <c r="R966" s="97" t="s">
        <v>1200</v>
      </c>
      <c r="S966" s="97" t="s">
        <v>195</v>
      </c>
    </row>
    <row r="967" spans="1:19" x14ac:dyDescent="0.3">
      <c r="A967" s="97" t="s">
        <v>950</v>
      </c>
      <c r="B967" s="97" t="s">
        <v>22</v>
      </c>
      <c r="C967">
        <v>2026</v>
      </c>
      <c r="D967">
        <v>2</v>
      </c>
      <c r="E967" s="2">
        <v>46077</v>
      </c>
      <c r="F967" s="97" t="s">
        <v>7</v>
      </c>
      <c r="G967" s="97" t="s">
        <v>8</v>
      </c>
      <c r="H967" s="97" t="s">
        <v>70</v>
      </c>
      <c r="I967" s="97" t="s">
        <v>84</v>
      </c>
      <c r="J967" s="97" t="s">
        <v>85</v>
      </c>
      <c r="K967" s="97" t="s">
        <v>73</v>
      </c>
      <c r="L967">
        <v>701000</v>
      </c>
      <c r="M967" s="97" t="s">
        <v>62</v>
      </c>
      <c r="N967" s="97" t="s">
        <v>33</v>
      </c>
      <c r="O967">
        <v>5462</v>
      </c>
      <c r="P967">
        <v>0.95</v>
      </c>
      <c r="Q967">
        <v>5.19</v>
      </c>
      <c r="R967" s="97" t="s">
        <v>1197</v>
      </c>
      <c r="S967" s="97" t="s">
        <v>195</v>
      </c>
    </row>
    <row r="968" spans="1:19" x14ac:dyDescent="0.3">
      <c r="A968" s="97" t="s">
        <v>951</v>
      </c>
      <c r="B968" s="97" t="s">
        <v>22</v>
      </c>
      <c r="C968">
        <v>2026</v>
      </c>
      <c r="D968">
        <v>2</v>
      </c>
      <c r="E968" s="2">
        <v>46077</v>
      </c>
      <c r="F968" s="97" t="s">
        <v>7</v>
      </c>
      <c r="G968" s="97" t="s">
        <v>8</v>
      </c>
      <c r="H968" s="97" t="s">
        <v>70</v>
      </c>
      <c r="I968" s="97" t="s">
        <v>84</v>
      </c>
      <c r="J968" s="97" t="s">
        <v>85</v>
      </c>
      <c r="K968" s="97" t="s">
        <v>73</v>
      </c>
      <c r="L968">
        <v>701000</v>
      </c>
      <c r="M968" s="97" t="s">
        <v>62</v>
      </c>
      <c r="N968" s="97" t="s">
        <v>33</v>
      </c>
      <c r="O968">
        <v>2007</v>
      </c>
      <c r="P968">
        <v>0.95</v>
      </c>
      <c r="Q968">
        <v>1.91</v>
      </c>
      <c r="R968" s="97" t="s">
        <v>1205</v>
      </c>
      <c r="S968" s="97" t="s">
        <v>195</v>
      </c>
    </row>
    <row r="969" spans="1:19" x14ac:dyDescent="0.3">
      <c r="A969" s="97" t="s">
        <v>952</v>
      </c>
      <c r="B969" s="97" t="s">
        <v>22</v>
      </c>
      <c r="C969">
        <v>2026</v>
      </c>
      <c r="D969">
        <v>2</v>
      </c>
      <c r="E969" s="2">
        <v>46077</v>
      </c>
      <c r="F969" s="97" t="s">
        <v>7</v>
      </c>
      <c r="G969" s="97" t="s">
        <v>8</v>
      </c>
      <c r="H969" s="97" t="s">
        <v>70</v>
      </c>
      <c r="I969" s="97" t="s">
        <v>84</v>
      </c>
      <c r="J969" s="97" t="s">
        <v>85</v>
      </c>
      <c r="K969" s="97" t="s">
        <v>73</v>
      </c>
      <c r="L969">
        <v>701000</v>
      </c>
      <c r="M969" s="97" t="s">
        <v>62</v>
      </c>
      <c r="N969" s="97" t="s">
        <v>33</v>
      </c>
      <c r="O969">
        <v>3335</v>
      </c>
      <c r="P969">
        <v>0.95</v>
      </c>
      <c r="Q969">
        <v>3.17</v>
      </c>
      <c r="R969" s="97" t="s">
        <v>1200</v>
      </c>
      <c r="S969" s="97" t="s">
        <v>195</v>
      </c>
    </row>
    <row r="970" spans="1:19" x14ac:dyDescent="0.3">
      <c r="A970" s="97" t="s">
        <v>953</v>
      </c>
      <c r="B970" s="97" t="s">
        <v>22</v>
      </c>
      <c r="C970">
        <v>2026</v>
      </c>
      <c r="D970">
        <v>2</v>
      </c>
      <c r="E970" s="2">
        <v>46077</v>
      </c>
      <c r="F970" s="97" t="s">
        <v>7</v>
      </c>
      <c r="G970" s="97" t="s">
        <v>8</v>
      </c>
      <c r="H970" s="97" t="s">
        <v>70</v>
      </c>
      <c r="I970" s="97" t="s">
        <v>84</v>
      </c>
      <c r="J970" s="97" t="s">
        <v>85</v>
      </c>
      <c r="K970" s="97" t="s">
        <v>73</v>
      </c>
      <c r="L970">
        <v>701000</v>
      </c>
      <c r="M970" s="97" t="s">
        <v>62</v>
      </c>
      <c r="N970" s="97" t="s">
        <v>33</v>
      </c>
      <c r="O970">
        <v>2932</v>
      </c>
      <c r="P970">
        <v>0.95</v>
      </c>
      <c r="Q970">
        <v>2.79</v>
      </c>
      <c r="R970" s="97" t="s">
        <v>1201</v>
      </c>
      <c r="S970" s="97" t="s">
        <v>195</v>
      </c>
    </row>
    <row r="971" spans="1:19" x14ac:dyDescent="0.3">
      <c r="A971" s="97" t="s">
        <v>954</v>
      </c>
      <c r="B971" s="97" t="s">
        <v>22</v>
      </c>
      <c r="C971">
        <v>2026</v>
      </c>
      <c r="D971">
        <v>2</v>
      </c>
      <c r="E971" s="2">
        <v>46077</v>
      </c>
      <c r="F971" s="97" t="s">
        <v>7</v>
      </c>
      <c r="G971" s="97" t="s">
        <v>8</v>
      </c>
      <c r="H971" s="97" t="s">
        <v>70</v>
      </c>
      <c r="I971" s="97" t="s">
        <v>84</v>
      </c>
      <c r="J971" s="97" t="s">
        <v>85</v>
      </c>
      <c r="K971" s="97" t="s">
        <v>73</v>
      </c>
      <c r="L971">
        <v>701000</v>
      </c>
      <c r="M971" s="97" t="s">
        <v>62</v>
      </c>
      <c r="N971" s="97" t="s">
        <v>33</v>
      </c>
      <c r="O971">
        <v>3494</v>
      </c>
      <c r="P971">
        <v>0.95</v>
      </c>
      <c r="Q971">
        <v>3.31</v>
      </c>
      <c r="R971" s="97" t="s">
        <v>1199</v>
      </c>
      <c r="S971" s="97" t="s">
        <v>195</v>
      </c>
    </row>
    <row r="972" spans="1:19" x14ac:dyDescent="0.3">
      <c r="A972" s="97" t="s">
        <v>915</v>
      </c>
      <c r="B972" s="97" t="s">
        <v>22</v>
      </c>
      <c r="C972">
        <v>2026</v>
      </c>
      <c r="D972">
        <v>2</v>
      </c>
      <c r="E972" s="2">
        <v>46078</v>
      </c>
      <c r="F972" s="97" t="s">
        <v>7</v>
      </c>
      <c r="G972" s="97" t="s">
        <v>8</v>
      </c>
      <c r="H972" s="97" t="s">
        <v>70</v>
      </c>
      <c r="I972" s="97" t="s">
        <v>84</v>
      </c>
      <c r="J972" s="97" t="s">
        <v>85</v>
      </c>
      <c r="K972" s="97" t="s">
        <v>73</v>
      </c>
      <c r="L972">
        <v>701000</v>
      </c>
      <c r="M972" s="97" t="s">
        <v>62</v>
      </c>
      <c r="N972" s="97" t="s">
        <v>33</v>
      </c>
      <c r="O972">
        <v>886</v>
      </c>
      <c r="P972">
        <v>0.95</v>
      </c>
      <c r="Q972">
        <v>0.84</v>
      </c>
      <c r="R972" s="97" t="s">
        <v>1199</v>
      </c>
      <c r="S972" s="97" t="s">
        <v>195</v>
      </c>
    </row>
    <row r="973" spans="1:19" x14ac:dyDescent="0.3">
      <c r="A973" s="97" t="s">
        <v>916</v>
      </c>
      <c r="B973" s="97" t="s">
        <v>22</v>
      </c>
      <c r="C973">
        <v>2026</v>
      </c>
      <c r="D973">
        <v>2</v>
      </c>
      <c r="E973" s="2">
        <v>46078</v>
      </c>
      <c r="F973" s="97" t="s">
        <v>7</v>
      </c>
      <c r="G973" s="97" t="s">
        <v>8</v>
      </c>
      <c r="H973" s="97" t="s">
        <v>70</v>
      </c>
      <c r="I973" s="97" t="s">
        <v>84</v>
      </c>
      <c r="J973" s="97" t="s">
        <v>85</v>
      </c>
      <c r="K973" s="97" t="s">
        <v>73</v>
      </c>
      <c r="L973">
        <v>701000</v>
      </c>
      <c r="M973" s="97" t="s">
        <v>62</v>
      </c>
      <c r="N973" s="97" t="s">
        <v>33</v>
      </c>
      <c r="O973">
        <v>3260</v>
      </c>
      <c r="P973">
        <v>0.95</v>
      </c>
      <c r="Q973">
        <v>3.1</v>
      </c>
      <c r="R973" s="97" t="s">
        <v>1197</v>
      </c>
      <c r="S973" s="97" t="s">
        <v>195</v>
      </c>
    </row>
    <row r="974" spans="1:19" x14ac:dyDescent="0.3">
      <c r="A974" s="97" t="s">
        <v>917</v>
      </c>
      <c r="B974" s="97" t="s">
        <v>22</v>
      </c>
      <c r="C974">
        <v>2026</v>
      </c>
      <c r="D974">
        <v>2</v>
      </c>
      <c r="E974" s="2">
        <v>46078</v>
      </c>
      <c r="F974" s="97" t="s">
        <v>7</v>
      </c>
      <c r="G974" s="97" t="s">
        <v>8</v>
      </c>
      <c r="H974" s="97" t="s">
        <v>70</v>
      </c>
      <c r="I974" s="97" t="s">
        <v>84</v>
      </c>
      <c r="J974" s="97" t="s">
        <v>85</v>
      </c>
      <c r="K974" s="97" t="s">
        <v>73</v>
      </c>
      <c r="L974">
        <v>701000</v>
      </c>
      <c r="M974" s="97" t="s">
        <v>62</v>
      </c>
      <c r="N974" s="97" t="s">
        <v>33</v>
      </c>
      <c r="O974">
        <v>6012</v>
      </c>
      <c r="P974">
        <v>0.95</v>
      </c>
      <c r="Q974">
        <v>5.71</v>
      </c>
      <c r="R974" s="97" t="s">
        <v>1202</v>
      </c>
      <c r="S974" s="97" t="s">
        <v>195</v>
      </c>
    </row>
    <row r="975" spans="1:19" x14ac:dyDescent="0.3">
      <c r="A975" s="97" t="s">
        <v>918</v>
      </c>
      <c r="B975" s="97" t="s">
        <v>22</v>
      </c>
      <c r="C975">
        <v>2026</v>
      </c>
      <c r="D975">
        <v>2</v>
      </c>
      <c r="E975" s="2">
        <v>46078</v>
      </c>
      <c r="F975" s="97" t="s">
        <v>7</v>
      </c>
      <c r="G975" s="97" t="s">
        <v>8</v>
      </c>
      <c r="H975" s="97" t="s">
        <v>70</v>
      </c>
      <c r="I975" s="97" t="s">
        <v>84</v>
      </c>
      <c r="J975" s="97" t="s">
        <v>85</v>
      </c>
      <c r="K975" s="97" t="s">
        <v>73</v>
      </c>
      <c r="L975">
        <v>701000</v>
      </c>
      <c r="M975" s="97" t="s">
        <v>62</v>
      </c>
      <c r="N975" s="97" t="s">
        <v>33</v>
      </c>
      <c r="O975">
        <v>11073</v>
      </c>
      <c r="P975">
        <v>0.95</v>
      </c>
      <c r="Q975">
        <v>10.52</v>
      </c>
      <c r="R975" s="97" t="s">
        <v>1200</v>
      </c>
      <c r="S975" s="97" t="s">
        <v>195</v>
      </c>
    </row>
    <row r="976" spans="1:19" x14ac:dyDescent="0.3">
      <c r="A976" s="97" t="s">
        <v>919</v>
      </c>
      <c r="B976" s="97" t="s">
        <v>22</v>
      </c>
      <c r="C976">
        <v>2026</v>
      </c>
      <c r="D976">
        <v>2</v>
      </c>
      <c r="E976" s="2">
        <v>46078</v>
      </c>
      <c r="F976" s="97" t="s">
        <v>7</v>
      </c>
      <c r="G976" s="97" t="s">
        <v>8</v>
      </c>
      <c r="H976" s="97" t="s">
        <v>70</v>
      </c>
      <c r="I976" s="97" t="s">
        <v>84</v>
      </c>
      <c r="J976" s="97" t="s">
        <v>85</v>
      </c>
      <c r="K976" s="97" t="s">
        <v>73</v>
      </c>
      <c r="L976">
        <v>701000</v>
      </c>
      <c r="M976" s="97" t="s">
        <v>62</v>
      </c>
      <c r="N976" s="97" t="s">
        <v>33</v>
      </c>
      <c r="O976">
        <v>1710</v>
      </c>
      <c r="P976">
        <v>0.95</v>
      </c>
      <c r="Q976">
        <v>1.62</v>
      </c>
      <c r="R976" s="97" t="s">
        <v>1203</v>
      </c>
      <c r="S976" s="97" t="s">
        <v>195</v>
      </c>
    </row>
    <row r="977" spans="1:19" x14ac:dyDescent="0.3">
      <c r="A977" s="97" t="s">
        <v>970</v>
      </c>
      <c r="B977" s="97" t="s">
        <v>22</v>
      </c>
      <c r="C977">
        <v>2026</v>
      </c>
      <c r="D977">
        <v>2</v>
      </c>
      <c r="E977" s="2">
        <v>46078</v>
      </c>
      <c r="F977" s="97" t="s">
        <v>7</v>
      </c>
      <c r="G977" s="97" t="s">
        <v>8</v>
      </c>
      <c r="H977" s="97" t="s">
        <v>70</v>
      </c>
      <c r="I977" s="97" t="s">
        <v>84</v>
      </c>
      <c r="J977" s="97" t="s">
        <v>85</v>
      </c>
      <c r="K977" s="97" t="s">
        <v>73</v>
      </c>
      <c r="L977">
        <v>701000</v>
      </c>
      <c r="M977" s="97" t="s">
        <v>62</v>
      </c>
      <c r="N977" s="97" t="s">
        <v>33</v>
      </c>
      <c r="O977">
        <v>1254</v>
      </c>
      <c r="P977">
        <v>0.95</v>
      </c>
      <c r="Q977">
        <v>1.19</v>
      </c>
      <c r="R977" s="97" t="s">
        <v>1203</v>
      </c>
      <c r="S977" s="97" t="s">
        <v>195</v>
      </c>
    </row>
    <row r="978" spans="1:19" x14ac:dyDescent="0.3">
      <c r="A978" s="97" t="s">
        <v>971</v>
      </c>
      <c r="B978" s="97" t="s">
        <v>22</v>
      </c>
      <c r="C978">
        <v>2026</v>
      </c>
      <c r="D978">
        <v>2</v>
      </c>
      <c r="E978" s="2">
        <v>46078</v>
      </c>
      <c r="F978" s="97" t="s">
        <v>7</v>
      </c>
      <c r="G978" s="97" t="s">
        <v>8</v>
      </c>
      <c r="H978" s="97" t="s">
        <v>70</v>
      </c>
      <c r="I978" s="97" t="s">
        <v>84</v>
      </c>
      <c r="J978" s="97" t="s">
        <v>85</v>
      </c>
      <c r="K978" s="97" t="s">
        <v>73</v>
      </c>
      <c r="L978">
        <v>701000</v>
      </c>
      <c r="M978" s="97" t="s">
        <v>62</v>
      </c>
      <c r="N978" s="97" t="s">
        <v>33</v>
      </c>
      <c r="O978">
        <v>7058</v>
      </c>
      <c r="P978">
        <v>0.95</v>
      </c>
      <c r="Q978">
        <v>6.7</v>
      </c>
      <c r="R978" s="97" t="s">
        <v>1198</v>
      </c>
      <c r="S978" s="97" t="s">
        <v>195</v>
      </c>
    </row>
    <row r="979" spans="1:19" x14ac:dyDescent="0.3">
      <c r="A979" s="97" t="s">
        <v>972</v>
      </c>
      <c r="B979" s="97" t="s">
        <v>22</v>
      </c>
      <c r="C979">
        <v>2026</v>
      </c>
      <c r="D979">
        <v>2</v>
      </c>
      <c r="E979" s="2">
        <v>46078</v>
      </c>
      <c r="F979" s="97" t="s">
        <v>7</v>
      </c>
      <c r="G979" s="97" t="s">
        <v>8</v>
      </c>
      <c r="H979" s="97" t="s">
        <v>70</v>
      </c>
      <c r="I979" s="97" t="s">
        <v>84</v>
      </c>
      <c r="J979" s="97" t="s">
        <v>85</v>
      </c>
      <c r="K979" s="97" t="s">
        <v>73</v>
      </c>
      <c r="L979">
        <v>701000</v>
      </c>
      <c r="M979" s="97" t="s">
        <v>62</v>
      </c>
      <c r="N979" s="97" t="s">
        <v>33</v>
      </c>
      <c r="O979">
        <v>3169</v>
      </c>
      <c r="P979">
        <v>0.95</v>
      </c>
      <c r="Q979">
        <v>3.01</v>
      </c>
      <c r="R979" s="97" t="s">
        <v>1197</v>
      </c>
      <c r="S979" s="97" t="s">
        <v>195</v>
      </c>
    </row>
    <row r="980" spans="1:19" x14ac:dyDescent="0.3">
      <c r="A980" s="97" t="s">
        <v>973</v>
      </c>
      <c r="B980" s="97" t="s">
        <v>22</v>
      </c>
      <c r="C980">
        <v>2026</v>
      </c>
      <c r="D980">
        <v>2</v>
      </c>
      <c r="E980" s="2">
        <v>46078</v>
      </c>
      <c r="F980" s="97" t="s">
        <v>7</v>
      </c>
      <c r="G980" s="97" t="s">
        <v>8</v>
      </c>
      <c r="H980" s="97" t="s">
        <v>70</v>
      </c>
      <c r="I980" s="97" t="s">
        <v>84</v>
      </c>
      <c r="J980" s="97" t="s">
        <v>85</v>
      </c>
      <c r="K980" s="97" t="s">
        <v>73</v>
      </c>
      <c r="L980">
        <v>701000</v>
      </c>
      <c r="M980" s="97" t="s">
        <v>62</v>
      </c>
      <c r="N980" s="97" t="s">
        <v>33</v>
      </c>
      <c r="O980">
        <v>4021</v>
      </c>
      <c r="P980">
        <v>0.95</v>
      </c>
      <c r="Q980">
        <v>3.82</v>
      </c>
      <c r="R980" s="97" t="s">
        <v>1205</v>
      </c>
      <c r="S980" s="97" t="s">
        <v>195</v>
      </c>
    </row>
    <row r="981" spans="1:19" x14ac:dyDescent="0.3">
      <c r="A981" s="97" t="s">
        <v>974</v>
      </c>
      <c r="B981" s="97" t="s">
        <v>22</v>
      </c>
      <c r="C981">
        <v>2026</v>
      </c>
      <c r="D981">
        <v>2</v>
      </c>
      <c r="E981" s="2">
        <v>46078</v>
      </c>
      <c r="F981" s="97" t="s">
        <v>7</v>
      </c>
      <c r="G981" s="97" t="s">
        <v>8</v>
      </c>
      <c r="H981" s="97" t="s">
        <v>70</v>
      </c>
      <c r="I981" s="97" t="s">
        <v>84</v>
      </c>
      <c r="J981" s="97" t="s">
        <v>85</v>
      </c>
      <c r="K981" s="97" t="s">
        <v>73</v>
      </c>
      <c r="L981">
        <v>701000</v>
      </c>
      <c r="M981" s="97" t="s">
        <v>62</v>
      </c>
      <c r="N981" s="97" t="s">
        <v>33</v>
      </c>
      <c r="O981">
        <v>2858</v>
      </c>
      <c r="P981">
        <v>0.95</v>
      </c>
      <c r="Q981">
        <v>2.72</v>
      </c>
      <c r="R981" s="97" t="s">
        <v>1202</v>
      </c>
      <c r="S981" s="97" t="s">
        <v>195</v>
      </c>
    </row>
    <row r="982" spans="1:19" x14ac:dyDescent="0.3">
      <c r="A982" s="97" t="s">
        <v>910</v>
      </c>
      <c r="B982" s="97" t="s">
        <v>22</v>
      </c>
      <c r="C982">
        <v>2026</v>
      </c>
      <c r="D982">
        <v>2</v>
      </c>
      <c r="E982" s="2">
        <v>46079</v>
      </c>
      <c r="F982" s="97" t="s">
        <v>7</v>
      </c>
      <c r="G982" s="97" t="s">
        <v>8</v>
      </c>
      <c r="H982" s="97" t="s">
        <v>74</v>
      </c>
      <c r="I982" s="97" t="s">
        <v>84</v>
      </c>
      <c r="J982" s="97" t="s">
        <v>85</v>
      </c>
      <c r="K982" s="97" t="s">
        <v>73</v>
      </c>
      <c r="L982">
        <v>701000</v>
      </c>
      <c r="M982" s="97" t="s">
        <v>62</v>
      </c>
      <c r="N982" s="97" t="s">
        <v>33</v>
      </c>
      <c r="O982">
        <v>3780</v>
      </c>
      <c r="P982">
        <v>0.95</v>
      </c>
      <c r="Q982">
        <v>3.59</v>
      </c>
      <c r="R982" s="97" t="s">
        <v>1202</v>
      </c>
      <c r="S982" s="97" t="s">
        <v>195</v>
      </c>
    </row>
    <row r="983" spans="1:19" x14ac:dyDescent="0.3">
      <c r="A983" s="97" t="s">
        <v>911</v>
      </c>
      <c r="B983" s="97" t="s">
        <v>22</v>
      </c>
      <c r="C983">
        <v>2026</v>
      </c>
      <c r="D983">
        <v>2</v>
      </c>
      <c r="E983" s="2">
        <v>46079</v>
      </c>
      <c r="F983" s="97" t="s">
        <v>7</v>
      </c>
      <c r="G983" s="97" t="s">
        <v>8</v>
      </c>
      <c r="H983" s="97" t="s">
        <v>74</v>
      </c>
      <c r="I983" s="97" t="s">
        <v>84</v>
      </c>
      <c r="J983" s="97" t="s">
        <v>85</v>
      </c>
      <c r="K983" s="97" t="s">
        <v>73</v>
      </c>
      <c r="L983">
        <v>701000</v>
      </c>
      <c r="M983" s="97" t="s">
        <v>62</v>
      </c>
      <c r="N983" s="97" t="s">
        <v>33</v>
      </c>
      <c r="O983">
        <v>8453</v>
      </c>
      <c r="P983">
        <v>0.95</v>
      </c>
      <c r="Q983">
        <v>8.0299999999999994</v>
      </c>
      <c r="R983" s="97" t="s">
        <v>1205</v>
      </c>
      <c r="S983" s="97" t="s">
        <v>195</v>
      </c>
    </row>
    <row r="984" spans="1:19" x14ac:dyDescent="0.3">
      <c r="A984" s="97" t="s">
        <v>912</v>
      </c>
      <c r="B984" s="97" t="s">
        <v>22</v>
      </c>
      <c r="C984">
        <v>2026</v>
      </c>
      <c r="D984">
        <v>2</v>
      </c>
      <c r="E984" s="2">
        <v>46079</v>
      </c>
      <c r="F984" s="97" t="s">
        <v>7</v>
      </c>
      <c r="G984" s="97" t="s">
        <v>8</v>
      </c>
      <c r="H984" s="97" t="s">
        <v>74</v>
      </c>
      <c r="I984" s="97" t="s">
        <v>84</v>
      </c>
      <c r="J984" s="97" t="s">
        <v>85</v>
      </c>
      <c r="K984" s="97" t="s">
        <v>73</v>
      </c>
      <c r="L984">
        <v>701000</v>
      </c>
      <c r="M984" s="97" t="s">
        <v>62</v>
      </c>
      <c r="N984" s="97" t="s">
        <v>33</v>
      </c>
      <c r="O984">
        <v>5103</v>
      </c>
      <c r="P984">
        <v>0.95</v>
      </c>
      <c r="Q984">
        <v>4.8499999999999996</v>
      </c>
      <c r="R984" s="97" t="s">
        <v>1199</v>
      </c>
      <c r="S984" s="97" t="s">
        <v>195</v>
      </c>
    </row>
    <row r="985" spans="1:19" x14ac:dyDescent="0.3">
      <c r="A985" s="97" t="s">
        <v>913</v>
      </c>
      <c r="B985" s="97" t="s">
        <v>22</v>
      </c>
      <c r="C985">
        <v>2026</v>
      </c>
      <c r="D985">
        <v>2</v>
      </c>
      <c r="E985" s="2">
        <v>46079</v>
      </c>
      <c r="F985" s="97" t="s">
        <v>7</v>
      </c>
      <c r="G985" s="97" t="s">
        <v>8</v>
      </c>
      <c r="H985" s="97" t="s">
        <v>74</v>
      </c>
      <c r="I985" s="97" t="s">
        <v>84</v>
      </c>
      <c r="J985" s="97" t="s">
        <v>85</v>
      </c>
      <c r="K985" s="97" t="s">
        <v>73</v>
      </c>
      <c r="L985">
        <v>701000</v>
      </c>
      <c r="M985" s="97" t="s">
        <v>62</v>
      </c>
      <c r="N985" s="97" t="s">
        <v>33</v>
      </c>
      <c r="O985">
        <v>1690</v>
      </c>
      <c r="P985">
        <v>0.95</v>
      </c>
      <c r="Q985">
        <v>1.61</v>
      </c>
      <c r="R985" s="97" t="s">
        <v>1204</v>
      </c>
      <c r="S985" s="97" t="s">
        <v>195</v>
      </c>
    </row>
    <row r="986" spans="1:19" x14ac:dyDescent="0.3">
      <c r="A986" s="97" t="s">
        <v>914</v>
      </c>
      <c r="B986" s="97" t="s">
        <v>22</v>
      </c>
      <c r="C986">
        <v>2026</v>
      </c>
      <c r="D986">
        <v>2</v>
      </c>
      <c r="E986" s="2">
        <v>46079</v>
      </c>
      <c r="F986" s="97" t="s">
        <v>7</v>
      </c>
      <c r="G986" s="97" t="s">
        <v>8</v>
      </c>
      <c r="H986" s="97" t="s">
        <v>74</v>
      </c>
      <c r="I986" s="97" t="s">
        <v>84</v>
      </c>
      <c r="J986" s="97" t="s">
        <v>85</v>
      </c>
      <c r="K986" s="97" t="s">
        <v>73</v>
      </c>
      <c r="L986">
        <v>701000</v>
      </c>
      <c r="M986" s="97" t="s">
        <v>62</v>
      </c>
      <c r="N986" s="97" t="s">
        <v>33</v>
      </c>
      <c r="O986">
        <v>2574</v>
      </c>
      <c r="P986">
        <v>0.95</v>
      </c>
      <c r="Q986">
        <v>2.44</v>
      </c>
      <c r="R986" s="97" t="s">
        <v>1200</v>
      </c>
      <c r="S986" s="97" t="s">
        <v>195</v>
      </c>
    </row>
    <row r="987" spans="1:19" x14ac:dyDescent="0.3">
      <c r="A987" s="97" t="s">
        <v>1155</v>
      </c>
      <c r="B987" s="97" t="s">
        <v>22</v>
      </c>
      <c r="C987">
        <v>2026</v>
      </c>
      <c r="D987">
        <v>2</v>
      </c>
      <c r="E987" s="2">
        <v>46080</v>
      </c>
      <c r="F987" s="97" t="s">
        <v>7</v>
      </c>
      <c r="G987" s="97" t="s">
        <v>8</v>
      </c>
      <c r="H987" s="97" t="s">
        <v>74</v>
      </c>
      <c r="I987" s="97" t="s">
        <v>71</v>
      </c>
      <c r="J987" s="97" t="s">
        <v>72</v>
      </c>
      <c r="K987" s="97" t="s">
        <v>73</v>
      </c>
      <c r="L987">
        <v>706000</v>
      </c>
      <c r="M987" s="97" t="s">
        <v>63</v>
      </c>
      <c r="N987" s="97" t="s">
        <v>33</v>
      </c>
      <c r="O987">
        <v>990</v>
      </c>
      <c r="P987">
        <v>1.05</v>
      </c>
      <c r="Q987">
        <v>1.04</v>
      </c>
      <c r="R987" s="97" t="s">
        <v>1197</v>
      </c>
      <c r="S987" s="97" t="s">
        <v>195</v>
      </c>
    </row>
    <row r="988" spans="1:19" x14ac:dyDescent="0.3">
      <c r="A988" s="97" t="s">
        <v>1156</v>
      </c>
      <c r="B988" s="97" t="s">
        <v>22</v>
      </c>
      <c r="C988">
        <v>2026</v>
      </c>
      <c r="D988">
        <v>2</v>
      </c>
      <c r="E988" s="2">
        <v>46080</v>
      </c>
      <c r="F988" s="97" t="s">
        <v>7</v>
      </c>
      <c r="G988" s="97" t="s">
        <v>8</v>
      </c>
      <c r="H988" s="97" t="s">
        <v>74</v>
      </c>
      <c r="I988" s="97" t="s">
        <v>71</v>
      </c>
      <c r="J988" s="97" t="s">
        <v>72</v>
      </c>
      <c r="K988" s="97" t="s">
        <v>73</v>
      </c>
      <c r="L988">
        <v>706000</v>
      </c>
      <c r="M988" s="97" t="s">
        <v>63</v>
      </c>
      <c r="N988" s="97" t="s">
        <v>33</v>
      </c>
      <c r="O988">
        <v>2239</v>
      </c>
      <c r="P988">
        <v>1.05</v>
      </c>
      <c r="Q988">
        <v>2.35</v>
      </c>
      <c r="R988" s="97" t="s">
        <v>1205</v>
      </c>
      <c r="S988" s="97" t="s">
        <v>195</v>
      </c>
    </row>
    <row r="989" spans="1:19" x14ac:dyDescent="0.3">
      <c r="A989" s="97" t="s">
        <v>1157</v>
      </c>
      <c r="B989" s="97" t="s">
        <v>22</v>
      </c>
      <c r="C989">
        <v>2026</v>
      </c>
      <c r="D989">
        <v>2</v>
      </c>
      <c r="E989" s="2">
        <v>46080</v>
      </c>
      <c r="F989" s="97" t="s">
        <v>7</v>
      </c>
      <c r="G989" s="97" t="s">
        <v>8</v>
      </c>
      <c r="H989" s="97" t="s">
        <v>74</v>
      </c>
      <c r="I989" s="97" t="s">
        <v>71</v>
      </c>
      <c r="J989" s="97" t="s">
        <v>72</v>
      </c>
      <c r="K989" s="97" t="s">
        <v>73</v>
      </c>
      <c r="L989">
        <v>706000</v>
      </c>
      <c r="M989" s="97" t="s">
        <v>63</v>
      </c>
      <c r="N989" s="97" t="s">
        <v>33</v>
      </c>
      <c r="O989">
        <v>1748</v>
      </c>
      <c r="P989">
        <v>1.05</v>
      </c>
      <c r="Q989">
        <v>1.84</v>
      </c>
      <c r="R989" s="97" t="s">
        <v>1198</v>
      </c>
      <c r="S989" s="97" t="s">
        <v>195</v>
      </c>
    </row>
    <row r="990" spans="1:19" x14ac:dyDescent="0.3">
      <c r="A990" s="97" t="s">
        <v>1158</v>
      </c>
      <c r="B990" s="97" t="s">
        <v>22</v>
      </c>
      <c r="C990">
        <v>2026</v>
      </c>
      <c r="D990">
        <v>2</v>
      </c>
      <c r="E990" s="2">
        <v>46080</v>
      </c>
      <c r="F990" s="97" t="s">
        <v>7</v>
      </c>
      <c r="G990" s="97" t="s">
        <v>8</v>
      </c>
      <c r="H990" s="97" t="s">
        <v>74</v>
      </c>
      <c r="I990" s="97" t="s">
        <v>71</v>
      </c>
      <c r="J990" s="97" t="s">
        <v>72</v>
      </c>
      <c r="K990" s="97" t="s">
        <v>73</v>
      </c>
      <c r="L990">
        <v>706000</v>
      </c>
      <c r="M990" s="97" t="s">
        <v>63</v>
      </c>
      <c r="N990" s="97" t="s">
        <v>33</v>
      </c>
      <c r="O990">
        <v>3211</v>
      </c>
      <c r="P990">
        <v>1.05</v>
      </c>
      <c r="Q990">
        <v>3.37</v>
      </c>
      <c r="R990" s="97" t="s">
        <v>1204</v>
      </c>
      <c r="S990" s="97" t="s">
        <v>195</v>
      </c>
    </row>
    <row r="991" spans="1:19" x14ac:dyDescent="0.3">
      <c r="A991" s="97" t="s">
        <v>1159</v>
      </c>
      <c r="B991" s="97" t="s">
        <v>22</v>
      </c>
      <c r="C991">
        <v>2026</v>
      </c>
      <c r="D991">
        <v>2</v>
      </c>
      <c r="E991" s="2">
        <v>46080</v>
      </c>
      <c r="F991" s="97" t="s">
        <v>7</v>
      </c>
      <c r="G991" s="97" t="s">
        <v>8</v>
      </c>
      <c r="H991" s="97" t="s">
        <v>74</v>
      </c>
      <c r="I991" s="97" t="s">
        <v>71</v>
      </c>
      <c r="J991" s="97" t="s">
        <v>72</v>
      </c>
      <c r="K991" s="97" t="s">
        <v>73</v>
      </c>
      <c r="L991">
        <v>706000</v>
      </c>
      <c r="M991" s="97" t="s">
        <v>63</v>
      </c>
      <c r="N991" s="97" t="s">
        <v>33</v>
      </c>
      <c r="O991">
        <v>803</v>
      </c>
      <c r="P991">
        <v>1.05</v>
      </c>
      <c r="Q991">
        <v>0.84</v>
      </c>
      <c r="R991" s="97" t="s">
        <v>1199</v>
      </c>
      <c r="S991" s="97" t="s">
        <v>195</v>
      </c>
    </row>
    <row r="992" spans="1:19" x14ac:dyDescent="0.3">
      <c r="A992" s="97" t="s">
        <v>1170</v>
      </c>
      <c r="B992" s="97" t="s">
        <v>22</v>
      </c>
      <c r="C992">
        <v>2026</v>
      </c>
      <c r="D992">
        <v>2</v>
      </c>
      <c r="E992" s="2">
        <v>46081</v>
      </c>
      <c r="F992" s="97" t="s">
        <v>7</v>
      </c>
      <c r="G992" s="97" t="s">
        <v>8</v>
      </c>
      <c r="H992" s="97" t="s">
        <v>74</v>
      </c>
      <c r="I992" s="97" t="s">
        <v>71</v>
      </c>
      <c r="J992" s="97" t="s">
        <v>72</v>
      </c>
      <c r="K992" s="97" t="s">
        <v>73</v>
      </c>
      <c r="L992">
        <v>709000</v>
      </c>
      <c r="M992" s="97" t="s">
        <v>86</v>
      </c>
      <c r="N992" s="97" t="s">
        <v>33</v>
      </c>
      <c r="O992">
        <v>0</v>
      </c>
      <c r="P992">
        <v>-790</v>
      </c>
      <c r="Q992">
        <v>-0.79</v>
      </c>
      <c r="R992" s="97" t="s">
        <v>1203</v>
      </c>
      <c r="S992" s="97" t="s">
        <v>195</v>
      </c>
    </row>
    <row r="993" spans="1:19" x14ac:dyDescent="0.3">
      <c r="A993" s="97" t="s">
        <v>1171</v>
      </c>
      <c r="B993" s="97" t="s">
        <v>22</v>
      </c>
      <c r="C993">
        <v>2026</v>
      </c>
      <c r="D993">
        <v>2</v>
      </c>
      <c r="E993" s="2">
        <v>46081</v>
      </c>
      <c r="F993" s="97" t="s">
        <v>7</v>
      </c>
      <c r="G993" s="97" t="s">
        <v>8</v>
      </c>
      <c r="H993" s="97" t="s">
        <v>74</v>
      </c>
      <c r="I993" s="97" t="s">
        <v>71</v>
      </c>
      <c r="J993" s="97" t="s">
        <v>72</v>
      </c>
      <c r="K993" s="97" t="s">
        <v>73</v>
      </c>
      <c r="L993">
        <v>709000</v>
      </c>
      <c r="M993" s="97" t="s">
        <v>86</v>
      </c>
      <c r="N993" s="97" t="s">
        <v>33</v>
      </c>
      <c r="O993">
        <v>0</v>
      </c>
      <c r="P993">
        <v>-230</v>
      </c>
      <c r="Q993">
        <v>-0.23</v>
      </c>
      <c r="R993" s="97" t="s">
        <v>1201</v>
      </c>
      <c r="S993" s="97" t="s">
        <v>195</v>
      </c>
    </row>
    <row r="994" spans="1:19" x14ac:dyDescent="0.3">
      <c r="A994" s="97" t="s">
        <v>1172</v>
      </c>
      <c r="B994" s="97" t="s">
        <v>22</v>
      </c>
      <c r="C994">
        <v>2026</v>
      </c>
      <c r="D994">
        <v>2</v>
      </c>
      <c r="E994" s="2">
        <v>46081</v>
      </c>
      <c r="F994" s="97" t="s">
        <v>7</v>
      </c>
      <c r="G994" s="97" t="s">
        <v>8</v>
      </c>
      <c r="H994" s="97" t="s">
        <v>74</v>
      </c>
      <c r="I994" s="97" t="s">
        <v>71</v>
      </c>
      <c r="J994" s="97" t="s">
        <v>72</v>
      </c>
      <c r="K994" s="97" t="s">
        <v>73</v>
      </c>
      <c r="L994">
        <v>709000</v>
      </c>
      <c r="M994" s="97" t="s">
        <v>86</v>
      </c>
      <c r="N994" s="97" t="s">
        <v>33</v>
      </c>
      <c r="O994">
        <v>0</v>
      </c>
      <c r="P994">
        <v>-830</v>
      </c>
      <c r="Q994">
        <v>-0.83</v>
      </c>
      <c r="R994" s="97" t="s">
        <v>1198</v>
      </c>
      <c r="S994" s="97" t="s">
        <v>195</v>
      </c>
    </row>
    <row r="995" spans="1:19" x14ac:dyDescent="0.3">
      <c r="A995" s="97" t="s">
        <v>1173</v>
      </c>
      <c r="B995" s="97" t="s">
        <v>22</v>
      </c>
      <c r="C995">
        <v>2026</v>
      </c>
      <c r="D995">
        <v>2</v>
      </c>
      <c r="E995" s="2">
        <v>46081</v>
      </c>
      <c r="F995" s="97" t="s">
        <v>7</v>
      </c>
      <c r="G995" s="97" t="s">
        <v>8</v>
      </c>
      <c r="H995" s="97" t="s">
        <v>74</v>
      </c>
      <c r="I995" s="97" t="s">
        <v>71</v>
      </c>
      <c r="J995" s="97" t="s">
        <v>72</v>
      </c>
      <c r="K995" s="97" t="s">
        <v>73</v>
      </c>
      <c r="L995">
        <v>709000</v>
      </c>
      <c r="M995" s="97" t="s">
        <v>86</v>
      </c>
      <c r="N995" s="97" t="s">
        <v>33</v>
      </c>
      <c r="O995">
        <v>0</v>
      </c>
      <c r="P995">
        <v>-2210</v>
      </c>
      <c r="Q995">
        <v>-2.21</v>
      </c>
      <c r="R995" s="97" t="s">
        <v>1205</v>
      </c>
      <c r="S995" s="97" t="s">
        <v>195</v>
      </c>
    </row>
    <row r="996" spans="1:19" x14ac:dyDescent="0.3">
      <c r="A996" s="97" t="s">
        <v>1174</v>
      </c>
      <c r="B996" s="97" t="s">
        <v>22</v>
      </c>
      <c r="C996">
        <v>2026</v>
      </c>
      <c r="D996">
        <v>2</v>
      </c>
      <c r="E996" s="2">
        <v>46081</v>
      </c>
      <c r="F996" s="97" t="s">
        <v>7</v>
      </c>
      <c r="G996" s="97" t="s">
        <v>8</v>
      </c>
      <c r="H996" s="97" t="s">
        <v>74</v>
      </c>
      <c r="I996" s="97" t="s">
        <v>71</v>
      </c>
      <c r="J996" s="97" t="s">
        <v>72</v>
      </c>
      <c r="K996" s="97" t="s">
        <v>73</v>
      </c>
      <c r="L996">
        <v>709000</v>
      </c>
      <c r="M996" s="97" t="s">
        <v>86</v>
      </c>
      <c r="N996" s="97" t="s">
        <v>33</v>
      </c>
      <c r="O996">
        <v>0</v>
      </c>
      <c r="P996">
        <v>-750</v>
      </c>
      <c r="Q996">
        <v>-0.75</v>
      </c>
      <c r="R996" s="97" t="s">
        <v>1204</v>
      </c>
      <c r="S996" s="97" t="s">
        <v>195</v>
      </c>
    </row>
    <row r="997" spans="1:19" x14ac:dyDescent="0.3">
      <c r="A997" s="97" t="s">
        <v>1185</v>
      </c>
      <c r="B997" s="97" t="s">
        <v>22</v>
      </c>
      <c r="C997">
        <v>2026</v>
      </c>
      <c r="D997">
        <v>2</v>
      </c>
      <c r="E997" s="2">
        <v>46081</v>
      </c>
      <c r="F997" s="97" t="s">
        <v>7</v>
      </c>
      <c r="G997" s="97" t="s">
        <v>8</v>
      </c>
      <c r="H997" s="97" t="s">
        <v>70</v>
      </c>
      <c r="I997" s="97" t="s">
        <v>75</v>
      </c>
      <c r="J997" s="97" t="s">
        <v>76</v>
      </c>
      <c r="K997" s="97" t="s">
        <v>73</v>
      </c>
      <c r="L997">
        <v>701000</v>
      </c>
      <c r="M997" s="97" t="s">
        <v>62</v>
      </c>
      <c r="N997" s="97" t="s">
        <v>33</v>
      </c>
      <c r="O997">
        <v>386</v>
      </c>
      <c r="P997">
        <v>1.4</v>
      </c>
      <c r="Q997">
        <v>0.54</v>
      </c>
      <c r="R997" s="97" t="s">
        <v>1197</v>
      </c>
      <c r="S997" s="97" t="s">
        <v>195</v>
      </c>
    </row>
    <row r="998" spans="1:19" x14ac:dyDescent="0.3">
      <c r="A998" s="97" t="s">
        <v>1186</v>
      </c>
      <c r="B998" s="97" t="s">
        <v>22</v>
      </c>
      <c r="C998">
        <v>2026</v>
      </c>
      <c r="D998">
        <v>2</v>
      </c>
      <c r="E998" s="2">
        <v>46081</v>
      </c>
      <c r="F998" s="97" t="s">
        <v>7</v>
      </c>
      <c r="G998" s="97" t="s">
        <v>8</v>
      </c>
      <c r="H998" s="97" t="s">
        <v>70</v>
      </c>
      <c r="I998" s="97" t="s">
        <v>75</v>
      </c>
      <c r="J998" s="97" t="s">
        <v>76</v>
      </c>
      <c r="K998" s="97" t="s">
        <v>73</v>
      </c>
      <c r="L998">
        <v>701000</v>
      </c>
      <c r="M998" s="97" t="s">
        <v>62</v>
      </c>
      <c r="N998" s="97" t="s">
        <v>33</v>
      </c>
      <c r="O998">
        <v>3046</v>
      </c>
      <c r="P998">
        <v>1.4</v>
      </c>
      <c r="Q998">
        <v>4.26</v>
      </c>
      <c r="R998" s="97" t="s">
        <v>1204</v>
      </c>
      <c r="S998" s="97" t="s">
        <v>195</v>
      </c>
    </row>
    <row r="999" spans="1:19" x14ac:dyDescent="0.3">
      <c r="A999" s="97" t="s">
        <v>1187</v>
      </c>
      <c r="B999" s="97" t="s">
        <v>22</v>
      </c>
      <c r="C999">
        <v>2026</v>
      </c>
      <c r="D999">
        <v>2</v>
      </c>
      <c r="E999" s="2">
        <v>46081</v>
      </c>
      <c r="F999" s="97" t="s">
        <v>7</v>
      </c>
      <c r="G999" s="97" t="s">
        <v>8</v>
      </c>
      <c r="H999" s="97" t="s">
        <v>70</v>
      </c>
      <c r="I999" s="97" t="s">
        <v>75</v>
      </c>
      <c r="J999" s="97" t="s">
        <v>76</v>
      </c>
      <c r="K999" s="97" t="s">
        <v>73</v>
      </c>
      <c r="L999">
        <v>701000</v>
      </c>
      <c r="M999" s="97" t="s">
        <v>62</v>
      </c>
      <c r="N999" s="97" t="s">
        <v>33</v>
      </c>
      <c r="O999">
        <v>3925</v>
      </c>
      <c r="P999">
        <v>1.4</v>
      </c>
      <c r="Q999">
        <v>5.49</v>
      </c>
      <c r="R999" s="97" t="s">
        <v>1200</v>
      </c>
      <c r="S999" s="97" t="s">
        <v>195</v>
      </c>
    </row>
    <row r="1000" spans="1:19" x14ac:dyDescent="0.3">
      <c r="A1000" s="97" t="s">
        <v>1188</v>
      </c>
      <c r="B1000" s="97" t="s">
        <v>22</v>
      </c>
      <c r="C1000">
        <v>2026</v>
      </c>
      <c r="D1000">
        <v>2</v>
      </c>
      <c r="E1000" s="2">
        <v>46081</v>
      </c>
      <c r="F1000" s="97" t="s">
        <v>7</v>
      </c>
      <c r="G1000" s="97" t="s">
        <v>8</v>
      </c>
      <c r="H1000" s="97" t="s">
        <v>70</v>
      </c>
      <c r="I1000" s="97" t="s">
        <v>75</v>
      </c>
      <c r="J1000" s="97" t="s">
        <v>76</v>
      </c>
      <c r="K1000" s="97" t="s">
        <v>73</v>
      </c>
      <c r="L1000">
        <v>701000</v>
      </c>
      <c r="M1000" s="97" t="s">
        <v>62</v>
      </c>
      <c r="N1000" s="97" t="s">
        <v>33</v>
      </c>
      <c r="O1000">
        <v>803</v>
      </c>
      <c r="P1000">
        <v>1.39</v>
      </c>
      <c r="Q1000">
        <v>1.1200000000000001</v>
      </c>
      <c r="R1000" s="97" t="s">
        <v>1203</v>
      </c>
      <c r="S1000" s="97" t="s">
        <v>195</v>
      </c>
    </row>
    <row r="1001" spans="1:19" x14ac:dyDescent="0.3">
      <c r="A1001" s="97" t="s">
        <v>1189</v>
      </c>
      <c r="B1001" s="97" t="s">
        <v>22</v>
      </c>
      <c r="C1001">
        <v>2026</v>
      </c>
      <c r="D1001">
        <v>2</v>
      </c>
      <c r="E1001" s="2">
        <v>46081</v>
      </c>
      <c r="F1001" s="97" t="s">
        <v>7</v>
      </c>
      <c r="G1001" s="97" t="s">
        <v>8</v>
      </c>
      <c r="H1001" s="97" t="s">
        <v>70</v>
      </c>
      <c r="I1001" s="97" t="s">
        <v>75</v>
      </c>
      <c r="J1001" s="97" t="s">
        <v>76</v>
      </c>
      <c r="K1001" s="97" t="s">
        <v>73</v>
      </c>
      <c r="L1001">
        <v>701000</v>
      </c>
      <c r="M1001" s="97" t="s">
        <v>62</v>
      </c>
      <c r="N1001" s="97" t="s">
        <v>33</v>
      </c>
      <c r="O1001">
        <v>5628</v>
      </c>
      <c r="P1001">
        <v>1.4</v>
      </c>
      <c r="Q1001">
        <v>7.89</v>
      </c>
      <c r="R1001" s="97" t="s">
        <v>1198</v>
      </c>
      <c r="S1001" s="97" t="s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0C480-51E3-45C0-94D7-B4B286B9F0AD}">
  <sheetPr codeName="Sheet9"/>
  <dimension ref="A1:S1001"/>
  <sheetViews>
    <sheetView workbookViewId="0">
      <selection activeCell="M24" sqref="M24"/>
    </sheetView>
  </sheetViews>
  <sheetFormatPr baseColWidth="10" defaultColWidth="8.88671875" defaultRowHeight="14.4" x14ac:dyDescent="0.3"/>
  <cols>
    <col min="1" max="1" width="11.6640625" bestFit="1" customWidth="1"/>
    <col min="2" max="2" width="10.5546875" bestFit="1" customWidth="1"/>
    <col min="3" max="3" width="8.88671875" bestFit="1" customWidth="1"/>
    <col min="4" max="4" width="7.44140625" bestFit="1" customWidth="1"/>
    <col min="5" max="5" width="10.5546875" bestFit="1" customWidth="1"/>
    <col min="6" max="6" width="12.77734375" bestFit="1" customWidth="1"/>
    <col min="7" max="7" width="19.33203125" bestFit="1" customWidth="1"/>
    <col min="8" max="8" width="7.88671875" bestFit="1" customWidth="1"/>
    <col min="9" max="9" width="14" bestFit="1" customWidth="1"/>
    <col min="10" max="10" width="21.109375" bestFit="1" customWidth="1"/>
    <col min="11" max="11" width="7.88671875" bestFit="1" customWidth="1"/>
    <col min="12" max="12" width="10" bestFit="1" customWidth="1"/>
    <col min="13" max="13" width="22.21875" bestFit="1" customWidth="1"/>
    <col min="14" max="14" width="15.44140625" bestFit="1" customWidth="1"/>
    <col min="15" max="15" width="10.77734375" bestFit="1" customWidth="1"/>
    <col min="16" max="16" width="18.21875" bestFit="1" customWidth="1"/>
    <col min="17" max="17" width="16.109375" bestFit="1" customWidth="1"/>
    <col min="18" max="18" width="12.21875" bestFit="1" customWidth="1"/>
    <col min="19" max="19" width="13" bestFit="1" customWidth="1"/>
  </cols>
  <sheetData>
    <row r="1" spans="1:19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64</v>
      </c>
      <c r="I1" t="s">
        <v>65</v>
      </c>
      <c r="J1" t="s">
        <v>66</v>
      </c>
      <c r="K1" t="s">
        <v>67</v>
      </c>
      <c r="L1" t="s">
        <v>58</v>
      </c>
      <c r="M1" t="s">
        <v>59</v>
      </c>
      <c r="N1" t="s">
        <v>60</v>
      </c>
      <c r="O1" t="s">
        <v>68</v>
      </c>
      <c r="P1" t="s">
        <v>69</v>
      </c>
      <c r="Q1" t="s">
        <v>61</v>
      </c>
      <c r="R1" t="s">
        <v>1195</v>
      </c>
      <c r="S1" t="s">
        <v>1196</v>
      </c>
    </row>
    <row r="2" spans="1:19" x14ac:dyDescent="0.3">
      <c r="A2" s="97" t="s">
        <v>340</v>
      </c>
      <c r="B2" s="97" t="s">
        <v>23</v>
      </c>
      <c r="C2">
        <v>2026</v>
      </c>
      <c r="D2">
        <v>1</v>
      </c>
      <c r="E2" s="2">
        <v>46023</v>
      </c>
      <c r="F2" s="97" t="s">
        <v>7</v>
      </c>
      <c r="G2" s="97" t="s">
        <v>8</v>
      </c>
      <c r="H2" s="97" t="s">
        <v>74</v>
      </c>
      <c r="I2" s="97" t="s">
        <v>84</v>
      </c>
      <c r="J2" s="97" t="s">
        <v>85</v>
      </c>
      <c r="K2" s="97" t="s">
        <v>73</v>
      </c>
      <c r="L2">
        <v>701000</v>
      </c>
      <c r="M2" s="97" t="s">
        <v>62</v>
      </c>
      <c r="N2" s="97" t="s">
        <v>33</v>
      </c>
      <c r="O2">
        <v>1227</v>
      </c>
      <c r="P2">
        <v>0.95</v>
      </c>
      <c r="Q2">
        <v>1.17</v>
      </c>
      <c r="R2" s="97" t="s">
        <v>1202</v>
      </c>
      <c r="S2" s="97" t="s">
        <v>195</v>
      </c>
    </row>
    <row r="3" spans="1:19" x14ac:dyDescent="0.3">
      <c r="A3" s="97" t="s">
        <v>341</v>
      </c>
      <c r="B3" s="97" t="s">
        <v>23</v>
      </c>
      <c r="C3">
        <v>2026</v>
      </c>
      <c r="D3">
        <v>1</v>
      </c>
      <c r="E3" s="2">
        <v>46023</v>
      </c>
      <c r="F3" s="97" t="s">
        <v>7</v>
      </c>
      <c r="G3" s="97" t="s">
        <v>8</v>
      </c>
      <c r="H3" s="97" t="s">
        <v>74</v>
      </c>
      <c r="I3" s="97" t="s">
        <v>84</v>
      </c>
      <c r="J3" s="97" t="s">
        <v>85</v>
      </c>
      <c r="K3" s="97" t="s">
        <v>73</v>
      </c>
      <c r="L3">
        <v>701000</v>
      </c>
      <c r="M3" s="97" t="s">
        <v>62</v>
      </c>
      <c r="N3" s="97" t="s">
        <v>33</v>
      </c>
      <c r="O3">
        <v>9374</v>
      </c>
      <c r="P3">
        <v>0.95</v>
      </c>
      <c r="Q3">
        <v>8.91</v>
      </c>
      <c r="R3" s="97" t="s">
        <v>1201</v>
      </c>
      <c r="S3" s="97" t="s">
        <v>195</v>
      </c>
    </row>
    <row r="4" spans="1:19" x14ac:dyDescent="0.3">
      <c r="A4" s="97" t="s">
        <v>342</v>
      </c>
      <c r="B4" s="97" t="s">
        <v>23</v>
      </c>
      <c r="C4">
        <v>2026</v>
      </c>
      <c r="D4">
        <v>1</v>
      </c>
      <c r="E4" s="2">
        <v>46023</v>
      </c>
      <c r="F4" s="97" t="s">
        <v>7</v>
      </c>
      <c r="G4" s="97" t="s">
        <v>8</v>
      </c>
      <c r="H4" s="97" t="s">
        <v>74</v>
      </c>
      <c r="I4" s="97" t="s">
        <v>84</v>
      </c>
      <c r="J4" s="97" t="s">
        <v>85</v>
      </c>
      <c r="K4" s="97" t="s">
        <v>73</v>
      </c>
      <c r="L4">
        <v>701000</v>
      </c>
      <c r="M4" s="97" t="s">
        <v>62</v>
      </c>
      <c r="N4" s="97" t="s">
        <v>33</v>
      </c>
      <c r="O4">
        <v>965</v>
      </c>
      <c r="P4">
        <v>0.95</v>
      </c>
      <c r="Q4">
        <v>0.92</v>
      </c>
      <c r="R4" s="97" t="s">
        <v>1197</v>
      </c>
      <c r="S4" s="97" t="s">
        <v>195</v>
      </c>
    </row>
    <row r="5" spans="1:19" x14ac:dyDescent="0.3">
      <c r="A5" s="97" t="s">
        <v>343</v>
      </c>
      <c r="B5" s="97" t="s">
        <v>23</v>
      </c>
      <c r="C5">
        <v>2026</v>
      </c>
      <c r="D5">
        <v>1</v>
      </c>
      <c r="E5" s="2">
        <v>46023</v>
      </c>
      <c r="F5" s="97" t="s">
        <v>7</v>
      </c>
      <c r="G5" s="97" t="s">
        <v>8</v>
      </c>
      <c r="H5" s="97" t="s">
        <v>74</v>
      </c>
      <c r="I5" s="97" t="s">
        <v>84</v>
      </c>
      <c r="J5" s="97" t="s">
        <v>85</v>
      </c>
      <c r="K5" s="97" t="s">
        <v>73</v>
      </c>
      <c r="L5">
        <v>701000</v>
      </c>
      <c r="M5" s="97" t="s">
        <v>62</v>
      </c>
      <c r="N5" s="97" t="s">
        <v>33</v>
      </c>
      <c r="O5">
        <v>587</v>
      </c>
      <c r="P5">
        <v>0.95</v>
      </c>
      <c r="Q5">
        <v>0.56000000000000005</v>
      </c>
      <c r="R5" s="97" t="s">
        <v>1203</v>
      </c>
      <c r="S5" s="97" t="s">
        <v>195</v>
      </c>
    </row>
    <row r="6" spans="1:19" x14ac:dyDescent="0.3">
      <c r="A6" s="97" t="s">
        <v>344</v>
      </c>
      <c r="B6" s="97" t="s">
        <v>23</v>
      </c>
      <c r="C6">
        <v>2026</v>
      </c>
      <c r="D6">
        <v>1</v>
      </c>
      <c r="E6" s="2">
        <v>46023</v>
      </c>
      <c r="F6" s="97" t="s">
        <v>7</v>
      </c>
      <c r="G6" s="97" t="s">
        <v>8</v>
      </c>
      <c r="H6" s="97" t="s">
        <v>74</v>
      </c>
      <c r="I6" s="97" t="s">
        <v>84</v>
      </c>
      <c r="J6" s="97" t="s">
        <v>85</v>
      </c>
      <c r="K6" s="97" t="s">
        <v>73</v>
      </c>
      <c r="L6">
        <v>701000</v>
      </c>
      <c r="M6" s="97" t="s">
        <v>62</v>
      </c>
      <c r="N6" s="97" t="s">
        <v>33</v>
      </c>
      <c r="O6">
        <v>3425</v>
      </c>
      <c r="P6">
        <v>0.95</v>
      </c>
      <c r="Q6">
        <v>3.24</v>
      </c>
      <c r="R6" s="97" t="s">
        <v>1205</v>
      </c>
      <c r="S6" s="97" t="s">
        <v>195</v>
      </c>
    </row>
    <row r="7" spans="1:19" x14ac:dyDescent="0.3">
      <c r="A7" s="97" t="s">
        <v>950</v>
      </c>
      <c r="B7" s="97" t="s">
        <v>23</v>
      </c>
      <c r="C7">
        <v>2026</v>
      </c>
      <c r="D7">
        <v>1</v>
      </c>
      <c r="E7" s="2">
        <v>46023</v>
      </c>
      <c r="F7" s="97" t="s">
        <v>7</v>
      </c>
      <c r="G7" s="97" t="s">
        <v>8</v>
      </c>
      <c r="H7" s="97" t="s">
        <v>74</v>
      </c>
      <c r="I7" s="97" t="s">
        <v>82</v>
      </c>
      <c r="J7" s="97" t="s">
        <v>83</v>
      </c>
      <c r="K7" s="97" t="s">
        <v>73</v>
      </c>
      <c r="L7">
        <v>701000</v>
      </c>
      <c r="M7" s="97" t="s">
        <v>62</v>
      </c>
      <c r="N7" s="97" t="s">
        <v>33</v>
      </c>
      <c r="O7">
        <v>79</v>
      </c>
      <c r="P7">
        <v>18.61</v>
      </c>
      <c r="Q7">
        <v>1.47</v>
      </c>
      <c r="R7" s="97" t="s">
        <v>1202</v>
      </c>
      <c r="S7" s="97" t="s">
        <v>195</v>
      </c>
    </row>
    <row r="8" spans="1:19" x14ac:dyDescent="0.3">
      <c r="A8" s="97" t="s">
        <v>951</v>
      </c>
      <c r="B8" s="97" t="s">
        <v>23</v>
      </c>
      <c r="C8">
        <v>2026</v>
      </c>
      <c r="D8">
        <v>1</v>
      </c>
      <c r="E8" s="2">
        <v>46023</v>
      </c>
      <c r="F8" s="97" t="s">
        <v>7</v>
      </c>
      <c r="G8" s="97" t="s">
        <v>8</v>
      </c>
      <c r="H8" s="97" t="s">
        <v>74</v>
      </c>
      <c r="I8" s="97" t="s">
        <v>82</v>
      </c>
      <c r="J8" s="97" t="s">
        <v>83</v>
      </c>
      <c r="K8" s="97" t="s">
        <v>73</v>
      </c>
      <c r="L8">
        <v>701000</v>
      </c>
      <c r="M8" s="97" t="s">
        <v>62</v>
      </c>
      <c r="N8" s="97" t="s">
        <v>33</v>
      </c>
      <c r="O8">
        <v>283</v>
      </c>
      <c r="P8">
        <v>18.55</v>
      </c>
      <c r="Q8">
        <v>5.25</v>
      </c>
      <c r="R8" s="97" t="s">
        <v>1204</v>
      </c>
      <c r="S8" s="97" t="s">
        <v>195</v>
      </c>
    </row>
    <row r="9" spans="1:19" x14ac:dyDescent="0.3">
      <c r="A9" s="97" t="s">
        <v>952</v>
      </c>
      <c r="B9" s="97" t="s">
        <v>23</v>
      </c>
      <c r="C9">
        <v>2026</v>
      </c>
      <c r="D9">
        <v>1</v>
      </c>
      <c r="E9" s="2">
        <v>46023</v>
      </c>
      <c r="F9" s="97" t="s">
        <v>7</v>
      </c>
      <c r="G9" s="97" t="s">
        <v>8</v>
      </c>
      <c r="H9" s="97" t="s">
        <v>74</v>
      </c>
      <c r="I9" s="97" t="s">
        <v>82</v>
      </c>
      <c r="J9" s="97" t="s">
        <v>83</v>
      </c>
      <c r="K9" s="97" t="s">
        <v>73</v>
      </c>
      <c r="L9">
        <v>701000</v>
      </c>
      <c r="M9" s="97" t="s">
        <v>62</v>
      </c>
      <c r="N9" s="97" t="s">
        <v>33</v>
      </c>
      <c r="O9">
        <v>61</v>
      </c>
      <c r="P9">
        <v>18.52</v>
      </c>
      <c r="Q9">
        <v>1.1299999999999999</v>
      </c>
      <c r="R9" s="97" t="s">
        <v>1199</v>
      </c>
      <c r="S9" s="97" t="s">
        <v>195</v>
      </c>
    </row>
    <row r="10" spans="1:19" x14ac:dyDescent="0.3">
      <c r="A10" s="97" t="s">
        <v>953</v>
      </c>
      <c r="B10" s="97" t="s">
        <v>23</v>
      </c>
      <c r="C10">
        <v>2026</v>
      </c>
      <c r="D10">
        <v>1</v>
      </c>
      <c r="E10" s="2">
        <v>46023</v>
      </c>
      <c r="F10" s="97" t="s">
        <v>7</v>
      </c>
      <c r="G10" s="97" t="s">
        <v>8</v>
      </c>
      <c r="H10" s="97" t="s">
        <v>74</v>
      </c>
      <c r="I10" s="97" t="s">
        <v>82</v>
      </c>
      <c r="J10" s="97" t="s">
        <v>83</v>
      </c>
      <c r="K10" s="97" t="s">
        <v>73</v>
      </c>
      <c r="L10">
        <v>701000</v>
      </c>
      <c r="M10" s="97" t="s">
        <v>62</v>
      </c>
      <c r="N10" s="97" t="s">
        <v>33</v>
      </c>
      <c r="O10">
        <v>108</v>
      </c>
      <c r="P10">
        <v>18.52</v>
      </c>
      <c r="Q10">
        <v>2</v>
      </c>
      <c r="R10" s="97" t="s">
        <v>1198</v>
      </c>
      <c r="S10" s="97" t="s">
        <v>195</v>
      </c>
    </row>
    <row r="11" spans="1:19" x14ac:dyDescent="0.3">
      <c r="A11" s="97" t="s">
        <v>954</v>
      </c>
      <c r="B11" s="97" t="s">
        <v>23</v>
      </c>
      <c r="C11">
        <v>2026</v>
      </c>
      <c r="D11">
        <v>1</v>
      </c>
      <c r="E11" s="2">
        <v>46023</v>
      </c>
      <c r="F11" s="97" t="s">
        <v>7</v>
      </c>
      <c r="G11" s="97" t="s">
        <v>8</v>
      </c>
      <c r="H11" s="97" t="s">
        <v>74</v>
      </c>
      <c r="I11" s="97" t="s">
        <v>82</v>
      </c>
      <c r="J11" s="97" t="s">
        <v>83</v>
      </c>
      <c r="K11" s="97" t="s">
        <v>73</v>
      </c>
      <c r="L11">
        <v>701000</v>
      </c>
      <c r="M11" s="97" t="s">
        <v>62</v>
      </c>
      <c r="N11" s="97" t="s">
        <v>33</v>
      </c>
      <c r="O11">
        <v>138</v>
      </c>
      <c r="P11">
        <v>18.329999999999998</v>
      </c>
      <c r="Q11">
        <v>2.5299999999999998</v>
      </c>
      <c r="R11" s="97" t="s">
        <v>1203</v>
      </c>
      <c r="S11" s="97" t="s">
        <v>195</v>
      </c>
    </row>
    <row r="12" spans="1:19" x14ac:dyDescent="0.3">
      <c r="A12" s="97" t="s">
        <v>255</v>
      </c>
      <c r="B12" s="97" t="s">
        <v>23</v>
      </c>
      <c r="C12">
        <v>2026</v>
      </c>
      <c r="D12">
        <v>1</v>
      </c>
      <c r="E12" s="2">
        <v>46024</v>
      </c>
      <c r="F12" s="97" t="s">
        <v>7</v>
      </c>
      <c r="G12" s="97" t="s">
        <v>8</v>
      </c>
      <c r="H12" s="97" t="s">
        <v>74</v>
      </c>
      <c r="I12" s="97" t="s">
        <v>84</v>
      </c>
      <c r="J12" s="97" t="s">
        <v>85</v>
      </c>
      <c r="K12" s="97" t="s">
        <v>73</v>
      </c>
      <c r="L12">
        <v>701000</v>
      </c>
      <c r="M12" s="97" t="s">
        <v>62</v>
      </c>
      <c r="N12" s="97" t="s">
        <v>33</v>
      </c>
      <c r="O12">
        <v>4590</v>
      </c>
      <c r="P12">
        <v>0.95</v>
      </c>
      <c r="Q12">
        <v>4.3600000000000003</v>
      </c>
      <c r="R12" s="97" t="s">
        <v>1199</v>
      </c>
      <c r="S12" s="97" t="s">
        <v>195</v>
      </c>
    </row>
    <row r="13" spans="1:19" x14ac:dyDescent="0.3">
      <c r="A13" s="97" t="s">
        <v>256</v>
      </c>
      <c r="B13" s="97" t="s">
        <v>23</v>
      </c>
      <c r="C13">
        <v>2026</v>
      </c>
      <c r="D13">
        <v>1</v>
      </c>
      <c r="E13" s="2">
        <v>46024</v>
      </c>
      <c r="F13" s="97" t="s">
        <v>7</v>
      </c>
      <c r="G13" s="97" t="s">
        <v>8</v>
      </c>
      <c r="H13" s="97" t="s">
        <v>74</v>
      </c>
      <c r="I13" s="97" t="s">
        <v>84</v>
      </c>
      <c r="J13" s="97" t="s">
        <v>85</v>
      </c>
      <c r="K13" s="97" t="s">
        <v>73</v>
      </c>
      <c r="L13">
        <v>701000</v>
      </c>
      <c r="M13" s="97" t="s">
        <v>62</v>
      </c>
      <c r="N13" s="97" t="s">
        <v>33</v>
      </c>
      <c r="O13">
        <v>1385</v>
      </c>
      <c r="P13">
        <v>0.95</v>
      </c>
      <c r="Q13">
        <v>1.32</v>
      </c>
      <c r="R13" s="97" t="s">
        <v>1200</v>
      </c>
      <c r="S13" s="97" t="s">
        <v>195</v>
      </c>
    </row>
    <row r="14" spans="1:19" x14ac:dyDescent="0.3">
      <c r="A14" s="97" t="s">
        <v>257</v>
      </c>
      <c r="B14" s="97" t="s">
        <v>23</v>
      </c>
      <c r="C14">
        <v>2026</v>
      </c>
      <c r="D14">
        <v>1</v>
      </c>
      <c r="E14" s="2">
        <v>46024</v>
      </c>
      <c r="F14" s="97" t="s">
        <v>7</v>
      </c>
      <c r="G14" s="97" t="s">
        <v>8</v>
      </c>
      <c r="H14" s="97" t="s">
        <v>74</v>
      </c>
      <c r="I14" s="97" t="s">
        <v>84</v>
      </c>
      <c r="J14" s="97" t="s">
        <v>85</v>
      </c>
      <c r="K14" s="97" t="s">
        <v>73</v>
      </c>
      <c r="L14">
        <v>701000</v>
      </c>
      <c r="M14" s="97" t="s">
        <v>62</v>
      </c>
      <c r="N14" s="97" t="s">
        <v>33</v>
      </c>
      <c r="O14">
        <v>2651</v>
      </c>
      <c r="P14">
        <v>0.95</v>
      </c>
      <c r="Q14">
        <v>2.52</v>
      </c>
      <c r="R14" s="97" t="s">
        <v>1202</v>
      </c>
      <c r="S14" s="97" t="s">
        <v>195</v>
      </c>
    </row>
    <row r="15" spans="1:19" x14ac:dyDescent="0.3">
      <c r="A15" s="97" t="s">
        <v>258</v>
      </c>
      <c r="B15" s="97" t="s">
        <v>23</v>
      </c>
      <c r="C15">
        <v>2026</v>
      </c>
      <c r="D15">
        <v>1</v>
      </c>
      <c r="E15" s="2">
        <v>46024</v>
      </c>
      <c r="F15" s="97" t="s">
        <v>7</v>
      </c>
      <c r="G15" s="97" t="s">
        <v>8</v>
      </c>
      <c r="H15" s="97" t="s">
        <v>74</v>
      </c>
      <c r="I15" s="97" t="s">
        <v>84</v>
      </c>
      <c r="J15" s="97" t="s">
        <v>85</v>
      </c>
      <c r="K15" s="97" t="s">
        <v>73</v>
      </c>
      <c r="L15">
        <v>701000</v>
      </c>
      <c r="M15" s="97" t="s">
        <v>62</v>
      </c>
      <c r="N15" s="97" t="s">
        <v>33</v>
      </c>
      <c r="O15">
        <v>2587</v>
      </c>
      <c r="P15">
        <v>0.95</v>
      </c>
      <c r="Q15">
        <v>2.46</v>
      </c>
      <c r="R15" s="97" t="s">
        <v>1201</v>
      </c>
      <c r="S15" s="97" t="s">
        <v>195</v>
      </c>
    </row>
    <row r="16" spans="1:19" x14ac:dyDescent="0.3">
      <c r="A16" s="97" t="s">
        <v>259</v>
      </c>
      <c r="B16" s="97" t="s">
        <v>23</v>
      </c>
      <c r="C16">
        <v>2026</v>
      </c>
      <c r="D16">
        <v>1</v>
      </c>
      <c r="E16" s="2">
        <v>46024</v>
      </c>
      <c r="F16" s="97" t="s">
        <v>7</v>
      </c>
      <c r="G16" s="97" t="s">
        <v>8</v>
      </c>
      <c r="H16" s="97" t="s">
        <v>74</v>
      </c>
      <c r="I16" s="97" t="s">
        <v>84</v>
      </c>
      <c r="J16" s="97" t="s">
        <v>85</v>
      </c>
      <c r="K16" s="97" t="s">
        <v>73</v>
      </c>
      <c r="L16">
        <v>701000</v>
      </c>
      <c r="M16" s="97" t="s">
        <v>62</v>
      </c>
      <c r="N16" s="97" t="s">
        <v>33</v>
      </c>
      <c r="O16">
        <v>3589</v>
      </c>
      <c r="P16">
        <v>0.95</v>
      </c>
      <c r="Q16">
        <v>3.4</v>
      </c>
      <c r="R16" s="97" t="s">
        <v>1198</v>
      </c>
      <c r="S16" s="97" t="s">
        <v>195</v>
      </c>
    </row>
    <row r="17" spans="1:19" x14ac:dyDescent="0.3">
      <c r="A17" s="97" t="s">
        <v>490</v>
      </c>
      <c r="B17" s="97" t="s">
        <v>23</v>
      </c>
      <c r="C17">
        <v>2026</v>
      </c>
      <c r="D17">
        <v>1</v>
      </c>
      <c r="E17" s="2">
        <v>46024</v>
      </c>
      <c r="F17" s="97" t="s">
        <v>7</v>
      </c>
      <c r="G17" s="97" t="s">
        <v>8</v>
      </c>
      <c r="H17" s="97" t="s">
        <v>70</v>
      </c>
      <c r="I17" s="97" t="s">
        <v>71</v>
      </c>
      <c r="J17" s="97" t="s">
        <v>72</v>
      </c>
      <c r="K17" s="97" t="s">
        <v>73</v>
      </c>
      <c r="L17">
        <v>701000</v>
      </c>
      <c r="M17" s="97" t="s">
        <v>62</v>
      </c>
      <c r="N17" s="97" t="s">
        <v>33</v>
      </c>
      <c r="O17">
        <v>265</v>
      </c>
      <c r="P17">
        <v>1.06</v>
      </c>
      <c r="Q17">
        <v>0.28000000000000003</v>
      </c>
      <c r="R17" s="97" t="s">
        <v>1202</v>
      </c>
      <c r="S17" s="97" t="s">
        <v>195</v>
      </c>
    </row>
    <row r="18" spans="1:19" x14ac:dyDescent="0.3">
      <c r="A18" s="97" t="s">
        <v>491</v>
      </c>
      <c r="B18" s="97" t="s">
        <v>23</v>
      </c>
      <c r="C18">
        <v>2026</v>
      </c>
      <c r="D18">
        <v>1</v>
      </c>
      <c r="E18" s="2">
        <v>46024</v>
      </c>
      <c r="F18" s="97" t="s">
        <v>7</v>
      </c>
      <c r="G18" s="97" t="s">
        <v>8</v>
      </c>
      <c r="H18" s="97" t="s">
        <v>70</v>
      </c>
      <c r="I18" s="97" t="s">
        <v>71</v>
      </c>
      <c r="J18" s="97" t="s">
        <v>72</v>
      </c>
      <c r="K18" s="97" t="s">
        <v>73</v>
      </c>
      <c r="L18">
        <v>701000</v>
      </c>
      <c r="M18" s="97" t="s">
        <v>62</v>
      </c>
      <c r="N18" s="97" t="s">
        <v>33</v>
      </c>
      <c r="O18">
        <v>2903</v>
      </c>
      <c r="P18">
        <v>1.05</v>
      </c>
      <c r="Q18">
        <v>3.05</v>
      </c>
      <c r="R18" s="97" t="s">
        <v>1197</v>
      </c>
      <c r="S18" s="97" t="s">
        <v>195</v>
      </c>
    </row>
    <row r="19" spans="1:19" x14ac:dyDescent="0.3">
      <c r="A19" s="97" t="s">
        <v>492</v>
      </c>
      <c r="B19" s="97" t="s">
        <v>23</v>
      </c>
      <c r="C19">
        <v>2026</v>
      </c>
      <c r="D19">
        <v>1</v>
      </c>
      <c r="E19" s="2">
        <v>46024</v>
      </c>
      <c r="F19" s="97" t="s">
        <v>7</v>
      </c>
      <c r="G19" s="97" t="s">
        <v>8</v>
      </c>
      <c r="H19" s="97" t="s">
        <v>70</v>
      </c>
      <c r="I19" s="97" t="s">
        <v>71</v>
      </c>
      <c r="J19" s="97" t="s">
        <v>72</v>
      </c>
      <c r="K19" s="97" t="s">
        <v>73</v>
      </c>
      <c r="L19">
        <v>701000</v>
      </c>
      <c r="M19" s="97" t="s">
        <v>62</v>
      </c>
      <c r="N19" s="97" t="s">
        <v>33</v>
      </c>
      <c r="O19">
        <v>2688</v>
      </c>
      <c r="P19">
        <v>1.05</v>
      </c>
      <c r="Q19">
        <v>2.82</v>
      </c>
      <c r="R19" s="97" t="s">
        <v>1200</v>
      </c>
      <c r="S19" s="97" t="s">
        <v>195</v>
      </c>
    </row>
    <row r="20" spans="1:19" x14ac:dyDescent="0.3">
      <c r="A20" s="97" t="s">
        <v>493</v>
      </c>
      <c r="B20" s="97" t="s">
        <v>23</v>
      </c>
      <c r="C20">
        <v>2026</v>
      </c>
      <c r="D20">
        <v>1</v>
      </c>
      <c r="E20" s="2">
        <v>46024</v>
      </c>
      <c r="F20" s="97" t="s">
        <v>7</v>
      </c>
      <c r="G20" s="97" t="s">
        <v>8</v>
      </c>
      <c r="H20" s="97" t="s">
        <v>70</v>
      </c>
      <c r="I20" s="97" t="s">
        <v>71</v>
      </c>
      <c r="J20" s="97" t="s">
        <v>72</v>
      </c>
      <c r="K20" s="97" t="s">
        <v>73</v>
      </c>
      <c r="L20">
        <v>701000</v>
      </c>
      <c r="M20" s="97" t="s">
        <v>62</v>
      </c>
      <c r="N20" s="97" t="s">
        <v>33</v>
      </c>
      <c r="O20">
        <v>1665</v>
      </c>
      <c r="P20">
        <v>1.05</v>
      </c>
      <c r="Q20">
        <v>1.75</v>
      </c>
      <c r="R20" s="97" t="s">
        <v>1203</v>
      </c>
      <c r="S20" s="97" t="s">
        <v>195</v>
      </c>
    </row>
    <row r="21" spans="1:19" x14ac:dyDescent="0.3">
      <c r="A21" s="97" t="s">
        <v>494</v>
      </c>
      <c r="B21" s="97" t="s">
        <v>23</v>
      </c>
      <c r="C21">
        <v>2026</v>
      </c>
      <c r="D21">
        <v>1</v>
      </c>
      <c r="E21" s="2">
        <v>46024</v>
      </c>
      <c r="F21" s="97" t="s">
        <v>7</v>
      </c>
      <c r="G21" s="97" t="s">
        <v>8</v>
      </c>
      <c r="H21" s="97" t="s">
        <v>70</v>
      </c>
      <c r="I21" s="97" t="s">
        <v>71</v>
      </c>
      <c r="J21" s="97" t="s">
        <v>72</v>
      </c>
      <c r="K21" s="97" t="s">
        <v>73</v>
      </c>
      <c r="L21">
        <v>701000</v>
      </c>
      <c r="M21" s="97" t="s">
        <v>62</v>
      </c>
      <c r="N21" s="97" t="s">
        <v>33</v>
      </c>
      <c r="O21">
        <v>1746</v>
      </c>
      <c r="P21">
        <v>1.05</v>
      </c>
      <c r="Q21">
        <v>1.83</v>
      </c>
      <c r="R21" s="97" t="s">
        <v>1199</v>
      </c>
      <c r="S21" s="97" t="s">
        <v>195</v>
      </c>
    </row>
    <row r="22" spans="1:19" x14ac:dyDescent="0.3">
      <c r="A22" s="97" t="s">
        <v>620</v>
      </c>
      <c r="B22" s="97" t="s">
        <v>23</v>
      </c>
      <c r="C22">
        <v>2026</v>
      </c>
      <c r="D22">
        <v>1</v>
      </c>
      <c r="E22" s="2">
        <v>46024</v>
      </c>
      <c r="F22" s="97" t="s">
        <v>7</v>
      </c>
      <c r="G22" s="97" t="s">
        <v>8</v>
      </c>
      <c r="H22" s="97" t="s">
        <v>70</v>
      </c>
      <c r="I22" s="97" t="s">
        <v>75</v>
      </c>
      <c r="J22" s="97" t="s">
        <v>76</v>
      </c>
      <c r="K22" s="97" t="s">
        <v>73</v>
      </c>
      <c r="L22">
        <v>701000</v>
      </c>
      <c r="M22" s="97" t="s">
        <v>62</v>
      </c>
      <c r="N22" s="97" t="s">
        <v>33</v>
      </c>
      <c r="O22">
        <v>1790</v>
      </c>
      <c r="P22">
        <v>1.4</v>
      </c>
      <c r="Q22">
        <v>2.5099999999999998</v>
      </c>
      <c r="R22" s="97" t="s">
        <v>1204</v>
      </c>
      <c r="S22" s="97" t="s">
        <v>195</v>
      </c>
    </row>
    <row r="23" spans="1:19" x14ac:dyDescent="0.3">
      <c r="A23" s="97" t="s">
        <v>621</v>
      </c>
      <c r="B23" s="97" t="s">
        <v>23</v>
      </c>
      <c r="C23">
        <v>2026</v>
      </c>
      <c r="D23">
        <v>1</v>
      </c>
      <c r="E23" s="2">
        <v>46024</v>
      </c>
      <c r="F23" s="97" t="s">
        <v>7</v>
      </c>
      <c r="G23" s="97" t="s">
        <v>8</v>
      </c>
      <c r="H23" s="97" t="s">
        <v>70</v>
      </c>
      <c r="I23" s="97" t="s">
        <v>75</v>
      </c>
      <c r="J23" s="97" t="s">
        <v>76</v>
      </c>
      <c r="K23" s="97" t="s">
        <v>73</v>
      </c>
      <c r="L23">
        <v>701000</v>
      </c>
      <c r="M23" s="97" t="s">
        <v>62</v>
      </c>
      <c r="N23" s="97" t="s">
        <v>33</v>
      </c>
      <c r="O23">
        <v>2403</v>
      </c>
      <c r="P23">
        <v>1.4</v>
      </c>
      <c r="Q23">
        <v>3.36</v>
      </c>
      <c r="R23" s="97" t="s">
        <v>1205</v>
      </c>
      <c r="S23" s="97" t="s">
        <v>195</v>
      </c>
    </row>
    <row r="24" spans="1:19" x14ac:dyDescent="0.3">
      <c r="A24" s="97" t="s">
        <v>622</v>
      </c>
      <c r="B24" s="97" t="s">
        <v>23</v>
      </c>
      <c r="C24">
        <v>2026</v>
      </c>
      <c r="D24">
        <v>1</v>
      </c>
      <c r="E24" s="2">
        <v>46024</v>
      </c>
      <c r="F24" s="97" t="s">
        <v>7</v>
      </c>
      <c r="G24" s="97" t="s">
        <v>8</v>
      </c>
      <c r="H24" s="97" t="s">
        <v>70</v>
      </c>
      <c r="I24" s="97" t="s">
        <v>75</v>
      </c>
      <c r="J24" s="97" t="s">
        <v>76</v>
      </c>
      <c r="K24" s="97" t="s">
        <v>73</v>
      </c>
      <c r="L24">
        <v>701000</v>
      </c>
      <c r="M24" s="97" t="s">
        <v>62</v>
      </c>
      <c r="N24" s="97" t="s">
        <v>33</v>
      </c>
      <c r="O24">
        <v>805</v>
      </c>
      <c r="P24">
        <v>1.4</v>
      </c>
      <c r="Q24">
        <v>1.1299999999999999</v>
      </c>
      <c r="R24" s="97" t="s">
        <v>1199</v>
      </c>
      <c r="S24" s="97" t="s">
        <v>195</v>
      </c>
    </row>
    <row r="25" spans="1:19" x14ac:dyDescent="0.3">
      <c r="A25" s="97" t="s">
        <v>623</v>
      </c>
      <c r="B25" s="97" t="s">
        <v>23</v>
      </c>
      <c r="C25">
        <v>2026</v>
      </c>
      <c r="D25">
        <v>1</v>
      </c>
      <c r="E25" s="2">
        <v>46024</v>
      </c>
      <c r="F25" s="97" t="s">
        <v>7</v>
      </c>
      <c r="G25" s="97" t="s">
        <v>8</v>
      </c>
      <c r="H25" s="97" t="s">
        <v>70</v>
      </c>
      <c r="I25" s="97" t="s">
        <v>75</v>
      </c>
      <c r="J25" s="97" t="s">
        <v>76</v>
      </c>
      <c r="K25" s="97" t="s">
        <v>73</v>
      </c>
      <c r="L25">
        <v>701000</v>
      </c>
      <c r="M25" s="97" t="s">
        <v>62</v>
      </c>
      <c r="N25" s="97" t="s">
        <v>33</v>
      </c>
      <c r="O25">
        <v>1115</v>
      </c>
      <c r="P25">
        <v>1.4</v>
      </c>
      <c r="Q25">
        <v>1.56</v>
      </c>
      <c r="R25" s="97" t="s">
        <v>1201</v>
      </c>
      <c r="S25" s="97" t="s">
        <v>195</v>
      </c>
    </row>
    <row r="26" spans="1:19" x14ac:dyDescent="0.3">
      <c r="A26" s="97" t="s">
        <v>624</v>
      </c>
      <c r="B26" s="97" t="s">
        <v>23</v>
      </c>
      <c r="C26">
        <v>2026</v>
      </c>
      <c r="D26">
        <v>1</v>
      </c>
      <c r="E26" s="2">
        <v>46024</v>
      </c>
      <c r="F26" s="97" t="s">
        <v>7</v>
      </c>
      <c r="G26" s="97" t="s">
        <v>8</v>
      </c>
      <c r="H26" s="97" t="s">
        <v>70</v>
      </c>
      <c r="I26" s="97" t="s">
        <v>75</v>
      </c>
      <c r="J26" s="97" t="s">
        <v>76</v>
      </c>
      <c r="K26" s="97" t="s">
        <v>73</v>
      </c>
      <c r="L26">
        <v>701000</v>
      </c>
      <c r="M26" s="97" t="s">
        <v>62</v>
      </c>
      <c r="N26" s="97" t="s">
        <v>33</v>
      </c>
      <c r="O26">
        <v>1343</v>
      </c>
      <c r="P26">
        <v>1.4</v>
      </c>
      <c r="Q26">
        <v>1.88</v>
      </c>
      <c r="R26" s="97" t="s">
        <v>1197</v>
      </c>
      <c r="S26" s="97" t="s">
        <v>195</v>
      </c>
    </row>
    <row r="27" spans="1:19" x14ac:dyDescent="0.3">
      <c r="A27" s="97" t="s">
        <v>625</v>
      </c>
      <c r="B27" s="97" t="s">
        <v>23</v>
      </c>
      <c r="C27">
        <v>2026</v>
      </c>
      <c r="D27">
        <v>1</v>
      </c>
      <c r="E27" s="2">
        <v>46024</v>
      </c>
      <c r="F27" s="97" t="s">
        <v>7</v>
      </c>
      <c r="G27" s="97" t="s">
        <v>8</v>
      </c>
      <c r="H27" s="97" t="s">
        <v>70</v>
      </c>
      <c r="I27" s="97" t="s">
        <v>75</v>
      </c>
      <c r="J27" s="97" t="s">
        <v>76</v>
      </c>
      <c r="K27" s="97" t="s">
        <v>73</v>
      </c>
      <c r="L27">
        <v>701000</v>
      </c>
      <c r="M27" s="97" t="s">
        <v>62</v>
      </c>
      <c r="N27" s="97" t="s">
        <v>33</v>
      </c>
      <c r="O27">
        <v>1042</v>
      </c>
      <c r="P27">
        <v>1.4</v>
      </c>
      <c r="Q27">
        <v>1.46</v>
      </c>
      <c r="R27" s="97" t="s">
        <v>1202</v>
      </c>
      <c r="S27" s="97" t="s">
        <v>195</v>
      </c>
    </row>
    <row r="28" spans="1:19" x14ac:dyDescent="0.3">
      <c r="A28" s="97" t="s">
        <v>626</v>
      </c>
      <c r="B28" s="97" t="s">
        <v>23</v>
      </c>
      <c r="C28">
        <v>2026</v>
      </c>
      <c r="D28">
        <v>1</v>
      </c>
      <c r="E28" s="2">
        <v>46024</v>
      </c>
      <c r="F28" s="97" t="s">
        <v>7</v>
      </c>
      <c r="G28" s="97" t="s">
        <v>8</v>
      </c>
      <c r="H28" s="97" t="s">
        <v>70</v>
      </c>
      <c r="I28" s="97" t="s">
        <v>75</v>
      </c>
      <c r="J28" s="97" t="s">
        <v>76</v>
      </c>
      <c r="K28" s="97" t="s">
        <v>73</v>
      </c>
      <c r="L28">
        <v>701000</v>
      </c>
      <c r="M28" s="97" t="s">
        <v>62</v>
      </c>
      <c r="N28" s="97" t="s">
        <v>33</v>
      </c>
      <c r="O28">
        <v>1395</v>
      </c>
      <c r="P28">
        <v>1.4</v>
      </c>
      <c r="Q28">
        <v>1.95</v>
      </c>
      <c r="R28" s="97" t="s">
        <v>1197</v>
      </c>
      <c r="S28" s="97" t="s">
        <v>195</v>
      </c>
    </row>
    <row r="29" spans="1:19" x14ac:dyDescent="0.3">
      <c r="A29" s="97" t="s">
        <v>627</v>
      </c>
      <c r="B29" s="97" t="s">
        <v>23</v>
      </c>
      <c r="C29">
        <v>2026</v>
      </c>
      <c r="D29">
        <v>1</v>
      </c>
      <c r="E29" s="2">
        <v>46024</v>
      </c>
      <c r="F29" s="97" t="s">
        <v>7</v>
      </c>
      <c r="G29" s="97" t="s">
        <v>8</v>
      </c>
      <c r="H29" s="97" t="s">
        <v>70</v>
      </c>
      <c r="I29" s="97" t="s">
        <v>75</v>
      </c>
      <c r="J29" s="97" t="s">
        <v>76</v>
      </c>
      <c r="K29" s="97" t="s">
        <v>73</v>
      </c>
      <c r="L29">
        <v>701000</v>
      </c>
      <c r="M29" s="97" t="s">
        <v>62</v>
      </c>
      <c r="N29" s="97" t="s">
        <v>33</v>
      </c>
      <c r="O29">
        <v>1781</v>
      </c>
      <c r="P29">
        <v>1.4</v>
      </c>
      <c r="Q29">
        <v>2.4900000000000002</v>
      </c>
      <c r="R29" s="97" t="s">
        <v>1204</v>
      </c>
      <c r="S29" s="97" t="s">
        <v>195</v>
      </c>
    </row>
    <row r="30" spans="1:19" x14ac:dyDescent="0.3">
      <c r="A30" s="97" t="s">
        <v>628</v>
      </c>
      <c r="B30" s="97" t="s">
        <v>23</v>
      </c>
      <c r="C30">
        <v>2026</v>
      </c>
      <c r="D30">
        <v>1</v>
      </c>
      <c r="E30" s="2">
        <v>46024</v>
      </c>
      <c r="F30" s="97" t="s">
        <v>7</v>
      </c>
      <c r="G30" s="97" t="s">
        <v>8</v>
      </c>
      <c r="H30" s="97" t="s">
        <v>70</v>
      </c>
      <c r="I30" s="97" t="s">
        <v>75</v>
      </c>
      <c r="J30" s="97" t="s">
        <v>76</v>
      </c>
      <c r="K30" s="97" t="s">
        <v>73</v>
      </c>
      <c r="L30">
        <v>701000</v>
      </c>
      <c r="M30" s="97" t="s">
        <v>62</v>
      </c>
      <c r="N30" s="97" t="s">
        <v>33</v>
      </c>
      <c r="O30">
        <v>1681</v>
      </c>
      <c r="P30">
        <v>1.4</v>
      </c>
      <c r="Q30">
        <v>2.35</v>
      </c>
      <c r="R30" s="97" t="s">
        <v>1200</v>
      </c>
      <c r="S30" s="97" t="s">
        <v>195</v>
      </c>
    </row>
    <row r="31" spans="1:19" x14ac:dyDescent="0.3">
      <c r="A31" s="97" t="s">
        <v>629</v>
      </c>
      <c r="B31" s="97" t="s">
        <v>23</v>
      </c>
      <c r="C31">
        <v>2026</v>
      </c>
      <c r="D31">
        <v>1</v>
      </c>
      <c r="E31" s="2">
        <v>46024</v>
      </c>
      <c r="F31" s="97" t="s">
        <v>7</v>
      </c>
      <c r="G31" s="97" t="s">
        <v>8</v>
      </c>
      <c r="H31" s="97" t="s">
        <v>70</v>
      </c>
      <c r="I31" s="97" t="s">
        <v>75</v>
      </c>
      <c r="J31" s="97" t="s">
        <v>76</v>
      </c>
      <c r="K31" s="97" t="s">
        <v>73</v>
      </c>
      <c r="L31">
        <v>701000</v>
      </c>
      <c r="M31" s="97" t="s">
        <v>62</v>
      </c>
      <c r="N31" s="97" t="s">
        <v>33</v>
      </c>
      <c r="O31">
        <v>1600</v>
      </c>
      <c r="P31">
        <v>1.41</v>
      </c>
      <c r="Q31">
        <v>2.25</v>
      </c>
      <c r="R31" s="97" t="s">
        <v>1201</v>
      </c>
      <c r="S31" s="97" t="s">
        <v>195</v>
      </c>
    </row>
    <row r="32" spans="1:19" x14ac:dyDescent="0.3">
      <c r="A32" s="97" t="s">
        <v>685</v>
      </c>
      <c r="B32" s="97" t="s">
        <v>23</v>
      </c>
      <c r="C32">
        <v>2026</v>
      </c>
      <c r="D32">
        <v>1</v>
      </c>
      <c r="E32" s="2">
        <v>46024</v>
      </c>
      <c r="F32" s="97" t="s">
        <v>7</v>
      </c>
      <c r="G32" s="97" t="s">
        <v>8</v>
      </c>
      <c r="H32" s="97" t="s">
        <v>74</v>
      </c>
      <c r="I32" s="97" t="s">
        <v>77</v>
      </c>
      <c r="J32" s="97" t="s">
        <v>78</v>
      </c>
      <c r="K32" s="97" t="s">
        <v>73</v>
      </c>
      <c r="L32">
        <v>701000</v>
      </c>
      <c r="M32" s="97" t="s">
        <v>62</v>
      </c>
      <c r="N32" s="97" t="s">
        <v>33</v>
      </c>
      <c r="O32">
        <v>252</v>
      </c>
      <c r="P32">
        <v>1.79</v>
      </c>
      <c r="Q32">
        <v>0.45</v>
      </c>
      <c r="R32" s="97" t="s">
        <v>1205</v>
      </c>
      <c r="S32" s="97" t="s">
        <v>195</v>
      </c>
    </row>
    <row r="33" spans="1:19" x14ac:dyDescent="0.3">
      <c r="A33" s="97" t="s">
        <v>686</v>
      </c>
      <c r="B33" s="97" t="s">
        <v>23</v>
      </c>
      <c r="C33">
        <v>2026</v>
      </c>
      <c r="D33">
        <v>1</v>
      </c>
      <c r="E33" s="2">
        <v>46024</v>
      </c>
      <c r="F33" s="97" t="s">
        <v>7</v>
      </c>
      <c r="G33" s="97" t="s">
        <v>8</v>
      </c>
      <c r="H33" s="97" t="s">
        <v>74</v>
      </c>
      <c r="I33" s="97" t="s">
        <v>77</v>
      </c>
      <c r="J33" s="97" t="s">
        <v>78</v>
      </c>
      <c r="K33" s="97" t="s">
        <v>73</v>
      </c>
      <c r="L33">
        <v>701000</v>
      </c>
      <c r="M33" s="97" t="s">
        <v>62</v>
      </c>
      <c r="N33" s="97" t="s">
        <v>33</v>
      </c>
      <c r="O33">
        <v>1800</v>
      </c>
      <c r="P33">
        <v>1.8</v>
      </c>
      <c r="Q33">
        <v>3.24</v>
      </c>
      <c r="R33" s="97" t="s">
        <v>1200</v>
      </c>
      <c r="S33" s="97" t="s">
        <v>195</v>
      </c>
    </row>
    <row r="34" spans="1:19" x14ac:dyDescent="0.3">
      <c r="A34" s="97" t="s">
        <v>687</v>
      </c>
      <c r="B34" s="97" t="s">
        <v>23</v>
      </c>
      <c r="C34">
        <v>2026</v>
      </c>
      <c r="D34">
        <v>1</v>
      </c>
      <c r="E34" s="2">
        <v>46024</v>
      </c>
      <c r="F34" s="97" t="s">
        <v>7</v>
      </c>
      <c r="G34" s="97" t="s">
        <v>8</v>
      </c>
      <c r="H34" s="97" t="s">
        <v>74</v>
      </c>
      <c r="I34" s="97" t="s">
        <v>77</v>
      </c>
      <c r="J34" s="97" t="s">
        <v>78</v>
      </c>
      <c r="K34" s="97" t="s">
        <v>73</v>
      </c>
      <c r="L34">
        <v>701000</v>
      </c>
      <c r="M34" s="97" t="s">
        <v>62</v>
      </c>
      <c r="N34" s="97" t="s">
        <v>33</v>
      </c>
      <c r="O34">
        <v>1274</v>
      </c>
      <c r="P34">
        <v>1.8</v>
      </c>
      <c r="Q34">
        <v>2.29</v>
      </c>
      <c r="R34" s="97" t="s">
        <v>1204</v>
      </c>
      <c r="S34" s="97" t="s">
        <v>195</v>
      </c>
    </row>
    <row r="35" spans="1:19" x14ac:dyDescent="0.3">
      <c r="A35" s="97" t="s">
        <v>688</v>
      </c>
      <c r="B35" s="97" t="s">
        <v>23</v>
      </c>
      <c r="C35">
        <v>2026</v>
      </c>
      <c r="D35">
        <v>1</v>
      </c>
      <c r="E35" s="2">
        <v>46024</v>
      </c>
      <c r="F35" s="97" t="s">
        <v>7</v>
      </c>
      <c r="G35" s="97" t="s">
        <v>8</v>
      </c>
      <c r="H35" s="97" t="s">
        <v>74</v>
      </c>
      <c r="I35" s="97" t="s">
        <v>77</v>
      </c>
      <c r="J35" s="97" t="s">
        <v>78</v>
      </c>
      <c r="K35" s="97" t="s">
        <v>73</v>
      </c>
      <c r="L35">
        <v>701000</v>
      </c>
      <c r="M35" s="97" t="s">
        <v>62</v>
      </c>
      <c r="N35" s="97" t="s">
        <v>33</v>
      </c>
      <c r="O35">
        <v>3357</v>
      </c>
      <c r="P35">
        <v>1.8</v>
      </c>
      <c r="Q35">
        <v>6.04</v>
      </c>
      <c r="R35" s="97" t="s">
        <v>1197</v>
      </c>
      <c r="S35" s="97" t="s">
        <v>195</v>
      </c>
    </row>
    <row r="36" spans="1:19" x14ac:dyDescent="0.3">
      <c r="A36" s="97" t="s">
        <v>689</v>
      </c>
      <c r="B36" s="97" t="s">
        <v>23</v>
      </c>
      <c r="C36">
        <v>2026</v>
      </c>
      <c r="D36">
        <v>1</v>
      </c>
      <c r="E36" s="2">
        <v>46024</v>
      </c>
      <c r="F36" s="97" t="s">
        <v>7</v>
      </c>
      <c r="G36" s="97" t="s">
        <v>8</v>
      </c>
      <c r="H36" s="97" t="s">
        <v>74</v>
      </c>
      <c r="I36" s="97" t="s">
        <v>77</v>
      </c>
      <c r="J36" s="97" t="s">
        <v>78</v>
      </c>
      <c r="K36" s="97" t="s">
        <v>73</v>
      </c>
      <c r="L36">
        <v>701000</v>
      </c>
      <c r="M36" s="97" t="s">
        <v>62</v>
      </c>
      <c r="N36" s="97" t="s">
        <v>33</v>
      </c>
      <c r="O36">
        <v>2341</v>
      </c>
      <c r="P36">
        <v>1.8</v>
      </c>
      <c r="Q36">
        <v>4.22</v>
      </c>
      <c r="R36" s="97" t="s">
        <v>1199</v>
      </c>
      <c r="S36" s="97" t="s">
        <v>195</v>
      </c>
    </row>
    <row r="37" spans="1:19" x14ac:dyDescent="0.3">
      <c r="A37" s="97" t="s">
        <v>705</v>
      </c>
      <c r="B37" s="97" t="s">
        <v>23</v>
      </c>
      <c r="C37">
        <v>2026</v>
      </c>
      <c r="D37">
        <v>1</v>
      </c>
      <c r="E37" s="2">
        <v>46024</v>
      </c>
      <c r="F37" s="97" t="s">
        <v>7</v>
      </c>
      <c r="G37" s="97" t="s">
        <v>8</v>
      </c>
      <c r="H37" s="97" t="s">
        <v>74</v>
      </c>
      <c r="I37" s="97" t="s">
        <v>77</v>
      </c>
      <c r="J37" s="97" t="s">
        <v>78</v>
      </c>
      <c r="K37" s="97" t="s">
        <v>73</v>
      </c>
      <c r="L37">
        <v>701000</v>
      </c>
      <c r="M37" s="97" t="s">
        <v>62</v>
      </c>
      <c r="N37" s="97" t="s">
        <v>33</v>
      </c>
      <c r="O37">
        <v>4329</v>
      </c>
      <c r="P37">
        <v>1.8</v>
      </c>
      <c r="Q37">
        <v>7.79</v>
      </c>
      <c r="R37" s="97" t="s">
        <v>1203</v>
      </c>
      <c r="S37" s="97" t="s">
        <v>195</v>
      </c>
    </row>
    <row r="38" spans="1:19" x14ac:dyDescent="0.3">
      <c r="A38" s="97" t="s">
        <v>706</v>
      </c>
      <c r="B38" s="97" t="s">
        <v>23</v>
      </c>
      <c r="C38">
        <v>2026</v>
      </c>
      <c r="D38">
        <v>1</v>
      </c>
      <c r="E38" s="2">
        <v>46024</v>
      </c>
      <c r="F38" s="97" t="s">
        <v>7</v>
      </c>
      <c r="G38" s="97" t="s">
        <v>8</v>
      </c>
      <c r="H38" s="97" t="s">
        <v>74</v>
      </c>
      <c r="I38" s="97" t="s">
        <v>77</v>
      </c>
      <c r="J38" s="97" t="s">
        <v>78</v>
      </c>
      <c r="K38" s="97" t="s">
        <v>73</v>
      </c>
      <c r="L38">
        <v>701000</v>
      </c>
      <c r="M38" s="97" t="s">
        <v>62</v>
      </c>
      <c r="N38" s="97" t="s">
        <v>33</v>
      </c>
      <c r="O38">
        <v>1575</v>
      </c>
      <c r="P38">
        <v>1.8</v>
      </c>
      <c r="Q38">
        <v>2.83</v>
      </c>
      <c r="R38" s="97" t="s">
        <v>1204</v>
      </c>
      <c r="S38" s="97" t="s">
        <v>195</v>
      </c>
    </row>
    <row r="39" spans="1:19" x14ac:dyDescent="0.3">
      <c r="A39" s="97" t="s">
        <v>707</v>
      </c>
      <c r="B39" s="97" t="s">
        <v>23</v>
      </c>
      <c r="C39">
        <v>2026</v>
      </c>
      <c r="D39">
        <v>1</v>
      </c>
      <c r="E39" s="2">
        <v>46024</v>
      </c>
      <c r="F39" s="97" t="s">
        <v>7</v>
      </c>
      <c r="G39" s="97" t="s">
        <v>8</v>
      </c>
      <c r="H39" s="97" t="s">
        <v>74</v>
      </c>
      <c r="I39" s="97" t="s">
        <v>77</v>
      </c>
      <c r="J39" s="97" t="s">
        <v>78</v>
      </c>
      <c r="K39" s="97" t="s">
        <v>73</v>
      </c>
      <c r="L39">
        <v>701000</v>
      </c>
      <c r="M39" s="97" t="s">
        <v>62</v>
      </c>
      <c r="N39" s="97" t="s">
        <v>33</v>
      </c>
      <c r="O39">
        <v>323</v>
      </c>
      <c r="P39">
        <v>1.8</v>
      </c>
      <c r="Q39">
        <v>0.57999999999999996</v>
      </c>
      <c r="R39" s="97" t="s">
        <v>1200</v>
      </c>
      <c r="S39" s="97" t="s">
        <v>195</v>
      </c>
    </row>
    <row r="40" spans="1:19" x14ac:dyDescent="0.3">
      <c r="A40" s="97" t="s">
        <v>708</v>
      </c>
      <c r="B40" s="97" t="s">
        <v>23</v>
      </c>
      <c r="C40">
        <v>2026</v>
      </c>
      <c r="D40">
        <v>1</v>
      </c>
      <c r="E40" s="2">
        <v>46024</v>
      </c>
      <c r="F40" s="97" t="s">
        <v>7</v>
      </c>
      <c r="G40" s="97" t="s">
        <v>8</v>
      </c>
      <c r="H40" s="97" t="s">
        <v>74</v>
      </c>
      <c r="I40" s="97" t="s">
        <v>77</v>
      </c>
      <c r="J40" s="97" t="s">
        <v>78</v>
      </c>
      <c r="K40" s="97" t="s">
        <v>73</v>
      </c>
      <c r="L40">
        <v>701000</v>
      </c>
      <c r="M40" s="97" t="s">
        <v>62</v>
      </c>
      <c r="N40" s="97" t="s">
        <v>33</v>
      </c>
      <c r="O40">
        <v>612</v>
      </c>
      <c r="P40">
        <v>1.8</v>
      </c>
      <c r="Q40">
        <v>1.1000000000000001</v>
      </c>
      <c r="R40" s="97" t="s">
        <v>1198</v>
      </c>
      <c r="S40" s="97" t="s">
        <v>195</v>
      </c>
    </row>
    <row r="41" spans="1:19" x14ac:dyDescent="0.3">
      <c r="A41" s="97" t="s">
        <v>709</v>
      </c>
      <c r="B41" s="97" t="s">
        <v>23</v>
      </c>
      <c r="C41">
        <v>2026</v>
      </c>
      <c r="D41">
        <v>1</v>
      </c>
      <c r="E41" s="2">
        <v>46024</v>
      </c>
      <c r="F41" s="97" t="s">
        <v>7</v>
      </c>
      <c r="G41" s="97" t="s">
        <v>8</v>
      </c>
      <c r="H41" s="97" t="s">
        <v>74</v>
      </c>
      <c r="I41" s="97" t="s">
        <v>77</v>
      </c>
      <c r="J41" s="97" t="s">
        <v>78</v>
      </c>
      <c r="K41" s="97" t="s">
        <v>73</v>
      </c>
      <c r="L41">
        <v>701000</v>
      </c>
      <c r="M41" s="97" t="s">
        <v>62</v>
      </c>
      <c r="N41" s="97" t="s">
        <v>33</v>
      </c>
      <c r="O41">
        <v>2100</v>
      </c>
      <c r="P41">
        <v>1.8</v>
      </c>
      <c r="Q41">
        <v>3.79</v>
      </c>
      <c r="R41" s="97" t="s">
        <v>1205</v>
      </c>
      <c r="S41" s="97" t="s">
        <v>195</v>
      </c>
    </row>
    <row r="42" spans="1:19" x14ac:dyDescent="0.3">
      <c r="A42" s="97" t="s">
        <v>930</v>
      </c>
      <c r="B42" s="97" t="s">
        <v>23</v>
      </c>
      <c r="C42">
        <v>2026</v>
      </c>
      <c r="D42">
        <v>1</v>
      </c>
      <c r="E42" s="2">
        <v>46024</v>
      </c>
      <c r="F42" s="97" t="s">
        <v>7</v>
      </c>
      <c r="G42" s="97" t="s">
        <v>8</v>
      </c>
      <c r="H42" s="97" t="s">
        <v>70</v>
      </c>
      <c r="I42" s="97" t="s">
        <v>82</v>
      </c>
      <c r="J42" s="97" t="s">
        <v>83</v>
      </c>
      <c r="K42" s="97" t="s">
        <v>73</v>
      </c>
      <c r="L42">
        <v>707000</v>
      </c>
      <c r="M42" s="97" t="s">
        <v>81</v>
      </c>
      <c r="N42" s="97" t="s">
        <v>33</v>
      </c>
      <c r="O42">
        <v>98</v>
      </c>
      <c r="P42">
        <v>18.37</v>
      </c>
      <c r="Q42">
        <v>1.8</v>
      </c>
      <c r="R42" s="97" t="s">
        <v>1201</v>
      </c>
      <c r="S42" s="97" t="s">
        <v>195</v>
      </c>
    </row>
    <row r="43" spans="1:19" x14ac:dyDescent="0.3">
      <c r="A43" s="97" t="s">
        <v>931</v>
      </c>
      <c r="B43" s="97" t="s">
        <v>23</v>
      </c>
      <c r="C43">
        <v>2026</v>
      </c>
      <c r="D43">
        <v>1</v>
      </c>
      <c r="E43" s="2">
        <v>46024</v>
      </c>
      <c r="F43" s="97" t="s">
        <v>7</v>
      </c>
      <c r="G43" s="97" t="s">
        <v>8</v>
      </c>
      <c r="H43" s="97" t="s">
        <v>70</v>
      </c>
      <c r="I43" s="97" t="s">
        <v>82</v>
      </c>
      <c r="J43" s="97" t="s">
        <v>83</v>
      </c>
      <c r="K43" s="97" t="s">
        <v>73</v>
      </c>
      <c r="L43">
        <v>707000</v>
      </c>
      <c r="M43" s="97" t="s">
        <v>81</v>
      </c>
      <c r="N43" s="97" t="s">
        <v>33</v>
      </c>
      <c r="O43">
        <v>105</v>
      </c>
      <c r="P43">
        <v>18.57</v>
      </c>
      <c r="Q43">
        <v>1.95</v>
      </c>
      <c r="R43" s="97" t="s">
        <v>1205</v>
      </c>
      <c r="S43" s="97" t="s">
        <v>195</v>
      </c>
    </row>
    <row r="44" spans="1:19" x14ac:dyDescent="0.3">
      <c r="A44" s="97" t="s">
        <v>932</v>
      </c>
      <c r="B44" s="97" t="s">
        <v>23</v>
      </c>
      <c r="C44">
        <v>2026</v>
      </c>
      <c r="D44">
        <v>1</v>
      </c>
      <c r="E44" s="2">
        <v>46024</v>
      </c>
      <c r="F44" s="97" t="s">
        <v>7</v>
      </c>
      <c r="G44" s="97" t="s">
        <v>8</v>
      </c>
      <c r="H44" s="97" t="s">
        <v>70</v>
      </c>
      <c r="I44" s="97" t="s">
        <v>82</v>
      </c>
      <c r="J44" s="97" t="s">
        <v>83</v>
      </c>
      <c r="K44" s="97" t="s">
        <v>73</v>
      </c>
      <c r="L44">
        <v>707000</v>
      </c>
      <c r="M44" s="97" t="s">
        <v>81</v>
      </c>
      <c r="N44" s="97" t="s">
        <v>33</v>
      </c>
      <c r="O44">
        <v>166</v>
      </c>
      <c r="P44">
        <v>18.43</v>
      </c>
      <c r="Q44">
        <v>3.06</v>
      </c>
      <c r="R44" s="97" t="s">
        <v>1204</v>
      </c>
      <c r="S44" s="97" t="s">
        <v>195</v>
      </c>
    </row>
    <row r="45" spans="1:19" x14ac:dyDescent="0.3">
      <c r="A45" s="97" t="s">
        <v>933</v>
      </c>
      <c r="B45" s="97" t="s">
        <v>23</v>
      </c>
      <c r="C45">
        <v>2026</v>
      </c>
      <c r="D45">
        <v>1</v>
      </c>
      <c r="E45" s="2">
        <v>46024</v>
      </c>
      <c r="F45" s="97" t="s">
        <v>7</v>
      </c>
      <c r="G45" s="97" t="s">
        <v>8</v>
      </c>
      <c r="H45" s="97" t="s">
        <v>70</v>
      </c>
      <c r="I45" s="97" t="s">
        <v>82</v>
      </c>
      <c r="J45" s="97" t="s">
        <v>83</v>
      </c>
      <c r="K45" s="97" t="s">
        <v>73</v>
      </c>
      <c r="L45">
        <v>707000</v>
      </c>
      <c r="M45" s="97" t="s">
        <v>81</v>
      </c>
      <c r="N45" s="97" t="s">
        <v>33</v>
      </c>
      <c r="O45">
        <v>259</v>
      </c>
      <c r="P45">
        <v>18.489999999999998</v>
      </c>
      <c r="Q45">
        <v>4.79</v>
      </c>
      <c r="R45" s="97" t="s">
        <v>1200</v>
      </c>
      <c r="S45" s="97" t="s">
        <v>195</v>
      </c>
    </row>
    <row r="46" spans="1:19" x14ac:dyDescent="0.3">
      <c r="A46" s="97" t="s">
        <v>934</v>
      </c>
      <c r="B46" s="97" t="s">
        <v>23</v>
      </c>
      <c r="C46">
        <v>2026</v>
      </c>
      <c r="D46">
        <v>1</v>
      </c>
      <c r="E46" s="2">
        <v>46024</v>
      </c>
      <c r="F46" s="97" t="s">
        <v>7</v>
      </c>
      <c r="G46" s="97" t="s">
        <v>8</v>
      </c>
      <c r="H46" s="97" t="s">
        <v>70</v>
      </c>
      <c r="I46" s="97" t="s">
        <v>82</v>
      </c>
      <c r="J46" s="97" t="s">
        <v>83</v>
      </c>
      <c r="K46" s="97" t="s">
        <v>73</v>
      </c>
      <c r="L46">
        <v>707000</v>
      </c>
      <c r="M46" s="97" t="s">
        <v>81</v>
      </c>
      <c r="N46" s="97" t="s">
        <v>33</v>
      </c>
      <c r="O46">
        <v>146</v>
      </c>
      <c r="P46">
        <v>18.63</v>
      </c>
      <c r="Q46">
        <v>2.72</v>
      </c>
      <c r="R46" s="97" t="s">
        <v>1197</v>
      </c>
      <c r="S46" s="97" t="s">
        <v>195</v>
      </c>
    </row>
    <row r="47" spans="1:19" x14ac:dyDescent="0.3">
      <c r="A47" s="97" t="s">
        <v>205</v>
      </c>
      <c r="B47" s="97" t="s">
        <v>23</v>
      </c>
      <c r="C47">
        <v>2026</v>
      </c>
      <c r="D47">
        <v>1</v>
      </c>
      <c r="E47" s="2">
        <v>46025</v>
      </c>
      <c r="F47" s="97" t="s">
        <v>7</v>
      </c>
      <c r="G47" s="97" t="s">
        <v>8</v>
      </c>
      <c r="H47" s="97" t="s">
        <v>74</v>
      </c>
      <c r="I47" s="97" t="s">
        <v>84</v>
      </c>
      <c r="J47" s="97" t="s">
        <v>85</v>
      </c>
      <c r="K47" s="97" t="s">
        <v>73</v>
      </c>
      <c r="L47">
        <v>701000</v>
      </c>
      <c r="M47" s="97" t="s">
        <v>62</v>
      </c>
      <c r="N47" s="97" t="s">
        <v>33</v>
      </c>
      <c r="O47">
        <v>836</v>
      </c>
      <c r="P47">
        <v>0.94</v>
      </c>
      <c r="Q47">
        <v>0.79</v>
      </c>
      <c r="R47" s="97" t="s">
        <v>1199</v>
      </c>
      <c r="S47" s="97" t="s">
        <v>195</v>
      </c>
    </row>
    <row r="48" spans="1:19" x14ac:dyDescent="0.3">
      <c r="A48" s="97" t="s">
        <v>206</v>
      </c>
      <c r="B48" s="97" t="s">
        <v>23</v>
      </c>
      <c r="C48">
        <v>2026</v>
      </c>
      <c r="D48">
        <v>1</v>
      </c>
      <c r="E48" s="2">
        <v>46025</v>
      </c>
      <c r="F48" s="97" t="s">
        <v>7</v>
      </c>
      <c r="G48" s="97" t="s">
        <v>8</v>
      </c>
      <c r="H48" s="97" t="s">
        <v>74</v>
      </c>
      <c r="I48" s="97" t="s">
        <v>84</v>
      </c>
      <c r="J48" s="97" t="s">
        <v>85</v>
      </c>
      <c r="K48" s="97" t="s">
        <v>73</v>
      </c>
      <c r="L48">
        <v>701000</v>
      </c>
      <c r="M48" s="97" t="s">
        <v>62</v>
      </c>
      <c r="N48" s="97" t="s">
        <v>33</v>
      </c>
      <c r="O48">
        <v>694</v>
      </c>
      <c r="P48">
        <v>0.95</v>
      </c>
      <c r="Q48">
        <v>0.66</v>
      </c>
      <c r="R48" s="97" t="s">
        <v>1197</v>
      </c>
      <c r="S48" s="97" t="s">
        <v>195</v>
      </c>
    </row>
    <row r="49" spans="1:19" x14ac:dyDescent="0.3">
      <c r="A49" s="97" t="s">
        <v>207</v>
      </c>
      <c r="B49" s="97" t="s">
        <v>23</v>
      </c>
      <c r="C49">
        <v>2026</v>
      </c>
      <c r="D49">
        <v>1</v>
      </c>
      <c r="E49" s="2">
        <v>46025</v>
      </c>
      <c r="F49" s="97" t="s">
        <v>7</v>
      </c>
      <c r="G49" s="97" t="s">
        <v>8</v>
      </c>
      <c r="H49" s="97" t="s">
        <v>74</v>
      </c>
      <c r="I49" s="97" t="s">
        <v>84</v>
      </c>
      <c r="J49" s="97" t="s">
        <v>85</v>
      </c>
      <c r="K49" s="97" t="s">
        <v>73</v>
      </c>
      <c r="L49">
        <v>701000</v>
      </c>
      <c r="M49" s="97" t="s">
        <v>62</v>
      </c>
      <c r="N49" s="97" t="s">
        <v>33</v>
      </c>
      <c r="O49">
        <v>1196</v>
      </c>
      <c r="P49">
        <v>0.95</v>
      </c>
      <c r="Q49">
        <v>1.1399999999999999</v>
      </c>
      <c r="R49" s="97" t="s">
        <v>1202</v>
      </c>
      <c r="S49" s="97" t="s">
        <v>195</v>
      </c>
    </row>
    <row r="50" spans="1:19" x14ac:dyDescent="0.3">
      <c r="A50" s="97" t="s">
        <v>208</v>
      </c>
      <c r="B50" s="97" t="s">
        <v>23</v>
      </c>
      <c r="C50">
        <v>2026</v>
      </c>
      <c r="D50">
        <v>1</v>
      </c>
      <c r="E50" s="2">
        <v>46025</v>
      </c>
      <c r="F50" s="97" t="s">
        <v>7</v>
      </c>
      <c r="G50" s="97" t="s">
        <v>8</v>
      </c>
      <c r="H50" s="97" t="s">
        <v>74</v>
      </c>
      <c r="I50" s="97" t="s">
        <v>84</v>
      </c>
      <c r="J50" s="97" t="s">
        <v>85</v>
      </c>
      <c r="K50" s="97" t="s">
        <v>73</v>
      </c>
      <c r="L50">
        <v>701000</v>
      </c>
      <c r="M50" s="97" t="s">
        <v>62</v>
      </c>
      <c r="N50" s="97" t="s">
        <v>33</v>
      </c>
      <c r="O50">
        <v>6805</v>
      </c>
      <c r="P50">
        <v>0.95</v>
      </c>
      <c r="Q50">
        <v>6.47</v>
      </c>
      <c r="R50" s="97" t="s">
        <v>1200</v>
      </c>
      <c r="S50" s="97" t="s">
        <v>195</v>
      </c>
    </row>
    <row r="51" spans="1:19" x14ac:dyDescent="0.3">
      <c r="A51" s="97" t="s">
        <v>209</v>
      </c>
      <c r="B51" s="97" t="s">
        <v>23</v>
      </c>
      <c r="C51">
        <v>2026</v>
      </c>
      <c r="D51">
        <v>1</v>
      </c>
      <c r="E51" s="2">
        <v>46025</v>
      </c>
      <c r="F51" s="97" t="s">
        <v>7</v>
      </c>
      <c r="G51" s="97" t="s">
        <v>8</v>
      </c>
      <c r="H51" s="97" t="s">
        <v>74</v>
      </c>
      <c r="I51" s="97" t="s">
        <v>84</v>
      </c>
      <c r="J51" s="97" t="s">
        <v>85</v>
      </c>
      <c r="K51" s="97" t="s">
        <v>73</v>
      </c>
      <c r="L51">
        <v>701000</v>
      </c>
      <c r="M51" s="97" t="s">
        <v>62</v>
      </c>
      <c r="N51" s="97" t="s">
        <v>33</v>
      </c>
      <c r="O51">
        <v>1932</v>
      </c>
      <c r="P51">
        <v>0.95</v>
      </c>
      <c r="Q51">
        <v>1.83</v>
      </c>
      <c r="R51" s="97" t="s">
        <v>1204</v>
      </c>
      <c r="S51" s="97" t="s">
        <v>195</v>
      </c>
    </row>
    <row r="52" spans="1:19" x14ac:dyDescent="0.3">
      <c r="A52" s="97" t="s">
        <v>275</v>
      </c>
      <c r="B52" s="97" t="s">
        <v>23</v>
      </c>
      <c r="C52">
        <v>2026</v>
      </c>
      <c r="D52">
        <v>1</v>
      </c>
      <c r="E52" s="2">
        <v>46025</v>
      </c>
      <c r="F52" s="97" t="s">
        <v>7</v>
      </c>
      <c r="G52" s="97" t="s">
        <v>8</v>
      </c>
      <c r="H52" s="97" t="s">
        <v>74</v>
      </c>
      <c r="I52" s="97" t="s">
        <v>84</v>
      </c>
      <c r="J52" s="97" t="s">
        <v>85</v>
      </c>
      <c r="K52" s="97" t="s">
        <v>73</v>
      </c>
      <c r="L52">
        <v>701000</v>
      </c>
      <c r="M52" s="97" t="s">
        <v>62</v>
      </c>
      <c r="N52" s="97" t="s">
        <v>33</v>
      </c>
      <c r="O52">
        <v>2409</v>
      </c>
      <c r="P52">
        <v>0.95</v>
      </c>
      <c r="Q52">
        <v>2.29</v>
      </c>
      <c r="R52" s="97" t="s">
        <v>1200</v>
      </c>
      <c r="S52" s="97" t="s">
        <v>195</v>
      </c>
    </row>
    <row r="53" spans="1:19" x14ac:dyDescent="0.3">
      <c r="A53" s="97" t="s">
        <v>276</v>
      </c>
      <c r="B53" s="97" t="s">
        <v>23</v>
      </c>
      <c r="C53">
        <v>2026</v>
      </c>
      <c r="D53">
        <v>1</v>
      </c>
      <c r="E53" s="2">
        <v>46025</v>
      </c>
      <c r="F53" s="97" t="s">
        <v>7</v>
      </c>
      <c r="G53" s="97" t="s">
        <v>8</v>
      </c>
      <c r="H53" s="97" t="s">
        <v>74</v>
      </c>
      <c r="I53" s="97" t="s">
        <v>84</v>
      </c>
      <c r="J53" s="97" t="s">
        <v>85</v>
      </c>
      <c r="K53" s="97" t="s">
        <v>73</v>
      </c>
      <c r="L53">
        <v>701000</v>
      </c>
      <c r="M53" s="97" t="s">
        <v>62</v>
      </c>
      <c r="N53" s="97" t="s">
        <v>33</v>
      </c>
      <c r="O53">
        <v>3009</v>
      </c>
      <c r="P53">
        <v>0.95</v>
      </c>
      <c r="Q53">
        <v>2.86</v>
      </c>
      <c r="R53" s="97" t="s">
        <v>1201</v>
      </c>
      <c r="S53" s="97" t="s">
        <v>195</v>
      </c>
    </row>
    <row r="54" spans="1:19" x14ac:dyDescent="0.3">
      <c r="A54" s="97" t="s">
        <v>277</v>
      </c>
      <c r="B54" s="97" t="s">
        <v>23</v>
      </c>
      <c r="C54">
        <v>2026</v>
      </c>
      <c r="D54">
        <v>1</v>
      </c>
      <c r="E54" s="2">
        <v>46025</v>
      </c>
      <c r="F54" s="97" t="s">
        <v>7</v>
      </c>
      <c r="G54" s="97" t="s">
        <v>8</v>
      </c>
      <c r="H54" s="97" t="s">
        <v>74</v>
      </c>
      <c r="I54" s="97" t="s">
        <v>84</v>
      </c>
      <c r="J54" s="97" t="s">
        <v>85</v>
      </c>
      <c r="K54" s="97" t="s">
        <v>73</v>
      </c>
      <c r="L54">
        <v>701000</v>
      </c>
      <c r="M54" s="97" t="s">
        <v>62</v>
      </c>
      <c r="N54" s="97" t="s">
        <v>33</v>
      </c>
      <c r="O54">
        <v>3317</v>
      </c>
      <c r="P54">
        <v>0.95</v>
      </c>
      <c r="Q54">
        <v>3.15</v>
      </c>
      <c r="R54" s="97" t="s">
        <v>1199</v>
      </c>
      <c r="S54" s="97" t="s">
        <v>195</v>
      </c>
    </row>
    <row r="55" spans="1:19" x14ac:dyDescent="0.3">
      <c r="A55" s="97" t="s">
        <v>278</v>
      </c>
      <c r="B55" s="97" t="s">
        <v>23</v>
      </c>
      <c r="C55">
        <v>2026</v>
      </c>
      <c r="D55">
        <v>1</v>
      </c>
      <c r="E55" s="2">
        <v>46025</v>
      </c>
      <c r="F55" s="97" t="s">
        <v>7</v>
      </c>
      <c r="G55" s="97" t="s">
        <v>8</v>
      </c>
      <c r="H55" s="97" t="s">
        <v>74</v>
      </c>
      <c r="I55" s="97" t="s">
        <v>84</v>
      </c>
      <c r="J55" s="97" t="s">
        <v>85</v>
      </c>
      <c r="K55" s="97" t="s">
        <v>73</v>
      </c>
      <c r="L55">
        <v>701000</v>
      </c>
      <c r="M55" s="97" t="s">
        <v>62</v>
      </c>
      <c r="N55" s="97" t="s">
        <v>33</v>
      </c>
      <c r="O55">
        <v>3798</v>
      </c>
      <c r="P55">
        <v>0.95</v>
      </c>
      <c r="Q55">
        <v>3.61</v>
      </c>
      <c r="R55" s="97" t="s">
        <v>1205</v>
      </c>
      <c r="S55" s="97" t="s">
        <v>195</v>
      </c>
    </row>
    <row r="56" spans="1:19" x14ac:dyDescent="0.3">
      <c r="A56" s="97" t="s">
        <v>279</v>
      </c>
      <c r="B56" s="97" t="s">
        <v>23</v>
      </c>
      <c r="C56">
        <v>2026</v>
      </c>
      <c r="D56">
        <v>1</v>
      </c>
      <c r="E56" s="2">
        <v>46025</v>
      </c>
      <c r="F56" s="97" t="s">
        <v>7</v>
      </c>
      <c r="G56" s="97" t="s">
        <v>8</v>
      </c>
      <c r="H56" s="97" t="s">
        <v>74</v>
      </c>
      <c r="I56" s="97" t="s">
        <v>84</v>
      </c>
      <c r="J56" s="97" t="s">
        <v>85</v>
      </c>
      <c r="K56" s="97" t="s">
        <v>73</v>
      </c>
      <c r="L56">
        <v>701000</v>
      </c>
      <c r="M56" s="97" t="s">
        <v>62</v>
      </c>
      <c r="N56" s="97" t="s">
        <v>33</v>
      </c>
      <c r="O56">
        <v>2165</v>
      </c>
      <c r="P56">
        <v>0.95</v>
      </c>
      <c r="Q56">
        <v>2.0499999999999998</v>
      </c>
      <c r="R56" s="97" t="s">
        <v>1203</v>
      </c>
      <c r="S56" s="97" t="s">
        <v>195</v>
      </c>
    </row>
    <row r="57" spans="1:19" x14ac:dyDescent="0.3">
      <c r="A57" s="97" t="s">
        <v>530</v>
      </c>
      <c r="B57" s="97" t="s">
        <v>23</v>
      </c>
      <c r="C57">
        <v>2026</v>
      </c>
      <c r="D57">
        <v>1</v>
      </c>
      <c r="E57" s="2">
        <v>46025</v>
      </c>
      <c r="F57" s="97" t="s">
        <v>7</v>
      </c>
      <c r="G57" s="97" t="s">
        <v>8</v>
      </c>
      <c r="H57" s="97" t="s">
        <v>74</v>
      </c>
      <c r="I57" s="97" t="s">
        <v>71</v>
      </c>
      <c r="J57" s="97" t="s">
        <v>72</v>
      </c>
      <c r="K57" s="97" t="s">
        <v>73</v>
      </c>
      <c r="L57">
        <v>701000</v>
      </c>
      <c r="M57" s="97" t="s">
        <v>62</v>
      </c>
      <c r="N57" s="97" t="s">
        <v>33</v>
      </c>
      <c r="O57">
        <v>2969</v>
      </c>
      <c r="P57">
        <v>1.05</v>
      </c>
      <c r="Q57">
        <v>3.12</v>
      </c>
      <c r="R57" s="97" t="s">
        <v>1201</v>
      </c>
      <c r="S57" s="97" t="s">
        <v>195</v>
      </c>
    </row>
    <row r="58" spans="1:19" x14ac:dyDescent="0.3">
      <c r="A58" s="97" t="s">
        <v>531</v>
      </c>
      <c r="B58" s="97" t="s">
        <v>23</v>
      </c>
      <c r="C58">
        <v>2026</v>
      </c>
      <c r="D58">
        <v>1</v>
      </c>
      <c r="E58" s="2">
        <v>46025</v>
      </c>
      <c r="F58" s="97" t="s">
        <v>7</v>
      </c>
      <c r="G58" s="97" t="s">
        <v>8</v>
      </c>
      <c r="H58" s="97" t="s">
        <v>74</v>
      </c>
      <c r="I58" s="97" t="s">
        <v>71</v>
      </c>
      <c r="J58" s="97" t="s">
        <v>72</v>
      </c>
      <c r="K58" s="97" t="s">
        <v>73</v>
      </c>
      <c r="L58">
        <v>701000</v>
      </c>
      <c r="M58" s="97" t="s">
        <v>62</v>
      </c>
      <c r="N58" s="97" t="s">
        <v>33</v>
      </c>
      <c r="O58">
        <v>952</v>
      </c>
      <c r="P58">
        <v>1.05</v>
      </c>
      <c r="Q58">
        <v>1</v>
      </c>
      <c r="R58" s="97" t="s">
        <v>1198</v>
      </c>
      <c r="S58" s="97" t="s">
        <v>195</v>
      </c>
    </row>
    <row r="59" spans="1:19" x14ac:dyDescent="0.3">
      <c r="A59" s="97" t="s">
        <v>532</v>
      </c>
      <c r="B59" s="97" t="s">
        <v>23</v>
      </c>
      <c r="C59">
        <v>2026</v>
      </c>
      <c r="D59">
        <v>1</v>
      </c>
      <c r="E59" s="2">
        <v>46025</v>
      </c>
      <c r="F59" s="97" t="s">
        <v>7</v>
      </c>
      <c r="G59" s="97" t="s">
        <v>8</v>
      </c>
      <c r="H59" s="97" t="s">
        <v>74</v>
      </c>
      <c r="I59" s="97" t="s">
        <v>71</v>
      </c>
      <c r="J59" s="97" t="s">
        <v>72</v>
      </c>
      <c r="K59" s="97" t="s">
        <v>73</v>
      </c>
      <c r="L59">
        <v>701000</v>
      </c>
      <c r="M59" s="97" t="s">
        <v>62</v>
      </c>
      <c r="N59" s="97" t="s">
        <v>33</v>
      </c>
      <c r="O59">
        <v>967</v>
      </c>
      <c r="P59">
        <v>1.05</v>
      </c>
      <c r="Q59">
        <v>1.02</v>
      </c>
      <c r="R59" s="97" t="s">
        <v>1200</v>
      </c>
      <c r="S59" s="97" t="s">
        <v>195</v>
      </c>
    </row>
    <row r="60" spans="1:19" x14ac:dyDescent="0.3">
      <c r="A60" s="97" t="s">
        <v>533</v>
      </c>
      <c r="B60" s="97" t="s">
        <v>23</v>
      </c>
      <c r="C60">
        <v>2026</v>
      </c>
      <c r="D60">
        <v>1</v>
      </c>
      <c r="E60" s="2">
        <v>46025</v>
      </c>
      <c r="F60" s="97" t="s">
        <v>7</v>
      </c>
      <c r="G60" s="97" t="s">
        <v>8</v>
      </c>
      <c r="H60" s="97" t="s">
        <v>74</v>
      </c>
      <c r="I60" s="97" t="s">
        <v>71</v>
      </c>
      <c r="J60" s="97" t="s">
        <v>72</v>
      </c>
      <c r="K60" s="97" t="s">
        <v>73</v>
      </c>
      <c r="L60">
        <v>701000</v>
      </c>
      <c r="M60" s="97" t="s">
        <v>62</v>
      </c>
      <c r="N60" s="97" t="s">
        <v>33</v>
      </c>
      <c r="O60">
        <v>934</v>
      </c>
      <c r="P60">
        <v>1.05</v>
      </c>
      <c r="Q60">
        <v>0.98</v>
      </c>
      <c r="R60" s="97" t="s">
        <v>1203</v>
      </c>
      <c r="S60" s="97" t="s">
        <v>195</v>
      </c>
    </row>
    <row r="61" spans="1:19" x14ac:dyDescent="0.3">
      <c r="A61" s="97" t="s">
        <v>534</v>
      </c>
      <c r="B61" s="97" t="s">
        <v>23</v>
      </c>
      <c r="C61">
        <v>2026</v>
      </c>
      <c r="D61">
        <v>1</v>
      </c>
      <c r="E61" s="2">
        <v>46025</v>
      </c>
      <c r="F61" s="97" t="s">
        <v>7</v>
      </c>
      <c r="G61" s="97" t="s">
        <v>8</v>
      </c>
      <c r="H61" s="97" t="s">
        <v>74</v>
      </c>
      <c r="I61" s="97" t="s">
        <v>71</v>
      </c>
      <c r="J61" s="97" t="s">
        <v>72</v>
      </c>
      <c r="K61" s="97" t="s">
        <v>73</v>
      </c>
      <c r="L61">
        <v>701000</v>
      </c>
      <c r="M61" s="97" t="s">
        <v>62</v>
      </c>
      <c r="N61" s="97" t="s">
        <v>33</v>
      </c>
      <c r="O61">
        <v>3341</v>
      </c>
      <c r="P61">
        <v>1.05</v>
      </c>
      <c r="Q61">
        <v>3.5</v>
      </c>
      <c r="R61" s="97" t="s">
        <v>1197</v>
      </c>
      <c r="S61" s="97" t="s">
        <v>195</v>
      </c>
    </row>
    <row r="62" spans="1:19" x14ac:dyDescent="0.3">
      <c r="A62" s="97" t="s">
        <v>635</v>
      </c>
      <c r="B62" s="97" t="s">
        <v>23</v>
      </c>
      <c r="C62">
        <v>2026</v>
      </c>
      <c r="D62">
        <v>1</v>
      </c>
      <c r="E62" s="2">
        <v>46025</v>
      </c>
      <c r="F62" s="97" t="s">
        <v>7</v>
      </c>
      <c r="G62" s="97" t="s">
        <v>8</v>
      </c>
      <c r="H62" s="97" t="s">
        <v>70</v>
      </c>
      <c r="I62" s="97" t="s">
        <v>75</v>
      </c>
      <c r="J62" s="97" t="s">
        <v>76</v>
      </c>
      <c r="K62" s="97" t="s">
        <v>73</v>
      </c>
      <c r="L62">
        <v>701000</v>
      </c>
      <c r="M62" s="97" t="s">
        <v>62</v>
      </c>
      <c r="N62" s="97" t="s">
        <v>33</v>
      </c>
      <c r="O62">
        <v>2987</v>
      </c>
      <c r="P62">
        <v>1.4</v>
      </c>
      <c r="Q62">
        <v>4.18</v>
      </c>
      <c r="R62" s="97" t="s">
        <v>1203</v>
      </c>
      <c r="S62" s="97" t="s">
        <v>195</v>
      </c>
    </row>
    <row r="63" spans="1:19" x14ac:dyDescent="0.3">
      <c r="A63" s="97" t="s">
        <v>636</v>
      </c>
      <c r="B63" s="97" t="s">
        <v>23</v>
      </c>
      <c r="C63">
        <v>2026</v>
      </c>
      <c r="D63">
        <v>1</v>
      </c>
      <c r="E63" s="2">
        <v>46025</v>
      </c>
      <c r="F63" s="97" t="s">
        <v>7</v>
      </c>
      <c r="G63" s="97" t="s">
        <v>8</v>
      </c>
      <c r="H63" s="97" t="s">
        <v>70</v>
      </c>
      <c r="I63" s="97" t="s">
        <v>75</v>
      </c>
      <c r="J63" s="97" t="s">
        <v>76</v>
      </c>
      <c r="K63" s="97" t="s">
        <v>73</v>
      </c>
      <c r="L63">
        <v>701000</v>
      </c>
      <c r="M63" s="97" t="s">
        <v>62</v>
      </c>
      <c r="N63" s="97" t="s">
        <v>33</v>
      </c>
      <c r="O63">
        <v>601</v>
      </c>
      <c r="P63">
        <v>1.4</v>
      </c>
      <c r="Q63">
        <v>0.84</v>
      </c>
      <c r="R63" s="97" t="s">
        <v>1205</v>
      </c>
      <c r="S63" s="97" t="s">
        <v>195</v>
      </c>
    </row>
    <row r="64" spans="1:19" x14ac:dyDescent="0.3">
      <c r="A64" s="97" t="s">
        <v>637</v>
      </c>
      <c r="B64" s="97" t="s">
        <v>23</v>
      </c>
      <c r="C64">
        <v>2026</v>
      </c>
      <c r="D64">
        <v>1</v>
      </c>
      <c r="E64" s="2">
        <v>46025</v>
      </c>
      <c r="F64" s="97" t="s">
        <v>7</v>
      </c>
      <c r="G64" s="97" t="s">
        <v>8</v>
      </c>
      <c r="H64" s="97" t="s">
        <v>70</v>
      </c>
      <c r="I64" s="97" t="s">
        <v>75</v>
      </c>
      <c r="J64" s="97" t="s">
        <v>76</v>
      </c>
      <c r="K64" s="97" t="s">
        <v>73</v>
      </c>
      <c r="L64">
        <v>701000</v>
      </c>
      <c r="M64" s="97" t="s">
        <v>62</v>
      </c>
      <c r="N64" s="97" t="s">
        <v>33</v>
      </c>
      <c r="O64">
        <v>476</v>
      </c>
      <c r="P64">
        <v>1.41</v>
      </c>
      <c r="Q64">
        <v>0.67</v>
      </c>
      <c r="R64" s="97" t="s">
        <v>1201</v>
      </c>
      <c r="S64" s="97" t="s">
        <v>195</v>
      </c>
    </row>
    <row r="65" spans="1:19" x14ac:dyDescent="0.3">
      <c r="A65" s="97" t="s">
        <v>638</v>
      </c>
      <c r="B65" s="97" t="s">
        <v>23</v>
      </c>
      <c r="C65">
        <v>2026</v>
      </c>
      <c r="D65">
        <v>1</v>
      </c>
      <c r="E65" s="2">
        <v>46025</v>
      </c>
      <c r="F65" s="97" t="s">
        <v>7</v>
      </c>
      <c r="G65" s="97" t="s">
        <v>8</v>
      </c>
      <c r="H65" s="97" t="s">
        <v>70</v>
      </c>
      <c r="I65" s="97" t="s">
        <v>75</v>
      </c>
      <c r="J65" s="97" t="s">
        <v>76</v>
      </c>
      <c r="K65" s="97" t="s">
        <v>73</v>
      </c>
      <c r="L65">
        <v>701000</v>
      </c>
      <c r="M65" s="97" t="s">
        <v>62</v>
      </c>
      <c r="N65" s="97" t="s">
        <v>33</v>
      </c>
      <c r="O65">
        <v>1683</v>
      </c>
      <c r="P65">
        <v>1.4</v>
      </c>
      <c r="Q65">
        <v>2.36</v>
      </c>
      <c r="R65" s="97" t="s">
        <v>1202</v>
      </c>
      <c r="S65" s="97" t="s">
        <v>195</v>
      </c>
    </row>
    <row r="66" spans="1:19" x14ac:dyDescent="0.3">
      <c r="A66" s="97" t="s">
        <v>639</v>
      </c>
      <c r="B66" s="97" t="s">
        <v>23</v>
      </c>
      <c r="C66">
        <v>2026</v>
      </c>
      <c r="D66">
        <v>1</v>
      </c>
      <c r="E66" s="2">
        <v>46025</v>
      </c>
      <c r="F66" s="97" t="s">
        <v>7</v>
      </c>
      <c r="G66" s="97" t="s">
        <v>8</v>
      </c>
      <c r="H66" s="97" t="s">
        <v>70</v>
      </c>
      <c r="I66" s="97" t="s">
        <v>75</v>
      </c>
      <c r="J66" s="97" t="s">
        <v>76</v>
      </c>
      <c r="K66" s="97" t="s">
        <v>73</v>
      </c>
      <c r="L66">
        <v>701000</v>
      </c>
      <c r="M66" s="97" t="s">
        <v>62</v>
      </c>
      <c r="N66" s="97" t="s">
        <v>33</v>
      </c>
      <c r="O66">
        <v>548</v>
      </c>
      <c r="P66">
        <v>1.39</v>
      </c>
      <c r="Q66">
        <v>0.76</v>
      </c>
      <c r="R66" s="97" t="s">
        <v>1198</v>
      </c>
      <c r="S66" s="97" t="s">
        <v>195</v>
      </c>
    </row>
    <row r="67" spans="1:19" x14ac:dyDescent="0.3">
      <c r="A67" s="97" t="s">
        <v>200</v>
      </c>
      <c r="B67" s="97" t="s">
        <v>23</v>
      </c>
      <c r="C67">
        <v>2026</v>
      </c>
      <c r="D67">
        <v>1</v>
      </c>
      <c r="E67" s="2">
        <v>46026</v>
      </c>
      <c r="F67" s="97" t="s">
        <v>7</v>
      </c>
      <c r="G67" s="97" t="s">
        <v>8</v>
      </c>
      <c r="H67" s="97" t="s">
        <v>74</v>
      </c>
      <c r="I67" s="97" t="s">
        <v>84</v>
      </c>
      <c r="J67" s="97" t="s">
        <v>85</v>
      </c>
      <c r="K67" s="97" t="s">
        <v>73</v>
      </c>
      <c r="L67">
        <v>701000</v>
      </c>
      <c r="M67" s="97" t="s">
        <v>62</v>
      </c>
      <c r="N67" s="97" t="s">
        <v>33</v>
      </c>
      <c r="O67">
        <v>4128</v>
      </c>
      <c r="P67">
        <v>0.95</v>
      </c>
      <c r="Q67">
        <v>3.92</v>
      </c>
      <c r="R67" s="97" t="s">
        <v>1197</v>
      </c>
      <c r="S67" s="97" t="s">
        <v>195</v>
      </c>
    </row>
    <row r="68" spans="1:19" x14ac:dyDescent="0.3">
      <c r="A68" s="97" t="s">
        <v>201</v>
      </c>
      <c r="B68" s="97" t="s">
        <v>23</v>
      </c>
      <c r="C68">
        <v>2026</v>
      </c>
      <c r="D68">
        <v>1</v>
      </c>
      <c r="E68" s="2">
        <v>46026</v>
      </c>
      <c r="F68" s="97" t="s">
        <v>7</v>
      </c>
      <c r="G68" s="97" t="s">
        <v>8</v>
      </c>
      <c r="H68" s="97" t="s">
        <v>74</v>
      </c>
      <c r="I68" s="97" t="s">
        <v>84</v>
      </c>
      <c r="J68" s="97" t="s">
        <v>85</v>
      </c>
      <c r="K68" s="97" t="s">
        <v>73</v>
      </c>
      <c r="L68">
        <v>701000</v>
      </c>
      <c r="M68" s="97" t="s">
        <v>62</v>
      </c>
      <c r="N68" s="97" t="s">
        <v>33</v>
      </c>
      <c r="O68">
        <v>981</v>
      </c>
      <c r="P68">
        <v>0.95</v>
      </c>
      <c r="Q68">
        <v>0.93</v>
      </c>
      <c r="R68" s="97" t="s">
        <v>1201</v>
      </c>
      <c r="S68" s="97" t="s">
        <v>195</v>
      </c>
    </row>
    <row r="69" spans="1:19" x14ac:dyDescent="0.3">
      <c r="A69" s="97" t="s">
        <v>202</v>
      </c>
      <c r="B69" s="97" t="s">
        <v>23</v>
      </c>
      <c r="C69">
        <v>2026</v>
      </c>
      <c r="D69">
        <v>1</v>
      </c>
      <c r="E69" s="2">
        <v>46026</v>
      </c>
      <c r="F69" s="97" t="s">
        <v>7</v>
      </c>
      <c r="G69" s="97" t="s">
        <v>8</v>
      </c>
      <c r="H69" s="97" t="s">
        <v>74</v>
      </c>
      <c r="I69" s="97" t="s">
        <v>84</v>
      </c>
      <c r="J69" s="97" t="s">
        <v>85</v>
      </c>
      <c r="K69" s="97" t="s">
        <v>73</v>
      </c>
      <c r="L69">
        <v>701000</v>
      </c>
      <c r="M69" s="97" t="s">
        <v>62</v>
      </c>
      <c r="N69" s="97" t="s">
        <v>33</v>
      </c>
      <c r="O69">
        <v>1878</v>
      </c>
      <c r="P69">
        <v>0.95</v>
      </c>
      <c r="Q69">
        <v>1.78</v>
      </c>
      <c r="R69" s="97" t="s">
        <v>1205</v>
      </c>
      <c r="S69" s="97" t="s">
        <v>195</v>
      </c>
    </row>
    <row r="70" spans="1:19" x14ac:dyDescent="0.3">
      <c r="A70" s="97" t="s">
        <v>203</v>
      </c>
      <c r="B70" s="97" t="s">
        <v>23</v>
      </c>
      <c r="C70">
        <v>2026</v>
      </c>
      <c r="D70">
        <v>1</v>
      </c>
      <c r="E70" s="2">
        <v>46026</v>
      </c>
      <c r="F70" s="97" t="s">
        <v>7</v>
      </c>
      <c r="G70" s="97" t="s">
        <v>8</v>
      </c>
      <c r="H70" s="97" t="s">
        <v>74</v>
      </c>
      <c r="I70" s="97" t="s">
        <v>84</v>
      </c>
      <c r="J70" s="97" t="s">
        <v>85</v>
      </c>
      <c r="K70" s="97" t="s">
        <v>73</v>
      </c>
      <c r="L70">
        <v>701000</v>
      </c>
      <c r="M70" s="97" t="s">
        <v>62</v>
      </c>
      <c r="N70" s="97" t="s">
        <v>33</v>
      </c>
      <c r="O70">
        <v>1721</v>
      </c>
      <c r="P70">
        <v>0.95</v>
      </c>
      <c r="Q70">
        <v>1.64</v>
      </c>
      <c r="R70" s="97" t="s">
        <v>1199</v>
      </c>
      <c r="S70" s="97" t="s">
        <v>195</v>
      </c>
    </row>
    <row r="71" spans="1:19" x14ac:dyDescent="0.3">
      <c r="A71" s="97" t="s">
        <v>204</v>
      </c>
      <c r="B71" s="97" t="s">
        <v>23</v>
      </c>
      <c r="C71">
        <v>2026</v>
      </c>
      <c r="D71">
        <v>1</v>
      </c>
      <c r="E71" s="2">
        <v>46026</v>
      </c>
      <c r="F71" s="97" t="s">
        <v>7</v>
      </c>
      <c r="G71" s="97" t="s">
        <v>8</v>
      </c>
      <c r="H71" s="97" t="s">
        <v>74</v>
      </c>
      <c r="I71" s="97" t="s">
        <v>84</v>
      </c>
      <c r="J71" s="97" t="s">
        <v>85</v>
      </c>
      <c r="K71" s="97" t="s">
        <v>73</v>
      </c>
      <c r="L71">
        <v>701000</v>
      </c>
      <c r="M71" s="97" t="s">
        <v>62</v>
      </c>
      <c r="N71" s="97" t="s">
        <v>33</v>
      </c>
      <c r="O71">
        <v>3290</v>
      </c>
      <c r="P71">
        <v>0.95</v>
      </c>
      <c r="Q71">
        <v>3.13</v>
      </c>
      <c r="R71" s="97" t="s">
        <v>1200</v>
      </c>
      <c r="S71" s="97" t="s">
        <v>195</v>
      </c>
    </row>
    <row r="72" spans="1:19" x14ac:dyDescent="0.3">
      <c r="A72" s="97" t="s">
        <v>325</v>
      </c>
      <c r="B72" s="97" t="s">
        <v>23</v>
      </c>
      <c r="C72">
        <v>2026</v>
      </c>
      <c r="D72">
        <v>1</v>
      </c>
      <c r="E72" s="2">
        <v>46026</v>
      </c>
      <c r="F72" s="97" t="s">
        <v>7</v>
      </c>
      <c r="G72" s="97" t="s">
        <v>8</v>
      </c>
      <c r="H72" s="97" t="s">
        <v>74</v>
      </c>
      <c r="I72" s="97" t="s">
        <v>84</v>
      </c>
      <c r="J72" s="97" t="s">
        <v>85</v>
      </c>
      <c r="K72" s="97" t="s">
        <v>73</v>
      </c>
      <c r="L72">
        <v>701000</v>
      </c>
      <c r="M72" s="97" t="s">
        <v>62</v>
      </c>
      <c r="N72" s="97" t="s">
        <v>33</v>
      </c>
      <c r="O72">
        <v>3563</v>
      </c>
      <c r="P72">
        <v>0.95</v>
      </c>
      <c r="Q72">
        <v>3.38</v>
      </c>
      <c r="R72" s="97" t="s">
        <v>1197</v>
      </c>
      <c r="S72" s="97" t="s">
        <v>195</v>
      </c>
    </row>
    <row r="73" spans="1:19" x14ac:dyDescent="0.3">
      <c r="A73" s="97" t="s">
        <v>326</v>
      </c>
      <c r="B73" s="97" t="s">
        <v>23</v>
      </c>
      <c r="C73">
        <v>2026</v>
      </c>
      <c r="D73">
        <v>1</v>
      </c>
      <c r="E73" s="2">
        <v>46026</v>
      </c>
      <c r="F73" s="97" t="s">
        <v>7</v>
      </c>
      <c r="G73" s="97" t="s">
        <v>8</v>
      </c>
      <c r="H73" s="97" t="s">
        <v>74</v>
      </c>
      <c r="I73" s="97" t="s">
        <v>84</v>
      </c>
      <c r="J73" s="97" t="s">
        <v>85</v>
      </c>
      <c r="K73" s="97" t="s">
        <v>73</v>
      </c>
      <c r="L73">
        <v>701000</v>
      </c>
      <c r="M73" s="97" t="s">
        <v>62</v>
      </c>
      <c r="N73" s="97" t="s">
        <v>33</v>
      </c>
      <c r="O73">
        <v>656</v>
      </c>
      <c r="P73">
        <v>0.95</v>
      </c>
      <c r="Q73">
        <v>0.62</v>
      </c>
      <c r="R73" s="97" t="s">
        <v>1205</v>
      </c>
      <c r="S73" s="97" t="s">
        <v>195</v>
      </c>
    </row>
    <row r="74" spans="1:19" x14ac:dyDescent="0.3">
      <c r="A74" s="97" t="s">
        <v>327</v>
      </c>
      <c r="B74" s="97" t="s">
        <v>23</v>
      </c>
      <c r="C74">
        <v>2026</v>
      </c>
      <c r="D74">
        <v>1</v>
      </c>
      <c r="E74" s="2">
        <v>46026</v>
      </c>
      <c r="F74" s="97" t="s">
        <v>7</v>
      </c>
      <c r="G74" s="97" t="s">
        <v>8</v>
      </c>
      <c r="H74" s="97" t="s">
        <v>74</v>
      </c>
      <c r="I74" s="97" t="s">
        <v>84</v>
      </c>
      <c r="J74" s="97" t="s">
        <v>85</v>
      </c>
      <c r="K74" s="97" t="s">
        <v>73</v>
      </c>
      <c r="L74">
        <v>701000</v>
      </c>
      <c r="M74" s="97" t="s">
        <v>62</v>
      </c>
      <c r="N74" s="97" t="s">
        <v>33</v>
      </c>
      <c r="O74">
        <v>536</v>
      </c>
      <c r="P74">
        <v>0.95</v>
      </c>
      <c r="Q74">
        <v>0.51</v>
      </c>
      <c r="R74" s="97" t="s">
        <v>1203</v>
      </c>
      <c r="S74" s="97" t="s">
        <v>195</v>
      </c>
    </row>
    <row r="75" spans="1:19" x14ac:dyDescent="0.3">
      <c r="A75" s="97" t="s">
        <v>328</v>
      </c>
      <c r="B75" s="97" t="s">
        <v>23</v>
      </c>
      <c r="C75">
        <v>2026</v>
      </c>
      <c r="D75">
        <v>1</v>
      </c>
      <c r="E75" s="2">
        <v>46026</v>
      </c>
      <c r="F75" s="97" t="s">
        <v>7</v>
      </c>
      <c r="G75" s="97" t="s">
        <v>8</v>
      </c>
      <c r="H75" s="97" t="s">
        <v>74</v>
      </c>
      <c r="I75" s="97" t="s">
        <v>84</v>
      </c>
      <c r="J75" s="97" t="s">
        <v>85</v>
      </c>
      <c r="K75" s="97" t="s">
        <v>73</v>
      </c>
      <c r="L75">
        <v>701000</v>
      </c>
      <c r="M75" s="97" t="s">
        <v>62</v>
      </c>
      <c r="N75" s="97" t="s">
        <v>33</v>
      </c>
      <c r="O75">
        <v>4063</v>
      </c>
      <c r="P75">
        <v>0.95</v>
      </c>
      <c r="Q75">
        <v>3.86</v>
      </c>
      <c r="R75" s="97" t="s">
        <v>1202</v>
      </c>
      <c r="S75" s="97" t="s">
        <v>195</v>
      </c>
    </row>
    <row r="76" spans="1:19" x14ac:dyDescent="0.3">
      <c r="A76" s="97" t="s">
        <v>329</v>
      </c>
      <c r="B76" s="97" t="s">
        <v>23</v>
      </c>
      <c r="C76">
        <v>2026</v>
      </c>
      <c r="D76">
        <v>1</v>
      </c>
      <c r="E76" s="2">
        <v>46026</v>
      </c>
      <c r="F76" s="97" t="s">
        <v>7</v>
      </c>
      <c r="G76" s="97" t="s">
        <v>8</v>
      </c>
      <c r="H76" s="97" t="s">
        <v>74</v>
      </c>
      <c r="I76" s="97" t="s">
        <v>84</v>
      </c>
      <c r="J76" s="97" t="s">
        <v>85</v>
      </c>
      <c r="K76" s="97" t="s">
        <v>73</v>
      </c>
      <c r="L76">
        <v>701000</v>
      </c>
      <c r="M76" s="97" t="s">
        <v>62</v>
      </c>
      <c r="N76" s="97" t="s">
        <v>33</v>
      </c>
      <c r="O76">
        <v>2721</v>
      </c>
      <c r="P76">
        <v>0.95</v>
      </c>
      <c r="Q76">
        <v>2.59</v>
      </c>
      <c r="R76" s="97" t="s">
        <v>1204</v>
      </c>
      <c r="S76" s="97" t="s">
        <v>195</v>
      </c>
    </row>
    <row r="77" spans="1:19" x14ac:dyDescent="0.3">
      <c r="A77" s="97" t="s">
        <v>560</v>
      </c>
      <c r="B77" s="97" t="s">
        <v>23</v>
      </c>
      <c r="C77">
        <v>2026</v>
      </c>
      <c r="D77">
        <v>1</v>
      </c>
      <c r="E77" s="2">
        <v>46026</v>
      </c>
      <c r="F77" s="97" t="s">
        <v>7</v>
      </c>
      <c r="G77" s="97" t="s">
        <v>8</v>
      </c>
      <c r="H77" s="97" t="s">
        <v>70</v>
      </c>
      <c r="I77" s="97" t="s">
        <v>75</v>
      </c>
      <c r="J77" s="97" t="s">
        <v>76</v>
      </c>
      <c r="K77" s="97" t="s">
        <v>73</v>
      </c>
      <c r="L77">
        <v>701000</v>
      </c>
      <c r="M77" s="97" t="s">
        <v>62</v>
      </c>
      <c r="N77" s="97" t="s">
        <v>33</v>
      </c>
      <c r="O77">
        <v>1284</v>
      </c>
      <c r="P77">
        <v>1.4</v>
      </c>
      <c r="Q77">
        <v>1.8</v>
      </c>
      <c r="R77" s="97" t="s">
        <v>1197</v>
      </c>
      <c r="S77" s="97" t="s">
        <v>195</v>
      </c>
    </row>
    <row r="78" spans="1:19" x14ac:dyDescent="0.3">
      <c r="A78" s="97" t="s">
        <v>561</v>
      </c>
      <c r="B78" s="97" t="s">
        <v>23</v>
      </c>
      <c r="C78">
        <v>2026</v>
      </c>
      <c r="D78">
        <v>1</v>
      </c>
      <c r="E78" s="2">
        <v>46026</v>
      </c>
      <c r="F78" s="97" t="s">
        <v>7</v>
      </c>
      <c r="G78" s="97" t="s">
        <v>8</v>
      </c>
      <c r="H78" s="97" t="s">
        <v>70</v>
      </c>
      <c r="I78" s="97" t="s">
        <v>75</v>
      </c>
      <c r="J78" s="97" t="s">
        <v>76</v>
      </c>
      <c r="K78" s="97" t="s">
        <v>73</v>
      </c>
      <c r="L78">
        <v>701000</v>
      </c>
      <c r="M78" s="97" t="s">
        <v>62</v>
      </c>
      <c r="N78" s="97" t="s">
        <v>33</v>
      </c>
      <c r="O78">
        <v>1995</v>
      </c>
      <c r="P78">
        <v>1.4</v>
      </c>
      <c r="Q78">
        <v>2.79</v>
      </c>
      <c r="R78" s="97" t="s">
        <v>1200</v>
      </c>
      <c r="S78" s="97" t="s">
        <v>195</v>
      </c>
    </row>
    <row r="79" spans="1:19" x14ac:dyDescent="0.3">
      <c r="A79" s="97" t="s">
        <v>562</v>
      </c>
      <c r="B79" s="97" t="s">
        <v>23</v>
      </c>
      <c r="C79">
        <v>2026</v>
      </c>
      <c r="D79">
        <v>1</v>
      </c>
      <c r="E79" s="2">
        <v>46026</v>
      </c>
      <c r="F79" s="97" t="s">
        <v>7</v>
      </c>
      <c r="G79" s="97" t="s">
        <v>8</v>
      </c>
      <c r="H79" s="97" t="s">
        <v>70</v>
      </c>
      <c r="I79" s="97" t="s">
        <v>75</v>
      </c>
      <c r="J79" s="97" t="s">
        <v>76</v>
      </c>
      <c r="K79" s="97" t="s">
        <v>73</v>
      </c>
      <c r="L79">
        <v>701000</v>
      </c>
      <c r="M79" s="97" t="s">
        <v>62</v>
      </c>
      <c r="N79" s="97" t="s">
        <v>33</v>
      </c>
      <c r="O79">
        <v>1123</v>
      </c>
      <c r="P79">
        <v>1.4</v>
      </c>
      <c r="Q79">
        <v>1.57</v>
      </c>
      <c r="R79" s="97" t="s">
        <v>1201</v>
      </c>
      <c r="S79" s="97" t="s">
        <v>195</v>
      </c>
    </row>
    <row r="80" spans="1:19" x14ac:dyDescent="0.3">
      <c r="A80" s="97" t="s">
        <v>563</v>
      </c>
      <c r="B80" s="97" t="s">
        <v>23</v>
      </c>
      <c r="C80">
        <v>2026</v>
      </c>
      <c r="D80">
        <v>1</v>
      </c>
      <c r="E80" s="2">
        <v>46026</v>
      </c>
      <c r="F80" s="97" t="s">
        <v>7</v>
      </c>
      <c r="G80" s="97" t="s">
        <v>8</v>
      </c>
      <c r="H80" s="97" t="s">
        <v>70</v>
      </c>
      <c r="I80" s="97" t="s">
        <v>75</v>
      </c>
      <c r="J80" s="97" t="s">
        <v>76</v>
      </c>
      <c r="K80" s="97" t="s">
        <v>73</v>
      </c>
      <c r="L80">
        <v>701000</v>
      </c>
      <c r="M80" s="97" t="s">
        <v>62</v>
      </c>
      <c r="N80" s="97" t="s">
        <v>33</v>
      </c>
      <c r="O80">
        <v>1011</v>
      </c>
      <c r="P80">
        <v>1.4</v>
      </c>
      <c r="Q80">
        <v>1.42</v>
      </c>
      <c r="R80" s="97" t="s">
        <v>1199</v>
      </c>
      <c r="S80" s="97" t="s">
        <v>195</v>
      </c>
    </row>
    <row r="81" spans="1:19" x14ac:dyDescent="0.3">
      <c r="A81" s="97" t="s">
        <v>564</v>
      </c>
      <c r="B81" s="97" t="s">
        <v>23</v>
      </c>
      <c r="C81">
        <v>2026</v>
      </c>
      <c r="D81">
        <v>1</v>
      </c>
      <c r="E81" s="2">
        <v>46026</v>
      </c>
      <c r="F81" s="97" t="s">
        <v>7</v>
      </c>
      <c r="G81" s="97" t="s">
        <v>8</v>
      </c>
      <c r="H81" s="97" t="s">
        <v>70</v>
      </c>
      <c r="I81" s="97" t="s">
        <v>75</v>
      </c>
      <c r="J81" s="97" t="s">
        <v>76</v>
      </c>
      <c r="K81" s="97" t="s">
        <v>73</v>
      </c>
      <c r="L81">
        <v>701000</v>
      </c>
      <c r="M81" s="97" t="s">
        <v>62</v>
      </c>
      <c r="N81" s="97" t="s">
        <v>33</v>
      </c>
      <c r="O81">
        <v>295</v>
      </c>
      <c r="P81">
        <v>1.39</v>
      </c>
      <c r="Q81">
        <v>0.41</v>
      </c>
      <c r="R81" s="97" t="s">
        <v>1202</v>
      </c>
      <c r="S81" s="97" t="s">
        <v>195</v>
      </c>
    </row>
    <row r="82" spans="1:19" x14ac:dyDescent="0.3">
      <c r="A82" s="97" t="s">
        <v>615</v>
      </c>
      <c r="B82" s="97" t="s">
        <v>23</v>
      </c>
      <c r="C82">
        <v>2026</v>
      </c>
      <c r="D82">
        <v>1</v>
      </c>
      <c r="E82" s="2">
        <v>46026</v>
      </c>
      <c r="F82" s="97" t="s">
        <v>7</v>
      </c>
      <c r="G82" s="97" t="s">
        <v>8</v>
      </c>
      <c r="H82" s="97" t="s">
        <v>70</v>
      </c>
      <c r="I82" s="97" t="s">
        <v>75</v>
      </c>
      <c r="J82" s="97" t="s">
        <v>76</v>
      </c>
      <c r="K82" s="97" t="s">
        <v>73</v>
      </c>
      <c r="L82">
        <v>701000</v>
      </c>
      <c r="M82" s="97" t="s">
        <v>62</v>
      </c>
      <c r="N82" s="97" t="s">
        <v>33</v>
      </c>
      <c r="O82">
        <v>1076</v>
      </c>
      <c r="P82">
        <v>1.4</v>
      </c>
      <c r="Q82">
        <v>1.51</v>
      </c>
      <c r="R82" s="97" t="s">
        <v>1198</v>
      </c>
      <c r="S82" s="97" t="s">
        <v>195</v>
      </c>
    </row>
    <row r="83" spans="1:19" x14ac:dyDescent="0.3">
      <c r="A83" s="97" t="s">
        <v>616</v>
      </c>
      <c r="B83" s="97" t="s">
        <v>23</v>
      </c>
      <c r="C83">
        <v>2026</v>
      </c>
      <c r="D83">
        <v>1</v>
      </c>
      <c r="E83" s="2">
        <v>46026</v>
      </c>
      <c r="F83" s="97" t="s">
        <v>7</v>
      </c>
      <c r="G83" s="97" t="s">
        <v>8</v>
      </c>
      <c r="H83" s="97" t="s">
        <v>70</v>
      </c>
      <c r="I83" s="97" t="s">
        <v>75</v>
      </c>
      <c r="J83" s="97" t="s">
        <v>76</v>
      </c>
      <c r="K83" s="97" t="s">
        <v>73</v>
      </c>
      <c r="L83">
        <v>701000</v>
      </c>
      <c r="M83" s="97" t="s">
        <v>62</v>
      </c>
      <c r="N83" s="97" t="s">
        <v>33</v>
      </c>
      <c r="O83">
        <v>1207</v>
      </c>
      <c r="P83">
        <v>1.4</v>
      </c>
      <c r="Q83">
        <v>1.69</v>
      </c>
      <c r="R83" s="97" t="s">
        <v>1202</v>
      </c>
      <c r="S83" s="97" t="s">
        <v>195</v>
      </c>
    </row>
    <row r="84" spans="1:19" x14ac:dyDescent="0.3">
      <c r="A84" s="97" t="s">
        <v>617</v>
      </c>
      <c r="B84" s="97" t="s">
        <v>23</v>
      </c>
      <c r="C84">
        <v>2026</v>
      </c>
      <c r="D84">
        <v>1</v>
      </c>
      <c r="E84" s="2">
        <v>46026</v>
      </c>
      <c r="F84" s="97" t="s">
        <v>7</v>
      </c>
      <c r="G84" s="97" t="s">
        <v>8</v>
      </c>
      <c r="H84" s="97" t="s">
        <v>70</v>
      </c>
      <c r="I84" s="97" t="s">
        <v>75</v>
      </c>
      <c r="J84" s="97" t="s">
        <v>76</v>
      </c>
      <c r="K84" s="97" t="s">
        <v>73</v>
      </c>
      <c r="L84">
        <v>701000</v>
      </c>
      <c r="M84" s="97" t="s">
        <v>62</v>
      </c>
      <c r="N84" s="97" t="s">
        <v>33</v>
      </c>
      <c r="O84">
        <v>793</v>
      </c>
      <c r="P84">
        <v>1.4</v>
      </c>
      <c r="Q84">
        <v>1.1100000000000001</v>
      </c>
      <c r="R84" s="97" t="s">
        <v>1201</v>
      </c>
      <c r="S84" s="97" t="s">
        <v>195</v>
      </c>
    </row>
    <row r="85" spans="1:19" x14ac:dyDescent="0.3">
      <c r="A85" s="97" t="s">
        <v>618</v>
      </c>
      <c r="B85" s="97" t="s">
        <v>23</v>
      </c>
      <c r="C85">
        <v>2026</v>
      </c>
      <c r="D85">
        <v>1</v>
      </c>
      <c r="E85" s="2">
        <v>46026</v>
      </c>
      <c r="F85" s="97" t="s">
        <v>7</v>
      </c>
      <c r="G85" s="97" t="s">
        <v>8</v>
      </c>
      <c r="H85" s="97" t="s">
        <v>70</v>
      </c>
      <c r="I85" s="97" t="s">
        <v>75</v>
      </c>
      <c r="J85" s="97" t="s">
        <v>76</v>
      </c>
      <c r="K85" s="97" t="s">
        <v>73</v>
      </c>
      <c r="L85">
        <v>701000</v>
      </c>
      <c r="M85" s="97" t="s">
        <v>62</v>
      </c>
      <c r="N85" s="97" t="s">
        <v>33</v>
      </c>
      <c r="O85">
        <v>2343</v>
      </c>
      <c r="P85">
        <v>1.4</v>
      </c>
      <c r="Q85">
        <v>3.28</v>
      </c>
      <c r="R85" s="97" t="s">
        <v>1199</v>
      </c>
      <c r="S85" s="97" t="s">
        <v>195</v>
      </c>
    </row>
    <row r="86" spans="1:19" x14ac:dyDescent="0.3">
      <c r="A86" s="97" t="s">
        <v>619</v>
      </c>
      <c r="B86" s="97" t="s">
        <v>23</v>
      </c>
      <c r="C86">
        <v>2026</v>
      </c>
      <c r="D86">
        <v>1</v>
      </c>
      <c r="E86" s="2">
        <v>46026</v>
      </c>
      <c r="F86" s="97" t="s">
        <v>7</v>
      </c>
      <c r="G86" s="97" t="s">
        <v>8</v>
      </c>
      <c r="H86" s="97" t="s">
        <v>70</v>
      </c>
      <c r="I86" s="97" t="s">
        <v>75</v>
      </c>
      <c r="J86" s="97" t="s">
        <v>76</v>
      </c>
      <c r="K86" s="97" t="s">
        <v>73</v>
      </c>
      <c r="L86">
        <v>701000</v>
      </c>
      <c r="M86" s="97" t="s">
        <v>62</v>
      </c>
      <c r="N86" s="97" t="s">
        <v>33</v>
      </c>
      <c r="O86">
        <v>1038</v>
      </c>
      <c r="P86">
        <v>1.4</v>
      </c>
      <c r="Q86">
        <v>1.45</v>
      </c>
      <c r="R86" s="97" t="s">
        <v>1197</v>
      </c>
      <c r="S86" s="97" t="s">
        <v>195</v>
      </c>
    </row>
    <row r="87" spans="1:19" x14ac:dyDescent="0.3">
      <c r="A87" s="97" t="s">
        <v>630</v>
      </c>
      <c r="B87" s="97" t="s">
        <v>23</v>
      </c>
      <c r="C87">
        <v>2026</v>
      </c>
      <c r="D87">
        <v>1</v>
      </c>
      <c r="E87" s="2">
        <v>46026</v>
      </c>
      <c r="F87" s="97" t="s">
        <v>7</v>
      </c>
      <c r="G87" s="97" t="s">
        <v>8</v>
      </c>
      <c r="H87" s="97" t="s">
        <v>70</v>
      </c>
      <c r="I87" s="97" t="s">
        <v>75</v>
      </c>
      <c r="J87" s="97" t="s">
        <v>76</v>
      </c>
      <c r="K87" s="97" t="s">
        <v>73</v>
      </c>
      <c r="L87">
        <v>701000</v>
      </c>
      <c r="M87" s="97" t="s">
        <v>62</v>
      </c>
      <c r="N87" s="97" t="s">
        <v>33</v>
      </c>
      <c r="O87">
        <v>3552</v>
      </c>
      <c r="P87">
        <v>1.4</v>
      </c>
      <c r="Q87">
        <v>4.97</v>
      </c>
      <c r="R87" s="97" t="s">
        <v>1197</v>
      </c>
      <c r="S87" s="97" t="s">
        <v>195</v>
      </c>
    </row>
    <row r="88" spans="1:19" x14ac:dyDescent="0.3">
      <c r="A88" s="97" t="s">
        <v>631</v>
      </c>
      <c r="B88" s="97" t="s">
        <v>23</v>
      </c>
      <c r="C88">
        <v>2026</v>
      </c>
      <c r="D88">
        <v>1</v>
      </c>
      <c r="E88" s="2">
        <v>46026</v>
      </c>
      <c r="F88" s="97" t="s">
        <v>7</v>
      </c>
      <c r="G88" s="97" t="s">
        <v>8</v>
      </c>
      <c r="H88" s="97" t="s">
        <v>70</v>
      </c>
      <c r="I88" s="97" t="s">
        <v>75</v>
      </c>
      <c r="J88" s="97" t="s">
        <v>76</v>
      </c>
      <c r="K88" s="97" t="s">
        <v>73</v>
      </c>
      <c r="L88">
        <v>701000</v>
      </c>
      <c r="M88" s="97" t="s">
        <v>62</v>
      </c>
      <c r="N88" s="97" t="s">
        <v>33</v>
      </c>
      <c r="O88">
        <v>461</v>
      </c>
      <c r="P88">
        <v>1.41</v>
      </c>
      <c r="Q88">
        <v>0.65</v>
      </c>
      <c r="R88" s="97" t="s">
        <v>1198</v>
      </c>
      <c r="S88" s="97" t="s">
        <v>195</v>
      </c>
    </row>
    <row r="89" spans="1:19" x14ac:dyDescent="0.3">
      <c r="A89" s="97" t="s">
        <v>632</v>
      </c>
      <c r="B89" s="97" t="s">
        <v>23</v>
      </c>
      <c r="C89">
        <v>2026</v>
      </c>
      <c r="D89">
        <v>1</v>
      </c>
      <c r="E89" s="2">
        <v>46026</v>
      </c>
      <c r="F89" s="97" t="s">
        <v>7</v>
      </c>
      <c r="G89" s="97" t="s">
        <v>8</v>
      </c>
      <c r="H89" s="97" t="s">
        <v>70</v>
      </c>
      <c r="I89" s="97" t="s">
        <v>75</v>
      </c>
      <c r="J89" s="97" t="s">
        <v>76</v>
      </c>
      <c r="K89" s="97" t="s">
        <v>73</v>
      </c>
      <c r="L89">
        <v>701000</v>
      </c>
      <c r="M89" s="97" t="s">
        <v>62</v>
      </c>
      <c r="N89" s="97" t="s">
        <v>33</v>
      </c>
      <c r="O89">
        <v>1021</v>
      </c>
      <c r="P89">
        <v>1.4</v>
      </c>
      <c r="Q89">
        <v>1.43</v>
      </c>
      <c r="R89" s="97" t="s">
        <v>1202</v>
      </c>
      <c r="S89" s="97" t="s">
        <v>195</v>
      </c>
    </row>
    <row r="90" spans="1:19" x14ac:dyDescent="0.3">
      <c r="A90" s="97" t="s">
        <v>633</v>
      </c>
      <c r="B90" s="97" t="s">
        <v>23</v>
      </c>
      <c r="C90">
        <v>2026</v>
      </c>
      <c r="D90">
        <v>1</v>
      </c>
      <c r="E90" s="2">
        <v>46026</v>
      </c>
      <c r="F90" s="97" t="s">
        <v>7</v>
      </c>
      <c r="G90" s="97" t="s">
        <v>8</v>
      </c>
      <c r="H90" s="97" t="s">
        <v>70</v>
      </c>
      <c r="I90" s="97" t="s">
        <v>75</v>
      </c>
      <c r="J90" s="97" t="s">
        <v>76</v>
      </c>
      <c r="K90" s="97" t="s">
        <v>73</v>
      </c>
      <c r="L90">
        <v>701000</v>
      </c>
      <c r="M90" s="97" t="s">
        <v>62</v>
      </c>
      <c r="N90" s="97" t="s">
        <v>33</v>
      </c>
      <c r="O90">
        <v>760</v>
      </c>
      <c r="P90">
        <v>1.39</v>
      </c>
      <c r="Q90">
        <v>1.06</v>
      </c>
      <c r="R90" s="97" t="s">
        <v>1201</v>
      </c>
      <c r="S90" s="97" t="s">
        <v>195</v>
      </c>
    </row>
    <row r="91" spans="1:19" x14ac:dyDescent="0.3">
      <c r="A91" s="97" t="s">
        <v>634</v>
      </c>
      <c r="B91" s="97" t="s">
        <v>23</v>
      </c>
      <c r="C91">
        <v>2026</v>
      </c>
      <c r="D91">
        <v>1</v>
      </c>
      <c r="E91" s="2">
        <v>46026</v>
      </c>
      <c r="F91" s="97" t="s">
        <v>7</v>
      </c>
      <c r="G91" s="97" t="s">
        <v>8</v>
      </c>
      <c r="H91" s="97" t="s">
        <v>70</v>
      </c>
      <c r="I91" s="97" t="s">
        <v>75</v>
      </c>
      <c r="J91" s="97" t="s">
        <v>76</v>
      </c>
      <c r="K91" s="97" t="s">
        <v>73</v>
      </c>
      <c r="L91">
        <v>701000</v>
      </c>
      <c r="M91" s="97" t="s">
        <v>62</v>
      </c>
      <c r="N91" s="97" t="s">
        <v>33</v>
      </c>
      <c r="O91">
        <v>461</v>
      </c>
      <c r="P91">
        <v>1.41</v>
      </c>
      <c r="Q91">
        <v>0.65</v>
      </c>
      <c r="R91" s="97" t="s">
        <v>1199</v>
      </c>
      <c r="S91" s="97" t="s">
        <v>195</v>
      </c>
    </row>
    <row r="92" spans="1:19" x14ac:dyDescent="0.3">
      <c r="A92" s="97" t="s">
        <v>765</v>
      </c>
      <c r="B92" s="97" t="s">
        <v>23</v>
      </c>
      <c r="C92">
        <v>2026</v>
      </c>
      <c r="D92">
        <v>1</v>
      </c>
      <c r="E92" s="2">
        <v>46026</v>
      </c>
      <c r="F92" s="97" t="s">
        <v>7</v>
      </c>
      <c r="G92" s="97" t="s">
        <v>8</v>
      </c>
      <c r="H92" s="97" t="s">
        <v>74</v>
      </c>
      <c r="I92" s="97" t="s">
        <v>77</v>
      </c>
      <c r="J92" s="97" t="s">
        <v>78</v>
      </c>
      <c r="K92" s="97" t="s">
        <v>73</v>
      </c>
      <c r="L92">
        <v>701000</v>
      </c>
      <c r="M92" s="97" t="s">
        <v>62</v>
      </c>
      <c r="N92" s="97" t="s">
        <v>33</v>
      </c>
      <c r="O92">
        <v>1342</v>
      </c>
      <c r="P92">
        <v>1.8</v>
      </c>
      <c r="Q92">
        <v>2.42</v>
      </c>
      <c r="R92" s="97" t="s">
        <v>1199</v>
      </c>
      <c r="S92" s="97" t="s">
        <v>195</v>
      </c>
    </row>
    <row r="93" spans="1:19" x14ac:dyDescent="0.3">
      <c r="A93" s="97" t="s">
        <v>766</v>
      </c>
      <c r="B93" s="97" t="s">
        <v>23</v>
      </c>
      <c r="C93">
        <v>2026</v>
      </c>
      <c r="D93">
        <v>1</v>
      </c>
      <c r="E93" s="2">
        <v>46026</v>
      </c>
      <c r="F93" s="97" t="s">
        <v>7</v>
      </c>
      <c r="G93" s="97" t="s">
        <v>8</v>
      </c>
      <c r="H93" s="97" t="s">
        <v>74</v>
      </c>
      <c r="I93" s="97" t="s">
        <v>77</v>
      </c>
      <c r="J93" s="97" t="s">
        <v>78</v>
      </c>
      <c r="K93" s="97" t="s">
        <v>73</v>
      </c>
      <c r="L93">
        <v>701000</v>
      </c>
      <c r="M93" s="97" t="s">
        <v>62</v>
      </c>
      <c r="N93" s="97" t="s">
        <v>33</v>
      </c>
      <c r="O93">
        <v>1234</v>
      </c>
      <c r="P93">
        <v>1.8</v>
      </c>
      <c r="Q93">
        <v>2.2200000000000002</v>
      </c>
      <c r="R93" s="97" t="s">
        <v>1200</v>
      </c>
      <c r="S93" s="97" t="s">
        <v>195</v>
      </c>
    </row>
    <row r="94" spans="1:19" x14ac:dyDescent="0.3">
      <c r="A94" s="97" t="s">
        <v>767</v>
      </c>
      <c r="B94" s="97" t="s">
        <v>23</v>
      </c>
      <c r="C94">
        <v>2026</v>
      </c>
      <c r="D94">
        <v>1</v>
      </c>
      <c r="E94" s="2">
        <v>46026</v>
      </c>
      <c r="F94" s="97" t="s">
        <v>7</v>
      </c>
      <c r="G94" s="97" t="s">
        <v>8</v>
      </c>
      <c r="H94" s="97" t="s">
        <v>74</v>
      </c>
      <c r="I94" s="97" t="s">
        <v>77</v>
      </c>
      <c r="J94" s="97" t="s">
        <v>78</v>
      </c>
      <c r="K94" s="97" t="s">
        <v>73</v>
      </c>
      <c r="L94">
        <v>701000</v>
      </c>
      <c r="M94" s="97" t="s">
        <v>62</v>
      </c>
      <c r="N94" s="97" t="s">
        <v>33</v>
      </c>
      <c r="O94">
        <v>857</v>
      </c>
      <c r="P94">
        <v>1.8</v>
      </c>
      <c r="Q94">
        <v>1.54</v>
      </c>
      <c r="R94" s="97" t="s">
        <v>1203</v>
      </c>
      <c r="S94" s="97" t="s">
        <v>195</v>
      </c>
    </row>
    <row r="95" spans="1:19" x14ac:dyDescent="0.3">
      <c r="A95" s="97" t="s">
        <v>768</v>
      </c>
      <c r="B95" s="97" t="s">
        <v>23</v>
      </c>
      <c r="C95">
        <v>2026</v>
      </c>
      <c r="D95">
        <v>1</v>
      </c>
      <c r="E95" s="2">
        <v>46026</v>
      </c>
      <c r="F95" s="97" t="s">
        <v>7</v>
      </c>
      <c r="G95" s="97" t="s">
        <v>8</v>
      </c>
      <c r="H95" s="97" t="s">
        <v>74</v>
      </c>
      <c r="I95" s="97" t="s">
        <v>77</v>
      </c>
      <c r="J95" s="97" t="s">
        <v>78</v>
      </c>
      <c r="K95" s="97" t="s">
        <v>73</v>
      </c>
      <c r="L95">
        <v>701000</v>
      </c>
      <c r="M95" s="97" t="s">
        <v>62</v>
      </c>
      <c r="N95" s="97" t="s">
        <v>33</v>
      </c>
      <c r="O95">
        <v>510</v>
      </c>
      <c r="P95">
        <v>1.8</v>
      </c>
      <c r="Q95">
        <v>0.92</v>
      </c>
      <c r="R95" s="97" t="s">
        <v>1198</v>
      </c>
      <c r="S95" s="97" t="s">
        <v>195</v>
      </c>
    </row>
    <row r="96" spans="1:19" x14ac:dyDescent="0.3">
      <c r="A96" s="97" t="s">
        <v>769</v>
      </c>
      <c r="B96" s="97" t="s">
        <v>23</v>
      </c>
      <c r="C96">
        <v>2026</v>
      </c>
      <c r="D96">
        <v>1</v>
      </c>
      <c r="E96" s="2">
        <v>46026</v>
      </c>
      <c r="F96" s="97" t="s">
        <v>7</v>
      </c>
      <c r="G96" s="97" t="s">
        <v>8</v>
      </c>
      <c r="H96" s="97" t="s">
        <v>74</v>
      </c>
      <c r="I96" s="97" t="s">
        <v>77</v>
      </c>
      <c r="J96" s="97" t="s">
        <v>78</v>
      </c>
      <c r="K96" s="97" t="s">
        <v>73</v>
      </c>
      <c r="L96">
        <v>701000</v>
      </c>
      <c r="M96" s="97" t="s">
        <v>62</v>
      </c>
      <c r="N96" s="97" t="s">
        <v>33</v>
      </c>
      <c r="O96">
        <v>3776</v>
      </c>
      <c r="P96">
        <v>1.8</v>
      </c>
      <c r="Q96">
        <v>6.79</v>
      </c>
      <c r="R96" s="97" t="s">
        <v>1197</v>
      </c>
      <c r="S96" s="97" t="s">
        <v>195</v>
      </c>
    </row>
    <row r="97" spans="1:19" x14ac:dyDescent="0.3">
      <c r="A97" s="97" t="s">
        <v>965</v>
      </c>
      <c r="B97" s="97" t="s">
        <v>23</v>
      </c>
      <c r="C97">
        <v>2026</v>
      </c>
      <c r="D97">
        <v>1</v>
      </c>
      <c r="E97" s="2">
        <v>46026</v>
      </c>
      <c r="F97" s="97" t="s">
        <v>7</v>
      </c>
      <c r="G97" s="97" t="s">
        <v>8</v>
      </c>
      <c r="H97" s="97" t="s">
        <v>70</v>
      </c>
      <c r="I97" s="97" t="s">
        <v>82</v>
      </c>
      <c r="J97" s="97" t="s">
        <v>83</v>
      </c>
      <c r="K97" s="97" t="s">
        <v>73</v>
      </c>
      <c r="L97">
        <v>701000</v>
      </c>
      <c r="M97" s="97" t="s">
        <v>62</v>
      </c>
      <c r="N97" s="97" t="s">
        <v>33</v>
      </c>
      <c r="O97">
        <v>53</v>
      </c>
      <c r="P97">
        <v>18.3</v>
      </c>
      <c r="Q97">
        <v>0.97</v>
      </c>
      <c r="R97" s="97" t="s">
        <v>1200</v>
      </c>
      <c r="S97" s="97" t="s">
        <v>195</v>
      </c>
    </row>
    <row r="98" spans="1:19" x14ac:dyDescent="0.3">
      <c r="A98" s="97" t="s">
        <v>966</v>
      </c>
      <c r="B98" s="97" t="s">
        <v>23</v>
      </c>
      <c r="C98">
        <v>2026</v>
      </c>
      <c r="D98">
        <v>1</v>
      </c>
      <c r="E98" s="2">
        <v>46026</v>
      </c>
      <c r="F98" s="97" t="s">
        <v>7</v>
      </c>
      <c r="G98" s="97" t="s">
        <v>8</v>
      </c>
      <c r="H98" s="97" t="s">
        <v>70</v>
      </c>
      <c r="I98" s="97" t="s">
        <v>82</v>
      </c>
      <c r="J98" s="97" t="s">
        <v>83</v>
      </c>
      <c r="K98" s="97" t="s">
        <v>73</v>
      </c>
      <c r="L98">
        <v>701000</v>
      </c>
      <c r="M98" s="97" t="s">
        <v>62</v>
      </c>
      <c r="N98" s="97" t="s">
        <v>33</v>
      </c>
      <c r="O98">
        <v>27</v>
      </c>
      <c r="P98">
        <v>18.52</v>
      </c>
      <c r="Q98">
        <v>0.5</v>
      </c>
      <c r="R98" s="97" t="s">
        <v>1199</v>
      </c>
      <c r="S98" s="97" t="s">
        <v>195</v>
      </c>
    </row>
    <row r="99" spans="1:19" x14ac:dyDescent="0.3">
      <c r="A99" s="97" t="s">
        <v>967</v>
      </c>
      <c r="B99" s="97" t="s">
        <v>23</v>
      </c>
      <c r="C99">
        <v>2026</v>
      </c>
      <c r="D99">
        <v>1</v>
      </c>
      <c r="E99" s="2">
        <v>46026</v>
      </c>
      <c r="F99" s="97" t="s">
        <v>7</v>
      </c>
      <c r="G99" s="97" t="s">
        <v>8</v>
      </c>
      <c r="H99" s="97" t="s">
        <v>70</v>
      </c>
      <c r="I99" s="97" t="s">
        <v>82</v>
      </c>
      <c r="J99" s="97" t="s">
        <v>83</v>
      </c>
      <c r="K99" s="97" t="s">
        <v>73</v>
      </c>
      <c r="L99">
        <v>701000</v>
      </c>
      <c r="M99" s="97" t="s">
        <v>62</v>
      </c>
      <c r="N99" s="97" t="s">
        <v>33</v>
      </c>
      <c r="O99">
        <v>333</v>
      </c>
      <c r="P99">
        <v>18.5</v>
      </c>
      <c r="Q99">
        <v>6.16</v>
      </c>
      <c r="R99" s="97" t="s">
        <v>1197</v>
      </c>
      <c r="S99" s="97" t="s">
        <v>195</v>
      </c>
    </row>
    <row r="100" spans="1:19" x14ac:dyDescent="0.3">
      <c r="A100" s="97" t="s">
        <v>968</v>
      </c>
      <c r="B100" s="97" t="s">
        <v>23</v>
      </c>
      <c r="C100">
        <v>2026</v>
      </c>
      <c r="D100">
        <v>1</v>
      </c>
      <c r="E100" s="2">
        <v>46026</v>
      </c>
      <c r="F100" s="97" t="s">
        <v>7</v>
      </c>
      <c r="G100" s="97" t="s">
        <v>8</v>
      </c>
      <c r="H100" s="97" t="s">
        <v>70</v>
      </c>
      <c r="I100" s="97" t="s">
        <v>82</v>
      </c>
      <c r="J100" s="97" t="s">
        <v>83</v>
      </c>
      <c r="K100" s="97" t="s">
        <v>73</v>
      </c>
      <c r="L100">
        <v>701000</v>
      </c>
      <c r="M100" s="97" t="s">
        <v>62</v>
      </c>
      <c r="N100" s="97" t="s">
        <v>33</v>
      </c>
      <c r="O100">
        <v>139</v>
      </c>
      <c r="P100">
        <v>18.559999999999999</v>
      </c>
      <c r="Q100">
        <v>2.58</v>
      </c>
      <c r="R100" s="97" t="s">
        <v>1202</v>
      </c>
      <c r="S100" s="97" t="s">
        <v>195</v>
      </c>
    </row>
    <row r="101" spans="1:19" x14ac:dyDescent="0.3">
      <c r="A101" s="97" t="s">
        <v>969</v>
      </c>
      <c r="B101" s="97" t="s">
        <v>23</v>
      </c>
      <c r="C101">
        <v>2026</v>
      </c>
      <c r="D101">
        <v>1</v>
      </c>
      <c r="E101" s="2">
        <v>46026</v>
      </c>
      <c r="F101" s="97" t="s">
        <v>7</v>
      </c>
      <c r="G101" s="97" t="s">
        <v>8</v>
      </c>
      <c r="H101" s="97" t="s">
        <v>70</v>
      </c>
      <c r="I101" s="97" t="s">
        <v>82</v>
      </c>
      <c r="J101" s="97" t="s">
        <v>83</v>
      </c>
      <c r="K101" s="97" t="s">
        <v>73</v>
      </c>
      <c r="L101">
        <v>701000</v>
      </c>
      <c r="M101" s="97" t="s">
        <v>62</v>
      </c>
      <c r="N101" s="97" t="s">
        <v>33</v>
      </c>
      <c r="O101">
        <v>126</v>
      </c>
      <c r="P101">
        <v>18.489999999999998</v>
      </c>
      <c r="Q101">
        <v>2.33</v>
      </c>
      <c r="R101" s="97" t="s">
        <v>1201</v>
      </c>
      <c r="S101" s="97" t="s">
        <v>195</v>
      </c>
    </row>
    <row r="102" spans="1:19" x14ac:dyDescent="0.3">
      <c r="A102" s="97" t="s">
        <v>320</v>
      </c>
      <c r="B102" s="97" t="s">
        <v>23</v>
      </c>
      <c r="C102">
        <v>2026</v>
      </c>
      <c r="D102">
        <v>1</v>
      </c>
      <c r="E102" s="2">
        <v>46027</v>
      </c>
      <c r="F102" s="97" t="s">
        <v>7</v>
      </c>
      <c r="G102" s="97" t="s">
        <v>8</v>
      </c>
      <c r="H102" s="97" t="s">
        <v>70</v>
      </c>
      <c r="I102" s="97" t="s">
        <v>84</v>
      </c>
      <c r="J102" s="97" t="s">
        <v>85</v>
      </c>
      <c r="K102" s="97" t="s">
        <v>73</v>
      </c>
      <c r="L102">
        <v>701000</v>
      </c>
      <c r="M102" s="97" t="s">
        <v>62</v>
      </c>
      <c r="N102" s="97" t="s">
        <v>33</v>
      </c>
      <c r="O102">
        <v>2119</v>
      </c>
      <c r="P102">
        <v>0.95</v>
      </c>
      <c r="Q102">
        <v>2.0099999999999998</v>
      </c>
      <c r="R102" s="97" t="s">
        <v>1197</v>
      </c>
      <c r="S102" s="97" t="s">
        <v>195</v>
      </c>
    </row>
    <row r="103" spans="1:19" x14ac:dyDescent="0.3">
      <c r="A103" s="97" t="s">
        <v>321</v>
      </c>
      <c r="B103" s="97" t="s">
        <v>23</v>
      </c>
      <c r="C103">
        <v>2026</v>
      </c>
      <c r="D103">
        <v>1</v>
      </c>
      <c r="E103" s="2">
        <v>46027</v>
      </c>
      <c r="F103" s="97" t="s">
        <v>7</v>
      </c>
      <c r="G103" s="97" t="s">
        <v>8</v>
      </c>
      <c r="H103" s="97" t="s">
        <v>70</v>
      </c>
      <c r="I103" s="97" t="s">
        <v>84</v>
      </c>
      <c r="J103" s="97" t="s">
        <v>85</v>
      </c>
      <c r="K103" s="97" t="s">
        <v>73</v>
      </c>
      <c r="L103">
        <v>701000</v>
      </c>
      <c r="M103" s="97" t="s">
        <v>62</v>
      </c>
      <c r="N103" s="97" t="s">
        <v>33</v>
      </c>
      <c r="O103">
        <v>2269</v>
      </c>
      <c r="P103">
        <v>0.95</v>
      </c>
      <c r="Q103">
        <v>2.15</v>
      </c>
      <c r="R103" s="97" t="s">
        <v>1201</v>
      </c>
      <c r="S103" s="97" t="s">
        <v>195</v>
      </c>
    </row>
    <row r="104" spans="1:19" x14ac:dyDescent="0.3">
      <c r="A104" s="97" t="s">
        <v>322</v>
      </c>
      <c r="B104" s="97" t="s">
        <v>23</v>
      </c>
      <c r="C104">
        <v>2026</v>
      </c>
      <c r="D104">
        <v>1</v>
      </c>
      <c r="E104" s="2">
        <v>46027</v>
      </c>
      <c r="F104" s="97" t="s">
        <v>7</v>
      </c>
      <c r="G104" s="97" t="s">
        <v>8</v>
      </c>
      <c r="H104" s="97" t="s">
        <v>70</v>
      </c>
      <c r="I104" s="97" t="s">
        <v>84</v>
      </c>
      <c r="J104" s="97" t="s">
        <v>85</v>
      </c>
      <c r="K104" s="97" t="s">
        <v>73</v>
      </c>
      <c r="L104">
        <v>701000</v>
      </c>
      <c r="M104" s="97" t="s">
        <v>62</v>
      </c>
      <c r="N104" s="97" t="s">
        <v>33</v>
      </c>
      <c r="O104">
        <v>6768</v>
      </c>
      <c r="P104">
        <v>0.95</v>
      </c>
      <c r="Q104">
        <v>6.43</v>
      </c>
      <c r="R104" s="97" t="s">
        <v>1200</v>
      </c>
      <c r="S104" s="97" t="s">
        <v>195</v>
      </c>
    </row>
    <row r="105" spans="1:19" x14ac:dyDescent="0.3">
      <c r="A105" s="97" t="s">
        <v>323</v>
      </c>
      <c r="B105" s="97" t="s">
        <v>23</v>
      </c>
      <c r="C105">
        <v>2026</v>
      </c>
      <c r="D105">
        <v>1</v>
      </c>
      <c r="E105" s="2">
        <v>46027</v>
      </c>
      <c r="F105" s="97" t="s">
        <v>7</v>
      </c>
      <c r="G105" s="97" t="s">
        <v>8</v>
      </c>
      <c r="H105" s="97" t="s">
        <v>70</v>
      </c>
      <c r="I105" s="97" t="s">
        <v>84</v>
      </c>
      <c r="J105" s="97" t="s">
        <v>85</v>
      </c>
      <c r="K105" s="97" t="s">
        <v>73</v>
      </c>
      <c r="L105">
        <v>701000</v>
      </c>
      <c r="M105" s="97" t="s">
        <v>62</v>
      </c>
      <c r="N105" s="97" t="s">
        <v>33</v>
      </c>
      <c r="O105">
        <v>1298</v>
      </c>
      <c r="P105">
        <v>0.95</v>
      </c>
      <c r="Q105">
        <v>1.23</v>
      </c>
      <c r="R105" s="97" t="s">
        <v>1199</v>
      </c>
      <c r="S105" s="97" t="s">
        <v>195</v>
      </c>
    </row>
    <row r="106" spans="1:19" x14ac:dyDescent="0.3">
      <c r="A106" s="97" t="s">
        <v>324</v>
      </c>
      <c r="B106" s="97" t="s">
        <v>23</v>
      </c>
      <c r="C106">
        <v>2026</v>
      </c>
      <c r="D106">
        <v>1</v>
      </c>
      <c r="E106" s="2">
        <v>46027</v>
      </c>
      <c r="F106" s="97" t="s">
        <v>7</v>
      </c>
      <c r="G106" s="97" t="s">
        <v>8</v>
      </c>
      <c r="H106" s="97" t="s">
        <v>70</v>
      </c>
      <c r="I106" s="97" t="s">
        <v>84</v>
      </c>
      <c r="J106" s="97" t="s">
        <v>85</v>
      </c>
      <c r="K106" s="97" t="s">
        <v>73</v>
      </c>
      <c r="L106">
        <v>701000</v>
      </c>
      <c r="M106" s="97" t="s">
        <v>62</v>
      </c>
      <c r="N106" s="97" t="s">
        <v>33</v>
      </c>
      <c r="O106">
        <v>3801</v>
      </c>
      <c r="P106">
        <v>0.95</v>
      </c>
      <c r="Q106">
        <v>3.62</v>
      </c>
      <c r="R106" s="97" t="s">
        <v>1203</v>
      </c>
      <c r="S106" s="97" t="s">
        <v>195</v>
      </c>
    </row>
    <row r="107" spans="1:19" x14ac:dyDescent="0.3">
      <c r="A107" s="97" t="s">
        <v>460</v>
      </c>
      <c r="B107" s="97" t="s">
        <v>23</v>
      </c>
      <c r="C107">
        <v>2026</v>
      </c>
      <c r="D107">
        <v>1</v>
      </c>
      <c r="E107" s="2">
        <v>46027</v>
      </c>
      <c r="F107" s="97" t="s">
        <v>7</v>
      </c>
      <c r="G107" s="97" t="s">
        <v>8</v>
      </c>
      <c r="H107" s="97" t="s">
        <v>74</v>
      </c>
      <c r="I107" s="97" t="s">
        <v>71</v>
      </c>
      <c r="J107" s="97" t="s">
        <v>72</v>
      </c>
      <c r="K107" s="97" t="s">
        <v>73</v>
      </c>
      <c r="L107">
        <v>707000</v>
      </c>
      <c r="M107" s="97" t="s">
        <v>81</v>
      </c>
      <c r="N107" s="97" t="s">
        <v>33</v>
      </c>
      <c r="O107">
        <v>2438</v>
      </c>
      <c r="P107">
        <v>1.05</v>
      </c>
      <c r="Q107">
        <v>2.56</v>
      </c>
      <c r="R107" s="97" t="s">
        <v>1200</v>
      </c>
      <c r="S107" s="97" t="s">
        <v>195</v>
      </c>
    </row>
    <row r="108" spans="1:19" x14ac:dyDescent="0.3">
      <c r="A108" s="97" t="s">
        <v>461</v>
      </c>
      <c r="B108" s="97" t="s">
        <v>23</v>
      </c>
      <c r="C108">
        <v>2026</v>
      </c>
      <c r="D108">
        <v>1</v>
      </c>
      <c r="E108" s="2">
        <v>46027</v>
      </c>
      <c r="F108" s="97" t="s">
        <v>7</v>
      </c>
      <c r="G108" s="97" t="s">
        <v>8</v>
      </c>
      <c r="H108" s="97" t="s">
        <v>74</v>
      </c>
      <c r="I108" s="97" t="s">
        <v>71</v>
      </c>
      <c r="J108" s="97" t="s">
        <v>72</v>
      </c>
      <c r="K108" s="97" t="s">
        <v>73</v>
      </c>
      <c r="L108">
        <v>707000</v>
      </c>
      <c r="M108" s="97" t="s">
        <v>81</v>
      </c>
      <c r="N108" s="97" t="s">
        <v>33</v>
      </c>
      <c r="O108">
        <v>1931</v>
      </c>
      <c r="P108">
        <v>1.05</v>
      </c>
      <c r="Q108">
        <v>2.0299999999999998</v>
      </c>
      <c r="R108" s="97" t="s">
        <v>1201</v>
      </c>
      <c r="S108" s="97" t="s">
        <v>195</v>
      </c>
    </row>
    <row r="109" spans="1:19" x14ac:dyDescent="0.3">
      <c r="A109" s="97" t="s">
        <v>462</v>
      </c>
      <c r="B109" s="97" t="s">
        <v>23</v>
      </c>
      <c r="C109">
        <v>2026</v>
      </c>
      <c r="D109">
        <v>1</v>
      </c>
      <c r="E109" s="2">
        <v>46027</v>
      </c>
      <c r="F109" s="97" t="s">
        <v>7</v>
      </c>
      <c r="G109" s="97" t="s">
        <v>8</v>
      </c>
      <c r="H109" s="97" t="s">
        <v>74</v>
      </c>
      <c r="I109" s="97" t="s">
        <v>71</v>
      </c>
      <c r="J109" s="97" t="s">
        <v>72</v>
      </c>
      <c r="K109" s="97" t="s">
        <v>73</v>
      </c>
      <c r="L109">
        <v>707000</v>
      </c>
      <c r="M109" s="97" t="s">
        <v>81</v>
      </c>
      <c r="N109" s="97" t="s">
        <v>33</v>
      </c>
      <c r="O109">
        <v>2703</v>
      </c>
      <c r="P109">
        <v>1.05</v>
      </c>
      <c r="Q109">
        <v>2.84</v>
      </c>
      <c r="R109" s="97" t="s">
        <v>1202</v>
      </c>
      <c r="S109" s="97" t="s">
        <v>195</v>
      </c>
    </row>
    <row r="110" spans="1:19" x14ac:dyDescent="0.3">
      <c r="A110" s="97" t="s">
        <v>463</v>
      </c>
      <c r="B110" s="97" t="s">
        <v>23</v>
      </c>
      <c r="C110">
        <v>2026</v>
      </c>
      <c r="D110">
        <v>1</v>
      </c>
      <c r="E110" s="2">
        <v>46027</v>
      </c>
      <c r="F110" s="97" t="s">
        <v>7</v>
      </c>
      <c r="G110" s="97" t="s">
        <v>8</v>
      </c>
      <c r="H110" s="97" t="s">
        <v>74</v>
      </c>
      <c r="I110" s="97" t="s">
        <v>71</v>
      </c>
      <c r="J110" s="97" t="s">
        <v>72</v>
      </c>
      <c r="K110" s="97" t="s">
        <v>73</v>
      </c>
      <c r="L110">
        <v>707000</v>
      </c>
      <c r="M110" s="97" t="s">
        <v>81</v>
      </c>
      <c r="N110" s="97" t="s">
        <v>33</v>
      </c>
      <c r="O110">
        <v>1471</v>
      </c>
      <c r="P110">
        <v>1.05</v>
      </c>
      <c r="Q110">
        <v>1.54</v>
      </c>
      <c r="R110" s="97" t="s">
        <v>1205</v>
      </c>
      <c r="S110" s="97" t="s">
        <v>195</v>
      </c>
    </row>
    <row r="111" spans="1:19" x14ac:dyDescent="0.3">
      <c r="A111" s="97" t="s">
        <v>464</v>
      </c>
      <c r="B111" s="97" t="s">
        <v>23</v>
      </c>
      <c r="C111">
        <v>2026</v>
      </c>
      <c r="D111">
        <v>1</v>
      </c>
      <c r="E111" s="2">
        <v>46027</v>
      </c>
      <c r="F111" s="97" t="s">
        <v>7</v>
      </c>
      <c r="G111" s="97" t="s">
        <v>8</v>
      </c>
      <c r="H111" s="97" t="s">
        <v>74</v>
      </c>
      <c r="I111" s="97" t="s">
        <v>71</v>
      </c>
      <c r="J111" s="97" t="s">
        <v>72</v>
      </c>
      <c r="K111" s="97" t="s">
        <v>73</v>
      </c>
      <c r="L111">
        <v>707000</v>
      </c>
      <c r="M111" s="97" t="s">
        <v>81</v>
      </c>
      <c r="N111" s="97" t="s">
        <v>33</v>
      </c>
      <c r="O111">
        <v>1005</v>
      </c>
      <c r="P111">
        <v>1.04</v>
      </c>
      <c r="Q111">
        <v>1.05</v>
      </c>
      <c r="R111" s="97" t="s">
        <v>1203</v>
      </c>
      <c r="S111" s="97" t="s">
        <v>195</v>
      </c>
    </row>
    <row r="112" spans="1:19" x14ac:dyDescent="0.3">
      <c r="A112" s="97" t="s">
        <v>570</v>
      </c>
      <c r="B112" s="97" t="s">
        <v>23</v>
      </c>
      <c r="C112">
        <v>2026</v>
      </c>
      <c r="D112">
        <v>1</v>
      </c>
      <c r="E112" s="2">
        <v>46027</v>
      </c>
      <c r="F112" s="97" t="s">
        <v>7</v>
      </c>
      <c r="G112" s="97" t="s">
        <v>8</v>
      </c>
      <c r="H112" s="97" t="s">
        <v>74</v>
      </c>
      <c r="I112" s="97" t="s">
        <v>75</v>
      </c>
      <c r="J112" s="97" t="s">
        <v>76</v>
      </c>
      <c r="K112" s="97" t="s">
        <v>73</v>
      </c>
      <c r="L112">
        <v>701000</v>
      </c>
      <c r="M112" s="97" t="s">
        <v>62</v>
      </c>
      <c r="N112" s="97" t="s">
        <v>33</v>
      </c>
      <c r="O112">
        <v>352</v>
      </c>
      <c r="P112">
        <v>1.39</v>
      </c>
      <c r="Q112">
        <v>0.49</v>
      </c>
      <c r="R112" s="97" t="s">
        <v>1198</v>
      </c>
      <c r="S112" s="97" t="s">
        <v>195</v>
      </c>
    </row>
    <row r="113" spans="1:19" x14ac:dyDescent="0.3">
      <c r="A113" s="97" t="s">
        <v>571</v>
      </c>
      <c r="B113" s="97" t="s">
        <v>23</v>
      </c>
      <c r="C113">
        <v>2026</v>
      </c>
      <c r="D113">
        <v>1</v>
      </c>
      <c r="E113" s="2">
        <v>46027</v>
      </c>
      <c r="F113" s="97" t="s">
        <v>7</v>
      </c>
      <c r="G113" s="97" t="s">
        <v>8</v>
      </c>
      <c r="H113" s="97" t="s">
        <v>74</v>
      </c>
      <c r="I113" s="97" t="s">
        <v>75</v>
      </c>
      <c r="J113" s="97" t="s">
        <v>76</v>
      </c>
      <c r="K113" s="97" t="s">
        <v>73</v>
      </c>
      <c r="L113">
        <v>701000</v>
      </c>
      <c r="M113" s="97" t="s">
        <v>62</v>
      </c>
      <c r="N113" s="97" t="s">
        <v>33</v>
      </c>
      <c r="O113">
        <v>556</v>
      </c>
      <c r="P113">
        <v>1.4</v>
      </c>
      <c r="Q113">
        <v>0.78</v>
      </c>
      <c r="R113" s="97" t="s">
        <v>1203</v>
      </c>
      <c r="S113" s="97" t="s">
        <v>195</v>
      </c>
    </row>
    <row r="114" spans="1:19" x14ac:dyDescent="0.3">
      <c r="A114" s="97" t="s">
        <v>572</v>
      </c>
      <c r="B114" s="97" t="s">
        <v>23</v>
      </c>
      <c r="C114">
        <v>2026</v>
      </c>
      <c r="D114">
        <v>1</v>
      </c>
      <c r="E114" s="2">
        <v>46027</v>
      </c>
      <c r="F114" s="97" t="s">
        <v>7</v>
      </c>
      <c r="G114" s="97" t="s">
        <v>8</v>
      </c>
      <c r="H114" s="97" t="s">
        <v>74</v>
      </c>
      <c r="I114" s="97" t="s">
        <v>75</v>
      </c>
      <c r="J114" s="97" t="s">
        <v>76</v>
      </c>
      <c r="K114" s="97" t="s">
        <v>73</v>
      </c>
      <c r="L114">
        <v>701000</v>
      </c>
      <c r="M114" s="97" t="s">
        <v>62</v>
      </c>
      <c r="N114" s="97" t="s">
        <v>33</v>
      </c>
      <c r="O114">
        <v>1735</v>
      </c>
      <c r="P114">
        <v>1.4</v>
      </c>
      <c r="Q114">
        <v>2.4300000000000002</v>
      </c>
      <c r="R114" s="97" t="s">
        <v>1199</v>
      </c>
      <c r="S114" s="97" t="s">
        <v>195</v>
      </c>
    </row>
    <row r="115" spans="1:19" x14ac:dyDescent="0.3">
      <c r="A115" s="97" t="s">
        <v>573</v>
      </c>
      <c r="B115" s="97" t="s">
        <v>23</v>
      </c>
      <c r="C115">
        <v>2026</v>
      </c>
      <c r="D115">
        <v>1</v>
      </c>
      <c r="E115" s="2">
        <v>46027</v>
      </c>
      <c r="F115" s="97" t="s">
        <v>7</v>
      </c>
      <c r="G115" s="97" t="s">
        <v>8</v>
      </c>
      <c r="H115" s="97" t="s">
        <v>74</v>
      </c>
      <c r="I115" s="97" t="s">
        <v>75</v>
      </c>
      <c r="J115" s="97" t="s">
        <v>76</v>
      </c>
      <c r="K115" s="97" t="s">
        <v>73</v>
      </c>
      <c r="L115">
        <v>701000</v>
      </c>
      <c r="M115" s="97" t="s">
        <v>62</v>
      </c>
      <c r="N115" s="97" t="s">
        <v>33</v>
      </c>
      <c r="O115">
        <v>2647</v>
      </c>
      <c r="P115">
        <v>1.4</v>
      </c>
      <c r="Q115">
        <v>3.71</v>
      </c>
      <c r="R115" s="97" t="s">
        <v>1202</v>
      </c>
      <c r="S115" s="97" t="s">
        <v>195</v>
      </c>
    </row>
    <row r="116" spans="1:19" x14ac:dyDescent="0.3">
      <c r="A116" s="97" t="s">
        <v>574</v>
      </c>
      <c r="B116" s="97" t="s">
        <v>23</v>
      </c>
      <c r="C116">
        <v>2026</v>
      </c>
      <c r="D116">
        <v>1</v>
      </c>
      <c r="E116" s="2">
        <v>46027</v>
      </c>
      <c r="F116" s="97" t="s">
        <v>7</v>
      </c>
      <c r="G116" s="97" t="s">
        <v>8</v>
      </c>
      <c r="H116" s="97" t="s">
        <v>74</v>
      </c>
      <c r="I116" s="97" t="s">
        <v>75</v>
      </c>
      <c r="J116" s="97" t="s">
        <v>76</v>
      </c>
      <c r="K116" s="97" t="s">
        <v>73</v>
      </c>
      <c r="L116">
        <v>701000</v>
      </c>
      <c r="M116" s="97" t="s">
        <v>62</v>
      </c>
      <c r="N116" s="97" t="s">
        <v>33</v>
      </c>
      <c r="O116">
        <v>751</v>
      </c>
      <c r="P116">
        <v>1.4</v>
      </c>
      <c r="Q116">
        <v>1.05</v>
      </c>
      <c r="R116" s="97" t="s">
        <v>1204</v>
      </c>
      <c r="S116" s="97" t="s">
        <v>195</v>
      </c>
    </row>
    <row r="117" spans="1:19" x14ac:dyDescent="0.3">
      <c r="A117" s="97" t="s">
        <v>595</v>
      </c>
      <c r="B117" s="97" t="s">
        <v>23</v>
      </c>
      <c r="C117">
        <v>2026</v>
      </c>
      <c r="D117">
        <v>1</v>
      </c>
      <c r="E117" s="2">
        <v>46027</v>
      </c>
      <c r="F117" s="97" t="s">
        <v>7</v>
      </c>
      <c r="G117" s="97" t="s">
        <v>8</v>
      </c>
      <c r="H117" s="97" t="s">
        <v>74</v>
      </c>
      <c r="I117" s="97" t="s">
        <v>75</v>
      </c>
      <c r="J117" s="97" t="s">
        <v>76</v>
      </c>
      <c r="K117" s="97" t="s">
        <v>73</v>
      </c>
      <c r="L117">
        <v>701000</v>
      </c>
      <c r="M117" s="97" t="s">
        <v>62</v>
      </c>
      <c r="N117" s="97" t="s">
        <v>33</v>
      </c>
      <c r="O117">
        <v>1505</v>
      </c>
      <c r="P117">
        <v>1.4</v>
      </c>
      <c r="Q117">
        <v>2.11</v>
      </c>
      <c r="R117" s="97" t="s">
        <v>1202</v>
      </c>
      <c r="S117" s="97" t="s">
        <v>195</v>
      </c>
    </row>
    <row r="118" spans="1:19" x14ac:dyDescent="0.3">
      <c r="A118" s="97" t="s">
        <v>596</v>
      </c>
      <c r="B118" s="97" t="s">
        <v>23</v>
      </c>
      <c r="C118">
        <v>2026</v>
      </c>
      <c r="D118">
        <v>1</v>
      </c>
      <c r="E118" s="2">
        <v>46027</v>
      </c>
      <c r="F118" s="97" t="s">
        <v>7</v>
      </c>
      <c r="G118" s="97" t="s">
        <v>8</v>
      </c>
      <c r="H118" s="97" t="s">
        <v>74</v>
      </c>
      <c r="I118" s="97" t="s">
        <v>75</v>
      </c>
      <c r="J118" s="97" t="s">
        <v>76</v>
      </c>
      <c r="K118" s="97" t="s">
        <v>73</v>
      </c>
      <c r="L118">
        <v>701000</v>
      </c>
      <c r="M118" s="97" t="s">
        <v>62</v>
      </c>
      <c r="N118" s="97" t="s">
        <v>33</v>
      </c>
      <c r="O118">
        <v>2502</v>
      </c>
      <c r="P118">
        <v>1.4</v>
      </c>
      <c r="Q118">
        <v>3.5</v>
      </c>
      <c r="R118" s="97" t="s">
        <v>1199</v>
      </c>
      <c r="S118" s="97" t="s">
        <v>195</v>
      </c>
    </row>
    <row r="119" spans="1:19" x14ac:dyDescent="0.3">
      <c r="A119" s="97" t="s">
        <v>597</v>
      </c>
      <c r="B119" s="97" t="s">
        <v>23</v>
      </c>
      <c r="C119">
        <v>2026</v>
      </c>
      <c r="D119">
        <v>1</v>
      </c>
      <c r="E119" s="2">
        <v>46027</v>
      </c>
      <c r="F119" s="97" t="s">
        <v>7</v>
      </c>
      <c r="G119" s="97" t="s">
        <v>8</v>
      </c>
      <c r="H119" s="97" t="s">
        <v>74</v>
      </c>
      <c r="I119" s="97" t="s">
        <v>75</v>
      </c>
      <c r="J119" s="97" t="s">
        <v>76</v>
      </c>
      <c r="K119" s="97" t="s">
        <v>73</v>
      </c>
      <c r="L119">
        <v>701000</v>
      </c>
      <c r="M119" s="97" t="s">
        <v>62</v>
      </c>
      <c r="N119" s="97" t="s">
        <v>33</v>
      </c>
      <c r="O119">
        <v>883</v>
      </c>
      <c r="P119">
        <v>1.4</v>
      </c>
      <c r="Q119">
        <v>1.24</v>
      </c>
      <c r="R119" s="97" t="s">
        <v>1198</v>
      </c>
      <c r="S119" s="97" t="s">
        <v>195</v>
      </c>
    </row>
    <row r="120" spans="1:19" x14ac:dyDescent="0.3">
      <c r="A120" s="97" t="s">
        <v>598</v>
      </c>
      <c r="B120" s="97" t="s">
        <v>23</v>
      </c>
      <c r="C120">
        <v>2026</v>
      </c>
      <c r="D120">
        <v>1</v>
      </c>
      <c r="E120" s="2">
        <v>46027</v>
      </c>
      <c r="F120" s="97" t="s">
        <v>7</v>
      </c>
      <c r="G120" s="97" t="s">
        <v>8</v>
      </c>
      <c r="H120" s="97" t="s">
        <v>74</v>
      </c>
      <c r="I120" s="97" t="s">
        <v>75</v>
      </c>
      <c r="J120" s="97" t="s">
        <v>76</v>
      </c>
      <c r="K120" s="97" t="s">
        <v>73</v>
      </c>
      <c r="L120">
        <v>701000</v>
      </c>
      <c r="M120" s="97" t="s">
        <v>62</v>
      </c>
      <c r="N120" s="97" t="s">
        <v>33</v>
      </c>
      <c r="O120">
        <v>772</v>
      </c>
      <c r="P120">
        <v>1.4</v>
      </c>
      <c r="Q120">
        <v>1.08</v>
      </c>
      <c r="R120" s="97" t="s">
        <v>1200</v>
      </c>
      <c r="S120" s="97" t="s">
        <v>195</v>
      </c>
    </row>
    <row r="121" spans="1:19" x14ac:dyDescent="0.3">
      <c r="A121" s="97" t="s">
        <v>599</v>
      </c>
      <c r="B121" s="97" t="s">
        <v>23</v>
      </c>
      <c r="C121">
        <v>2026</v>
      </c>
      <c r="D121">
        <v>1</v>
      </c>
      <c r="E121" s="2">
        <v>46027</v>
      </c>
      <c r="F121" s="97" t="s">
        <v>7</v>
      </c>
      <c r="G121" s="97" t="s">
        <v>8</v>
      </c>
      <c r="H121" s="97" t="s">
        <v>74</v>
      </c>
      <c r="I121" s="97" t="s">
        <v>75</v>
      </c>
      <c r="J121" s="97" t="s">
        <v>76</v>
      </c>
      <c r="K121" s="97" t="s">
        <v>73</v>
      </c>
      <c r="L121">
        <v>701000</v>
      </c>
      <c r="M121" s="97" t="s">
        <v>62</v>
      </c>
      <c r="N121" s="97" t="s">
        <v>33</v>
      </c>
      <c r="O121">
        <v>1612</v>
      </c>
      <c r="P121">
        <v>1.4</v>
      </c>
      <c r="Q121">
        <v>2.25</v>
      </c>
      <c r="R121" s="97" t="s">
        <v>1205</v>
      </c>
      <c r="S121" s="97" t="s">
        <v>195</v>
      </c>
    </row>
    <row r="122" spans="1:19" x14ac:dyDescent="0.3">
      <c r="A122" s="97" t="s">
        <v>605</v>
      </c>
      <c r="B122" s="97" t="s">
        <v>23</v>
      </c>
      <c r="C122">
        <v>2026</v>
      </c>
      <c r="D122">
        <v>1</v>
      </c>
      <c r="E122" s="2">
        <v>46027</v>
      </c>
      <c r="F122" s="97" t="s">
        <v>7</v>
      </c>
      <c r="G122" s="97" t="s">
        <v>8</v>
      </c>
      <c r="H122" s="97" t="s">
        <v>70</v>
      </c>
      <c r="I122" s="97" t="s">
        <v>75</v>
      </c>
      <c r="J122" s="97" t="s">
        <v>76</v>
      </c>
      <c r="K122" s="97" t="s">
        <v>73</v>
      </c>
      <c r="L122">
        <v>701000</v>
      </c>
      <c r="M122" s="97" t="s">
        <v>62</v>
      </c>
      <c r="N122" s="97" t="s">
        <v>33</v>
      </c>
      <c r="O122">
        <v>1988</v>
      </c>
      <c r="P122">
        <v>1.4</v>
      </c>
      <c r="Q122">
        <v>2.78</v>
      </c>
      <c r="R122" s="97" t="s">
        <v>1204</v>
      </c>
      <c r="S122" s="97" t="s">
        <v>195</v>
      </c>
    </row>
    <row r="123" spans="1:19" x14ac:dyDescent="0.3">
      <c r="A123" s="97" t="s">
        <v>606</v>
      </c>
      <c r="B123" s="97" t="s">
        <v>23</v>
      </c>
      <c r="C123">
        <v>2026</v>
      </c>
      <c r="D123">
        <v>1</v>
      </c>
      <c r="E123" s="2">
        <v>46027</v>
      </c>
      <c r="F123" s="97" t="s">
        <v>7</v>
      </c>
      <c r="G123" s="97" t="s">
        <v>8</v>
      </c>
      <c r="H123" s="97" t="s">
        <v>70</v>
      </c>
      <c r="I123" s="97" t="s">
        <v>75</v>
      </c>
      <c r="J123" s="97" t="s">
        <v>76</v>
      </c>
      <c r="K123" s="97" t="s">
        <v>73</v>
      </c>
      <c r="L123">
        <v>701000</v>
      </c>
      <c r="M123" s="97" t="s">
        <v>62</v>
      </c>
      <c r="N123" s="97" t="s">
        <v>33</v>
      </c>
      <c r="O123">
        <v>1089</v>
      </c>
      <c r="P123">
        <v>1.4</v>
      </c>
      <c r="Q123">
        <v>1.52</v>
      </c>
      <c r="R123" s="97" t="s">
        <v>1197</v>
      </c>
      <c r="S123" s="97" t="s">
        <v>195</v>
      </c>
    </row>
    <row r="124" spans="1:19" x14ac:dyDescent="0.3">
      <c r="A124" s="97" t="s">
        <v>607</v>
      </c>
      <c r="B124" s="97" t="s">
        <v>23</v>
      </c>
      <c r="C124">
        <v>2026</v>
      </c>
      <c r="D124">
        <v>1</v>
      </c>
      <c r="E124" s="2">
        <v>46027</v>
      </c>
      <c r="F124" s="97" t="s">
        <v>7</v>
      </c>
      <c r="G124" s="97" t="s">
        <v>8</v>
      </c>
      <c r="H124" s="97" t="s">
        <v>70</v>
      </c>
      <c r="I124" s="97" t="s">
        <v>75</v>
      </c>
      <c r="J124" s="97" t="s">
        <v>76</v>
      </c>
      <c r="K124" s="97" t="s">
        <v>73</v>
      </c>
      <c r="L124">
        <v>701000</v>
      </c>
      <c r="M124" s="97" t="s">
        <v>62</v>
      </c>
      <c r="N124" s="97" t="s">
        <v>33</v>
      </c>
      <c r="O124">
        <v>1250</v>
      </c>
      <c r="P124">
        <v>1.4</v>
      </c>
      <c r="Q124">
        <v>1.75</v>
      </c>
      <c r="R124" s="97" t="s">
        <v>1205</v>
      </c>
      <c r="S124" s="97" t="s">
        <v>195</v>
      </c>
    </row>
    <row r="125" spans="1:19" x14ac:dyDescent="0.3">
      <c r="A125" s="97" t="s">
        <v>608</v>
      </c>
      <c r="B125" s="97" t="s">
        <v>23</v>
      </c>
      <c r="C125">
        <v>2026</v>
      </c>
      <c r="D125">
        <v>1</v>
      </c>
      <c r="E125" s="2">
        <v>46027</v>
      </c>
      <c r="F125" s="97" t="s">
        <v>7</v>
      </c>
      <c r="G125" s="97" t="s">
        <v>8</v>
      </c>
      <c r="H125" s="97" t="s">
        <v>70</v>
      </c>
      <c r="I125" s="97" t="s">
        <v>75</v>
      </c>
      <c r="J125" s="97" t="s">
        <v>76</v>
      </c>
      <c r="K125" s="97" t="s">
        <v>73</v>
      </c>
      <c r="L125">
        <v>701000</v>
      </c>
      <c r="M125" s="97" t="s">
        <v>62</v>
      </c>
      <c r="N125" s="97" t="s">
        <v>33</v>
      </c>
      <c r="O125">
        <v>530</v>
      </c>
      <c r="P125">
        <v>1.4</v>
      </c>
      <c r="Q125">
        <v>0.74</v>
      </c>
      <c r="R125" s="97" t="s">
        <v>1200</v>
      </c>
      <c r="S125" s="97" t="s">
        <v>195</v>
      </c>
    </row>
    <row r="126" spans="1:19" x14ac:dyDescent="0.3">
      <c r="A126" s="97" t="s">
        <v>609</v>
      </c>
      <c r="B126" s="97" t="s">
        <v>23</v>
      </c>
      <c r="C126">
        <v>2026</v>
      </c>
      <c r="D126">
        <v>1</v>
      </c>
      <c r="E126" s="2">
        <v>46027</v>
      </c>
      <c r="F126" s="97" t="s">
        <v>7</v>
      </c>
      <c r="G126" s="97" t="s">
        <v>8</v>
      </c>
      <c r="H126" s="97" t="s">
        <v>70</v>
      </c>
      <c r="I126" s="97" t="s">
        <v>75</v>
      </c>
      <c r="J126" s="97" t="s">
        <v>76</v>
      </c>
      <c r="K126" s="97" t="s">
        <v>73</v>
      </c>
      <c r="L126">
        <v>701000</v>
      </c>
      <c r="M126" s="97" t="s">
        <v>62</v>
      </c>
      <c r="N126" s="97" t="s">
        <v>33</v>
      </c>
      <c r="O126">
        <v>1026</v>
      </c>
      <c r="P126">
        <v>1.41</v>
      </c>
      <c r="Q126">
        <v>1.45</v>
      </c>
      <c r="R126" s="97" t="s">
        <v>1198</v>
      </c>
      <c r="S126" s="97" t="s">
        <v>195</v>
      </c>
    </row>
    <row r="127" spans="1:19" x14ac:dyDescent="0.3">
      <c r="A127" s="97" t="s">
        <v>870</v>
      </c>
      <c r="B127" s="97" t="s">
        <v>23</v>
      </c>
      <c r="C127">
        <v>2026</v>
      </c>
      <c r="D127">
        <v>1</v>
      </c>
      <c r="E127" s="2">
        <v>46027</v>
      </c>
      <c r="F127" s="97" t="s">
        <v>7</v>
      </c>
      <c r="G127" s="97" t="s">
        <v>8</v>
      </c>
      <c r="H127" s="97" t="s">
        <v>70</v>
      </c>
      <c r="I127" s="97" t="s">
        <v>79</v>
      </c>
      <c r="J127" s="97" t="s">
        <v>80</v>
      </c>
      <c r="K127" s="97" t="s">
        <v>73</v>
      </c>
      <c r="L127">
        <v>701000</v>
      </c>
      <c r="M127" s="97" t="s">
        <v>62</v>
      </c>
      <c r="N127" s="97" t="s">
        <v>33</v>
      </c>
      <c r="O127">
        <v>1144</v>
      </c>
      <c r="P127">
        <v>2.6</v>
      </c>
      <c r="Q127">
        <v>2.98</v>
      </c>
      <c r="R127" s="97" t="s">
        <v>1205</v>
      </c>
      <c r="S127" s="97" t="s">
        <v>195</v>
      </c>
    </row>
    <row r="128" spans="1:19" x14ac:dyDescent="0.3">
      <c r="A128" s="97" t="s">
        <v>871</v>
      </c>
      <c r="B128" s="97" t="s">
        <v>23</v>
      </c>
      <c r="C128">
        <v>2026</v>
      </c>
      <c r="D128">
        <v>1</v>
      </c>
      <c r="E128" s="2">
        <v>46027</v>
      </c>
      <c r="F128" s="97" t="s">
        <v>7</v>
      </c>
      <c r="G128" s="97" t="s">
        <v>8</v>
      </c>
      <c r="H128" s="97" t="s">
        <v>70</v>
      </c>
      <c r="I128" s="97" t="s">
        <v>79</v>
      </c>
      <c r="J128" s="97" t="s">
        <v>80</v>
      </c>
      <c r="K128" s="97" t="s">
        <v>73</v>
      </c>
      <c r="L128">
        <v>701000</v>
      </c>
      <c r="M128" s="97" t="s">
        <v>62</v>
      </c>
      <c r="N128" s="97" t="s">
        <v>33</v>
      </c>
      <c r="O128">
        <v>321</v>
      </c>
      <c r="P128">
        <v>2.59</v>
      </c>
      <c r="Q128">
        <v>0.83</v>
      </c>
      <c r="R128" s="97" t="s">
        <v>1202</v>
      </c>
      <c r="S128" s="97" t="s">
        <v>195</v>
      </c>
    </row>
    <row r="129" spans="1:19" x14ac:dyDescent="0.3">
      <c r="A129" s="97" t="s">
        <v>872</v>
      </c>
      <c r="B129" s="97" t="s">
        <v>23</v>
      </c>
      <c r="C129">
        <v>2026</v>
      </c>
      <c r="D129">
        <v>1</v>
      </c>
      <c r="E129" s="2">
        <v>46027</v>
      </c>
      <c r="F129" s="97" t="s">
        <v>7</v>
      </c>
      <c r="G129" s="97" t="s">
        <v>8</v>
      </c>
      <c r="H129" s="97" t="s">
        <v>70</v>
      </c>
      <c r="I129" s="97" t="s">
        <v>79</v>
      </c>
      <c r="J129" s="97" t="s">
        <v>80</v>
      </c>
      <c r="K129" s="97" t="s">
        <v>73</v>
      </c>
      <c r="L129">
        <v>701000</v>
      </c>
      <c r="M129" s="97" t="s">
        <v>62</v>
      </c>
      <c r="N129" s="97" t="s">
        <v>33</v>
      </c>
      <c r="O129">
        <v>1583</v>
      </c>
      <c r="P129">
        <v>2.6</v>
      </c>
      <c r="Q129">
        <v>4.12</v>
      </c>
      <c r="R129" s="97" t="s">
        <v>1203</v>
      </c>
      <c r="S129" s="97" t="s">
        <v>195</v>
      </c>
    </row>
    <row r="130" spans="1:19" x14ac:dyDescent="0.3">
      <c r="A130" s="97" t="s">
        <v>873</v>
      </c>
      <c r="B130" s="97" t="s">
        <v>23</v>
      </c>
      <c r="C130">
        <v>2026</v>
      </c>
      <c r="D130">
        <v>1</v>
      </c>
      <c r="E130" s="2">
        <v>46027</v>
      </c>
      <c r="F130" s="97" t="s">
        <v>7</v>
      </c>
      <c r="G130" s="97" t="s">
        <v>8</v>
      </c>
      <c r="H130" s="97" t="s">
        <v>70</v>
      </c>
      <c r="I130" s="97" t="s">
        <v>79</v>
      </c>
      <c r="J130" s="97" t="s">
        <v>80</v>
      </c>
      <c r="K130" s="97" t="s">
        <v>73</v>
      </c>
      <c r="L130">
        <v>701000</v>
      </c>
      <c r="M130" s="97" t="s">
        <v>62</v>
      </c>
      <c r="N130" s="97" t="s">
        <v>33</v>
      </c>
      <c r="O130">
        <v>3465</v>
      </c>
      <c r="P130">
        <v>2.6</v>
      </c>
      <c r="Q130">
        <v>9.01</v>
      </c>
      <c r="R130" s="97" t="s">
        <v>1200</v>
      </c>
      <c r="S130" s="97" t="s">
        <v>195</v>
      </c>
    </row>
    <row r="131" spans="1:19" x14ac:dyDescent="0.3">
      <c r="A131" s="97" t="s">
        <v>874</v>
      </c>
      <c r="B131" s="97" t="s">
        <v>23</v>
      </c>
      <c r="C131">
        <v>2026</v>
      </c>
      <c r="D131">
        <v>1</v>
      </c>
      <c r="E131" s="2">
        <v>46027</v>
      </c>
      <c r="F131" s="97" t="s">
        <v>7</v>
      </c>
      <c r="G131" s="97" t="s">
        <v>8</v>
      </c>
      <c r="H131" s="97" t="s">
        <v>70</v>
      </c>
      <c r="I131" s="97" t="s">
        <v>79</v>
      </c>
      <c r="J131" s="97" t="s">
        <v>80</v>
      </c>
      <c r="K131" s="97" t="s">
        <v>73</v>
      </c>
      <c r="L131">
        <v>701000</v>
      </c>
      <c r="M131" s="97" t="s">
        <v>62</v>
      </c>
      <c r="N131" s="97" t="s">
        <v>33</v>
      </c>
      <c r="O131">
        <v>1055</v>
      </c>
      <c r="P131">
        <v>2.6</v>
      </c>
      <c r="Q131">
        <v>2.74</v>
      </c>
      <c r="R131" s="97" t="s">
        <v>1204</v>
      </c>
      <c r="S131" s="97" t="s">
        <v>195</v>
      </c>
    </row>
    <row r="132" spans="1:19" x14ac:dyDescent="0.3">
      <c r="A132" s="97" t="s">
        <v>910</v>
      </c>
      <c r="B132" s="97" t="s">
        <v>23</v>
      </c>
      <c r="C132">
        <v>2026</v>
      </c>
      <c r="D132">
        <v>1</v>
      </c>
      <c r="E132" s="2">
        <v>46027</v>
      </c>
      <c r="F132" s="97" t="s">
        <v>7</v>
      </c>
      <c r="G132" s="97" t="s">
        <v>8</v>
      </c>
      <c r="H132" s="97" t="s">
        <v>70</v>
      </c>
      <c r="I132" s="97" t="s">
        <v>82</v>
      </c>
      <c r="J132" s="97" t="s">
        <v>83</v>
      </c>
      <c r="K132" s="97" t="s">
        <v>73</v>
      </c>
      <c r="L132">
        <v>701000</v>
      </c>
      <c r="M132" s="97" t="s">
        <v>62</v>
      </c>
      <c r="N132" s="97" t="s">
        <v>33</v>
      </c>
      <c r="O132">
        <v>215</v>
      </c>
      <c r="P132">
        <v>18.510000000000002</v>
      </c>
      <c r="Q132">
        <v>3.98</v>
      </c>
      <c r="R132" s="97" t="s">
        <v>1199</v>
      </c>
      <c r="S132" s="97" t="s">
        <v>195</v>
      </c>
    </row>
    <row r="133" spans="1:19" x14ac:dyDescent="0.3">
      <c r="A133" s="97" t="s">
        <v>911</v>
      </c>
      <c r="B133" s="97" t="s">
        <v>23</v>
      </c>
      <c r="C133">
        <v>2026</v>
      </c>
      <c r="D133">
        <v>1</v>
      </c>
      <c r="E133" s="2">
        <v>46027</v>
      </c>
      <c r="F133" s="97" t="s">
        <v>7</v>
      </c>
      <c r="G133" s="97" t="s">
        <v>8</v>
      </c>
      <c r="H133" s="97" t="s">
        <v>70</v>
      </c>
      <c r="I133" s="97" t="s">
        <v>82</v>
      </c>
      <c r="J133" s="97" t="s">
        <v>83</v>
      </c>
      <c r="K133" s="97" t="s">
        <v>73</v>
      </c>
      <c r="L133">
        <v>701000</v>
      </c>
      <c r="M133" s="97" t="s">
        <v>62</v>
      </c>
      <c r="N133" s="97" t="s">
        <v>33</v>
      </c>
      <c r="O133">
        <v>154</v>
      </c>
      <c r="P133">
        <v>18.510000000000002</v>
      </c>
      <c r="Q133">
        <v>2.85</v>
      </c>
      <c r="R133" s="97" t="s">
        <v>1201</v>
      </c>
      <c r="S133" s="97" t="s">
        <v>195</v>
      </c>
    </row>
    <row r="134" spans="1:19" x14ac:dyDescent="0.3">
      <c r="A134" s="97" t="s">
        <v>912</v>
      </c>
      <c r="B134" s="97" t="s">
        <v>23</v>
      </c>
      <c r="C134">
        <v>2026</v>
      </c>
      <c r="D134">
        <v>1</v>
      </c>
      <c r="E134" s="2">
        <v>46027</v>
      </c>
      <c r="F134" s="97" t="s">
        <v>7</v>
      </c>
      <c r="G134" s="97" t="s">
        <v>8</v>
      </c>
      <c r="H134" s="97" t="s">
        <v>70</v>
      </c>
      <c r="I134" s="97" t="s">
        <v>82</v>
      </c>
      <c r="J134" s="97" t="s">
        <v>83</v>
      </c>
      <c r="K134" s="97" t="s">
        <v>73</v>
      </c>
      <c r="L134">
        <v>701000</v>
      </c>
      <c r="M134" s="97" t="s">
        <v>62</v>
      </c>
      <c r="N134" s="97" t="s">
        <v>33</v>
      </c>
      <c r="O134">
        <v>118</v>
      </c>
      <c r="P134">
        <v>18.559999999999999</v>
      </c>
      <c r="Q134">
        <v>2.19</v>
      </c>
      <c r="R134" s="97" t="s">
        <v>1203</v>
      </c>
      <c r="S134" s="97" t="s">
        <v>195</v>
      </c>
    </row>
    <row r="135" spans="1:19" x14ac:dyDescent="0.3">
      <c r="A135" s="97" t="s">
        <v>913</v>
      </c>
      <c r="B135" s="97" t="s">
        <v>23</v>
      </c>
      <c r="C135">
        <v>2026</v>
      </c>
      <c r="D135">
        <v>1</v>
      </c>
      <c r="E135" s="2">
        <v>46027</v>
      </c>
      <c r="F135" s="97" t="s">
        <v>7</v>
      </c>
      <c r="G135" s="97" t="s">
        <v>8</v>
      </c>
      <c r="H135" s="97" t="s">
        <v>70</v>
      </c>
      <c r="I135" s="97" t="s">
        <v>82</v>
      </c>
      <c r="J135" s="97" t="s">
        <v>83</v>
      </c>
      <c r="K135" s="97" t="s">
        <v>73</v>
      </c>
      <c r="L135">
        <v>701000</v>
      </c>
      <c r="M135" s="97" t="s">
        <v>62</v>
      </c>
      <c r="N135" s="97" t="s">
        <v>33</v>
      </c>
      <c r="O135">
        <v>195</v>
      </c>
      <c r="P135">
        <v>18.46</v>
      </c>
      <c r="Q135">
        <v>3.6</v>
      </c>
      <c r="R135" s="97" t="s">
        <v>1200</v>
      </c>
      <c r="S135" s="97" t="s">
        <v>195</v>
      </c>
    </row>
    <row r="136" spans="1:19" x14ac:dyDescent="0.3">
      <c r="A136" s="97" t="s">
        <v>914</v>
      </c>
      <c r="B136" s="97" t="s">
        <v>23</v>
      </c>
      <c r="C136">
        <v>2026</v>
      </c>
      <c r="D136">
        <v>1</v>
      </c>
      <c r="E136" s="2">
        <v>46027</v>
      </c>
      <c r="F136" s="97" t="s">
        <v>7</v>
      </c>
      <c r="G136" s="97" t="s">
        <v>8</v>
      </c>
      <c r="H136" s="97" t="s">
        <v>70</v>
      </c>
      <c r="I136" s="97" t="s">
        <v>82</v>
      </c>
      <c r="J136" s="97" t="s">
        <v>83</v>
      </c>
      <c r="K136" s="97" t="s">
        <v>73</v>
      </c>
      <c r="L136">
        <v>701000</v>
      </c>
      <c r="M136" s="97" t="s">
        <v>62</v>
      </c>
      <c r="N136" s="97" t="s">
        <v>33</v>
      </c>
      <c r="O136">
        <v>70</v>
      </c>
      <c r="P136">
        <v>18.43</v>
      </c>
      <c r="Q136">
        <v>1.29</v>
      </c>
      <c r="R136" s="97" t="s">
        <v>1198</v>
      </c>
      <c r="S136" s="97" t="s">
        <v>195</v>
      </c>
    </row>
    <row r="137" spans="1:19" x14ac:dyDescent="0.3">
      <c r="A137" s="97" t="s">
        <v>925</v>
      </c>
      <c r="B137" s="97" t="s">
        <v>23</v>
      </c>
      <c r="C137">
        <v>2026</v>
      </c>
      <c r="D137">
        <v>1</v>
      </c>
      <c r="E137" s="2">
        <v>46027</v>
      </c>
      <c r="F137" s="97" t="s">
        <v>7</v>
      </c>
      <c r="G137" s="97" t="s">
        <v>8</v>
      </c>
      <c r="H137" s="97" t="s">
        <v>74</v>
      </c>
      <c r="I137" s="97" t="s">
        <v>82</v>
      </c>
      <c r="J137" s="97" t="s">
        <v>83</v>
      </c>
      <c r="K137" s="97" t="s">
        <v>73</v>
      </c>
      <c r="L137">
        <v>701000</v>
      </c>
      <c r="M137" s="97" t="s">
        <v>62</v>
      </c>
      <c r="N137" s="97" t="s">
        <v>33</v>
      </c>
      <c r="O137">
        <v>78</v>
      </c>
      <c r="P137">
        <v>18.46</v>
      </c>
      <c r="Q137">
        <v>1.44</v>
      </c>
      <c r="R137" s="97" t="s">
        <v>1202</v>
      </c>
      <c r="S137" s="97" t="s">
        <v>195</v>
      </c>
    </row>
    <row r="138" spans="1:19" x14ac:dyDescent="0.3">
      <c r="A138" s="97" t="s">
        <v>926</v>
      </c>
      <c r="B138" s="97" t="s">
        <v>23</v>
      </c>
      <c r="C138">
        <v>2026</v>
      </c>
      <c r="D138">
        <v>1</v>
      </c>
      <c r="E138" s="2">
        <v>46027</v>
      </c>
      <c r="F138" s="97" t="s">
        <v>7</v>
      </c>
      <c r="G138" s="97" t="s">
        <v>8</v>
      </c>
      <c r="H138" s="97" t="s">
        <v>74</v>
      </c>
      <c r="I138" s="97" t="s">
        <v>82</v>
      </c>
      <c r="J138" s="97" t="s">
        <v>83</v>
      </c>
      <c r="K138" s="97" t="s">
        <v>73</v>
      </c>
      <c r="L138">
        <v>701000</v>
      </c>
      <c r="M138" s="97" t="s">
        <v>62</v>
      </c>
      <c r="N138" s="97" t="s">
        <v>33</v>
      </c>
      <c r="O138">
        <v>197</v>
      </c>
      <c r="P138">
        <v>18.48</v>
      </c>
      <c r="Q138">
        <v>3.64</v>
      </c>
      <c r="R138" s="97" t="s">
        <v>1197</v>
      </c>
      <c r="S138" s="97" t="s">
        <v>195</v>
      </c>
    </row>
    <row r="139" spans="1:19" x14ac:dyDescent="0.3">
      <c r="A139" s="97" t="s">
        <v>927</v>
      </c>
      <c r="B139" s="97" t="s">
        <v>23</v>
      </c>
      <c r="C139">
        <v>2026</v>
      </c>
      <c r="D139">
        <v>1</v>
      </c>
      <c r="E139" s="2">
        <v>46027</v>
      </c>
      <c r="F139" s="97" t="s">
        <v>7</v>
      </c>
      <c r="G139" s="97" t="s">
        <v>8</v>
      </c>
      <c r="H139" s="97" t="s">
        <v>74</v>
      </c>
      <c r="I139" s="97" t="s">
        <v>82</v>
      </c>
      <c r="J139" s="97" t="s">
        <v>83</v>
      </c>
      <c r="K139" s="97" t="s">
        <v>73</v>
      </c>
      <c r="L139">
        <v>701000</v>
      </c>
      <c r="M139" s="97" t="s">
        <v>62</v>
      </c>
      <c r="N139" s="97" t="s">
        <v>33</v>
      </c>
      <c r="O139">
        <v>130</v>
      </c>
      <c r="P139">
        <v>18.46</v>
      </c>
      <c r="Q139">
        <v>2.4</v>
      </c>
      <c r="R139" s="97" t="s">
        <v>1199</v>
      </c>
      <c r="S139" s="97" t="s">
        <v>195</v>
      </c>
    </row>
    <row r="140" spans="1:19" x14ac:dyDescent="0.3">
      <c r="A140" s="97" t="s">
        <v>928</v>
      </c>
      <c r="B140" s="97" t="s">
        <v>23</v>
      </c>
      <c r="C140">
        <v>2026</v>
      </c>
      <c r="D140">
        <v>1</v>
      </c>
      <c r="E140" s="2">
        <v>46027</v>
      </c>
      <c r="F140" s="97" t="s">
        <v>7</v>
      </c>
      <c r="G140" s="97" t="s">
        <v>8</v>
      </c>
      <c r="H140" s="97" t="s">
        <v>74</v>
      </c>
      <c r="I140" s="97" t="s">
        <v>82</v>
      </c>
      <c r="J140" s="97" t="s">
        <v>83</v>
      </c>
      <c r="K140" s="97" t="s">
        <v>73</v>
      </c>
      <c r="L140">
        <v>701000</v>
      </c>
      <c r="M140" s="97" t="s">
        <v>62</v>
      </c>
      <c r="N140" s="97" t="s">
        <v>33</v>
      </c>
      <c r="O140">
        <v>289</v>
      </c>
      <c r="P140">
        <v>18.510000000000002</v>
      </c>
      <c r="Q140">
        <v>5.35</v>
      </c>
      <c r="R140" s="97" t="s">
        <v>1198</v>
      </c>
      <c r="S140" s="97" t="s">
        <v>195</v>
      </c>
    </row>
    <row r="141" spans="1:19" x14ac:dyDescent="0.3">
      <c r="A141" s="97" t="s">
        <v>929</v>
      </c>
      <c r="B141" s="97" t="s">
        <v>23</v>
      </c>
      <c r="C141">
        <v>2026</v>
      </c>
      <c r="D141">
        <v>1</v>
      </c>
      <c r="E141" s="2">
        <v>46027</v>
      </c>
      <c r="F141" s="97" t="s">
        <v>7</v>
      </c>
      <c r="G141" s="97" t="s">
        <v>8</v>
      </c>
      <c r="H141" s="97" t="s">
        <v>74</v>
      </c>
      <c r="I141" s="97" t="s">
        <v>82</v>
      </c>
      <c r="J141" s="97" t="s">
        <v>83</v>
      </c>
      <c r="K141" s="97" t="s">
        <v>73</v>
      </c>
      <c r="L141">
        <v>701000</v>
      </c>
      <c r="M141" s="97" t="s">
        <v>62</v>
      </c>
      <c r="N141" s="97" t="s">
        <v>33</v>
      </c>
      <c r="O141">
        <v>91</v>
      </c>
      <c r="P141">
        <v>18.57</v>
      </c>
      <c r="Q141">
        <v>1.69</v>
      </c>
      <c r="R141" s="97" t="s">
        <v>1201</v>
      </c>
      <c r="S141" s="97" t="s">
        <v>195</v>
      </c>
    </row>
    <row r="142" spans="1:19" x14ac:dyDescent="0.3">
      <c r="A142" s="97" t="s">
        <v>390</v>
      </c>
      <c r="B142" s="97" t="s">
        <v>23</v>
      </c>
      <c r="C142">
        <v>2026</v>
      </c>
      <c r="D142">
        <v>1</v>
      </c>
      <c r="E142" s="2">
        <v>46028</v>
      </c>
      <c r="F142" s="97" t="s">
        <v>7</v>
      </c>
      <c r="G142" s="97" t="s">
        <v>8</v>
      </c>
      <c r="H142" s="97" t="s">
        <v>70</v>
      </c>
      <c r="I142" s="97" t="s">
        <v>71</v>
      </c>
      <c r="J142" s="97" t="s">
        <v>72</v>
      </c>
      <c r="K142" s="97" t="s">
        <v>73</v>
      </c>
      <c r="L142">
        <v>701000</v>
      </c>
      <c r="M142" s="97" t="s">
        <v>62</v>
      </c>
      <c r="N142" s="97" t="s">
        <v>33</v>
      </c>
      <c r="O142">
        <v>1336</v>
      </c>
      <c r="P142">
        <v>1.05</v>
      </c>
      <c r="Q142">
        <v>1.4</v>
      </c>
      <c r="R142" s="97" t="s">
        <v>1198</v>
      </c>
      <c r="S142" s="97" t="s">
        <v>195</v>
      </c>
    </row>
    <row r="143" spans="1:19" x14ac:dyDescent="0.3">
      <c r="A143" s="97" t="s">
        <v>391</v>
      </c>
      <c r="B143" s="97" t="s">
        <v>23</v>
      </c>
      <c r="C143">
        <v>2026</v>
      </c>
      <c r="D143">
        <v>1</v>
      </c>
      <c r="E143" s="2">
        <v>46028</v>
      </c>
      <c r="F143" s="97" t="s">
        <v>7</v>
      </c>
      <c r="G143" s="97" t="s">
        <v>8</v>
      </c>
      <c r="H143" s="97" t="s">
        <v>70</v>
      </c>
      <c r="I143" s="97" t="s">
        <v>71</v>
      </c>
      <c r="J143" s="97" t="s">
        <v>72</v>
      </c>
      <c r="K143" s="97" t="s">
        <v>73</v>
      </c>
      <c r="L143">
        <v>701000</v>
      </c>
      <c r="M143" s="97" t="s">
        <v>62</v>
      </c>
      <c r="N143" s="97" t="s">
        <v>33</v>
      </c>
      <c r="O143">
        <v>4050</v>
      </c>
      <c r="P143">
        <v>1.05</v>
      </c>
      <c r="Q143">
        <v>4.25</v>
      </c>
      <c r="R143" s="97" t="s">
        <v>1199</v>
      </c>
      <c r="S143" s="97" t="s">
        <v>195</v>
      </c>
    </row>
    <row r="144" spans="1:19" x14ac:dyDescent="0.3">
      <c r="A144" s="97" t="s">
        <v>392</v>
      </c>
      <c r="B144" s="97" t="s">
        <v>23</v>
      </c>
      <c r="C144">
        <v>2026</v>
      </c>
      <c r="D144">
        <v>1</v>
      </c>
      <c r="E144" s="2">
        <v>46028</v>
      </c>
      <c r="F144" s="97" t="s">
        <v>7</v>
      </c>
      <c r="G144" s="97" t="s">
        <v>8</v>
      </c>
      <c r="H144" s="97" t="s">
        <v>70</v>
      </c>
      <c r="I144" s="97" t="s">
        <v>71</v>
      </c>
      <c r="J144" s="97" t="s">
        <v>72</v>
      </c>
      <c r="K144" s="97" t="s">
        <v>73</v>
      </c>
      <c r="L144">
        <v>701000</v>
      </c>
      <c r="M144" s="97" t="s">
        <v>62</v>
      </c>
      <c r="N144" s="97" t="s">
        <v>33</v>
      </c>
      <c r="O144">
        <v>1751</v>
      </c>
      <c r="P144">
        <v>1.05</v>
      </c>
      <c r="Q144">
        <v>1.84</v>
      </c>
      <c r="R144" s="97" t="s">
        <v>1197</v>
      </c>
      <c r="S144" s="97" t="s">
        <v>195</v>
      </c>
    </row>
    <row r="145" spans="1:19" x14ac:dyDescent="0.3">
      <c r="A145" s="97" t="s">
        <v>393</v>
      </c>
      <c r="B145" s="97" t="s">
        <v>23</v>
      </c>
      <c r="C145">
        <v>2026</v>
      </c>
      <c r="D145">
        <v>1</v>
      </c>
      <c r="E145" s="2">
        <v>46028</v>
      </c>
      <c r="F145" s="97" t="s">
        <v>7</v>
      </c>
      <c r="G145" s="97" t="s">
        <v>8</v>
      </c>
      <c r="H145" s="97" t="s">
        <v>70</v>
      </c>
      <c r="I145" s="97" t="s">
        <v>71</v>
      </c>
      <c r="J145" s="97" t="s">
        <v>72</v>
      </c>
      <c r="K145" s="97" t="s">
        <v>73</v>
      </c>
      <c r="L145">
        <v>701000</v>
      </c>
      <c r="M145" s="97" t="s">
        <v>62</v>
      </c>
      <c r="N145" s="97" t="s">
        <v>33</v>
      </c>
      <c r="O145">
        <v>781</v>
      </c>
      <c r="P145">
        <v>1.05</v>
      </c>
      <c r="Q145">
        <v>0.82</v>
      </c>
      <c r="R145" s="97" t="s">
        <v>1203</v>
      </c>
      <c r="S145" s="97" t="s">
        <v>195</v>
      </c>
    </row>
    <row r="146" spans="1:19" x14ac:dyDescent="0.3">
      <c r="A146" s="97" t="s">
        <v>394</v>
      </c>
      <c r="B146" s="97" t="s">
        <v>23</v>
      </c>
      <c r="C146">
        <v>2026</v>
      </c>
      <c r="D146">
        <v>1</v>
      </c>
      <c r="E146" s="2">
        <v>46028</v>
      </c>
      <c r="F146" s="97" t="s">
        <v>7</v>
      </c>
      <c r="G146" s="97" t="s">
        <v>8</v>
      </c>
      <c r="H146" s="97" t="s">
        <v>70</v>
      </c>
      <c r="I146" s="97" t="s">
        <v>71</v>
      </c>
      <c r="J146" s="97" t="s">
        <v>72</v>
      </c>
      <c r="K146" s="97" t="s">
        <v>73</v>
      </c>
      <c r="L146">
        <v>701000</v>
      </c>
      <c r="M146" s="97" t="s">
        <v>62</v>
      </c>
      <c r="N146" s="97" t="s">
        <v>33</v>
      </c>
      <c r="O146">
        <v>734</v>
      </c>
      <c r="P146">
        <v>1.05</v>
      </c>
      <c r="Q146">
        <v>0.77</v>
      </c>
      <c r="R146" s="97" t="s">
        <v>1204</v>
      </c>
      <c r="S146" s="97" t="s">
        <v>195</v>
      </c>
    </row>
    <row r="147" spans="1:19" x14ac:dyDescent="0.3">
      <c r="A147" s="97" t="s">
        <v>745</v>
      </c>
      <c r="B147" s="97" t="s">
        <v>23</v>
      </c>
      <c r="C147">
        <v>2026</v>
      </c>
      <c r="D147">
        <v>1</v>
      </c>
      <c r="E147" s="2">
        <v>46028</v>
      </c>
      <c r="F147" s="97" t="s">
        <v>7</v>
      </c>
      <c r="G147" s="97" t="s">
        <v>8</v>
      </c>
      <c r="H147" s="97" t="s">
        <v>70</v>
      </c>
      <c r="I147" s="97" t="s">
        <v>77</v>
      </c>
      <c r="J147" s="97" t="s">
        <v>78</v>
      </c>
      <c r="K147" s="97" t="s">
        <v>73</v>
      </c>
      <c r="L147">
        <v>706000</v>
      </c>
      <c r="M147" s="97" t="s">
        <v>63</v>
      </c>
      <c r="N147" s="97" t="s">
        <v>33</v>
      </c>
      <c r="O147">
        <v>1069</v>
      </c>
      <c r="P147">
        <v>1.81</v>
      </c>
      <c r="Q147">
        <v>1.93</v>
      </c>
      <c r="R147" s="97" t="s">
        <v>1199</v>
      </c>
      <c r="S147" s="97" t="s">
        <v>195</v>
      </c>
    </row>
    <row r="148" spans="1:19" x14ac:dyDescent="0.3">
      <c r="A148" s="97" t="s">
        <v>746</v>
      </c>
      <c r="B148" s="97" t="s">
        <v>23</v>
      </c>
      <c r="C148">
        <v>2026</v>
      </c>
      <c r="D148">
        <v>1</v>
      </c>
      <c r="E148" s="2">
        <v>46028</v>
      </c>
      <c r="F148" s="97" t="s">
        <v>7</v>
      </c>
      <c r="G148" s="97" t="s">
        <v>8</v>
      </c>
      <c r="H148" s="97" t="s">
        <v>70</v>
      </c>
      <c r="I148" s="97" t="s">
        <v>77</v>
      </c>
      <c r="J148" s="97" t="s">
        <v>78</v>
      </c>
      <c r="K148" s="97" t="s">
        <v>73</v>
      </c>
      <c r="L148">
        <v>706000</v>
      </c>
      <c r="M148" s="97" t="s">
        <v>63</v>
      </c>
      <c r="N148" s="97" t="s">
        <v>33</v>
      </c>
      <c r="O148">
        <v>896</v>
      </c>
      <c r="P148">
        <v>1.8</v>
      </c>
      <c r="Q148">
        <v>1.61</v>
      </c>
      <c r="R148" s="97" t="s">
        <v>1205</v>
      </c>
      <c r="S148" s="97" t="s">
        <v>195</v>
      </c>
    </row>
    <row r="149" spans="1:19" x14ac:dyDescent="0.3">
      <c r="A149" s="97" t="s">
        <v>747</v>
      </c>
      <c r="B149" s="97" t="s">
        <v>23</v>
      </c>
      <c r="C149">
        <v>2026</v>
      </c>
      <c r="D149">
        <v>1</v>
      </c>
      <c r="E149" s="2">
        <v>46028</v>
      </c>
      <c r="F149" s="97" t="s">
        <v>7</v>
      </c>
      <c r="G149" s="97" t="s">
        <v>8</v>
      </c>
      <c r="H149" s="97" t="s">
        <v>70</v>
      </c>
      <c r="I149" s="97" t="s">
        <v>77</v>
      </c>
      <c r="J149" s="97" t="s">
        <v>78</v>
      </c>
      <c r="K149" s="97" t="s">
        <v>73</v>
      </c>
      <c r="L149">
        <v>706000</v>
      </c>
      <c r="M149" s="97" t="s">
        <v>63</v>
      </c>
      <c r="N149" s="97" t="s">
        <v>33</v>
      </c>
      <c r="O149">
        <v>693</v>
      </c>
      <c r="P149">
        <v>1.8</v>
      </c>
      <c r="Q149">
        <v>1.25</v>
      </c>
      <c r="R149" s="97" t="s">
        <v>1197</v>
      </c>
      <c r="S149" s="97" t="s">
        <v>195</v>
      </c>
    </row>
    <row r="150" spans="1:19" x14ac:dyDescent="0.3">
      <c r="A150" s="97" t="s">
        <v>748</v>
      </c>
      <c r="B150" s="97" t="s">
        <v>23</v>
      </c>
      <c r="C150">
        <v>2026</v>
      </c>
      <c r="D150">
        <v>1</v>
      </c>
      <c r="E150" s="2">
        <v>46028</v>
      </c>
      <c r="F150" s="97" t="s">
        <v>7</v>
      </c>
      <c r="G150" s="97" t="s">
        <v>8</v>
      </c>
      <c r="H150" s="97" t="s">
        <v>70</v>
      </c>
      <c r="I150" s="97" t="s">
        <v>77</v>
      </c>
      <c r="J150" s="97" t="s">
        <v>78</v>
      </c>
      <c r="K150" s="97" t="s">
        <v>73</v>
      </c>
      <c r="L150">
        <v>706000</v>
      </c>
      <c r="M150" s="97" t="s">
        <v>63</v>
      </c>
      <c r="N150" s="97" t="s">
        <v>33</v>
      </c>
      <c r="O150">
        <v>3460</v>
      </c>
      <c r="P150">
        <v>1.8</v>
      </c>
      <c r="Q150">
        <v>6.23</v>
      </c>
      <c r="R150" s="97" t="s">
        <v>1204</v>
      </c>
      <c r="S150" s="97" t="s">
        <v>195</v>
      </c>
    </row>
    <row r="151" spans="1:19" x14ac:dyDescent="0.3">
      <c r="A151" s="97" t="s">
        <v>749</v>
      </c>
      <c r="B151" s="97" t="s">
        <v>23</v>
      </c>
      <c r="C151">
        <v>2026</v>
      </c>
      <c r="D151">
        <v>1</v>
      </c>
      <c r="E151" s="2">
        <v>46028</v>
      </c>
      <c r="F151" s="97" t="s">
        <v>7</v>
      </c>
      <c r="G151" s="97" t="s">
        <v>8</v>
      </c>
      <c r="H151" s="97" t="s">
        <v>70</v>
      </c>
      <c r="I151" s="97" t="s">
        <v>77</v>
      </c>
      <c r="J151" s="97" t="s">
        <v>78</v>
      </c>
      <c r="K151" s="97" t="s">
        <v>73</v>
      </c>
      <c r="L151">
        <v>706000</v>
      </c>
      <c r="M151" s="97" t="s">
        <v>63</v>
      </c>
      <c r="N151" s="97" t="s">
        <v>33</v>
      </c>
      <c r="O151">
        <v>396</v>
      </c>
      <c r="P151">
        <v>1.79</v>
      </c>
      <c r="Q151">
        <v>0.71</v>
      </c>
      <c r="R151" s="97" t="s">
        <v>1203</v>
      </c>
      <c r="S151" s="97" t="s">
        <v>195</v>
      </c>
    </row>
    <row r="152" spans="1:19" x14ac:dyDescent="0.3">
      <c r="A152" s="97" t="s">
        <v>425</v>
      </c>
      <c r="B152" s="97" t="s">
        <v>23</v>
      </c>
      <c r="C152">
        <v>2026</v>
      </c>
      <c r="D152">
        <v>1</v>
      </c>
      <c r="E152" s="2">
        <v>46029</v>
      </c>
      <c r="F152" s="97" t="s">
        <v>7</v>
      </c>
      <c r="G152" s="97" t="s">
        <v>8</v>
      </c>
      <c r="H152" s="97" t="s">
        <v>70</v>
      </c>
      <c r="I152" s="97" t="s">
        <v>71</v>
      </c>
      <c r="J152" s="97" t="s">
        <v>72</v>
      </c>
      <c r="K152" s="97" t="s">
        <v>73</v>
      </c>
      <c r="L152">
        <v>701000</v>
      </c>
      <c r="M152" s="97" t="s">
        <v>62</v>
      </c>
      <c r="N152" s="97" t="s">
        <v>33</v>
      </c>
      <c r="O152">
        <v>1374</v>
      </c>
      <c r="P152">
        <v>1.05</v>
      </c>
      <c r="Q152">
        <v>1.44</v>
      </c>
      <c r="R152" s="97" t="s">
        <v>1204</v>
      </c>
      <c r="S152" s="97" t="s">
        <v>195</v>
      </c>
    </row>
    <row r="153" spans="1:19" x14ac:dyDescent="0.3">
      <c r="A153" s="97" t="s">
        <v>426</v>
      </c>
      <c r="B153" s="97" t="s">
        <v>23</v>
      </c>
      <c r="C153">
        <v>2026</v>
      </c>
      <c r="D153">
        <v>1</v>
      </c>
      <c r="E153" s="2">
        <v>46029</v>
      </c>
      <c r="F153" s="97" t="s">
        <v>7</v>
      </c>
      <c r="G153" s="97" t="s">
        <v>8</v>
      </c>
      <c r="H153" s="97" t="s">
        <v>70</v>
      </c>
      <c r="I153" s="97" t="s">
        <v>71</v>
      </c>
      <c r="J153" s="97" t="s">
        <v>72</v>
      </c>
      <c r="K153" s="97" t="s">
        <v>73</v>
      </c>
      <c r="L153">
        <v>701000</v>
      </c>
      <c r="M153" s="97" t="s">
        <v>62</v>
      </c>
      <c r="N153" s="97" t="s">
        <v>33</v>
      </c>
      <c r="O153">
        <v>1610</v>
      </c>
      <c r="P153">
        <v>1.05</v>
      </c>
      <c r="Q153">
        <v>1.69</v>
      </c>
      <c r="R153" s="97" t="s">
        <v>1197</v>
      </c>
      <c r="S153" s="97" t="s">
        <v>195</v>
      </c>
    </row>
    <row r="154" spans="1:19" x14ac:dyDescent="0.3">
      <c r="A154" s="97" t="s">
        <v>427</v>
      </c>
      <c r="B154" s="97" t="s">
        <v>23</v>
      </c>
      <c r="C154">
        <v>2026</v>
      </c>
      <c r="D154">
        <v>1</v>
      </c>
      <c r="E154" s="2">
        <v>46029</v>
      </c>
      <c r="F154" s="97" t="s">
        <v>7</v>
      </c>
      <c r="G154" s="97" t="s">
        <v>8</v>
      </c>
      <c r="H154" s="97" t="s">
        <v>70</v>
      </c>
      <c r="I154" s="97" t="s">
        <v>71</v>
      </c>
      <c r="J154" s="97" t="s">
        <v>72</v>
      </c>
      <c r="K154" s="97" t="s">
        <v>73</v>
      </c>
      <c r="L154">
        <v>701000</v>
      </c>
      <c r="M154" s="97" t="s">
        <v>62</v>
      </c>
      <c r="N154" s="97" t="s">
        <v>33</v>
      </c>
      <c r="O154">
        <v>2078</v>
      </c>
      <c r="P154">
        <v>1.05</v>
      </c>
      <c r="Q154">
        <v>2.1800000000000002</v>
      </c>
      <c r="R154" s="97" t="s">
        <v>1200</v>
      </c>
      <c r="S154" s="97" t="s">
        <v>195</v>
      </c>
    </row>
    <row r="155" spans="1:19" x14ac:dyDescent="0.3">
      <c r="A155" s="97" t="s">
        <v>428</v>
      </c>
      <c r="B155" s="97" t="s">
        <v>23</v>
      </c>
      <c r="C155">
        <v>2026</v>
      </c>
      <c r="D155">
        <v>1</v>
      </c>
      <c r="E155" s="2">
        <v>46029</v>
      </c>
      <c r="F155" s="97" t="s">
        <v>7</v>
      </c>
      <c r="G155" s="97" t="s">
        <v>8</v>
      </c>
      <c r="H155" s="97" t="s">
        <v>70</v>
      </c>
      <c r="I155" s="97" t="s">
        <v>71</v>
      </c>
      <c r="J155" s="97" t="s">
        <v>72</v>
      </c>
      <c r="K155" s="97" t="s">
        <v>73</v>
      </c>
      <c r="L155">
        <v>701000</v>
      </c>
      <c r="M155" s="97" t="s">
        <v>62</v>
      </c>
      <c r="N155" s="97" t="s">
        <v>33</v>
      </c>
      <c r="O155">
        <v>1689</v>
      </c>
      <c r="P155">
        <v>1.05</v>
      </c>
      <c r="Q155">
        <v>1.77</v>
      </c>
      <c r="R155" s="97" t="s">
        <v>1201</v>
      </c>
      <c r="S155" s="97" t="s">
        <v>195</v>
      </c>
    </row>
    <row r="156" spans="1:19" x14ac:dyDescent="0.3">
      <c r="A156" s="97" t="s">
        <v>429</v>
      </c>
      <c r="B156" s="97" t="s">
        <v>23</v>
      </c>
      <c r="C156">
        <v>2026</v>
      </c>
      <c r="D156">
        <v>1</v>
      </c>
      <c r="E156" s="2">
        <v>46029</v>
      </c>
      <c r="F156" s="97" t="s">
        <v>7</v>
      </c>
      <c r="G156" s="97" t="s">
        <v>8</v>
      </c>
      <c r="H156" s="97" t="s">
        <v>70</v>
      </c>
      <c r="I156" s="97" t="s">
        <v>71</v>
      </c>
      <c r="J156" s="97" t="s">
        <v>72</v>
      </c>
      <c r="K156" s="97" t="s">
        <v>73</v>
      </c>
      <c r="L156">
        <v>701000</v>
      </c>
      <c r="M156" s="97" t="s">
        <v>62</v>
      </c>
      <c r="N156" s="97" t="s">
        <v>33</v>
      </c>
      <c r="O156">
        <v>1496</v>
      </c>
      <c r="P156">
        <v>1.06</v>
      </c>
      <c r="Q156">
        <v>1.58</v>
      </c>
      <c r="R156" s="97" t="s">
        <v>1202</v>
      </c>
      <c r="S156" s="97" t="s">
        <v>195</v>
      </c>
    </row>
    <row r="157" spans="1:19" x14ac:dyDescent="0.3">
      <c r="A157" s="97" t="s">
        <v>500</v>
      </c>
      <c r="B157" s="97" t="s">
        <v>23</v>
      </c>
      <c r="C157">
        <v>2026</v>
      </c>
      <c r="D157">
        <v>1</v>
      </c>
      <c r="E157" s="2">
        <v>46029</v>
      </c>
      <c r="F157" s="97" t="s">
        <v>7</v>
      </c>
      <c r="G157" s="97" t="s">
        <v>8</v>
      </c>
      <c r="H157" s="97" t="s">
        <v>74</v>
      </c>
      <c r="I157" s="97" t="s">
        <v>71</v>
      </c>
      <c r="J157" s="97" t="s">
        <v>72</v>
      </c>
      <c r="K157" s="97" t="s">
        <v>73</v>
      </c>
      <c r="L157">
        <v>701000</v>
      </c>
      <c r="M157" s="97" t="s">
        <v>62</v>
      </c>
      <c r="N157" s="97" t="s">
        <v>33</v>
      </c>
      <c r="O157">
        <v>1127</v>
      </c>
      <c r="P157">
        <v>1.05</v>
      </c>
      <c r="Q157">
        <v>1.18</v>
      </c>
      <c r="R157" s="97" t="s">
        <v>1202</v>
      </c>
      <c r="S157" s="97" t="s">
        <v>195</v>
      </c>
    </row>
    <row r="158" spans="1:19" x14ac:dyDescent="0.3">
      <c r="A158" s="97" t="s">
        <v>501</v>
      </c>
      <c r="B158" s="97" t="s">
        <v>23</v>
      </c>
      <c r="C158">
        <v>2026</v>
      </c>
      <c r="D158">
        <v>1</v>
      </c>
      <c r="E158" s="2">
        <v>46029</v>
      </c>
      <c r="F158" s="97" t="s">
        <v>7</v>
      </c>
      <c r="G158" s="97" t="s">
        <v>8</v>
      </c>
      <c r="H158" s="97" t="s">
        <v>74</v>
      </c>
      <c r="I158" s="97" t="s">
        <v>71</v>
      </c>
      <c r="J158" s="97" t="s">
        <v>72</v>
      </c>
      <c r="K158" s="97" t="s">
        <v>73</v>
      </c>
      <c r="L158">
        <v>701000</v>
      </c>
      <c r="M158" s="97" t="s">
        <v>62</v>
      </c>
      <c r="N158" s="97" t="s">
        <v>33</v>
      </c>
      <c r="O158">
        <v>1766</v>
      </c>
      <c r="P158">
        <v>1.05</v>
      </c>
      <c r="Q158">
        <v>1.86</v>
      </c>
      <c r="R158" s="97" t="s">
        <v>1197</v>
      </c>
      <c r="S158" s="97" t="s">
        <v>195</v>
      </c>
    </row>
    <row r="159" spans="1:19" x14ac:dyDescent="0.3">
      <c r="A159" s="97" t="s">
        <v>502</v>
      </c>
      <c r="B159" s="97" t="s">
        <v>23</v>
      </c>
      <c r="C159">
        <v>2026</v>
      </c>
      <c r="D159">
        <v>1</v>
      </c>
      <c r="E159" s="2">
        <v>46029</v>
      </c>
      <c r="F159" s="97" t="s">
        <v>7</v>
      </c>
      <c r="G159" s="97" t="s">
        <v>8</v>
      </c>
      <c r="H159" s="97" t="s">
        <v>74</v>
      </c>
      <c r="I159" s="97" t="s">
        <v>71</v>
      </c>
      <c r="J159" s="97" t="s">
        <v>72</v>
      </c>
      <c r="K159" s="97" t="s">
        <v>73</v>
      </c>
      <c r="L159">
        <v>701000</v>
      </c>
      <c r="M159" s="97" t="s">
        <v>62</v>
      </c>
      <c r="N159" s="97" t="s">
        <v>33</v>
      </c>
      <c r="O159">
        <v>4947</v>
      </c>
      <c r="P159">
        <v>1.05</v>
      </c>
      <c r="Q159">
        <v>5.2</v>
      </c>
      <c r="R159" s="97" t="s">
        <v>1201</v>
      </c>
      <c r="S159" s="97" t="s">
        <v>195</v>
      </c>
    </row>
    <row r="160" spans="1:19" x14ac:dyDescent="0.3">
      <c r="A160" s="97" t="s">
        <v>503</v>
      </c>
      <c r="B160" s="97" t="s">
        <v>23</v>
      </c>
      <c r="C160">
        <v>2026</v>
      </c>
      <c r="D160">
        <v>1</v>
      </c>
      <c r="E160" s="2">
        <v>46029</v>
      </c>
      <c r="F160" s="97" t="s">
        <v>7</v>
      </c>
      <c r="G160" s="97" t="s">
        <v>8</v>
      </c>
      <c r="H160" s="97" t="s">
        <v>74</v>
      </c>
      <c r="I160" s="97" t="s">
        <v>71</v>
      </c>
      <c r="J160" s="97" t="s">
        <v>72</v>
      </c>
      <c r="K160" s="97" t="s">
        <v>73</v>
      </c>
      <c r="L160">
        <v>701000</v>
      </c>
      <c r="M160" s="97" t="s">
        <v>62</v>
      </c>
      <c r="N160" s="97" t="s">
        <v>33</v>
      </c>
      <c r="O160">
        <v>1116</v>
      </c>
      <c r="P160">
        <v>1.05</v>
      </c>
      <c r="Q160">
        <v>1.17</v>
      </c>
      <c r="R160" s="97" t="s">
        <v>1200</v>
      </c>
      <c r="S160" s="97" t="s">
        <v>195</v>
      </c>
    </row>
    <row r="161" spans="1:19" x14ac:dyDescent="0.3">
      <c r="A161" s="97" t="s">
        <v>504</v>
      </c>
      <c r="B161" s="97" t="s">
        <v>23</v>
      </c>
      <c r="C161">
        <v>2026</v>
      </c>
      <c r="D161">
        <v>1</v>
      </c>
      <c r="E161" s="2">
        <v>46029</v>
      </c>
      <c r="F161" s="97" t="s">
        <v>7</v>
      </c>
      <c r="G161" s="97" t="s">
        <v>8</v>
      </c>
      <c r="H161" s="97" t="s">
        <v>74</v>
      </c>
      <c r="I161" s="97" t="s">
        <v>71</v>
      </c>
      <c r="J161" s="97" t="s">
        <v>72</v>
      </c>
      <c r="K161" s="97" t="s">
        <v>73</v>
      </c>
      <c r="L161">
        <v>701000</v>
      </c>
      <c r="M161" s="97" t="s">
        <v>62</v>
      </c>
      <c r="N161" s="97" t="s">
        <v>33</v>
      </c>
      <c r="O161">
        <v>926</v>
      </c>
      <c r="P161">
        <v>1.05</v>
      </c>
      <c r="Q161">
        <v>0.97</v>
      </c>
      <c r="R161" s="97" t="s">
        <v>1198</v>
      </c>
      <c r="S161" s="97" t="s">
        <v>195</v>
      </c>
    </row>
    <row r="162" spans="1:19" x14ac:dyDescent="0.3">
      <c r="A162" s="97" t="s">
        <v>575</v>
      </c>
      <c r="B162" s="97" t="s">
        <v>23</v>
      </c>
      <c r="C162">
        <v>2026</v>
      </c>
      <c r="D162">
        <v>1</v>
      </c>
      <c r="E162" s="2">
        <v>46029</v>
      </c>
      <c r="F162" s="97" t="s">
        <v>7</v>
      </c>
      <c r="G162" s="97" t="s">
        <v>8</v>
      </c>
      <c r="H162" s="97" t="s">
        <v>74</v>
      </c>
      <c r="I162" s="97" t="s">
        <v>75</v>
      </c>
      <c r="J162" s="97" t="s">
        <v>76</v>
      </c>
      <c r="K162" s="97" t="s">
        <v>73</v>
      </c>
      <c r="L162">
        <v>701000</v>
      </c>
      <c r="M162" s="97" t="s">
        <v>62</v>
      </c>
      <c r="N162" s="97" t="s">
        <v>33</v>
      </c>
      <c r="O162">
        <v>1706</v>
      </c>
      <c r="P162">
        <v>1.4</v>
      </c>
      <c r="Q162">
        <v>2.39</v>
      </c>
      <c r="R162" s="97" t="s">
        <v>1201</v>
      </c>
      <c r="S162" s="97" t="s">
        <v>195</v>
      </c>
    </row>
    <row r="163" spans="1:19" x14ac:dyDescent="0.3">
      <c r="A163" s="97" t="s">
        <v>576</v>
      </c>
      <c r="B163" s="97" t="s">
        <v>23</v>
      </c>
      <c r="C163">
        <v>2026</v>
      </c>
      <c r="D163">
        <v>1</v>
      </c>
      <c r="E163" s="2">
        <v>46029</v>
      </c>
      <c r="F163" s="97" t="s">
        <v>7</v>
      </c>
      <c r="G163" s="97" t="s">
        <v>8</v>
      </c>
      <c r="H163" s="97" t="s">
        <v>74</v>
      </c>
      <c r="I163" s="97" t="s">
        <v>75</v>
      </c>
      <c r="J163" s="97" t="s">
        <v>76</v>
      </c>
      <c r="K163" s="97" t="s">
        <v>73</v>
      </c>
      <c r="L163">
        <v>701000</v>
      </c>
      <c r="M163" s="97" t="s">
        <v>62</v>
      </c>
      <c r="N163" s="97" t="s">
        <v>33</v>
      </c>
      <c r="O163">
        <v>3325</v>
      </c>
      <c r="P163">
        <v>1.4</v>
      </c>
      <c r="Q163">
        <v>4.66</v>
      </c>
      <c r="R163" s="97" t="s">
        <v>1199</v>
      </c>
      <c r="S163" s="97" t="s">
        <v>195</v>
      </c>
    </row>
    <row r="164" spans="1:19" x14ac:dyDescent="0.3">
      <c r="A164" s="97" t="s">
        <v>577</v>
      </c>
      <c r="B164" s="97" t="s">
        <v>23</v>
      </c>
      <c r="C164">
        <v>2026</v>
      </c>
      <c r="D164">
        <v>1</v>
      </c>
      <c r="E164" s="2">
        <v>46029</v>
      </c>
      <c r="F164" s="97" t="s">
        <v>7</v>
      </c>
      <c r="G164" s="97" t="s">
        <v>8</v>
      </c>
      <c r="H164" s="97" t="s">
        <v>74</v>
      </c>
      <c r="I164" s="97" t="s">
        <v>75</v>
      </c>
      <c r="J164" s="97" t="s">
        <v>76</v>
      </c>
      <c r="K164" s="97" t="s">
        <v>73</v>
      </c>
      <c r="L164">
        <v>701000</v>
      </c>
      <c r="M164" s="97" t="s">
        <v>62</v>
      </c>
      <c r="N164" s="97" t="s">
        <v>33</v>
      </c>
      <c r="O164">
        <v>1114</v>
      </c>
      <c r="P164">
        <v>1.4</v>
      </c>
      <c r="Q164">
        <v>1.56</v>
      </c>
      <c r="R164" s="97" t="s">
        <v>1204</v>
      </c>
      <c r="S164" s="97" t="s">
        <v>195</v>
      </c>
    </row>
    <row r="165" spans="1:19" x14ac:dyDescent="0.3">
      <c r="A165" s="97" t="s">
        <v>578</v>
      </c>
      <c r="B165" s="97" t="s">
        <v>23</v>
      </c>
      <c r="C165">
        <v>2026</v>
      </c>
      <c r="D165">
        <v>1</v>
      </c>
      <c r="E165" s="2">
        <v>46029</v>
      </c>
      <c r="F165" s="97" t="s">
        <v>7</v>
      </c>
      <c r="G165" s="97" t="s">
        <v>8</v>
      </c>
      <c r="H165" s="97" t="s">
        <v>74</v>
      </c>
      <c r="I165" s="97" t="s">
        <v>75</v>
      </c>
      <c r="J165" s="97" t="s">
        <v>76</v>
      </c>
      <c r="K165" s="97" t="s">
        <v>73</v>
      </c>
      <c r="L165">
        <v>701000</v>
      </c>
      <c r="M165" s="97" t="s">
        <v>62</v>
      </c>
      <c r="N165" s="97" t="s">
        <v>33</v>
      </c>
      <c r="O165">
        <v>76</v>
      </c>
      <c r="P165">
        <v>1.45</v>
      </c>
      <c r="Q165">
        <v>0.11</v>
      </c>
      <c r="R165" s="97" t="s">
        <v>1198</v>
      </c>
      <c r="S165" s="97" t="s">
        <v>195</v>
      </c>
    </row>
    <row r="166" spans="1:19" x14ac:dyDescent="0.3">
      <c r="A166" s="97" t="s">
        <v>579</v>
      </c>
      <c r="B166" s="97" t="s">
        <v>23</v>
      </c>
      <c r="C166">
        <v>2026</v>
      </c>
      <c r="D166">
        <v>1</v>
      </c>
      <c r="E166" s="2">
        <v>46029</v>
      </c>
      <c r="F166" s="97" t="s">
        <v>7</v>
      </c>
      <c r="G166" s="97" t="s">
        <v>8</v>
      </c>
      <c r="H166" s="97" t="s">
        <v>74</v>
      </c>
      <c r="I166" s="97" t="s">
        <v>75</v>
      </c>
      <c r="J166" s="97" t="s">
        <v>76</v>
      </c>
      <c r="K166" s="97" t="s">
        <v>73</v>
      </c>
      <c r="L166">
        <v>701000</v>
      </c>
      <c r="M166" s="97" t="s">
        <v>62</v>
      </c>
      <c r="N166" s="97" t="s">
        <v>33</v>
      </c>
      <c r="O166">
        <v>818</v>
      </c>
      <c r="P166">
        <v>1.39</v>
      </c>
      <c r="Q166">
        <v>1.1399999999999999</v>
      </c>
      <c r="R166" s="97" t="s">
        <v>1197</v>
      </c>
      <c r="S166" s="97" t="s">
        <v>195</v>
      </c>
    </row>
    <row r="167" spans="1:19" x14ac:dyDescent="0.3">
      <c r="A167" s="97" t="s">
        <v>740</v>
      </c>
      <c r="B167" s="97" t="s">
        <v>23</v>
      </c>
      <c r="C167">
        <v>2026</v>
      </c>
      <c r="D167">
        <v>1</v>
      </c>
      <c r="E167" s="2">
        <v>46029</v>
      </c>
      <c r="F167" s="97" t="s">
        <v>7</v>
      </c>
      <c r="G167" s="97" t="s">
        <v>8</v>
      </c>
      <c r="H167" s="97" t="s">
        <v>74</v>
      </c>
      <c r="I167" s="97" t="s">
        <v>77</v>
      </c>
      <c r="J167" s="97" t="s">
        <v>78</v>
      </c>
      <c r="K167" s="97" t="s">
        <v>73</v>
      </c>
      <c r="L167">
        <v>701000</v>
      </c>
      <c r="M167" s="97" t="s">
        <v>62</v>
      </c>
      <c r="N167" s="97" t="s">
        <v>33</v>
      </c>
      <c r="O167">
        <v>1427</v>
      </c>
      <c r="P167">
        <v>1.8</v>
      </c>
      <c r="Q167">
        <v>2.57</v>
      </c>
      <c r="R167" s="97" t="s">
        <v>1200</v>
      </c>
      <c r="S167" s="97" t="s">
        <v>195</v>
      </c>
    </row>
    <row r="168" spans="1:19" x14ac:dyDescent="0.3">
      <c r="A168" s="97" t="s">
        <v>741</v>
      </c>
      <c r="B168" s="97" t="s">
        <v>23</v>
      </c>
      <c r="C168">
        <v>2026</v>
      </c>
      <c r="D168">
        <v>1</v>
      </c>
      <c r="E168" s="2">
        <v>46029</v>
      </c>
      <c r="F168" s="97" t="s">
        <v>7</v>
      </c>
      <c r="G168" s="97" t="s">
        <v>8</v>
      </c>
      <c r="H168" s="97" t="s">
        <v>74</v>
      </c>
      <c r="I168" s="97" t="s">
        <v>77</v>
      </c>
      <c r="J168" s="97" t="s">
        <v>78</v>
      </c>
      <c r="K168" s="97" t="s">
        <v>73</v>
      </c>
      <c r="L168">
        <v>701000</v>
      </c>
      <c r="M168" s="97" t="s">
        <v>62</v>
      </c>
      <c r="N168" s="97" t="s">
        <v>33</v>
      </c>
      <c r="O168">
        <v>2223</v>
      </c>
      <c r="P168">
        <v>1.8</v>
      </c>
      <c r="Q168">
        <v>4</v>
      </c>
      <c r="R168" s="97" t="s">
        <v>1197</v>
      </c>
      <c r="S168" s="97" t="s">
        <v>195</v>
      </c>
    </row>
    <row r="169" spans="1:19" x14ac:dyDescent="0.3">
      <c r="A169" s="97" t="s">
        <v>742</v>
      </c>
      <c r="B169" s="97" t="s">
        <v>23</v>
      </c>
      <c r="C169">
        <v>2026</v>
      </c>
      <c r="D169">
        <v>1</v>
      </c>
      <c r="E169" s="2">
        <v>46029</v>
      </c>
      <c r="F169" s="97" t="s">
        <v>7</v>
      </c>
      <c r="G169" s="97" t="s">
        <v>8</v>
      </c>
      <c r="H169" s="97" t="s">
        <v>74</v>
      </c>
      <c r="I169" s="97" t="s">
        <v>77</v>
      </c>
      <c r="J169" s="97" t="s">
        <v>78</v>
      </c>
      <c r="K169" s="97" t="s">
        <v>73</v>
      </c>
      <c r="L169">
        <v>701000</v>
      </c>
      <c r="M169" s="97" t="s">
        <v>62</v>
      </c>
      <c r="N169" s="97" t="s">
        <v>33</v>
      </c>
      <c r="O169">
        <v>2553</v>
      </c>
      <c r="P169">
        <v>1.8</v>
      </c>
      <c r="Q169">
        <v>4.5999999999999996</v>
      </c>
      <c r="R169" s="97" t="s">
        <v>1203</v>
      </c>
      <c r="S169" s="97" t="s">
        <v>195</v>
      </c>
    </row>
    <row r="170" spans="1:19" x14ac:dyDescent="0.3">
      <c r="A170" s="97" t="s">
        <v>743</v>
      </c>
      <c r="B170" s="97" t="s">
        <v>23</v>
      </c>
      <c r="C170">
        <v>2026</v>
      </c>
      <c r="D170">
        <v>1</v>
      </c>
      <c r="E170" s="2">
        <v>46029</v>
      </c>
      <c r="F170" s="97" t="s">
        <v>7</v>
      </c>
      <c r="G170" s="97" t="s">
        <v>8</v>
      </c>
      <c r="H170" s="97" t="s">
        <v>74</v>
      </c>
      <c r="I170" s="97" t="s">
        <v>77</v>
      </c>
      <c r="J170" s="97" t="s">
        <v>78</v>
      </c>
      <c r="K170" s="97" t="s">
        <v>73</v>
      </c>
      <c r="L170">
        <v>701000</v>
      </c>
      <c r="M170" s="97" t="s">
        <v>62</v>
      </c>
      <c r="N170" s="97" t="s">
        <v>33</v>
      </c>
      <c r="O170">
        <v>1419</v>
      </c>
      <c r="P170">
        <v>1.8</v>
      </c>
      <c r="Q170">
        <v>2.56</v>
      </c>
      <c r="R170" s="97" t="s">
        <v>1202</v>
      </c>
      <c r="S170" s="97" t="s">
        <v>195</v>
      </c>
    </row>
    <row r="171" spans="1:19" x14ac:dyDescent="0.3">
      <c r="A171" s="97" t="s">
        <v>744</v>
      </c>
      <c r="B171" s="97" t="s">
        <v>23</v>
      </c>
      <c r="C171">
        <v>2026</v>
      </c>
      <c r="D171">
        <v>1</v>
      </c>
      <c r="E171" s="2">
        <v>46029</v>
      </c>
      <c r="F171" s="97" t="s">
        <v>7</v>
      </c>
      <c r="G171" s="97" t="s">
        <v>8</v>
      </c>
      <c r="H171" s="97" t="s">
        <v>74</v>
      </c>
      <c r="I171" s="97" t="s">
        <v>77</v>
      </c>
      <c r="J171" s="97" t="s">
        <v>78</v>
      </c>
      <c r="K171" s="97" t="s">
        <v>73</v>
      </c>
      <c r="L171">
        <v>701000</v>
      </c>
      <c r="M171" s="97" t="s">
        <v>62</v>
      </c>
      <c r="N171" s="97" t="s">
        <v>33</v>
      </c>
      <c r="O171">
        <v>1453</v>
      </c>
      <c r="P171">
        <v>1.8</v>
      </c>
      <c r="Q171">
        <v>2.61</v>
      </c>
      <c r="R171" s="97" t="s">
        <v>1199</v>
      </c>
      <c r="S171" s="97" t="s">
        <v>195</v>
      </c>
    </row>
    <row r="172" spans="1:19" x14ac:dyDescent="0.3">
      <c r="A172" s="97" t="s">
        <v>935</v>
      </c>
      <c r="B172" s="97" t="s">
        <v>23</v>
      </c>
      <c r="C172">
        <v>2026</v>
      </c>
      <c r="D172">
        <v>1</v>
      </c>
      <c r="E172" s="2">
        <v>46029</v>
      </c>
      <c r="F172" s="97" t="s">
        <v>7</v>
      </c>
      <c r="G172" s="97" t="s">
        <v>8</v>
      </c>
      <c r="H172" s="97" t="s">
        <v>70</v>
      </c>
      <c r="I172" s="97" t="s">
        <v>82</v>
      </c>
      <c r="J172" s="97" t="s">
        <v>83</v>
      </c>
      <c r="K172" s="97" t="s">
        <v>73</v>
      </c>
      <c r="L172">
        <v>706000</v>
      </c>
      <c r="M172" s="97" t="s">
        <v>63</v>
      </c>
      <c r="N172" s="97" t="s">
        <v>33</v>
      </c>
      <c r="O172">
        <v>140</v>
      </c>
      <c r="P172">
        <v>18.43</v>
      </c>
      <c r="Q172">
        <v>2.58</v>
      </c>
      <c r="R172" s="97" t="s">
        <v>1204</v>
      </c>
      <c r="S172" s="97" t="s">
        <v>195</v>
      </c>
    </row>
    <row r="173" spans="1:19" x14ac:dyDescent="0.3">
      <c r="A173" s="97" t="s">
        <v>936</v>
      </c>
      <c r="B173" s="97" t="s">
        <v>23</v>
      </c>
      <c r="C173">
        <v>2026</v>
      </c>
      <c r="D173">
        <v>1</v>
      </c>
      <c r="E173" s="2">
        <v>46029</v>
      </c>
      <c r="F173" s="97" t="s">
        <v>7</v>
      </c>
      <c r="G173" s="97" t="s">
        <v>8</v>
      </c>
      <c r="H173" s="97" t="s">
        <v>70</v>
      </c>
      <c r="I173" s="97" t="s">
        <v>82</v>
      </c>
      <c r="J173" s="97" t="s">
        <v>83</v>
      </c>
      <c r="K173" s="97" t="s">
        <v>73</v>
      </c>
      <c r="L173">
        <v>706000</v>
      </c>
      <c r="M173" s="97" t="s">
        <v>63</v>
      </c>
      <c r="N173" s="97" t="s">
        <v>33</v>
      </c>
      <c r="O173">
        <v>73</v>
      </c>
      <c r="P173">
        <v>18.489999999999998</v>
      </c>
      <c r="Q173">
        <v>1.35</v>
      </c>
      <c r="R173" s="97" t="s">
        <v>1197</v>
      </c>
      <c r="S173" s="97" t="s">
        <v>195</v>
      </c>
    </row>
    <row r="174" spans="1:19" x14ac:dyDescent="0.3">
      <c r="A174" s="97" t="s">
        <v>937</v>
      </c>
      <c r="B174" s="97" t="s">
        <v>23</v>
      </c>
      <c r="C174">
        <v>2026</v>
      </c>
      <c r="D174">
        <v>1</v>
      </c>
      <c r="E174" s="2">
        <v>46029</v>
      </c>
      <c r="F174" s="97" t="s">
        <v>7</v>
      </c>
      <c r="G174" s="97" t="s">
        <v>8</v>
      </c>
      <c r="H174" s="97" t="s">
        <v>70</v>
      </c>
      <c r="I174" s="97" t="s">
        <v>82</v>
      </c>
      <c r="J174" s="97" t="s">
        <v>83</v>
      </c>
      <c r="K174" s="97" t="s">
        <v>73</v>
      </c>
      <c r="L174">
        <v>706000</v>
      </c>
      <c r="M174" s="97" t="s">
        <v>63</v>
      </c>
      <c r="N174" s="97" t="s">
        <v>33</v>
      </c>
      <c r="O174">
        <v>75</v>
      </c>
      <c r="P174">
        <v>18.53</v>
      </c>
      <c r="Q174">
        <v>1.39</v>
      </c>
      <c r="R174" s="97" t="s">
        <v>1200</v>
      </c>
      <c r="S174" s="97" t="s">
        <v>195</v>
      </c>
    </row>
    <row r="175" spans="1:19" x14ac:dyDescent="0.3">
      <c r="A175" s="97" t="s">
        <v>938</v>
      </c>
      <c r="B175" s="97" t="s">
        <v>23</v>
      </c>
      <c r="C175">
        <v>2026</v>
      </c>
      <c r="D175">
        <v>1</v>
      </c>
      <c r="E175" s="2">
        <v>46029</v>
      </c>
      <c r="F175" s="97" t="s">
        <v>7</v>
      </c>
      <c r="G175" s="97" t="s">
        <v>8</v>
      </c>
      <c r="H175" s="97" t="s">
        <v>70</v>
      </c>
      <c r="I175" s="97" t="s">
        <v>82</v>
      </c>
      <c r="J175" s="97" t="s">
        <v>83</v>
      </c>
      <c r="K175" s="97" t="s">
        <v>73</v>
      </c>
      <c r="L175">
        <v>706000</v>
      </c>
      <c r="M175" s="97" t="s">
        <v>63</v>
      </c>
      <c r="N175" s="97" t="s">
        <v>33</v>
      </c>
      <c r="O175">
        <v>342</v>
      </c>
      <c r="P175">
        <v>18.54</v>
      </c>
      <c r="Q175">
        <v>6.34</v>
      </c>
      <c r="R175" s="97" t="s">
        <v>1202</v>
      </c>
      <c r="S175" s="97" t="s">
        <v>195</v>
      </c>
    </row>
    <row r="176" spans="1:19" x14ac:dyDescent="0.3">
      <c r="A176" s="97" t="s">
        <v>939</v>
      </c>
      <c r="B176" s="97" t="s">
        <v>23</v>
      </c>
      <c r="C176">
        <v>2026</v>
      </c>
      <c r="D176">
        <v>1</v>
      </c>
      <c r="E176" s="2">
        <v>46029</v>
      </c>
      <c r="F176" s="97" t="s">
        <v>7</v>
      </c>
      <c r="G176" s="97" t="s">
        <v>8</v>
      </c>
      <c r="H176" s="97" t="s">
        <v>70</v>
      </c>
      <c r="I176" s="97" t="s">
        <v>82</v>
      </c>
      <c r="J176" s="97" t="s">
        <v>83</v>
      </c>
      <c r="K176" s="97" t="s">
        <v>73</v>
      </c>
      <c r="L176">
        <v>706000</v>
      </c>
      <c r="M176" s="97" t="s">
        <v>63</v>
      </c>
      <c r="N176" s="97" t="s">
        <v>33</v>
      </c>
      <c r="O176">
        <v>153</v>
      </c>
      <c r="P176">
        <v>18.5</v>
      </c>
      <c r="Q176">
        <v>2.83</v>
      </c>
      <c r="R176" s="97" t="s">
        <v>1198</v>
      </c>
      <c r="S176" s="97" t="s">
        <v>195</v>
      </c>
    </row>
    <row r="177" spans="1:19" x14ac:dyDescent="0.3">
      <c r="A177" s="97" t="s">
        <v>975</v>
      </c>
      <c r="B177" s="97" t="s">
        <v>23</v>
      </c>
      <c r="C177">
        <v>2026</v>
      </c>
      <c r="D177">
        <v>1</v>
      </c>
      <c r="E177" s="2">
        <v>46029</v>
      </c>
      <c r="F177" s="97" t="s">
        <v>7</v>
      </c>
      <c r="G177" s="97" t="s">
        <v>8</v>
      </c>
      <c r="H177" s="97" t="s">
        <v>70</v>
      </c>
      <c r="I177" s="97" t="s">
        <v>82</v>
      </c>
      <c r="J177" s="97" t="s">
        <v>83</v>
      </c>
      <c r="K177" s="97" t="s">
        <v>73</v>
      </c>
      <c r="L177">
        <v>701000</v>
      </c>
      <c r="M177" s="97" t="s">
        <v>62</v>
      </c>
      <c r="N177" s="97" t="s">
        <v>33</v>
      </c>
      <c r="O177">
        <v>168</v>
      </c>
      <c r="P177">
        <v>18.510000000000002</v>
      </c>
      <c r="Q177">
        <v>3.11</v>
      </c>
      <c r="R177" s="97" t="s">
        <v>1199</v>
      </c>
      <c r="S177" s="97" t="s">
        <v>195</v>
      </c>
    </row>
    <row r="178" spans="1:19" x14ac:dyDescent="0.3">
      <c r="A178" s="97" t="s">
        <v>976</v>
      </c>
      <c r="B178" s="97" t="s">
        <v>23</v>
      </c>
      <c r="C178">
        <v>2026</v>
      </c>
      <c r="D178">
        <v>1</v>
      </c>
      <c r="E178" s="2">
        <v>46029</v>
      </c>
      <c r="F178" s="97" t="s">
        <v>7</v>
      </c>
      <c r="G178" s="97" t="s">
        <v>8</v>
      </c>
      <c r="H178" s="97" t="s">
        <v>70</v>
      </c>
      <c r="I178" s="97" t="s">
        <v>82</v>
      </c>
      <c r="J178" s="97" t="s">
        <v>83</v>
      </c>
      <c r="K178" s="97" t="s">
        <v>73</v>
      </c>
      <c r="L178">
        <v>701000</v>
      </c>
      <c r="M178" s="97" t="s">
        <v>62</v>
      </c>
      <c r="N178" s="97" t="s">
        <v>33</v>
      </c>
      <c r="O178">
        <v>93</v>
      </c>
      <c r="P178">
        <v>18.39</v>
      </c>
      <c r="Q178">
        <v>1.71</v>
      </c>
      <c r="R178" s="97" t="s">
        <v>1202</v>
      </c>
      <c r="S178" s="97" t="s">
        <v>195</v>
      </c>
    </row>
    <row r="179" spans="1:19" x14ac:dyDescent="0.3">
      <c r="A179" s="97" t="s">
        <v>977</v>
      </c>
      <c r="B179" s="97" t="s">
        <v>23</v>
      </c>
      <c r="C179">
        <v>2026</v>
      </c>
      <c r="D179">
        <v>1</v>
      </c>
      <c r="E179" s="2">
        <v>46029</v>
      </c>
      <c r="F179" s="97" t="s">
        <v>7</v>
      </c>
      <c r="G179" s="97" t="s">
        <v>8</v>
      </c>
      <c r="H179" s="97" t="s">
        <v>70</v>
      </c>
      <c r="I179" s="97" t="s">
        <v>82</v>
      </c>
      <c r="J179" s="97" t="s">
        <v>83</v>
      </c>
      <c r="K179" s="97" t="s">
        <v>73</v>
      </c>
      <c r="L179">
        <v>701000</v>
      </c>
      <c r="M179" s="97" t="s">
        <v>62</v>
      </c>
      <c r="N179" s="97" t="s">
        <v>33</v>
      </c>
      <c r="O179">
        <v>117</v>
      </c>
      <c r="P179">
        <v>18.55</v>
      </c>
      <c r="Q179">
        <v>2.17</v>
      </c>
      <c r="R179" s="97" t="s">
        <v>1200</v>
      </c>
      <c r="S179" s="97" t="s">
        <v>195</v>
      </c>
    </row>
    <row r="180" spans="1:19" x14ac:dyDescent="0.3">
      <c r="A180" s="97" t="s">
        <v>978</v>
      </c>
      <c r="B180" s="97" t="s">
        <v>23</v>
      </c>
      <c r="C180">
        <v>2026</v>
      </c>
      <c r="D180">
        <v>1</v>
      </c>
      <c r="E180" s="2">
        <v>46029</v>
      </c>
      <c r="F180" s="97" t="s">
        <v>7</v>
      </c>
      <c r="G180" s="97" t="s">
        <v>8</v>
      </c>
      <c r="H180" s="97" t="s">
        <v>70</v>
      </c>
      <c r="I180" s="97" t="s">
        <v>82</v>
      </c>
      <c r="J180" s="97" t="s">
        <v>83</v>
      </c>
      <c r="K180" s="97" t="s">
        <v>73</v>
      </c>
      <c r="L180">
        <v>701000</v>
      </c>
      <c r="M180" s="97" t="s">
        <v>62</v>
      </c>
      <c r="N180" s="97" t="s">
        <v>33</v>
      </c>
      <c r="O180">
        <v>232</v>
      </c>
      <c r="P180">
        <v>18.53</v>
      </c>
      <c r="Q180">
        <v>4.3</v>
      </c>
      <c r="R180" s="97" t="s">
        <v>1201</v>
      </c>
      <c r="S180" s="97" t="s">
        <v>195</v>
      </c>
    </row>
    <row r="181" spans="1:19" x14ac:dyDescent="0.3">
      <c r="A181" s="97" t="s">
        <v>979</v>
      </c>
      <c r="B181" s="97" t="s">
        <v>23</v>
      </c>
      <c r="C181">
        <v>2026</v>
      </c>
      <c r="D181">
        <v>1</v>
      </c>
      <c r="E181" s="2">
        <v>46029</v>
      </c>
      <c r="F181" s="97" t="s">
        <v>7</v>
      </c>
      <c r="G181" s="97" t="s">
        <v>8</v>
      </c>
      <c r="H181" s="97" t="s">
        <v>70</v>
      </c>
      <c r="I181" s="97" t="s">
        <v>82</v>
      </c>
      <c r="J181" s="97" t="s">
        <v>83</v>
      </c>
      <c r="K181" s="97" t="s">
        <v>73</v>
      </c>
      <c r="L181">
        <v>701000</v>
      </c>
      <c r="M181" s="97" t="s">
        <v>62</v>
      </c>
      <c r="N181" s="97" t="s">
        <v>33</v>
      </c>
      <c r="O181">
        <v>161</v>
      </c>
      <c r="P181">
        <v>18.510000000000002</v>
      </c>
      <c r="Q181">
        <v>2.98</v>
      </c>
      <c r="R181" s="97" t="s">
        <v>1205</v>
      </c>
      <c r="S181" s="97" t="s">
        <v>195</v>
      </c>
    </row>
    <row r="182" spans="1:19" x14ac:dyDescent="0.3">
      <c r="A182" s="97" t="s">
        <v>720</v>
      </c>
      <c r="B182" s="97" t="s">
        <v>23</v>
      </c>
      <c r="C182">
        <v>2026</v>
      </c>
      <c r="D182">
        <v>1</v>
      </c>
      <c r="E182" s="2">
        <v>46030</v>
      </c>
      <c r="F182" s="97" t="s">
        <v>7</v>
      </c>
      <c r="G182" s="97" t="s">
        <v>8</v>
      </c>
      <c r="H182" s="97" t="s">
        <v>74</v>
      </c>
      <c r="I182" s="97" t="s">
        <v>77</v>
      </c>
      <c r="J182" s="97" t="s">
        <v>78</v>
      </c>
      <c r="K182" s="97" t="s">
        <v>73</v>
      </c>
      <c r="L182">
        <v>701000</v>
      </c>
      <c r="M182" s="97" t="s">
        <v>62</v>
      </c>
      <c r="N182" s="97" t="s">
        <v>33</v>
      </c>
      <c r="O182">
        <v>1027</v>
      </c>
      <c r="P182">
        <v>1.8</v>
      </c>
      <c r="Q182">
        <v>1.85</v>
      </c>
      <c r="R182" s="97" t="s">
        <v>1201</v>
      </c>
      <c r="S182" s="97" t="s">
        <v>195</v>
      </c>
    </row>
    <row r="183" spans="1:19" x14ac:dyDescent="0.3">
      <c r="A183" s="97" t="s">
        <v>721</v>
      </c>
      <c r="B183" s="97" t="s">
        <v>23</v>
      </c>
      <c r="C183">
        <v>2026</v>
      </c>
      <c r="D183">
        <v>1</v>
      </c>
      <c r="E183" s="2">
        <v>46030</v>
      </c>
      <c r="F183" s="97" t="s">
        <v>7</v>
      </c>
      <c r="G183" s="97" t="s">
        <v>8</v>
      </c>
      <c r="H183" s="97" t="s">
        <v>74</v>
      </c>
      <c r="I183" s="97" t="s">
        <v>77</v>
      </c>
      <c r="J183" s="97" t="s">
        <v>78</v>
      </c>
      <c r="K183" s="97" t="s">
        <v>73</v>
      </c>
      <c r="L183">
        <v>701000</v>
      </c>
      <c r="M183" s="97" t="s">
        <v>62</v>
      </c>
      <c r="N183" s="97" t="s">
        <v>33</v>
      </c>
      <c r="O183">
        <v>2958</v>
      </c>
      <c r="P183">
        <v>1.8</v>
      </c>
      <c r="Q183">
        <v>5.33</v>
      </c>
      <c r="R183" s="97" t="s">
        <v>1199</v>
      </c>
      <c r="S183" s="97" t="s">
        <v>195</v>
      </c>
    </row>
    <row r="184" spans="1:19" x14ac:dyDescent="0.3">
      <c r="A184" s="97" t="s">
        <v>722</v>
      </c>
      <c r="B184" s="97" t="s">
        <v>23</v>
      </c>
      <c r="C184">
        <v>2026</v>
      </c>
      <c r="D184">
        <v>1</v>
      </c>
      <c r="E184" s="2">
        <v>46030</v>
      </c>
      <c r="F184" s="97" t="s">
        <v>7</v>
      </c>
      <c r="G184" s="97" t="s">
        <v>8</v>
      </c>
      <c r="H184" s="97" t="s">
        <v>74</v>
      </c>
      <c r="I184" s="97" t="s">
        <v>77</v>
      </c>
      <c r="J184" s="97" t="s">
        <v>78</v>
      </c>
      <c r="K184" s="97" t="s">
        <v>73</v>
      </c>
      <c r="L184">
        <v>701000</v>
      </c>
      <c r="M184" s="97" t="s">
        <v>62</v>
      </c>
      <c r="N184" s="97" t="s">
        <v>33</v>
      </c>
      <c r="O184">
        <v>221</v>
      </c>
      <c r="P184">
        <v>1.81</v>
      </c>
      <c r="Q184">
        <v>0.4</v>
      </c>
      <c r="R184" s="97" t="s">
        <v>1198</v>
      </c>
      <c r="S184" s="97" t="s">
        <v>195</v>
      </c>
    </row>
    <row r="185" spans="1:19" x14ac:dyDescent="0.3">
      <c r="A185" s="97" t="s">
        <v>723</v>
      </c>
      <c r="B185" s="97" t="s">
        <v>23</v>
      </c>
      <c r="C185">
        <v>2026</v>
      </c>
      <c r="D185">
        <v>1</v>
      </c>
      <c r="E185" s="2">
        <v>46030</v>
      </c>
      <c r="F185" s="97" t="s">
        <v>7</v>
      </c>
      <c r="G185" s="97" t="s">
        <v>8</v>
      </c>
      <c r="H185" s="97" t="s">
        <v>74</v>
      </c>
      <c r="I185" s="97" t="s">
        <v>77</v>
      </c>
      <c r="J185" s="97" t="s">
        <v>78</v>
      </c>
      <c r="K185" s="97" t="s">
        <v>73</v>
      </c>
      <c r="L185">
        <v>701000</v>
      </c>
      <c r="M185" s="97" t="s">
        <v>62</v>
      </c>
      <c r="N185" s="97" t="s">
        <v>33</v>
      </c>
      <c r="O185">
        <v>3464</v>
      </c>
      <c r="P185">
        <v>1.8</v>
      </c>
      <c r="Q185">
        <v>6.24</v>
      </c>
      <c r="R185" s="97" t="s">
        <v>1200</v>
      </c>
      <c r="S185" s="97" t="s">
        <v>195</v>
      </c>
    </row>
    <row r="186" spans="1:19" x14ac:dyDescent="0.3">
      <c r="A186" s="97" t="s">
        <v>724</v>
      </c>
      <c r="B186" s="97" t="s">
        <v>23</v>
      </c>
      <c r="C186">
        <v>2026</v>
      </c>
      <c r="D186">
        <v>1</v>
      </c>
      <c r="E186" s="2">
        <v>46030</v>
      </c>
      <c r="F186" s="97" t="s">
        <v>7</v>
      </c>
      <c r="G186" s="97" t="s">
        <v>8</v>
      </c>
      <c r="H186" s="97" t="s">
        <v>74</v>
      </c>
      <c r="I186" s="97" t="s">
        <v>77</v>
      </c>
      <c r="J186" s="97" t="s">
        <v>78</v>
      </c>
      <c r="K186" s="97" t="s">
        <v>73</v>
      </c>
      <c r="L186">
        <v>701000</v>
      </c>
      <c r="M186" s="97" t="s">
        <v>62</v>
      </c>
      <c r="N186" s="97" t="s">
        <v>33</v>
      </c>
      <c r="O186">
        <v>439</v>
      </c>
      <c r="P186">
        <v>1.78</v>
      </c>
      <c r="Q186">
        <v>0.78</v>
      </c>
      <c r="R186" s="97" t="s">
        <v>1205</v>
      </c>
      <c r="S186" s="97" t="s">
        <v>195</v>
      </c>
    </row>
    <row r="187" spans="1:19" x14ac:dyDescent="0.3">
      <c r="A187" s="97" t="s">
        <v>785</v>
      </c>
      <c r="B187" s="97" t="s">
        <v>23</v>
      </c>
      <c r="C187">
        <v>2026</v>
      </c>
      <c r="D187">
        <v>1</v>
      </c>
      <c r="E187" s="2">
        <v>46030</v>
      </c>
      <c r="F187" s="97" t="s">
        <v>7</v>
      </c>
      <c r="G187" s="97" t="s">
        <v>8</v>
      </c>
      <c r="H187" s="97" t="s">
        <v>70</v>
      </c>
      <c r="I187" s="97" t="s">
        <v>79</v>
      </c>
      <c r="J187" s="97" t="s">
        <v>80</v>
      </c>
      <c r="K187" s="97" t="s">
        <v>73</v>
      </c>
      <c r="L187">
        <v>701000</v>
      </c>
      <c r="M187" s="97" t="s">
        <v>62</v>
      </c>
      <c r="N187" s="97" t="s">
        <v>33</v>
      </c>
      <c r="O187">
        <v>2622</v>
      </c>
      <c r="P187">
        <v>2.6</v>
      </c>
      <c r="Q187">
        <v>6.82</v>
      </c>
      <c r="R187" s="97" t="s">
        <v>1202</v>
      </c>
      <c r="S187" s="97" t="s">
        <v>195</v>
      </c>
    </row>
    <row r="188" spans="1:19" x14ac:dyDescent="0.3">
      <c r="A188" s="97" t="s">
        <v>786</v>
      </c>
      <c r="B188" s="97" t="s">
        <v>23</v>
      </c>
      <c r="C188">
        <v>2026</v>
      </c>
      <c r="D188">
        <v>1</v>
      </c>
      <c r="E188" s="2">
        <v>46030</v>
      </c>
      <c r="F188" s="97" t="s">
        <v>7</v>
      </c>
      <c r="G188" s="97" t="s">
        <v>8</v>
      </c>
      <c r="H188" s="97" t="s">
        <v>70</v>
      </c>
      <c r="I188" s="97" t="s">
        <v>79</v>
      </c>
      <c r="J188" s="97" t="s">
        <v>80</v>
      </c>
      <c r="K188" s="97" t="s">
        <v>73</v>
      </c>
      <c r="L188">
        <v>701000</v>
      </c>
      <c r="M188" s="97" t="s">
        <v>62</v>
      </c>
      <c r="N188" s="97" t="s">
        <v>33</v>
      </c>
      <c r="O188">
        <v>1263</v>
      </c>
      <c r="P188">
        <v>2.6</v>
      </c>
      <c r="Q188">
        <v>3.28</v>
      </c>
      <c r="R188" s="97" t="s">
        <v>1198</v>
      </c>
      <c r="S188" s="97" t="s">
        <v>195</v>
      </c>
    </row>
    <row r="189" spans="1:19" x14ac:dyDescent="0.3">
      <c r="A189" s="97" t="s">
        <v>787</v>
      </c>
      <c r="B189" s="97" t="s">
        <v>23</v>
      </c>
      <c r="C189">
        <v>2026</v>
      </c>
      <c r="D189">
        <v>1</v>
      </c>
      <c r="E189" s="2">
        <v>46030</v>
      </c>
      <c r="F189" s="97" t="s">
        <v>7</v>
      </c>
      <c r="G189" s="97" t="s">
        <v>8</v>
      </c>
      <c r="H189" s="97" t="s">
        <v>70</v>
      </c>
      <c r="I189" s="97" t="s">
        <v>79</v>
      </c>
      <c r="J189" s="97" t="s">
        <v>80</v>
      </c>
      <c r="K189" s="97" t="s">
        <v>73</v>
      </c>
      <c r="L189">
        <v>701000</v>
      </c>
      <c r="M189" s="97" t="s">
        <v>62</v>
      </c>
      <c r="N189" s="97" t="s">
        <v>33</v>
      </c>
      <c r="O189">
        <v>2011</v>
      </c>
      <c r="P189">
        <v>2.6</v>
      </c>
      <c r="Q189">
        <v>5.23</v>
      </c>
      <c r="R189" s="97" t="s">
        <v>1200</v>
      </c>
      <c r="S189" s="97" t="s">
        <v>195</v>
      </c>
    </row>
    <row r="190" spans="1:19" x14ac:dyDescent="0.3">
      <c r="A190" s="97" t="s">
        <v>788</v>
      </c>
      <c r="B190" s="97" t="s">
        <v>23</v>
      </c>
      <c r="C190">
        <v>2026</v>
      </c>
      <c r="D190">
        <v>1</v>
      </c>
      <c r="E190" s="2">
        <v>46030</v>
      </c>
      <c r="F190" s="97" t="s">
        <v>7</v>
      </c>
      <c r="G190" s="97" t="s">
        <v>8</v>
      </c>
      <c r="H190" s="97" t="s">
        <v>70</v>
      </c>
      <c r="I190" s="97" t="s">
        <v>79</v>
      </c>
      <c r="J190" s="97" t="s">
        <v>80</v>
      </c>
      <c r="K190" s="97" t="s">
        <v>73</v>
      </c>
      <c r="L190">
        <v>701000</v>
      </c>
      <c r="M190" s="97" t="s">
        <v>62</v>
      </c>
      <c r="N190" s="97" t="s">
        <v>33</v>
      </c>
      <c r="O190">
        <v>1902</v>
      </c>
      <c r="P190">
        <v>2.6</v>
      </c>
      <c r="Q190">
        <v>4.9400000000000004</v>
      </c>
      <c r="R190" s="97" t="s">
        <v>1197</v>
      </c>
      <c r="S190" s="97" t="s">
        <v>195</v>
      </c>
    </row>
    <row r="191" spans="1:19" x14ac:dyDescent="0.3">
      <c r="A191" s="97" t="s">
        <v>789</v>
      </c>
      <c r="B191" s="97" t="s">
        <v>23</v>
      </c>
      <c r="C191">
        <v>2026</v>
      </c>
      <c r="D191">
        <v>1</v>
      </c>
      <c r="E191" s="2">
        <v>46030</v>
      </c>
      <c r="F191" s="97" t="s">
        <v>7</v>
      </c>
      <c r="G191" s="97" t="s">
        <v>8</v>
      </c>
      <c r="H191" s="97" t="s">
        <v>70</v>
      </c>
      <c r="I191" s="97" t="s">
        <v>79</v>
      </c>
      <c r="J191" s="97" t="s">
        <v>80</v>
      </c>
      <c r="K191" s="97" t="s">
        <v>73</v>
      </c>
      <c r="L191">
        <v>701000</v>
      </c>
      <c r="M191" s="97" t="s">
        <v>62</v>
      </c>
      <c r="N191" s="97" t="s">
        <v>33</v>
      </c>
      <c r="O191">
        <v>480</v>
      </c>
      <c r="P191">
        <v>2.6</v>
      </c>
      <c r="Q191">
        <v>1.25</v>
      </c>
      <c r="R191" s="97" t="s">
        <v>1201</v>
      </c>
      <c r="S191" s="97" t="s">
        <v>195</v>
      </c>
    </row>
    <row r="192" spans="1:19" x14ac:dyDescent="0.3">
      <c r="A192" s="97" t="s">
        <v>820</v>
      </c>
      <c r="B192" s="97" t="s">
        <v>23</v>
      </c>
      <c r="C192">
        <v>2026</v>
      </c>
      <c r="D192">
        <v>1</v>
      </c>
      <c r="E192" s="2">
        <v>46030</v>
      </c>
      <c r="F192" s="97" t="s">
        <v>7</v>
      </c>
      <c r="G192" s="97" t="s">
        <v>8</v>
      </c>
      <c r="H192" s="97" t="s">
        <v>70</v>
      </c>
      <c r="I192" s="97" t="s">
        <v>79</v>
      </c>
      <c r="J192" s="97" t="s">
        <v>80</v>
      </c>
      <c r="K192" s="97" t="s">
        <v>73</v>
      </c>
      <c r="L192">
        <v>701000</v>
      </c>
      <c r="M192" s="97" t="s">
        <v>62</v>
      </c>
      <c r="N192" s="97" t="s">
        <v>33</v>
      </c>
      <c r="O192">
        <v>1557</v>
      </c>
      <c r="P192">
        <v>2.6</v>
      </c>
      <c r="Q192">
        <v>4.05</v>
      </c>
      <c r="R192" s="97" t="s">
        <v>1198</v>
      </c>
      <c r="S192" s="97" t="s">
        <v>195</v>
      </c>
    </row>
    <row r="193" spans="1:19" x14ac:dyDescent="0.3">
      <c r="A193" s="97" t="s">
        <v>821</v>
      </c>
      <c r="B193" s="97" t="s">
        <v>23</v>
      </c>
      <c r="C193">
        <v>2026</v>
      </c>
      <c r="D193">
        <v>1</v>
      </c>
      <c r="E193" s="2">
        <v>46030</v>
      </c>
      <c r="F193" s="97" t="s">
        <v>7</v>
      </c>
      <c r="G193" s="97" t="s">
        <v>8</v>
      </c>
      <c r="H193" s="97" t="s">
        <v>70</v>
      </c>
      <c r="I193" s="97" t="s">
        <v>79</v>
      </c>
      <c r="J193" s="97" t="s">
        <v>80</v>
      </c>
      <c r="K193" s="97" t="s">
        <v>73</v>
      </c>
      <c r="L193">
        <v>701000</v>
      </c>
      <c r="M193" s="97" t="s">
        <v>62</v>
      </c>
      <c r="N193" s="97" t="s">
        <v>33</v>
      </c>
      <c r="O193">
        <v>933</v>
      </c>
      <c r="P193">
        <v>2.6</v>
      </c>
      <c r="Q193">
        <v>2.4300000000000002</v>
      </c>
      <c r="R193" s="97" t="s">
        <v>1200</v>
      </c>
      <c r="S193" s="97" t="s">
        <v>195</v>
      </c>
    </row>
    <row r="194" spans="1:19" x14ac:dyDescent="0.3">
      <c r="A194" s="97" t="s">
        <v>822</v>
      </c>
      <c r="B194" s="97" t="s">
        <v>23</v>
      </c>
      <c r="C194">
        <v>2026</v>
      </c>
      <c r="D194">
        <v>1</v>
      </c>
      <c r="E194" s="2">
        <v>46030</v>
      </c>
      <c r="F194" s="97" t="s">
        <v>7</v>
      </c>
      <c r="G194" s="97" t="s">
        <v>8</v>
      </c>
      <c r="H194" s="97" t="s">
        <v>70</v>
      </c>
      <c r="I194" s="97" t="s">
        <v>79</v>
      </c>
      <c r="J194" s="97" t="s">
        <v>80</v>
      </c>
      <c r="K194" s="97" t="s">
        <v>73</v>
      </c>
      <c r="L194">
        <v>701000</v>
      </c>
      <c r="M194" s="97" t="s">
        <v>62</v>
      </c>
      <c r="N194" s="97" t="s">
        <v>33</v>
      </c>
      <c r="O194">
        <v>600</v>
      </c>
      <c r="P194">
        <v>2.6</v>
      </c>
      <c r="Q194">
        <v>1.56</v>
      </c>
      <c r="R194" s="97" t="s">
        <v>1203</v>
      </c>
      <c r="S194" s="97" t="s">
        <v>195</v>
      </c>
    </row>
    <row r="195" spans="1:19" x14ac:dyDescent="0.3">
      <c r="A195" s="97" t="s">
        <v>823</v>
      </c>
      <c r="B195" s="97" t="s">
        <v>23</v>
      </c>
      <c r="C195">
        <v>2026</v>
      </c>
      <c r="D195">
        <v>1</v>
      </c>
      <c r="E195" s="2">
        <v>46030</v>
      </c>
      <c r="F195" s="97" t="s">
        <v>7</v>
      </c>
      <c r="G195" s="97" t="s">
        <v>8</v>
      </c>
      <c r="H195" s="97" t="s">
        <v>70</v>
      </c>
      <c r="I195" s="97" t="s">
        <v>79</v>
      </c>
      <c r="J195" s="97" t="s">
        <v>80</v>
      </c>
      <c r="K195" s="97" t="s">
        <v>73</v>
      </c>
      <c r="L195">
        <v>701000</v>
      </c>
      <c r="M195" s="97" t="s">
        <v>62</v>
      </c>
      <c r="N195" s="97" t="s">
        <v>33</v>
      </c>
      <c r="O195">
        <v>3038</v>
      </c>
      <c r="P195">
        <v>2.6</v>
      </c>
      <c r="Q195">
        <v>7.9</v>
      </c>
      <c r="R195" s="97" t="s">
        <v>1199</v>
      </c>
      <c r="S195" s="97" t="s">
        <v>195</v>
      </c>
    </row>
    <row r="196" spans="1:19" x14ac:dyDescent="0.3">
      <c r="A196" s="97" t="s">
        <v>824</v>
      </c>
      <c r="B196" s="97" t="s">
        <v>23</v>
      </c>
      <c r="C196">
        <v>2026</v>
      </c>
      <c r="D196">
        <v>1</v>
      </c>
      <c r="E196" s="2">
        <v>46030</v>
      </c>
      <c r="F196" s="97" t="s">
        <v>7</v>
      </c>
      <c r="G196" s="97" t="s">
        <v>8</v>
      </c>
      <c r="H196" s="97" t="s">
        <v>70</v>
      </c>
      <c r="I196" s="97" t="s">
        <v>79</v>
      </c>
      <c r="J196" s="97" t="s">
        <v>80</v>
      </c>
      <c r="K196" s="97" t="s">
        <v>73</v>
      </c>
      <c r="L196">
        <v>701000</v>
      </c>
      <c r="M196" s="97" t="s">
        <v>62</v>
      </c>
      <c r="N196" s="97" t="s">
        <v>33</v>
      </c>
      <c r="O196">
        <v>2604</v>
      </c>
      <c r="P196">
        <v>2.6</v>
      </c>
      <c r="Q196">
        <v>6.76</v>
      </c>
      <c r="R196" s="97" t="s">
        <v>1205</v>
      </c>
      <c r="S196" s="97" t="s">
        <v>195</v>
      </c>
    </row>
    <row r="197" spans="1:19" x14ac:dyDescent="0.3">
      <c r="A197" s="97" t="s">
        <v>905</v>
      </c>
      <c r="B197" s="97" t="s">
        <v>23</v>
      </c>
      <c r="C197">
        <v>2026</v>
      </c>
      <c r="D197">
        <v>1</v>
      </c>
      <c r="E197" s="2">
        <v>46030</v>
      </c>
      <c r="F197" s="97" t="s">
        <v>7</v>
      </c>
      <c r="G197" s="97" t="s">
        <v>8</v>
      </c>
      <c r="H197" s="97" t="s">
        <v>70</v>
      </c>
      <c r="I197" s="97" t="s">
        <v>82</v>
      </c>
      <c r="J197" s="97" t="s">
        <v>83</v>
      </c>
      <c r="K197" s="97" t="s">
        <v>73</v>
      </c>
      <c r="L197">
        <v>701000</v>
      </c>
      <c r="M197" s="97" t="s">
        <v>62</v>
      </c>
      <c r="N197" s="97" t="s">
        <v>33</v>
      </c>
      <c r="O197">
        <v>176</v>
      </c>
      <c r="P197">
        <v>18.47</v>
      </c>
      <c r="Q197">
        <v>3.25</v>
      </c>
      <c r="R197" s="97" t="s">
        <v>1202</v>
      </c>
      <c r="S197" s="97" t="s">
        <v>195</v>
      </c>
    </row>
    <row r="198" spans="1:19" x14ac:dyDescent="0.3">
      <c r="A198" s="97" t="s">
        <v>906</v>
      </c>
      <c r="B198" s="97" t="s">
        <v>23</v>
      </c>
      <c r="C198">
        <v>2026</v>
      </c>
      <c r="D198">
        <v>1</v>
      </c>
      <c r="E198" s="2">
        <v>46030</v>
      </c>
      <c r="F198" s="97" t="s">
        <v>7</v>
      </c>
      <c r="G198" s="97" t="s">
        <v>8</v>
      </c>
      <c r="H198" s="97" t="s">
        <v>70</v>
      </c>
      <c r="I198" s="97" t="s">
        <v>82</v>
      </c>
      <c r="J198" s="97" t="s">
        <v>83</v>
      </c>
      <c r="K198" s="97" t="s">
        <v>73</v>
      </c>
      <c r="L198">
        <v>701000</v>
      </c>
      <c r="M198" s="97" t="s">
        <v>62</v>
      </c>
      <c r="N198" s="97" t="s">
        <v>33</v>
      </c>
      <c r="O198">
        <v>16</v>
      </c>
      <c r="P198">
        <v>18.75</v>
      </c>
      <c r="Q198">
        <v>0.3</v>
      </c>
      <c r="R198" s="97" t="s">
        <v>1205</v>
      </c>
      <c r="S198" s="97" t="s">
        <v>195</v>
      </c>
    </row>
    <row r="199" spans="1:19" x14ac:dyDescent="0.3">
      <c r="A199" s="97" t="s">
        <v>907</v>
      </c>
      <c r="B199" s="97" t="s">
        <v>23</v>
      </c>
      <c r="C199">
        <v>2026</v>
      </c>
      <c r="D199">
        <v>1</v>
      </c>
      <c r="E199" s="2">
        <v>46030</v>
      </c>
      <c r="F199" s="97" t="s">
        <v>7</v>
      </c>
      <c r="G199" s="97" t="s">
        <v>8</v>
      </c>
      <c r="H199" s="97" t="s">
        <v>70</v>
      </c>
      <c r="I199" s="97" t="s">
        <v>82</v>
      </c>
      <c r="J199" s="97" t="s">
        <v>83</v>
      </c>
      <c r="K199" s="97" t="s">
        <v>73</v>
      </c>
      <c r="L199">
        <v>701000</v>
      </c>
      <c r="M199" s="97" t="s">
        <v>62</v>
      </c>
      <c r="N199" s="97" t="s">
        <v>33</v>
      </c>
      <c r="O199">
        <v>100</v>
      </c>
      <c r="P199">
        <v>18.399999999999999</v>
      </c>
      <c r="Q199">
        <v>1.84</v>
      </c>
      <c r="R199" s="97" t="s">
        <v>1203</v>
      </c>
      <c r="S199" s="97" t="s">
        <v>195</v>
      </c>
    </row>
    <row r="200" spans="1:19" x14ac:dyDescent="0.3">
      <c r="A200" s="97" t="s">
        <v>908</v>
      </c>
      <c r="B200" s="97" t="s">
        <v>23</v>
      </c>
      <c r="C200">
        <v>2026</v>
      </c>
      <c r="D200">
        <v>1</v>
      </c>
      <c r="E200" s="2">
        <v>46030</v>
      </c>
      <c r="F200" s="97" t="s">
        <v>7</v>
      </c>
      <c r="G200" s="97" t="s">
        <v>8</v>
      </c>
      <c r="H200" s="97" t="s">
        <v>70</v>
      </c>
      <c r="I200" s="97" t="s">
        <v>82</v>
      </c>
      <c r="J200" s="97" t="s">
        <v>83</v>
      </c>
      <c r="K200" s="97" t="s">
        <v>73</v>
      </c>
      <c r="L200">
        <v>701000</v>
      </c>
      <c r="M200" s="97" t="s">
        <v>62</v>
      </c>
      <c r="N200" s="97" t="s">
        <v>33</v>
      </c>
      <c r="O200">
        <v>203</v>
      </c>
      <c r="P200">
        <v>18.47</v>
      </c>
      <c r="Q200">
        <v>3.75</v>
      </c>
      <c r="R200" s="97" t="s">
        <v>1197</v>
      </c>
      <c r="S200" s="97" t="s">
        <v>195</v>
      </c>
    </row>
    <row r="201" spans="1:19" x14ac:dyDescent="0.3">
      <c r="A201" s="97" t="s">
        <v>909</v>
      </c>
      <c r="B201" s="97" t="s">
        <v>23</v>
      </c>
      <c r="C201">
        <v>2026</v>
      </c>
      <c r="D201">
        <v>1</v>
      </c>
      <c r="E201" s="2">
        <v>46030</v>
      </c>
      <c r="F201" s="97" t="s">
        <v>7</v>
      </c>
      <c r="G201" s="97" t="s">
        <v>8</v>
      </c>
      <c r="H201" s="97" t="s">
        <v>70</v>
      </c>
      <c r="I201" s="97" t="s">
        <v>82</v>
      </c>
      <c r="J201" s="97" t="s">
        <v>83</v>
      </c>
      <c r="K201" s="97" t="s">
        <v>73</v>
      </c>
      <c r="L201">
        <v>701000</v>
      </c>
      <c r="M201" s="97" t="s">
        <v>62</v>
      </c>
      <c r="N201" s="97" t="s">
        <v>33</v>
      </c>
      <c r="O201">
        <v>240</v>
      </c>
      <c r="P201">
        <v>18.54</v>
      </c>
      <c r="Q201">
        <v>4.45</v>
      </c>
      <c r="R201" s="97" t="s">
        <v>1198</v>
      </c>
      <c r="S201" s="97" t="s">
        <v>195</v>
      </c>
    </row>
    <row r="202" spans="1:19" x14ac:dyDescent="0.3">
      <c r="A202" s="97" t="s">
        <v>345</v>
      </c>
      <c r="B202" s="97" t="s">
        <v>23</v>
      </c>
      <c r="C202">
        <v>2026</v>
      </c>
      <c r="D202">
        <v>1</v>
      </c>
      <c r="E202" s="2">
        <v>46031</v>
      </c>
      <c r="F202" s="97" t="s">
        <v>7</v>
      </c>
      <c r="G202" s="97" t="s">
        <v>8</v>
      </c>
      <c r="H202" s="97" t="s">
        <v>70</v>
      </c>
      <c r="I202" s="97" t="s">
        <v>84</v>
      </c>
      <c r="J202" s="97" t="s">
        <v>85</v>
      </c>
      <c r="K202" s="97" t="s">
        <v>73</v>
      </c>
      <c r="L202">
        <v>701000</v>
      </c>
      <c r="M202" s="97" t="s">
        <v>62</v>
      </c>
      <c r="N202" s="97" t="s">
        <v>33</v>
      </c>
      <c r="O202">
        <v>1064</v>
      </c>
      <c r="P202">
        <v>0.95</v>
      </c>
      <c r="Q202">
        <v>1.01</v>
      </c>
      <c r="R202" s="97" t="s">
        <v>1202</v>
      </c>
      <c r="S202" s="97" t="s">
        <v>195</v>
      </c>
    </row>
    <row r="203" spans="1:19" x14ac:dyDescent="0.3">
      <c r="A203" s="97" t="s">
        <v>346</v>
      </c>
      <c r="B203" s="97" t="s">
        <v>23</v>
      </c>
      <c r="C203">
        <v>2026</v>
      </c>
      <c r="D203">
        <v>1</v>
      </c>
      <c r="E203" s="2">
        <v>46031</v>
      </c>
      <c r="F203" s="97" t="s">
        <v>7</v>
      </c>
      <c r="G203" s="97" t="s">
        <v>8</v>
      </c>
      <c r="H203" s="97" t="s">
        <v>70</v>
      </c>
      <c r="I203" s="97" t="s">
        <v>84</v>
      </c>
      <c r="J203" s="97" t="s">
        <v>85</v>
      </c>
      <c r="K203" s="97" t="s">
        <v>73</v>
      </c>
      <c r="L203">
        <v>701000</v>
      </c>
      <c r="M203" s="97" t="s">
        <v>62</v>
      </c>
      <c r="N203" s="97" t="s">
        <v>33</v>
      </c>
      <c r="O203">
        <v>2105</v>
      </c>
      <c r="P203">
        <v>0.95</v>
      </c>
      <c r="Q203">
        <v>2</v>
      </c>
      <c r="R203" s="97" t="s">
        <v>1198</v>
      </c>
      <c r="S203" s="97" t="s">
        <v>195</v>
      </c>
    </row>
    <row r="204" spans="1:19" x14ac:dyDescent="0.3">
      <c r="A204" s="97" t="s">
        <v>347</v>
      </c>
      <c r="B204" s="97" t="s">
        <v>23</v>
      </c>
      <c r="C204">
        <v>2026</v>
      </c>
      <c r="D204">
        <v>1</v>
      </c>
      <c r="E204" s="2">
        <v>46031</v>
      </c>
      <c r="F204" s="97" t="s">
        <v>7</v>
      </c>
      <c r="G204" s="97" t="s">
        <v>8</v>
      </c>
      <c r="H204" s="97" t="s">
        <v>70</v>
      </c>
      <c r="I204" s="97" t="s">
        <v>84</v>
      </c>
      <c r="J204" s="97" t="s">
        <v>85</v>
      </c>
      <c r="K204" s="97" t="s">
        <v>73</v>
      </c>
      <c r="L204">
        <v>701000</v>
      </c>
      <c r="M204" s="97" t="s">
        <v>62</v>
      </c>
      <c r="N204" s="97" t="s">
        <v>33</v>
      </c>
      <c r="O204">
        <v>2295</v>
      </c>
      <c r="P204">
        <v>0.95</v>
      </c>
      <c r="Q204">
        <v>2.1800000000000002</v>
      </c>
      <c r="R204" s="97" t="s">
        <v>1204</v>
      </c>
      <c r="S204" s="97" t="s">
        <v>195</v>
      </c>
    </row>
    <row r="205" spans="1:19" x14ac:dyDescent="0.3">
      <c r="A205" s="97" t="s">
        <v>348</v>
      </c>
      <c r="B205" s="97" t="s">
        <v>23</v>
      </c>
      <c r="C205">
        <v>2026</v>
      </c>
      <c r="D205">
        <v>1</v>
      </c>
      <c r="E205" s="2">
        <v>46031</v>
      </c>
      <c r="F205" s="97" t="s">
        <v>7</v>
      </c>
      <c r="G205" s="97" t="s">
        <v>8</v>
      </c>
      <c r="H205" s="97" t="s">
        <v>70</v>
      </c>
      <c r="I205" s="97" t="s">
        <v>84</v>
      </c>
      <c r="J205" s="97" t="s">
        <v>85</v>
      </c>
      <c r="K205" s="97" t="s">
        <v>73</v>
      </c>
      <c r="L205">
        <v>701000</v>
      </c>
      <c r="M205" s="97" t="s">
        <v>62</v>
      </c>
      <c r="N205" s="97" t="s">
        <v>33</v>
      </c>
      <c r="O205">
        <v>1547</v>
      </c>
      <c r="P205">
        <v>0.95</v>
      </c>
      <c r="Q205">
        <v>1.47</v>
      </c>
      <c r="R205" s="97" t="s">
        <v>1201</v>
      </c>
      <c r="S205" s="97" t="s">
        <v>195</v>
      </c>
    </row>
    <row r="206" spans="1:19" x14ac:dyDescent="0.3">
      <c r="A206" s="97" t="s">
        <v>349</v>
      </c>
      <c r="B206" s="97" t="s">
        <v>23</v>
      </c>
      <c r="C206">
        <v>2026</v>
      </c>
      <c r="D206">
        <v>1</v>
      </c>
      <c r="E206" s="2">
        <v>46031</v>
      </c>
      <c r="F206" s="97" t="s">
        <v>7</v>
      </c>
      <c r="G206" s="97" t="s">
        <v>8</v>
      </c>
      <c r="H206" s="97" t="s">
        <v>70</v>
      </c>
      <c r="I206" s="97" t="s">
        <v>84</v>
      </c>
      <c r="J206" s="97" t="s">
        <v>85</v>
      </c>
      <c r="K206" s="97" t="s">
        <v>73</v>
      </c>
      <c r="L206">
        <v>701000</v>
      </c>
      <c r="M206" s="97" t="s">
        <v>62</v>
      </c>
      <c r="N206" s="97" t="s">
        <v>33</v>
      </c>
      <c r="O206">
        <v>6960</v>
      </c>
      <c r="P206">
        <v>0.95</v>
      </c>
      <c r="Q206">
        <v>6.61</v>
      </c>
      <c r="R206" s="97" t="s">
        <v>1197</v>
      </c>
      <c r="S206" s="97" t="s">
        <v>195</v>
      </c>
    </row>
    <row r="207" spans="1:19" x14ac:dyDescent="0.3">
      <c r="A207" s="97" t="s">
        <v>355</v>
      </c>
      <c r="B207" s="97" t="s">
        <v>23</v>
      </c>
      <c r="C207">
        <v>2026</v>
      </c>
      <c r="D207">
        <v>1</v>
      </c>
      <c r="E207" s="2">
        <v>46031</v>
      </c>
      <c r="F207" s="97" t="s">
        <v>7</v>
      </c>
      <c r="G207" s="97" t="s">
        <v>8</v>
      </c>
      <c r="H207" s="97" t="s">
        <v>74</v>
      </c>
      <c r="I207" s="97" t="s">
        <v>84</v>
      </c>
      <c r="J207" s="97" t="s">
        <v>85</v>
      </c>
      <c r="K207" s="97" t="s">
        <v>73</v>
      </c>
      <c r="L207">
        <v>701000</v>
      </c>
      <c r="M207" s="97" t="s">
        <v>62</v>
      </c>
      <c r="N207" s="97" t="s">
        <v>33</v>
      </c>
      <c r="O207">
        <v>2218</v>
      </c>
      <c r="P207">
        <v>0.95</v>
      </c>
      <c r="Q207">
        <v>2.11</v>
      </c>
      <c r="R207" s="97" t="s">
        <v>1203</v>
      </c>
      <c r="S207" s="97" t="s">
        <v>195</v>
      </c>
    </row>
    <row r="208" spans="1:19" x14ac:dyDescent="0.3">
      <c r="A208" s="97" t="s">
        <v>356</v>
      </c>
      <c r="B208" s="97" t="s">
        <v>23</v>
      </c>
      <c r="C208">
        <v>2026</v>
      </c>
      <c r="D208">
        <v>1</v>
      </c>
      <c r="E208" s="2">
        <v>46031</v>
      </c>
      <c r="F208" s="97" t="s">
        <v>7</v>
      </c>
      <c r="G208" s="97" t="s">
        <v>8</v>
      </c>
      <c r="H208" s="97" t="s">
        <v>74</v>
      </c>
      <c r="I208" s="97" t="s">
        <v>84</v>
      </c>
      <c r="J208" s="97" t="s">
        <v>85</v>
      </c>
      <c r="K208" s="97" t="s">
        <v>73</v>
      </c>
      <c r="L208">
        <v>701000</v>
      </c>
      <c r="M208" s="97" t="s">
        <v>62</v>
      </c>
      <c r="N208" s="97" t="s">
        <v>33</v>
      </c>
      <c r="O208">
        <v>3944</v>
      </c>
      <c r="P208">
        <v>0.95</v>
      </c>
      <c r="Q208">
        <v>3.75</v>
      </c>
      <c r="R208" s="97" t="s">
        <v>1198</v>
      </c>
      <c r="S208" s="97" t="s">
        <v>195</v>
      </c>
    </row>
    <row r="209" spans="1:19" x14ac:dyDescent="0.3">
      <c r="A209" s="97" t="s">
        <v>357</v>
      </c>
      <c r="B209" s="97" t="s">
        <v>23</v>
      </c>
      <c r="C209">
        <v>2026</v>
      </c>
      <c r="D209">
        <v>1</v>
      </c>
      <c r="E209" s="2">
        <v>46031</v>
      </c>
      <c r="F209" s="97" t="s">
        <v>7</v>
      </c>
      <c r="G209" s="97" t="s">
        <v>8</v>
      </c>
      <c r="H209" s="97" t="s">
        <v>74</v>
      </c>
      <c r="I209" s="97" t="s">
        <v>84</v>
      </c>
      <c r="J209" s="97" t="s">
        <v>85</v>
      </c>
      <c r="K209" s="97" t="s">
        <v>73</v>
      </c>
      <c r="L209">
        <v>701000</v>
      </c>
      <c r="M209" s="97" t="s">
        <v>62</v>
      </c>
      <c r="N209" s="97" t="s">
        <v>33</v>
      </c>
      <c r="O209">
        <v>2701</v>
      </c>
      <c r="P209">
        <v>0.95</v>
      </c>
      <c r="Q209">
        <v>2.57</v>
      </c>
      <c r="R209" s="97" t="s">
        <v>1199</v>
      </c>
      <c r="S209" s="97" t="s">
        <v>195</v>
      </c>
    </row>
    <row r="210" spans="1:19" x14ac:dyDescent="0.3">
      <c r="A210" s="97" t="s">
        <v>358</v>
      </c>
      <c r="B210" s="97" t="s">
        <v>23</v>
      </c>
      <c r="C210">
        <v>2026</v>
      </c>
      <c r="D210">
        <v>1</v>
      </c>
      <c r="E210" s="2">
        <v>46031</v>
      </c>
      <c r="F210" s="97" t="s">
        <v>7</v>
      </c>
      <c r="G210" s="97" t="s">
        <v>8</v>
      </c>
      <c r="H210" s="97" t="s">
        <v>74</v>
      </c>
      <c r="I210" s="97" t="s">
        <v>84</v>
      </c>
      <c r="J210" s="97" t="s">
        <v>85</v>
      </c>
      <c r="K210" s="97" t="s">
        <v>73</v>
      </c>
      <c r="L210">
        <v>701000</v>
      </c>
      <c r="M210" s="97" t="s">
        <v>62</v>
      </c>
      <c r="N210" s="97" t="s">
        <v>33</v>
      </c>
      <c r="O210">
        <v>6573</v>
      </c>
      <c r="P210">
        <v>0.95</v>
      </c>
      <c r="Q210">
        <v>6.24</v>
      </c>
      <c r="R210" s="97" t="s">
        <v>1202</v>
      </c>
      <c r="S210" s="97" t="s">
        <v>195</v>
      </c>
    </row>
    <row r="211" spans="1:19" x14ac:dyDescent="0.3">
      <c r="A211" s="97" t="s">
        <v>359</v>
      </c>
      <c r="B211" s="97" t="s">
        <v>23</v>
      </c>
      <c r="C211">
        <v>2026</v>
      </c>
      <c r="D211">
        <v>1</v>
      </c>
      <c r="E211" s="2">
        <v>46031</v>
      </c>
      <c r="F211" s="97" t="s">
        <v>7</v>
      </c>
      <c r="G211" s="97" t="s">
        <v>8</v>
      </c>
      <c r="H211" s="97" t="s">
        <v>74</v>
      </c>
      <c r="I211" s="97" t="s">
        <v>84</v>
      </c>
      <c r="J211" s="97" t="s">
        <v>85</v>
      </c>
      <c r="K211" s="97" t="s">
        <v>73</v>
      </c>
      <c r="L211">
        <v>701000</v>
      </c>
      <c r="M211" s="97" t="s">
        <v>62</v>
      </c>
      <c r="N211" s="97" t="s">
        <v>33</v>
      </c>
      <c r="O211">
        <v>217</v>
      </c>
      <c r="P211">
        <v>0.92</v>
      </c>
      <c r="Q211">
        <v>0.2</v>
      </c>
      <c r="R211" s="97" t="s">
        <v>1197</v>
      </c>
      <c r="S211" s="97" t="s">
        <v>195</v>
      </c>
    </row>
    <row r="212" spans="1:19" x14ac:dyDescent="0.3">
      <c r="A212" s="97" t="s">
        <v>485</v>
      </c>
      <c r="B212" s="97" t="s">
        <v>23</v>
      </c>
      <c r="C212">
        <v>2026</v>
      </c>
      <c r="D212">
        <v>1</v>
      </c>
      <c r="E212" s="2">
        <v>46031</v>
      </c>
      <c r="F212" s="97" t="s">
        <v>7</v>
      </c>
      <c r="G212" s="97" t="s">
        <v>8</v>
      </c>
      <c r="H212" s="97" t="s">
        <v>74</v>
      </c>
      <c r="I212" s="97" t="s">
        <v>71</v>
      </c>
      <c r="J212" s="97" t="s">
        <v>72</v>
      </c>
      <c r="K212" s="97" t="s">
        <v>73</v>
      </c>
      <c r="L212">
        <v>701000</v>
      </c>
      <c r="M212" s="97" t="s">
        <v>62</v>
      </c>
      <c r="N212" s="97" t="s">
        <v>33</v>
      </c>
      <c r="O212">
        <v>2310</v>
      </c>
      <c r="P212">
        <v>1.05</v>
      </c>
      <c r="Q212">
        <v>2.4300000000000002</v>
      </c>
      <c r="R212" s="97" t="s">
        <v>1200</v>
      </c>
      <c r="S212" s="97" t="s">
        <v>195</v>
      </c>
    </row>
    <row r="213" spans="1:19" x14ac:dyDescent="0.3">
      <c r="A213" s="97" t="s">
        <v>486</v>
      </c>
      <c r="B213" s="97" t="s">
        <v>23</v>
      </c>
      <c r="C213">
        <v>2026</v>
      </c>
      <c r="D213">
        <v>1</v>
      </c>
      <c r="E213" s="2">
        <v>46031</v>
      </c>
      <c r="F213" s="97" t="s">
        <v>7</v>
      </c>
      <c r="G213" s="97" t="s">
        <v>8</v>
      </c>
      <c r="H213" s="97" t="s">
        <v>74</v>
      </c>
      <c r="I213" s="97" t="s">
        <v>71</v>
      </c>
      <c r="J213" s="97" t="s">
        <v>72</v>
      </c>
      <c r="K213" s="97" t="s">
        <v>73</v>
      </c>
      <c r="L213">
        <v>701000</v>
      </c>
      <c r="M213" s="97" t="s">
        <v>62</v>
      </c>
      <c r="N213" s="97" t="s">
        <v>33</v>
      </c>
      <c r="O213">
        <v>2103</v>
      </c>
      <c r="P213">
        <v>1.05</v>
      </c>
      <c r="Q213">
        <v>2.21</v>
      </c>
      <c r="R213" s="97" t="s">
        <v>1204</v>
      </c>
      <c r="S213" s="97" t="s">
        <v>195</v>
      </c>
    </row>
    <row r="214" spans="1:19" x14ac:dyDescent="0.3">
      <c r="A214" s="97" t="s">
        <v>487</v>
      </c>
      <c r="B214" s="97" t="s">
        <v>23</v>
      </c>
      <c r="C214">
        <v>2026</v>
      </c>
      <c r="D214">
        <v>1</v>
      </c>
      <c r="E214" s="2">
        <v>46031</v>
      </c>
      <c r="F214" s="97" t="s">
        <v>7</v>
      </c>
      <c r="G214" s="97" t="s">
        <v>8</v>
      </c>
      <c r="H214" s="97" t="s">
        <v>74</v>
      </c>
      <c r="I214" s="97" t="s">
        <v>71</v>
      </c>
      <c r="J214" s="97" t="s">
        <v>72</v>
      </c>
      <c r="K214" s="97" t="s">
        <v>73</v>
      </c>
      <c r="L214">
        <v>701000</v>
      </c>
      <c r="M214" s="97" t="s">
        <v>62</v>
      </c>
      <c r="N214" s="97" t="s">
        <v>33</v>
      </c>
      <c r="O214">
        <v>731</v>
      </c>
      <c r="P214">
        <v>1.05</v>
      </c>
      <c r="Q214">
        <v>0.77</v>
      </c>
      <c r="R214" s="97" t="s">
        <v>1201</v>
      </c>
      <c r="S214" s="97" t="s">
        <v>195</v>
      </c>
    </row>
    <row r="215" spans="1:19" x14ac:dyDescent="0.3">
      <c r="A215" s="97" t="s">
        <v>488</v>
      </c>
      <c r="B215" s="97" t="s">
        <v>23</v>
      </c>
      <c r="C215">
        <v>2026</v>
      </c>
      <c r="D215">
        <v>1</v>
      </c>
      <c r="E215" s="2">
        <v>46031</v>
      </c>
      <c r="F215" s="97" t="s">
        <v>7</v>
      </c>
      <c r="G215" s="97" t="s">
        <v>8</v>
      </c>
      <c r="H215" s="97" t="s">
        <v>74</v>
      </c>
      <c r="I215" s="97" t="s">
        <v>71</v>
      </c>
      <c r="J215" s="97" t="s">
        <v>72</v>
      </c>
      <c r="K215" s="97" t="s">
        <v>73</v>
      </c>
      <c r="L215">
        <v>701000</v>
      </c>
      <c r="M215" s="97" t="s">
        <v>62</v>
      </c>
      <c r="N215" s="97" t="s">
        <v>33</v>
      </c>
      <c r="O215">
        <v>860</v>
      </c>
      <c r="P215">
        <v>1.05</v>
      </c>
      <c r="Q215">
        <v>0.9</v>
      </c>
      <c r="R215" s="97" t="s">
        <v>1199</v>
      </c>
      <c r="S215" s="97" t="s">
        <v>195</v>
      </c>
    </row>
    <row r="216" spans="1:19" x14ac:dyDescent="0.3">
      <c r="A216" s="97" t="s">
        <v>489</v>
      </c>
      <c r="B216" s="97" t="s">
        <v>23</v>
      </c>
      <c r="C216">
        <v>2026</v>
      </c>
      <c r="D216">
        <v>1</v>
      </c>
      <c r="E216" s="2">
        <v>46031</v>
      </c>
      <c r="F216" s="97" t="s">
        <v>7</v>
      </c>
      <c r="G216" s="97" t="s">
        <v>8</v>
      </c>
      <c r="H216" s="97" t="s">
        <v>74</v>
      </c>
      <c r="I216" s="97" t="s">
        <v>71</v>
      </c>
      <c r="J216" s="97" t="s">
        <v>72</v>
      </c>
      <c r="K216" s="97" t="s">
        <v>73</v>
      </c>
      <c r="L216">
        <v>701000</v>
      </c>
      <c r="M216" s="97" t="s">
        <v>62</v>
      </c>
      <c r="N216" s="97" t="s">
        <v>33</v>
      </c>
      <c r="O216">
        <v>3517</v>
      </c>
      <c r="P216">
        <v>1.05</v>
      </c>
      <c r="Q216">
        <v>3.69</v>
      </c>
      <c r="R216" s="97" t="s">
        <v>1203</v>
      </c>
      <c r="S216" s="97" t="s">
        <v>195</v>
      </c>
    </row>
    <row r="217" spans="1:19" x14ac:dyDescent="0.3">
      <c r="A217" s="97" t="s">
        <v>540</v>
      </c>
      <c r="B217" s="97" t="s">
        <v>23</v>
      </c>
      <c r="C217">
        <v>2026</v>
      </c>
      <c r="D217">
        <v>1</v>
      </c>
      <c r="E217" s="2">
        <v>46031</v>
      </c>
      <c r="F217" s="97" t="s">
        <v>7</v>
      </c>
      <c r="G217" s="97" t="s">
        <v>8</v>
      </c>
      <c r="H217" s="97" t="s">
        <v>74</v>
      </c>
      <c r="I217" s="97" t="s">
        <v>75</v>
      </c>
      <c r="J217" s="97" t="s">
        <v>76</v>
      </c>
      <c r="K217" s="97" t="s">
        <v>73</v>
      </c>
      <c r="L217">
        <v>701000</v>
      </c>
      <c r="M217" s="97" t="s">
        <v>62</v>
      </c>
      <c r="N217" s="97" t="s">
        <v>33</v>
      </c>
      <c r="O217">
        <v>447</v>
      </c>
      <c r="P217">
        <v>1.41</v>
      </c>
      <c r="Q217">
        <v>0.63</v>
      </c>
      <c r="R217" s="97" t="s">
        <v>1204</v>
      </c>
      <c r="S217" s="97" t="s">
        <v>195</v>
      </c>
    </row>
    <row r="218" spans="1:19" x14ac:dyDescent="0.3">
      <c r="A218" s="97" t="s">
        <v>541</v>
      </c>
      <c r="B218" s="97" t="s">
        <v>23</v>
      </c>
      <c r="C218">
        <v>2026</v>
      </c>
      <c r="D218">
        <v>1</v>
      </c>
      <c r="E218" s="2">
        <v>46031</v>
      </c>
      <c r="F218" s="97" t="s">
        <v>7</v>
      </c>
      <c r="G218" s="97" t="s">
        <v>8</v>
      </c>
      <c r="H218" s="97" t="s">
        <v>74</v>
      </c>
      <c r="I218" s="97" t="s">
        <v>75</v>
      </c>
      <c r="J218" s="97" t="s">
        <v>76</v>
      </c>
      <c r="K218" s="97" t="s">
        <v>73</v>
      </c>
      <c r="L218">
        <v>701000</v>
      </c>
      <c r="M218" s="97" t="s">
        <v>62</v>
      </c>
      <c r="N218" s="97" t="s">
        <v>33</v>
      </c>
      <c r="O218">
        <v>1458</v>
      </c>
      <c r="P218">
        <v>1.4</v>
      </c>
      <c r="Q218">
        <v>2.04</v>
      </c>
      <c r="R218" s="97" t="s">
        <v>1197</v>
      </c>
      <c r="S218" s="97" t="s">
        <v>195</v>
      </c>
    </row>
    <row r="219" spans="1:19" x14ac:dyDescent="0.3">
      <c r="A219" s="97" t="s">
        <v>542</v>
      </c>
      <c r="B219" s="97" t="s">
        <v>23</v>
      </c>
      <c r="C219">
        <v>2026</v>
      </c>
      <c r="D219">
        <v>1</v>
      </c>
      <c r="E219" s="2">
        <v>46031</v>
      </c>
      <c r="F219" s="97" t="s">
        <v>7</v>
      </c>
      <c r="G219" s="97" t="s">
        <v>8</v>
      </c>
      <c r="H219" s="97" t="s">
        <v>74</v>
      </c>
      <c r="I219" s="97" t="s">
        <v>75</v>
      </c>
      <c r="J219" s="97" t="s">
        <v>76</v>
      </c>
      <c r="K219" s="97" t="s">
        <v>73</v>
      </c>
      <c r="L219">
        <v>701000</v>
      </c>
      <c r="M219" s="97" t="s">
        <v>62</v>
      </c>
      <c r="N219" s="97" t="s">
        <v>33</v>
      </c>
      <c r="O219">
        <v>1870</v>
      </c>
      <c r="P219">
        <v>1.4</v>
      </c>
      <c r="Q219">
        <v>2.62</v>
      </c>
      <c r="R219" s="97" t="s">
        <v>1198</v>
      </c>
      <c r="S219" s="97" t="s">
        <v>195</v>
      </c>
    </row>
    <row r="220" spans="1:19" x14ac:dyDescent="0.3">
      <c r="A220" s="97" t="s">
        <v>543</v>
      </c>
      <c r="B220" s="97" t="s">
        <v>23</v>
      </c>
      <c r="C220">
        <v>2026</v>
      </c>
      <c r="D220">
        <v>1</v>
      </c>
      <c r="E220" s="2">
        <v>46031</v>
      </c>
      <c r="F220" s="97" t="s">
        <v>7</v>
      </c>
      <c r="G220" s="97" t="s">
        <v>8</v>
      </c>
      <c r="H220" s="97" t="s">
        <v>74</v>
      </c>
      <c r="I220" s="97" t="s">
        <v>75</v>
      </c>
      <c r="J220" s="97" t="s">
        <v>76</v>
      </c>
      <c r="K220" s="97" t="s">
        <v>73</v>
      </c>
      <c r="L220">
        <v>701000</v>
      </c>
      <c r="M220" s="97" t="s">
        <v>62</v>
      </c>
      <c r="N220" s="97" t="s">
        <v>33</v>
      </c>
      <c r="O220">
        <v>2043</v>
      </c>
      <c r="P220">
        <v>1.4</v>
      </c>
      <c r="Q220">
        <v>2.86</v>
      </c>
      <c r="R220" s="97" t="s">
        <v>1200</v>
      </c>
      <c r="S220" s="97" t="s">
        <v>195</v>
      </c>
    </row>
    <row r="221" spans="1:19" x14ac:dyDescent="0.3">
      <c r="A221" s="97" t="s">
        <v>544</v>
      </c>
      <c r="B221" s="97" t="s">
        <v>23</v>
      </c>
      <c r="C221">
        <v>2026</v>
      </c>
      <c r="D221">
        <v>1</v>
      </c>
      <c r="E221" s="2">
        <v>46031</v>
      </c>
      <c r="F221" s="97" t="s">
        <v>7</v>
      </c>
      <c r="G221" s="97" t="s">
        <v>8</v>
      </c>
      <c r="H221" s="97" t="s">
        <v>74</v>
      </c>
      <c r="I221" s="97" t="s">
        <v>75</v>
      </c>
      <c r="J221" s="97" t="s">
        <v>76</v>
      </c>
      <c r="K221" s="97" t="s">
        <v>73</v>
      </c>
      <c r="L221">
        <v>701000</v>
      </c>
      <c r="M221" s="97" t="s">
        <v>62</v>
      </c>
      <c r="N221" s="97" t="s">
        <v>33</v>
      </c>
      <c r="O221">
        <v>1624</v>
      </c>
      <c r="P221">
        <v>1.4</v>
      </c>
      <c r="Q221">
        <v>2.27</v>
      </c>
      <c r="R221" s="97" t="s">
        <v>1202</v>
      </c>
      <c r="S221" s="97" t="s">
        <v>195</v>
      </c>
    </row>
    <row r="222" spans="1:19" x14ac:dyDescent="0.3">
      <c r="A222" s="97" t="s">
        <v>585</v>
      </c>
      <c r="B222" s="97" t="s">
        <v>23</v>
      </c>
      <c r="C222">
        <v>2026</v>
      </c>
      <c r="D222">
        <v>1</v>
      </c>
      <c r="E222" s="2">
        <v>46031</v>
      </c>
      <c r="F222" s="97" t="s">
        <v>7</v>
      </c>
      <c r="G222" s="97" t="s">
        <v>8</v>
      </c>
      <c r="H222" s="97" t="s">
        <v>74</v>
      </c>
      <c r="I222" s="97" t="s">
        <v>75</v>
      </c>
      <c r="J222" s="97" t="s">
        <v>76</v>
      </c>
      <c r="K222" s="97" t="s">
        <v>73</v>
      </c>
      <c r="L222">
        <v>706000</v>
      </c>
      <c r="M222" s="97" t="s">
        <v>63</v>
      </c>
      <c r="N222" s="97" t="s">
        <v>33</v>
      </c>
      <c r="O222">
        <v>935</v>
      </c>
      <c r="P222">
        <v>1.4</v>
      </c>
      <c r="Q222">
        <v>1.31</v>
      </c>
      <c r="R222" s="97" t="s">
        <v>1201</v>
      </c>
      <c r="S222" s="97" t="s">
        <v>195</v>
      </c>
    </row>
    <row r="223" spans="1:19" x14ac:dyDescent="0.3">
      <c r="A223" s="97" t="s">
        <v>586</v>
      </c>
      <c r="B223" s="97" t="s">
        <v>23</v>
      </c>
      <c r="C223">
        <v>2026</v>
      </c>
      <c r="D223">
        <v>1</v>
      </c>
      <c r="E223" s="2">
        <v>46031</v>
      </c>
      <c r="F223" s="97" t="s">
        <v>7</v>
      </c>
      <c r="G223" s="97" t="s">
        <v>8</v>
      </c>
      <c r="H223" s="97" t="s">
        <v>74</v>
      </c>
      <c r="I223" s="97" t="s">
        <v>75</v>
      </c>
      <c r="J223" s="97" t="s">
        <v>76</v>
      </c>
      <c r="K223" s="97" t="s">
        <v>73</v>
      </c>
      <c r="L223">
        <v>706000</v>
      </c>
      <c r="M223" s="97" t="s">
        <v>63</v>
      </c>
      <c r="N223" s="97" t="s">
        <v>33</v>
      </c>
      <c r="O223">
        <v>975</v>
      </c>
      <c r="P223">
        <v>1.41</v>
      </c>
      <c r="Q223">
        <v>1.37</v>
      </c>
      <c r="R223" s="97" t="s">
        <v>1203</v>
      </c>
      <c r="S223" s="97" t="s">
        <v>195</v>
      </c>
    </row>
    <row r="224" spans="1:19" x14ac:dyDescent="0.3">
      <c r="A224" s="97" t="s">
        <v>587</v>
      </c>
      <c r="B224" s="97" t="s">
        <v>23</v>
      </c>
      <c r="C224">
        <v>2026</v>
      </c>
      <c r="D224">
        <v>1</v>
      </c>
      <c r="E224" s="2">
        <v>46031</v>
      </c>
      <c r="F224" s="97" t="s">
        <v>7</v>
      </c>
      <c r="G224" s="97" t="s">
        <v>8</v>
      </c>
      <c r="H224" s="97" t="s">
        <v>74</v>
      </c>
      <c r="I224" s="97" t="s">
        <v>75</v>
      </c>
      <c r="J224" s="97" t="s">
        <v>76</v>
      </c>
      <c r="K224" s="97" t="s">
        <v>73</v>
      </c>
      <c r="L224">
        <v>706000</v>
      </c>
      <c r="M224" s="97" t="s">
        <v>63</v>
      </c>
      <c r="N224" s="97" t="s">
        <v>33</v>
      </c>
      <c r="O224">
        <v>1514</v>
      </c>
      <c r="P224">
        <v>1.4</v>
      </c>
      <c r="Q224">
        <v>2.12</v>
      </c>
      <c r="R224" s="97" t="s">
        <v>1200</v>
      </c>
      <c r="S224" s="97" t="s">
        <v>195</v>
      </c>
    </row>
    <row r="225" spans="1:19" x14ac:dyDescent="0.3">
      <c r="A225" s="97" t="s">
        <v>588</v>
      </c>
      <c r="B225" s="97" t="s">
        <v>23</v>
      </c>
      <c r="C225">
        <v>2026</v>
      </c>
      <c r="D225">
        <v>1</v>
      </c>
      <c r="E225" s="2">
        <v>46031</v>
      </c>
      <c r="F225" s="97" t="s">
        <v>7</v>
      </c>
      <c r="G225" s="97" t="s">
        <v>8</v>
      </c>
      <c r="H225" s="97" t="s">
        <v>74</v>
      </c>
      <c r="I225" s="97" t="s">
        <v>75</v>
      </c>
      <c r="J225" s="97" t="s">
        <v>76</v>
      </c>
      <c r="K225" s="97" t="s">
        <v>73</v>
      </c>
      <c r="L225">
        <v>706000</v>
      </c>
      <c r="M225" s="97" t="s">
        <v>63</v>
      </c>
      <c r="N225" s="97" t="s">
        <v>33</v>
      </c>
      <c r="O225">
        <v>635</v>
      </c>
      <c r="P225">
        <v>1.4</v>
      </c>
      <c r="Q225">
        <v>0.89</v>
      </c>
      <c r="R225" s="97" t="s">
        <v>1197</v>
      </c>
      <c r="S225" s="97" t="s">
        <v>195</v>
      </c>
    </row>
    <row r="226" spans="1:19" x14ac:dyDescent="0.3">
      <c r="A226" s="97" t="s">
        <v>589</v>
      </c>
      <c r="B226" s="97" t="s">
        <v>23</v>
      </c>
      <c r="C226">
        <v>2026</v>
      </c>
      <c r="D226">
        <v>1</v>
      </c>
      <c r="E226" s="2">
        <v>46031</v>
      </c>
      <c r="F226" s="97" t="s">
        <v>7</v>
      </c>
      <c r="G226" s="97" t="s">
        <v>8</v>
      </c>
      <c r="H226" s="97" t="s">
        <v>74</v>
      </c>
      <c r="I226" s="97" t="s">
        <v>75</v>
      </c>
      <c r="J226" s="97" t="s">
        <v>76</v>
      </c>
      <c r="K226" s="97" t="s">
        <v>73</v>
      </c>
      <c r="L226">
        <v>706000</v>
      </c>
      <c r="M226" s="97" t="s">
        <v>63</v>
      </c>
      <c r="N226" s="97" t="s">
        <v>33</v>
      </c>
      <c r="O226">
        <v>2589</v>
      </c>
      <c r="P226">
        <v>1.4</v>
      </c>
      <c r="Q226">
        <v>3.62</v>
      </c>
      <c r="R226" s="97" t="s">
        <v>1205</v>
      </c>
      <c r="S226" s="97" t="s">
        <v>195</v>
      </c>
    </row>
    <row r="227" spans="1:19" x14ac:dyDescent="0.3">
      <c r="A227" s="97" t="s">
        <v>640</v>
      </c>
      <c r="B227" s="97" t="s">
        <v>23</v>
      </c>
      <c r="C227">
        <v>2026</v>
      </c>
      <c r="D227">
        <v>1</v>
      </c>
      <c r="E227" s="2">
        <v>46031</v>
      </c>
      <c r="F227" s="97" t="s">
        <v>7</v>
      </c>
      <c r="G227" s="97" t="s">
        <v>8</v>
      </c>
      <c r="H227" s="97" t="s">
        <v>70</v>
      </c>
      <c r="I227" s="97" t="s">
        <v>75</v>
      </c>
      <c r="J227" s="97" t="s">
        <v>76</v>
      </c>
      <c r="K227" s="97" t="s">
        <v>73</v>
      </c>
      <c r="L227">
        <v>701000</v>
      </c>
      <c r="M227" s="97" t="s">
        <v>62</v>
      </c>
      <c r="N227" s="97" t="s">
        <v>33</v>
      </c>
      <c r="O227">
        <v>752</v>
      </c>
      <c r="P227">
        <v>1.4</v>
      </c>
      <c r="Q227">
        <v>1.05</v>
      </c>
      <c r="R227" s="97" t="s">
        <v>1203</v>
      </c>
      <c r="S227" s="97" t="s">
        <v>195</v>
      </c>
    </row>
    <row r="228" spans="1:19" x14ac:dyDescent="0.3">
      <c r="A228" s="97" t="s">
        <v>641</v>
      </c>
      <c r="B228" s="97" t="s">
        <v>23</v>
      </c>
      <c r="C228">
        <v>2026</v>
      </c>
      <c r="D228">
        <v>1</v>
      </c>
      <c r="E228" s="2">
        <v>46031</v>
      </c>
      <c r="F228" s="97" t="s">
        <v>7</v>
      </c>
      <c r="G228" s="97" t="s">
        <v>8</v>
      </c>
      <c r="H228" s="97" t="s">
        <v>70</v>
      </c>
      <c r="I228" s="97" t="s">
        <v>75</v>
      </c>
      <c r="J228" s="97" t="s">
        <v>76</v>
      </c>
      <c r="K228" s="97" t="s">
        <v>73</v>
      </c>
      <c r="L228">
        <v>701000</v>
      </c>
      <c r="M228" s="97" t="s">
        <v>62</v>
      </c>
      <c r="N228" s="97" t="s">
        <v>33</v>
      </c>
      <c r="O228">
        <v>339</v>
      </c>
      <c r="P228">
        <v>1.39</v>
      </c>
      <c r="Q228">
        <v>0.47</v>
      </c>
      <c r="R228" s="97" t="s">
        <v>1204</v>
      </c>
      <c r="S228" s="97" t="s">
        <v>195</v>
      </c>
    </row>
    <row r="229" spans="1:19" x14ac:dyDescent="0.3">
      <c r="A229" s="97" t="s">
        <v>642</v>
      </c>
      <c r="B229" s="97" t="s">
        <v>23</v>
      </c>
      <c r="C229">
        <v>2026</v>
      </c>
      <c r="D229">
        <v>1</v>
      </c>
      <c r="E229" s="2">
        <v>46031</v>
      </c>
      <c r="F229" s="97" t="s">
        <v>7</v>
      </c>
      <c r="G229" s="97" t="s">
        <v>8</v>
      </c>
      <c r="H229" s="97" t="s">
        <v>70</v>
      </c>
      <c r="I229" s="97" t="s">
        <v>75</v>
      </c>
      <c r="J229" s="97" t="s">
        <v>76</v>
      </c>
      <c r="K229" s="97" t="s">
        <v>73</v>
      </c>
      <c r="L229">
        <v>701000</v>
      </c>
      <c r="M229" s="97" t="s">
        <v>62</v>
      </c>
      <c r="N229" s="97" t="s">
        <v>33</v>
      </c>
      <c r="O229">
        <v>3215</v>
      </c>
      <c r="P229">
        <v>1.4</v>
      </c>
      <c r="Q229">
        <v>4.5</v>
      </c>
      <c r="R229" s="97" t="s">
        <v>1201</v>
      </c>
      <c r="S229" s="97" t="s">
        <v>195</v>
      </c>
    </row>
    <row r="230" spans="1:19" x14ac:dyDescent="0.3">
      <c r="A230" s="97" t="s">
        <v>643</v>
      </c>
      <c r="B230" s="97" t="s">
        <v>23</v>
      </c>
      <c r="C230">
        <v>2026</v>
      </c>
      <c r="D230">
        <v>1</v>
      </c>
      <c r="E230" s="2">
        <v>46031</v>
      </c>
      <c r="F230" s="97" t="s">
        <v>7</v>
      </c>
      <c r="G230" s="97" t="s">
        <v>8</v>
      </c>
      <c r="H230" s="97" t="s">
        <v>70</v>
      </c>
      <c r="I230" s="97" t="s">
        <v>75</v>
      </c>
      <c r="J230" s="97" t="s">
        <v>76</v>
      </c>
      <c r="K230" s="97" t="s">
        <v>73</v>
      </c>
      <c r="L230">
        <v>701000</v>
      </c>
      <c r="M230" s="97" t="s">
        <v>62</v>
      </c>
      <c r="N230" s="97" t="s">
        <v>33</v>
      </c>
      <c r="O230">
        <v>873</v>
      </c>
      <c r="P230">
        <v>1.4</v>
      </c>
      <c r="Q230">
        <v>1.22</v>
      </c>
      <c r="R230" s="97" t="s">
        <v>1199</v>
      </c>
      <c r="S230" s="97" t="s">
        <v>195</v>
      </c>
    </row>
    <row r="231" spans="1:19" x14ac:dyDescent="0.3">
      <c r="A231" s="97" t="s">
        <v>644</v>
      </c>
      <c r="B231" s="97" t="s">
        <v>23</v>
      </c>
      <c r="C231">
        <v>2026</v>
      </c>
      <c r="D231">
        <v>1</v>
      </c>
      <c r="E231" s="2">
        <v>46031</v>
      </c>
      <c r="F231" s="97" t="s">
        <v>7</v>
      </c>
      <c r="G231" s="97" t="s">
        <v>8</v>
      </c>
      <c r="H231" s="97" t="s">
        <v>70</v>
      </c>
      <c r="I231" s="97" t="s">
        <v>75</v>
      </c>
      <c r="J231" s="97" t="s">
        <v>76</v>
      </c>
      <c r="K231" s="97" t="s">
        <v>73</v>
      </c>
      <c r="L231">
        <v>701000</v>
      </c>
      <c r="M231" s="97" t="s">
        <v>62</v>
      </c>
      <c r="N231" s="97" t="s">
        <v>33</v>
      </c>
      <c r="O231">
        <v>242</v>
      </c>
      <c r="P231">
        <v>1.45</v>
      </c>
      <c r="Q231">
        <v>0.35</v>
      </c>
      <c r="R231" s="97" t="s">
        <v>1202</v>
      </c>
      <c r="S231" s="97" t="s">
        <v>195</v>
      </c>
    </row>
    <row r="232" spans="1:19" x14ac:dyDescent="0.3">
      <c r="A232" s="97" t="s">
        <v>405</v>
      </c>
      <c r="B232" s="97" t="s">
        <v>23</v>
      </c>
      <c r="C232">
        <v>2026</v>
      </c>
      <c r="D232">
        <v>1</v>
      </c>
      <c r="E232" s="2">
        <v>46032</v>
      </c>
      <c r="F232" s="97" t="s">
        <v>7</v>
      </c>
      <c r="G232" s="97" t="s">
        <v>8</v>
      </c>
      <c r="H232" s="97" t="s">
        <v>74</v>
      </c>
      <c r="I232" s="97" t="s">
        <v>71</v>
      </c>
      <c r="J232" s="97" t="s">
        <v>72</v>
      </c>
      <c r="K232" s="97" t="s">
        <v>73</v>
      </c>
      <c r="L232">
        <v>701000</v>
      </c>
      <c r="M232" s="97" t="s">
        <v>62</v>
      </c>
      <c r="N232" s="97" t="s">
        <v>33</v>
      </c>
      <c r="O232">
        <v>779</v>
      </c>
      <c r="P232">
        <v>1.05</v>
      </c>
      <c r="Q232">
        <v>0.82</v>
      </c>
      <c r="R232" s="97" t="s">
        <v>1204</v>
      </c>
      <c r="S232" s="97" t="s">
        <v>195</v>
      </c>
    </row>
    <row r="233" spans="1:19" x14ac:dyDescent="0.3">
      <c r="A233" s="97" t="s">
        <v>406</v>
      </c>
      <c r="B233" s="97" t="s">
        <v>23</v>
      </c>
      <c r="C233">
        <v>2026</v>
      </c>
      <c r="D233">
        <v>1</v>
      </c>
      <c r="E233" s="2">
        <v>46032</v>
      </c>
      <c r="F233" s="97" t="s">
        <v>7</v>
      </c>
      <c r="G233" s="97" t="s">
        <v>8</v>
      </c>
      <c r="H233" s="97" t="s">
        <v>74</v>
      </c>
      <c r="I233" s="97" t="s">
        <v>71</v>
      </c>
      <c r="J233" s="97" t="s">
        <v>72</v>
      </c>
      <c r="K233" s="97" t="s">
        <v>73</v>
      </c>
      <c r="L233">
        <v>701000</v>
      </c>
      <c r="M233" s="97" t="s">
        <v>62</v>
      </c>
      <c r="N233" s="97" t="s">
        <v>33</v>
      </c>
      <c r="O233">
        <v>1777</v>
      </c>
      <c r="P233">
        <v>1.05</v>
      </c>
      <c r="Q233">
        <v>1.87</v>
      </c>
      <c r="R233" s="97" t="s">
        <v>1199</v>
      </c>
      <c r="S233" s="97" t="s">
        <v>195</v>
      </c>
    </row>
    <row r="234" spans="1:19" x14ac:dyDescent="0.3">
      <c r="A234" s="97" t="s">
        <v>407</v>
      </c>
      <c r="B234" s="97" t="s">
        <v>23</v>
      </c>
      <c r="C234">
        <v>2026</v>
      </c>
      <c r="D234">
        <v>1</v>
      </c>
      <c r="E234" s="2">
        <v>46032</v>
      </c>
      <c r="F234" s="97" t="s">
        <v>7</v>
      </c>
      <c r="G234" s="97" t="s">
        <v>8</v>
      </c>
      <c r="H234" s="97" t="s">
        <v>74</v>
      </c>
      <c r="I234" s="97" t="s">
        <v>71</v>
      </c>
      <c r="J234" s="97" t="s">
        <v>72</v>
      </c>
      <c r="K234" s="97" t="s">
        <v>73</v>
      </c>
      <c r="L234">
        <v>701000</v>
      </c>
      <c r="M234" s="97" t="s">
        <v>62</v>
      </c>
      <c r="N234" s="97" t="s">
        <v>33</v>
      </c>
      <c r="O234">
        <v>1809</v>
      </c>
      <c r="P234">
        <v>1.05</v>
      </c>
      <c r="Q234">
        <v>1.9</v>
      </c>
      <c r="R234" s="97" t="s">
        <v>1200</v>
      </c>
      <c r="S234" s="97" t="s">
        <v>195</v>
      </c>
    </row>
    <row r="235" spans="1:19" x14ac:dyDescent="0.3">
      <c r="A235" s="97" t="s">
        <v>408</v>
      </c>
      <c r="B235" s="97" t="s">
        <v>23</v>
      </c>
      <c r="C235">
        <v>2026</v>
      </c>
      <c r="D235">
        <v>1</v>
      </c>
      <c r="E235" s="2">
        <v>46032</v>
      </c>
      <c r="F235" s="97" t="s">
        <v>7</v>
      </c>
      <c r="G235" s="97" t="s">
        <v>8</v>
      </c>
      <c r="H235" s="97" t="s">
        <v>74</v>
      </c>
      <c r="I235" s="97" t="s">
        <v>71</v>
      </c>
      <c r="J235" s="97" t="s">
        <v>72</v>
      </c>
      <c r="K235" s="97" t="s">
        <v>73</v>
      </c>
      <c r="L235">
        <v>701000</v>
      </c>
      <c r="M235" s="97" t="s">
        <v>62</v>
      </c>
      <c r="N235" s="97" t="s">
        <v>33</v>
      </c>
      <c r="O235">
        <v>1831</v>
      </c>
      <c r="P235">
        <v>1.05</v>
      </c>
      <c r="Q235">
        <v>1.92</v>
      </c>
      <c r="R235" s="97" t="s">
        <v>1203</v>
      </c>
      <c r="S235" s="97" t="s">
        <v>195</v>
      </c>
    </row>
    <row r="236" spans="1:19" x14ac:dyDescent="0.3">
      <c r="A236" s="97" t="s">
        <v>409</v>
      </c>
      <c r="B236" s="97" t="s">
        <v>23</v>
      </c>
      <c r="C236">
        <v>2026</v>
      </c>
      <c r="D236">
        <v>1</v>
      </c>
      <c r="E236" s="2">
        <v>46032</v>
      </c>
      <c r="F236" s="97" t="s">
        <v>7</v>
      </c>
      <c r="G236" s="97" t="s">
        <v>8</v>
      </c>
      <c r="H236" s="97" t="s">
        <v>74</v>
      </c>
      <c r="I236" s="97" t="s">
        <v>71</v>
      </c>
      <c r="J236" s="97" t="s">
        <v>72</v>
      </c>
      <c r="K236" s="97" t="s">
        <v>73</v>
      </c>
      <c r="L236">
        <v>701000</v>
      </c>
      <c r="M236" s="97" t="s">
        <v>62</v>
      </c>
      <c r="N236" s="97" t="s">
        <v>33</v>
      </c>
      <c r="O236">
        <v>1015</v>
      </c>
      <c r="P236">
        <v>1.04</v>
      </c>
      <c r="Q236">
        <v>1.06</v>
      </c>
      <c r="R236" s="97" t="s">
        <v>1205</v>
      </c>
      <c r="S236" s="97" t="s">
        <v>195</v>
      </c>
    </row>
    <row r="237" spans="1:19" x14ac:dyDescent="0.3">
      <c r="A237" s="97" t="s">
        <v>520</v>
      </c>
      <c r="B237" s="97" t="s">
        <v>23</v>
      </c>
      <c r="C237">
        <v>2026</v>
      </c>
      <c r="D237">
        <v>1</v>
      </c>
      <c r="E237" s="2">
        <v>46032</v>
      </c>
      <c r="F237" s="97" t="s">
        <v>7</v>
      </c>
      <c r="G237" s="97" t="s">
        <v>8</v>
      </c>
      <c r="H237" s="97" t="s">
        <v>74</v>
      </c>
      <c r="I237" s="97" t="s">
        <v>71</v>
      </c>
      <c r="J237" s="97" t="s">
        <v>72</v>
      </c>
      <c r="K237" s="97" t="s">
        <v>73</v>
      </c>
      <c r="L237">
        <v>701000</v>
      </c>
      <c r="M237" s="97" t="s">
        <v>62</v>
      </c>
      <c r="N237" s="97" t="s">
        <v>33</v>
      </c>
      <c r="O237">
        <v>3056</v>
      </c>
      <c r="P237">
        <v>1.05</v>
      </c>
      <c r="Q237">
        <v>3.21</v>
      </c>
      <c r="R237" s="97" t="s">
        <v>1204</v>
      </c>
      <c r="S237" s="97" t="s">
        <v>195</v>
      </c>
    </row>
    <row r="238" spans="1:19" x14ac:dyDescent="0.3">
      <c r="A238" s="97" t="s">
        <v>521</v>
      </c>
      <c r="B238" s="97" t="s">
        <v>23</v>
      </c>
      <c r="C238">
        <v>2026</v>
      </c>
      <c r="D238">
        <v>1</v>
      </c>
      <c r="E238" s="2">
        <v>46032</v>
      </c>
      <c r="F238" s="97" t="s">
        <v>7</v>
      </c>
      <c r="G238" s="97" t="s">
        <v>8</v>
      </c>
      <c r="H238" s="97" t="s">
        <v>74</v>
      </c>
      <c r="I238" s="97" t="s">
        <v>71</v>
      </c>
      <c r="J238" s="97" t="s">
        <v>72</v>
      </c>
      <c r="K238" s="97" t="s">
        <v>73</v>
      </c>
      <c r="L238">
        <v>701000</v>
      </c>
      <c r="M238" s="97" t="s">
        <v>62</v>
      </c>
      <c r="N238" s="97" t="s">
        <v>33</v>
      </c>
      <c r="O238">
        <v>568</v>
      </c>
      <c r="P238">
        <v>1.06</v>
      </c>
      <c r="Q238">
        <v>0.6</v>
      </c>
      <c r="R238" s="97" t="s">
        <v>1197</v>
      </c>
      <c r="S238" s="97" t="s">
        <v>195</v>
      </c>
    </row>
    <row r="239" spans="1:19" x14ac:dyDescent="0.3">
      <c r="A239" s="97" t="s">
        <v>522</v>
      </c>
      <c r="B239" s="97" t="s">
        <v>23</v>
      </c>
      <c r="C239">
        <v>2026</v>
      </c>
      <c r="D239">
        <v>1</v>
      </c>
      <c r="E239" s="2">
        <v>46032</v>
      </c>
      <c r="F239" s="97" t="s">
        <v>7</v>
      </c>
      <c r="G239" s="97" t="s">
        <v>8</v>
      </c>
      <c r="H239" s="97" t="s">
        <v>74</v>
      </c>
      <c r="I239" s="97" t="s">
        <v>71</v>
      </c>
      <c r="J239" s="97" t="s">
        <v>72</v>
      </c>
      <c r="K239" s="97" t="s">
        <v>73</v>
      </c>
      <c r="L239">
        <v>701000</v>
      </c>
      <c r="M239" s="97" t="s">
        <v>62</v>
      </c>
      <c r="N239" s="97" t="s">
        <v>33</v>
      </c>
      <c r="O239">
        <v>1760</v>
      </c>
      <c r="P239">
        <v>1.05</v>
      </c>
      <c r="Q239">
        <v>1.85</v>
      </c>
      <c r="R239" s="97" t="s">
        <v>1202</v>
      </c>
      <c r="S239" s="97" t="s">
        <v>195</v>
      </c>
    </row>
    <row r="240" spans="1:19" x14ac:dyDescent="0.3">
      <c r="A240" s="97" t="s">
        <v>523</v>
      </c>
      <c r="B240" s="97" t="s">
        <v>23</v>
      </c>
      <c r="C240">
        <v>2026</v>
      </c>
      <c r="D240">
        <v>1</v>
      </c>
      <c r="E240" s="2">
        <v>46032</v>
      </c>
      <c r="F240" s="97" t="s">
        <v>7</v>
      </c>
      <c r="G240" s="97" t="s">
        <v>8</v>
      </c>
      <c r="H240" s="97" t="s">
        <v>74</v>
      </c>
      <c r="I240" s="97" t="s">
        <v>71</v>
      </c>
      <c r="J240" s="97" t="s">
        <v>72</v>
      </c>
      <c r="K240" s="97" t="s">
        <v>73</v>
      </c>
      <c r="L240">
        <v>701000</v>
      </c>
      <c r="M240" s="97" t="s">
        <v>62</v>
      </c>
      <c r="N240" s="97" t="s">
        <v>33</v>
      </c>
      <c r="O240">
        <v>519</v>
      </c>
      <c r="P240">
        <v>1.06</v>
      </c>
      <c r="Q240">
        <v>0.55000000000000004</v>
      </c>
      <c r="R240" s="97" t="s">
        <v>1201</v>
      </c>
      <c r="S240" s="97" t="s">
        <v>195</v>
      </c>
    </row>
    <row r="241" spans="1:19" x14ac:dyDescent="0.3">
      <c r="A241" s="97" t="s">
        <v>524</v>
      </c>
      <c r="B241" s="97" t="s">
        <v>23</v>
      </c>
      <c r="C241">
        <v>2026</v>
      </c>
      <c r="D241">
        <v>1</v>
      </c>
      <c r="E241" s="2">
        <v>46032</v>
      </c>
      <c r="F241" s="97" t="s">
        <v>7</v>
      </c>
      <c r="G241" s="97" t="s">
        <v>8</v>
      </c>
      <c r="H241" s="97" t="s">
        <v>74</v>
      </c>
      <c r="I241" s="97" t="s">
        <v>71</v>
      </c>
      <c r="J241" s="97" t="s">
        <v>72</v>
      </c>
      <c r="K241" s="97" t="s">
        <v>73</v>
      </c>
      <c r="L241">
        <v>701000</v>
      </c>
      <c r="M241" s="97" t="s">
        <v>62</v>
      </c>
      <c r="N241" s="97" t="s">
        <v>33</v>
      </c>
      <c r="O241">
        <v>1573</v>
      </c>
      <c r="P241">
        <v>1.04</v>
      </c>
      <c r="Q241">
        <v>1.64</v>
      </c>
      <c r="R241" s="97" t="s">
        <v>1198</v>
      </c>
      <c r="S241" s="97" t="s">
        <v>195</v>
      </c>
    </row>
    <row r="242" spans="1:19" x14ac:dyDescent="0.3">
      <c r="A242" s="97" t="s">
        <v>645</v>
      </c>
      <c r="B242" s="97" t="s">
        <v>23</v>
      </c>
      <c r="C242">
        <v>2026</v>
      </c>
      <c r="D242">
        <v>1</v>
      </c>
      <c r="E242" s="2">
        <v>46032</v>
      </c>
      <c r="F242" s="97" t="s">
        <v>7</v>
      </c>
      <c r="G242" s="97" t="s">
        <v>8</v>
      </c>
      <c r="H242" s="97" t="s">
        <v>70</v>
      </c>
      <c r="I242" s="97" t="s">
        <v>75</v>
      </c>
      <c r="J242" s="97" t="s">
        <v>76</v>
      </c>
      <c r="K242" s="97" t="s">
        <v>73</v>
      </c>
      <c r="L242">
        <v>701000</v>
      </c>
      <c r="M242" s="97" t="s">
        <v>62</v>
      </c>
      <c r="N242" s="97" t="s">
        <v>33</v>
      </c>
      <c r="O242">
        <v>1334</v>
      </c>
      <c r="P242">
        <v>1.4</v>
      </c>
      <c r="Q242">
        <v>1.87</v>
      </c>
      <c r="R242" s="97" t="s">
        <v>1203</v>
      </c>
      <c r="S242" s="97" t="s">
        <v>195</v>
      </c>
    </row>
    <row r="243" spans="1:19" x14ac:dyDescent="0.3">
      <c r="A243" s="97" t="s">
        <v>646</v>
      </c>
      <c r="B243" s="97" t="s">
        <v>23</v>
      </c>
      <c r="C243">
        <v>2026</v>
      </c>
      <c r="D243">
        <v>1</v>
      </c>
      <c r="E243" s="2">
        <v>46032</v>
      </c>
      <c r="F243" s="97" t="s">
        <v>7</v>
      </c>
      <c r="G243" s="97" t="s">
        <v>8</v>
      </c>
      <c r="H243" s="97" t="s">
        <v>70</v>
      </c>
      <c r="I243" s="97" t="s">
        <v>75</v>
      </c>
      <c r="J243" s="97" t="s">
        <v>76</v>
      </c>
      <c r="K243" s="97" t="s">
        <v>73</v>
      </c>
      <c r="L243">
        <v>701000</v>
      </c>
      <c r="M243" s="97" t="s">
        <v>62</v>
      </c>
      <c r="N243" s="97" t="s">
        <v>33</v>
      </c>
      <c r="O243">
        <v>356</v>
      </c>
      <c r="P243">
        <v>1.4</v>
      </c>
      <c r="Q243">
        <v>0.5</v>
      </c>
      <c r="R243" s="97" t="s">
        <v>1198</v>
      </c>
      <c r="S243" s="97" t="s">
        <v>195</v>
      </c>
    </row>
    <row r="244" spans="1:19" x14ac:dyDescent="0.3">
      <c r="A244" s="97" t="s">
        <v>647</v>
      </c>
      <c r="B244" s="97" t="s">
        <v>23</v>
      </c>
      <c r="C244">
        <v>2026</v>
      </c>
      <c r="D244">
        <v>1</v>
      </c>
      <c r="E244" s="2">
        <v>46032</v>
      </c>
      <c r="F244" s="97" t="s">
        <v>7</v>
      </c>
      <c r="G244" s="97" t="s">
        <v>8</v>
      </c>
      <c r="H244" s="97" t="s">
        <v>70</v>
      </c>
      <c r="I244" s="97" t="s">
        <v>75</v>
      </c>
      <c r="J244" s="97" t="s">
        <v>76</v>
      </c>
      <c r="K244" s="97" t="s">
        <v>73</v>
      </c>
      <c r="L244">
        <v>701000</v>
      </c>
      <c r="M244" s="97" t="s">
        <v>62</v>
      </c>
      <c r="N244" s="97" t="s">
        <v>33</v>
      </c>
      <c r="O244">
        <v>1773</v>
      </c>
      <c r="P244">
        <v>1.4</v>
      </c>
      <c r="Q244">
        <v>2.48</v>
      </c>
      <c r="R244" s="97" t="s">
        <v>1197</v>
      </c>
      <c r="S244" s="97" t="s">
        <v>195</v>
      </c>
    </row>
    <row r="245" spans="1:19" x14ac:dyDescent="0.3">
      <c r="A245" s="97" t="s">
        <v>648</v>
      </c>
      <c r="B245" s="97" t="s">
        <v>23</v>
      </c>
      <c r="C245">
        <v>2026</v>
      </c>
      <c r="D245">
        <v>1</v>
      </c>
      <c r="E245" s="2">
        <v>46032</v>
      </c>
      <c r="F245" s="97" t="s">
        <v>7</v>
      </c>
      <c r="G245" s="97" t="s">
        <v>8</v>
      </c>
      <c r="H245" s="97" t="s">
        <v>70</v>
      </c>
      <c r="I245" s="97" t="s">
        <v>75</v>
      </c>
      <c r="J245" s="97" t="s">
        <v>76</v>
      </c>
      <c r="K245" s="97" t="s">
        <v>73</v>
      </c>
      <c r="L245">
        <v>701000</v>
      </c>
      <c r="M245" s="97" t="s">
        <v>62</v>
      </c>
      <c r="N245" s="97" t="s">
        <v>33</v>
      </c>
      <c r="O245">
        <v>2067</v>
      </c>
      <c r="P245">
        <v>1.4</v>
      </c>
      <c r="Q245">
        <v>2.89</v>
      </c>
      <c r="R245" s="97" t="s">
        <v>1201</v>
      </c>
      <c r="S245" s="97" t="s">
        <v>195</v>
      </c>
    </row>
    <row r="246" spans="1:19" x14ac:dyDescent="0.3">
      <c r="A246" s="97" t="s">
        <v>649</v>
      </c>
      <c r="B246" s="97" t="s">
        <v>23</v>
      </c>
      <c r="C246">
        <v>2026</v>
      </c>
      <c r="D246">
        <v>1</v>
      </c>
      <c r="E246" s="2">
        <v>46032</v>
      </c>
      <c r="F246" s="97" t="s">
        <v>7</v>
      </c>
      <c r="G246" s="97" t="s">
        <v>8</v>
      </c>
      <c r="H246" s="97" t="s">
        <v>70</v>
      </c>
      <c r="I246" s="97" t="s">
        <v>75</v>
      </c>
      <c r="J246" s="97" t="s">
        <v>76</v>
      </c>
      <c r="K246" s="97" t="s">
        <v>73</v>
      </c>
      <c r="L246">
        <v>701000</v>
      </c>
      <c r="M246" s="97" t="s">
        <v>62</v>
      </c>
      <c r="N246" s="97" t="s">
        <v>33</v>
      </c>
      <c r="O246">
        <v>1121</v>
      </c>
      <c r="P246">
        <v>1.4</v>
      </c>
      <c r="Q246">
        <v>1.57</v>
      </c>
      <c r="R246" s="97" t="s">
        <v>1202</v>
      </c>
      <c r="S246" s="97" t="s">
        <v>195</v>
      </c>
    </row>
    <row r="247" spans="1:19" x14ac:dyDescent="0.3">
      <c r="A247" s="97" t="s">
        <v>900</v>
      </c>
      <c r="B247" s="97" t="s">
        <v>23</v>
      </c>
      <c r="C247">
        <v>2026</v>
      </c>
      <c r="D247">
        <v>1</v>
      </c>
      <c r="E247" s="2">
        <v>46032</v>
      </c>
      <c r="F247" s="97" t="s">
        <v>7</v>
      </c>
      <c r="G247" s="97" t="s">
        <v>8</v>
      </c>
      <c r="H247" s="97" t="s">
        <v>74</v>
      </c>
      <c r="I247" s="97" t="s">
        <v>82</v>
      </c>
      <c r="J247" s="97" t="s">
        <v>83</v>
      </c>
      <c r="K247" s="97" t="s">
        <v>73</v>
      </c>
      <c r="L247">
        <v>701000</v>
      </c>
      <c r="M247" s="97" t="s">
        <v>62</v>
      </c>
      <c r="N247" s="97" t="s">
        <v>33</v>
      </c>
      <c r="O247">
        <v>124</v>
      </c>
      <c r="P247">
        <v>18.47</v>
      </c>
      <c r="Q247">
        <v>2.29</v>
      </c>
      <c r="R247" s="97" t="s">
        <v>1204</v>
      </c>
      <c r="S247" s="97" t="s">
        <v>195</v>
      </c>
    </row>
    <row r="248" spans="1:19" x14ac:dyDescent="0.3">
      <c r="A248" s="97" t="s">
        <v>901</v>
      </c>
      <c r="B248" s="97" t="s">
        <v>23</v>
      </c>
      <c r="C248">
        <v>2026</v>
      </c>
      <c r="D248">
        <v>1</v>
      </c>
      <c r="E248" s="2">
        <v>46032</v>
      </c>
      <c r="F248" s="97" t="s">
        <v>7</v>
      </c>
      <c r="G248" s="97" t="s">
        <v>8</v>
      </c>
      <c r="H248" s="97" t="s">
        <v>74</v>
      </c>
      <c r="I248" s="97" t="s">
        <v>82</v>
      </c>
      <c r="J248" s="97" t="s">
        <v>83</v>
      </c>
      <c r="K248" s="97" t="s">
        <v>73</v>
      </c>
      <c r="L248">
        <v>701000</v>
      </c>
      <c r="M248" s="97" t="s">
        <v>62</v>
      </c>
      <c r="N248" s="97" t="s">
        <v>33</v>
      </c>
      <c r="O248">
        <v>156</v>
      </c>
      <c r="P248">
        <v>18.53</v>
      </c>
      <c r="Q248">
        <v>2.89</v>
      </c>
      <c r="R248" s="97" t="s">
        <v>1199</v>
      </c>
      <c r="S248" s="97" t="s">
        <v>195</v>
      </c>
    </row>
    <row r="249" spans="1:19" x14ac:dyDescent="0.3">
      <c r="A249" s="97" t="s">
        <v>902</v>
      </c>
      <c r="B249" s="97" t="s">
        <v>23</v>
      </c>
      <c r="C249">
        <v>2026</v>
      </c>
      <c r="D249">
        <v>1</v>
      </c>
      <c r="E249" s="2">
        <v>46032</v>
      </c>
      <c r="F249" s="97" t="s">
        <v>7</v>
      </c>
      <c r="G249" s="97" t="s">
        <v>8</v>
      </c>
      <c r="H249" s="97" t="s">
        <v>74</v>
      </c>
      <c r="I249" s="97" t="s">
        <v>82</v>
      </c>
      <c r="J249" s="97" t="s">
        <v>83</v>
      </c>
      <c r="K249" s="97" t="s">
        <v>73</v>
      </c>
      <c r="L249">
        <v>701000</v>
      </c>
      <c r="M249" s="97" t="s">
        <v>62</v>
      </c>
      <c r="N249" s="97" t="s">
        <v>33</v>
      </c>
      <c r="O249">
        <v>258</v>
      </c>
      <c r="P249">
        <v>18.53</v>
      </c>
      <c r="Q249">
        <v>4.78</v>
      </c>
      <c r="R249" s="97" t="s">
        <v>1200</v>
      </c>
      <c r="S249" s="97" t="s">
        <v>195</v>
      </c>
    </row>
    <row r="250" spans="1:19" x14ac:dyDescent="0.3">
      <c r="A250" s="97" t="s">
        <v>903</v>
      </c>
      <c r="B250" s="97" t="s">
        <v>23</v>
      </c>
      <c r="C250">
        <v>2026</v>
      </c>
      <c r="D250">
        <v>1</v>
      </c>
      <c r="E250" s="2">
        <v>46032</v>
      </c>
      <c r="F250" s="97" t="s">
        <v>7</v>
      </c>
      <c r="G250" s="97" t="s">
        <v>8</v>
      </c>
      <c r="H250" s="97" t="s">
        <v>74</v>
      </c>
      <c r="I250" s="97" t="s">
        <v>82</v>
      </c>
      <c r="J250" s="97" t="s">
        <v>83</v>
      </c>
      <c r="K250" s="97" t="s">
        <v>73</v>
      </c>
      <c r="L250">
        <v>701000</v>
      </c>
      <c r="M250" s="97" t="s">
        <v>62</v>
      </c>
      <c r="N250" s="97" t="s">
        <v>33</v>
      </c>
      <c r="O250">
        <v>89</v>
      </c>
      <c r="P250">
        <v>18.43</v>
      </c>
      <c r="Q250">
        <v>1.64</v>
      </c>
      <c r="R250" s="97" t="s">
        <v>1202</v>
      </c>
      <c r="S250" s="97" t="s">
        <v>195</v>
      </c>
    </row>
    <row r="251" spans="1:19" x14ac:dyDescent="0.3">
      <c r="A251" s="97" t="s">
        <v>904</v>
      </c>
      <c r="B251" s="97" t="s">
        <v>23</v>
      </c>
      <c r="C251">
        <v>2026</v>
      </c>
      <c r="D251">
        <v>1</v>
      </c>
      <c r="E251" s="2">
        <v>46032</v>
      </c>
      <c r="F251" s="97" t="s">
        <v>7</v>
      </c>
      <c r="G251" s="97" t="s">
        <v>8</v>
      </c>
      <c r="H251" s="97" t="s">
        <v>74</v>
      </c>
      <c r="I251" s="97" t="s">
        <v>82</v>
      </c>
      <c r="J251" s="97" t="s">
        <v>83</v>
      </c>
      <c r="K251" s="97" t="s">
        <v>73</v>
      </c>
      <c r="L251">
        <v>701000</v>
      </c>
      <c r="M251" s="97" t="s">
        <v>62</v>
      </c>
      <c r="N251" s="97" t="s">
        <v>33</v>
      </c>
      <c r="O251">
        <v>219</v>
      </c>
      <c r="P251">
        <v>18.489999999999998</v>
      </c>
      <c r="Q251">
        <v>4.05</v>
      </c>
      <c r="R251" s="97" t="s">
        <v>1203</v>
      </c>
      <c r="S251" s="97" t="s">
        <v>195</v>
      </c>
    </row>
    <row r="252" spans="1:19" x14ac:dyDescent="0.3">
      <c r="A252" s="97" t="s">
        <v>295</v>
      </c>
      <c r="B252" s="97" t="s">
        <v>23</v>
      </c>
      <c r="C252">
        <v>2026</v>
      </c>
      <c r="D252">
        <v>1</v>
      </c>
      <c r="E252" s="2">
        <v>46033</v>
      </c>
      <c r="F252" s="97" t="s">
        <v>7</v>
      </c>
      <c r="G252" s="97" t="s">
        <v>8</v>
      </c>
      <c r="H252" s="97" t="s">
        <v>70</v>
      </c>
      <c r="I252" s="97" t="s">
        <v>84</v>
      </c>
      <c r="J252" s="97" t="s">
        <v>85</v>
      </c>
      <c r="K252" s="97" t="s">
        <v>73</v>
      </c>
      <c r="L252">
        <v>701000</v>
      </c>
      <c r="M252" s="97" t="s">
        <v>62</v>
      </c>
      <c r="N252" s="97" t="s">
        <v>33</v>
      </c>
      <c r="O252">
        <v>1891</v>
      </c>
      <c r="P252">
        <v>0.95</v>
      </c>
      <c r="Q252">
        <v>1.8</v>
      </c>
      <c r="R252" s="97" t="s">
        <v>1199</v>
      </c>
      <c r="S252" s="97" t="s">
        <v>195</v>
      </c>
    </row>
    <row r="253" spans="1:19" x14ac:dyDescent="0.3">
      <c r="A253" s="97" t="s">
        <v>296</v>
      </c>
      <c r="B253" s="97" t="s">
        <v>23</v>
      </c>
      <c r="C253">
        <v>2026</v>
      </c>
      <c r="D253">
        <v>1</v>
      </c>
      <c r="E253" s="2">
        <v>46033</v>
      </c>
      <c r="F253" s="97" t="s">
        <v>7</v>
      </c>
      <c r="G253" s="97" t="s">
        <v>8</v>
      </c>
      <c r="H253" s="97" t="s">
        <v>70</v>
      </c>
      <c r="I253" s="97" t="s">
        <v>84</v>
      </c>
      <c r="J253" s="97" t="s">
        <v>85</v>
      </c>
      <c r="K253" s="97" t="s">
        <v>73</v>
      </c>
      <c r="L253">
        <v>701000</v>
      </c>
      <c r="M253" s="97" t="s">
        <v>62</v>
      </c>
      <c r="N253" s="97" t="s">
        <v>33</v>
      </c>
      <c r="O253">
        <v>2265</v>
      </c>
      <c r="P253">
        <v>0.95</v>
      </c>
      <c r="Q253">
        <v>2.15</v>
      </c>
      <c r="R253" s="97" t="s">
        <v>1205</v>
      </c>
      <c r="S253" s="97" t="s">
        <v>195</v>
      </c>
    </row>
    <row r="254" spans="1:19" x14ac:dyDescent="0.3">
      <c r="A254" s="97" t="s">
        <v>297</v>
      </c>
      <c r="B254" s="97" t="s">
        <v>23</v>
      </c>
      <c r="C254">
        <v>2026</v>
      </c>
      <c r="D254">
        <v>1</v>
      </c>
      <c r="E254" s="2">
        <v>46033</v>
      </c>
      <c r="F254" s="97" t="s">
        <v>7</v>
      </c>
      <c r="G254" s="97" t="s">
        <v>8</v>
      </c>
      <c r="H254" s="97" t="s">
        <v>70</v>
      </c>
      <c r="I254" s="97" t="s">
        <v>84</v>
      </c>
      <c r="J254" s="97" t="s">
        <v>85</v>
      </c>
      <c r="K254" s="97" t="s">
        <v>73</v>
      </c>
      <c r="L254">
        <v>701000</v>
      </c>
      <c r="M254" s="97" t="s">
        <v>62</v>
      </c>
      <c r="N254" s="97" t="s">
        <v>33</v>
      </c>
      <c r="O254">
        <v>1661</v>
      </c>
      <c r="P254">
        <v>0.95</v>
      </c>
      <c r="Q254">
        <v>1.58</v>
      </c>
      <c r="R254" s="97" t="s">
        <v>1202</v>
      </c>
      <c r="S254" s="97" t="s">
        <v>195</v>
      </c>
    </row>
    <row r="255" spans="1:19" x14ac:dyDescent="0.3">
      <c r="A255" s="97" t="s">
        <v>298</v>
      </c>
      <c r="B255" s="97" t="s">
        <v>23</v>
      </c>
      <c r="C255">
        <v>2026</v>
      </c>
      <c r="D255">
        <v>1</v>
      </c>
      <c r="E255" s="2">
        <v>46033</v>
      </c>
      <c r="F255" s="97" t="s">
        <v>7</v>
      </c>
      <c r="G255" s="97" t="s">
        <v>8</v>
      </c>
      <c r="H255" s="97" t="s">
        <v>70</v>
      </c>
      <c r="I255" s="97" t="s">
        <v>84</v>
      </c>
      <c r="J255" s="97" t="s">
        <v>85</v>
      </c>
      <c r="K255" s="97" t="s">
        <v>73</v>
      </c>
      <c r="L255">
        <v>701000</v>
      </c>
      <c r="M255" s="97" t="s">
        <v>62</v>
      </c>
      <c r="N255" s="97" t="s">
        <v>33</v>
      </c>
      <c r="O255">
        <v>3206</v>
      </c>
      <c r="P255">
        <v>0.95</v>
      </c>
      <c r="Q255">
        <v>3.04</v>
      </c>
      <c r="R255" s="97" t="s">
        <v>1197</v>
      </c>
      <c r="S255" s="97" t="s">
        <v>195</v>
      </c>
    </row>
    <row r="256" spans="1:19" x14ac:dyDescent="0.3">
      <c r="A256" s="97" t="s">
        <v>299</v>
      </c>
      <c r="B256" s="97" t="s">
        <v>23</v>
      </c>
      <c r="C256">
        <v>2026</v>
      </c>
      <c r="D256">
        <v>1</v>
      </c>
      <c r="E256" s="2">
        <v>46033</v>
      </c>
      <c r="F256" s="97" t="s">
        <v>7</v>
      </c>
      <c r="G256" s="97" t="s">
        <v>8</v>
      </c>
      <c r="H256" s="97" t="s">
        <v>70</v>
      </c>
      <c r="I256" s="97" t="s">
        <v>84</v>
      </c>
      <c r="J256" s="97" t="s">
        <v>85</v>
      </c>
      <c r="K256" s="97" t="s">
        <v>73</v>
      </c>
      <c r="L256">
        <v>701000</v>
      </c>
      <c r="M256" s="97" t="s">
        <v>62</v>
      </c>
      <c r="N256" s="97" t="s">
        <v>33</v>
      </c>
      <c r="O256">
        <v>2442</v>
      </c>
      <c r="P256">
        <v>0.95</v>
      </c>
      <c r="Q256">
        <v>2.3199999999999998</v>
      </c>
      <c r="R256" s="97" t="s">
        <v>1200</v>
      </c>
      <c r="S256" s="97" t="s">
        <v>195</v>
      </c>
    </row>
    <row r="257" spans="1:19" x14ac:dyDescent="0.3">
      <c r="A257" s="97" t="s">
        <v>475</v>
      </c>
      <c r="B257" s="97" t="s">
        <v>23</v>
      </c>
      <c r="C257">
        <v>2026</v>
      </c>
      <c r="D257">
        <v>1</v>
      </c>
      <c r="E257" s="2">
        <v>46033</v>
      </c>
      <c r="F257" s="97" t="s">
        <v>7</v>
      </c>
      <c r="G257" s="97" t="s">
        <v>8</v>
      </c>
      <c r="H257" s="97" t="s">
        <v>74</v>
      </c>
      <c r="I257" s="97" t="s">
        <v>71</v>
      </c>
      <c r="J257" s="97" t="s">
        <v>72</v>
      </c>
      <c r="K257" s="97" t="s">
        <v>73</v>
      </c>
      <c r="L257">
        <v>701000</v>
      </c>
      <c r="M257" s="97" t="s">
        <v>62</v>
      </c>
      <c r="N257" s="97" t="s">
        <v>33</v>
      </c>
      <c r="O257">
        <v>1550</v>
      </c>
      <c r="P257">
        <v>1.05</v>
      </c>
      <c r="Q257">
        <v>1.63</v>
      </c>
      <c r="R257" s="97" t="s">
        <v>1199</v>
      </c>
      <c r="S257" s="97" t="s">
        <v>195</v>
      </c>
    </row>
    <row r="258" spans="1:19" x14ac:dyDescent="0.3">
      <c r="A258" s="97" t="s">
        <v>476</v>
      </c>
      <c r="B258" s="97" t="s">
        <v>23</v>
      </c>
      <c r="C258">
        <v>2026</v>
      </c>
      <c r="D258">
        <v>1</v>
      </c>
      <c r="E258" s="2">
        <v>46033</v>
      </c>
      <c r="F258" s="97" t="s">
        <v>7</v>
      </c>
      <c r="G258" s="97" t="s">
        <v>8</v>
      </c>
      <c r="H258" s="97" t="s">
        <v>74</v>
      </c>
      <c r="I258" s="97" t="s">
        <v>71</v>
      </c>
      <c r="J258" s="97" t="s">
        <v>72</v>
      </c>
      <c r="K258" s="97" t="s">
        <v>73</v>
      </c>
      <c r="L258">
        <v>701000</v>
      </c>
      <c r="M258" s="97" t="s">
        <v>62</v>
      </c>
      <c r="N258" s="97" t="s">
        <v>33</v>
      </c>
      <c r="O258">
        <v>1965</v>
      </c>
      <c r="P258">
        <v>1.05</v>
      </c>
      <c r="Q258">
        <v>2.06</v>
      </c>
      <c r="R258" s="97" t="s">
        <v>1203</v>
      </c>
      <c r="S258" s="97" t="s">
        <v>195</v>
      </c>
    </row>
    <row r="259" spans="1:19" x14ac:dyDescent="0.3">
      <c r="A259" s="97" t="s">
        <v>477</v>
      </c>
      <c r="B259" s="97" t="s">
        <v>23</v>
      </c>
      <c r="C259">
        <v>2026</v>
      </c>
      <c r="D259">
        <v>1</v>
      </c>
      <c r="E259" s="2">
        <v>46033</v>
      </c>
      <c r="F259" s="97" t="s">
        <v>7</v>
      </c>
      <c r="G259" s="97" t="s">
        <v>8</v>
      </c>
      <c r="H259" s="97" t="s">
        <v>74</v>
      </c>
      <c r="I259" s="97" t="s">
        <v>71</v>
      </c>
      <c r="J259" s="97" t="s">
        <v>72</v>
      </c>
      <c r="K259" s="97" t="s">
        <v>73</v>
      </c>
      <c r="L259">
        <v>701000</v>
      </c>
      <c r="M259" s="97" t="s">
        <v>62</v>
      </c>
      <c r="N259" s="97" t="s">
        <v>33</v>
      </c>
      <c r="O259">
        <v>2151</v>
      </c>
      <c r="P259">
        <v>1.05</v>
      </c>
      <c r="Q259">
        <v>2.2599999999999998</v>
      </c>
      <c r="R259" s="97" t="s">
        <v>1202</v>
      </c>
      <c r="S259" s="97" t="s">
        <v>195</v>
      </c>
    </row>
    <row r="260" spans="1:19" x14ac:dyDescent="0.3">
      <c r="A260" s="97" t="s">
        <v>478</v>
      </c>
      <c r="B260" s="97" t="s">
        <v>23</v>
      </c>
      <c r="C260">
        <v>2026</v>
      </c>
      <c r="D260">
        <v>1</v>
      </c>
      <c r="E260" s="2">
        <v>46033</v>
      </c>
      <c r="F260" s="97" t="s">
        <v>7</v>
      </c>
      <c r="G260" s="97" t="s">
        <v>8</v>
      </c>
      <c r="H260" s="97" t="s">
        <v>74</v>
      </c>
      <c r="I260" s="97" t="s">
        <v>71</v>
      </c>
      <c r="J260" s="97" t="s">
        <v>72</v>
      </c>
      <c r="K260" s="97" t="s">
        <v>73</v>
      </c>
      <c r="L260">
        <v>701000</v>
      </c>
      <c r="M260" s="97" t="s">
        <v>62</v>
      </c>
      <c r="N260" s="97" t="s">
        <v>33</v>
      </c>
      <c r="O260">
        <v>1432</v>
      </c>
      <c r="P260">
        <v>1.05</v>
      </c>
      <c r="Q260">
        <v>1.5</v>
      </c>
      <c r="R260" s="97" t="s">
        <v>1197</v>
      </c>
      <c r="S260" s="97" t="s">
        <v>195</v>
      </c>
    </row>
    <row r="261" spans="1:19" x14ac:dyDescent="0.3">
      <c r="A261" s="97" t="s">
        <v>479</v>
      </c>
      <c r="B261" s="97" t="s">
        <v>23</v>
      </c>
      <c r="C261">
        <v>2026</v>
      </c>
      <c r="D261">
        <v>1</v>
      </c>
      <c r="E261" s="2">
        <v>46033</v>
      </c>
      <c r="F261" s="97" t="s">
        <v>7</v>
      </c>
      <c r="G261" s="97" t="s">
        <v>8</v>
      </c>
      <c r="H261" s="97" t="s">
        <v>74</v>
      </c>
      <c r="I261" s="97" t="s">
        <v>71</v>
      </c>
      <c r="J261" s="97" t="s">
        <v>72</v>
      </c>
      <c r="K261" s="97" t="s">
        <v>73</v>
      </c>
      <c r="L261">
        <v>701000</v>
      </c>
      <c r="M261" s="97" t="s">
        <v>62</v>
      </c>
      <c r="N261" s="97" t="s">
        <v>33</v>
      </c>
      <c r="O261">
        <v>673</v>
      </c>
      <c r="P261">
        <v>1.05</v>
      </c>
      <c r="Q261">
        <v>0.71</v>
      </c>
      <c r="R261" s="97" t="s">
        <v>1205</v>
      </c>
      <c r="S261" s="97" t="s">
        <v>195</v>
      </c>
    </row>
    <row r="262" spans="1:19" x14ac:dyDescent="0.3">
      <c r="A262" s="97" t="s">
        <v>235</v>
      </c>
      <c r="B262" s="97" t="s">
        <v>23</v>
      </c>
      <c r="C262">
        <v>2026</v>
      </c>
      <c r="D262">
        <v>1</v>
      </c>
      <c r="E262" s="2">
        <v>46034</v>
      </c>
      <c r="F262" s="97" t="s">
        <v>7</v>
      </c>
      <c r="G262" s="97" t="s">
        <v>8</v>
      </c>
      <c r="H262" s="97" t="s">
        <v>70</v>
      </c>
      <c r="I262" s="97" t="s">
        <v>84</v>
      </c>
      <c r="J262" s="97" t="s">
        <v>85</v>
      </c>
      <c r="K262" s="97" t="s">
        <v>73</v>
      </c>
      <c r="L262">
        <v>701000</v>
      </c>
      <c r="M262" s="97" t="s">
        <v>62</v>
      </c>
      <c r="N262" s="97" t="s">
        <v>33</v>
      </c>
      <c r="O262">
        <v>3745</v>
      </c>
      <c r="P262">
        <v>0.95</v>
      </c>
      <c r="Q262">
        <v>3.56</v>
      </c>
      <c r="R262" s="97" t="s">
        <v>1200</v>
      </c>
      <c r="S262" s="97" t="s">
        <v>195</v>
      </c>
    </row>
    <row r="263" spans="1:19" x14ac:dyDescent="0.3">
      <c r="A263" s="97" t="s">
        <v>236</v>
      </c>
      <c r="B263" s="97" t="s">
        <v>23</v>
      </c>
      <c r="C263">
        <v>2026</v>
      </c>
      <c r="D263">
        <v>1</v>
      </c>
      <c r="E263" s="2">
        <v>46034</v>
      </c>
      <c r="F263" s="97" t="s">
        <v>7</v>
      </c>
      <c r="G263" s="97" t="s">
        <v>8</v>
      </c>
      <c r="H263" s="97" t="s">
        <v>70</v>
      </c>
      <c r="I263" s="97" t="s">
        <v>84</v>
      </c>
      <c r="J263" s="97" t="s">
        <v>85</v>
      </c>
      <c r="K263" s="97" t="s">
        <v>73</v>
      </c>
      <c r="L263">
        <v>701000</v>
      </c>
      <c r="M263" s="97" t="s">
        <v>62</v>
      </c>
      <c r="N263" s="97" t="s">
        <v>33</v>
      </c>
      <c r="O263">
        <v>3342</v>
      </c>
      <c r="P263">
        <v>0.95</v>
      </c>
      <c r="Q263">
        <v>3.17</v>
      </c>
      <c r="R263" s="97" t="s">
        <v>1204</v>
      </c>
      <c r="S263" s="97" t="s">
        <v>195</v>
      </c>
    </row>
    <row r="264" spans="1:19" x14ac:dyDescent="0.3">
      <c r="A264" s="97" t="s">
        <v>237</v>
      </c>
      <c r="B264" s="97" t="s">
        <v>23</v>
      </c>
      <c r="C264">
        <v>2026</v>
      </c>
      <c r="D264">
        <v>1</v>
      </c>
      <c r="E264" s="2">
        <v>46034</v>
      </c>
      <c r="F264" s="97" t="s">
        <v>7</v>
      </c>
      <c r="G264" s="97" t="s">
        <v>8</v>
      </c>
      <c r="H264" s="97" t="s">
        <v>70</v>
      </c>
      <c r="I264" s="97" t="s">
        <v>84</v>
      </c>
      <c r="J264" s="97" t="s">
        <v>85</v>
      </c>
      <c r="K264" s="97" t="s">
        <v>73</v>
      </c>
      <c r="L264">
        <v>701000</v>
      </c>
      <c r="M264" s="97" t="s">
        <v>62</v>
      </c>
      <c r="N264" s="97" t="s">
        <v>33</v>
      </c>
      <c r="O264">
        <v>2887</v>
      </c>
      <c r="P264">
        <v>0.95</v>
      </c>
      <c r="Q264">
        <v>2.74</v>
      </c>
      <c r="R264" s="97" t="s">
        <v>1201</v>
      </c>
      <c r="S264" s="97" t="s">
        <v>195</v>
      </c>
    </row>
    <row r="265" spans="1:19" x14ac:dyDescent="0.3">
      <c r="A265" s="97" t="s">
        <v>238</v>
      </c>
      <c r="B265" s="97" t="s">
        <v>23</v>
      </c>
      <c r="C265">
        <v>2026</v>
      </c>
      <c r="D265">
        <v>1</v>
      </c>
      <c r="E265" s="2">
        <v>46034</v>
      </c>
      <c r="F265" s="97" t="s">
        <v>7</v>
      </c>
      <c r="G265" s="97" t="s">
        <v>8</v>
      </c>
      <c r="H265" s="97" t="s">
        <v>70</v>
      </c>
      <c r="I265" s="97" t="s">
        <v>84</v>
      </c>
      <c r="J265" s="97" t="s">
        <v>85</v>
      </c>
      <c r="K265" s="97" t="s">
        <v>73</v>
      </c>
      <c r="L265">
        <v>701000</v>
      </c>
      <c r="M265" s="97" t="s">
        <v>62</v>
      </c>
      <c r="N265" s="97" t="s">
        <v>33</v>
      </c>
      <c r="O265">
        <v>3101</v>
      </c>
      <c r="P265">
        <v>0.95</v>
      </c>
      <c r="Q265">
        <v>2.95</v>
      </c>
      <c r="R265" s="97" t="s">
        <v>1198</v>
      </c>
      <c r="S265" s="97" t="s">
        <v>195</v>
      </c>
    </row>
    <row r="266" spans="1:19" x14ac:dyDescent="0.3">
      <c r="A266" s="97" t="s">
        <v>239</v>
      </c>
      <c r="B266" s="97" t="s">
        <v>23</v>
      </c>
      <c r="C266">
        <v>2026</v>
      </c>
      <c r="D266">
        <v>1</v>
      </c>
      <c r="E266" s="2">
        <v>46034</v>
      </c>
      <c r="F266" s="97" t="s">
        <v>7</v>
      </c>
      <c r="G266" s="97" t="s">
        <v>8</v>
      </c>
      <c r="H266" s="97" t="s">
        <v>70</v>
      </c>
      <c r="I266" s="97" t="s">
        <v>84</v>
      </c>
      <c r="J266" s="97" t="s">
        <v>85</v>
      </c>
      <c r="K266" s="97" t="s">
        <v>73</v>
      </c>
      <c r="L266">
        <v>701000</v>
      </c>
      <c r="M266" s="97" t="s">
        <v>62</v>
      </c>
      <c r="N266" s="97" t="s">
        <v>33</v>
      </c>
      <c r="O266">
        <v>116</v>
      </c>
      <c r="P266">
        <v>0.95</v>
      </c>
      <c r="Q266">
        <v>0.11</v>
      </c>
      <c r="R266" s="97" t="s">
        <v>1205</v>
      </c>
      <c r="S266" s="97" t="s">
        <v>195</v>
      </c>
    </row>
    <row r="267" spans="1:19" x14ac:dyDescent="0.3">
      <c r="A267" s="97" t="s">
        <v>555</v>
      </c>
      <c r="B267" s="97" t="s">
        <v>23</v>
      </c>
      <c r="C267">
        <v>2026</v>
      </c>
      <c r="D267">
        <v>1</v>
      </c>
      <c r="E267" s="2">
        <v>46034</v>
      </c>
      <c r="F267" s="97" t="s">
        <v>7</v>
      </c>
      <c r="G267" s="97" t="s">
        <v>8</v>
      </c>
      <c r="H267" s="97" t="s">
        <v>74</v>
      </c>
      <c r="I267" s="97" t="s">
        <v>75</v>
      </c>
      <c r="J267" s="97" t="s">
        <v>76</v>
      </c>
      <c r="K267" s="97" t="s">
        <v>73</v>
      </c>
      <c r="L267">
        <v>701000</v>
      </c>
      <c r="M267" s="97" t="s">
        <v>62</v>
      </c>
      <c r="N267" s="97" t="s">
        <v>33</v>
      </c>
      <c r="O267">
        <v>973</v>
      </c>
      <c r="P267">
        <v>1.4</v>
      </c>
      <c r="Q267">
        <v>1.36</v>
      </c>
      <c r="R267" s="97" t="s">
        <v>1203</v>
      </c>
      <c r="S267" s="97" t="s">
        <v>195</v>
      </c>
    </row>
    <row r="268" spans="1:19" x14ac:dyDescent="0.3">
      <c r="A268" s="97" t="s">
        <v>556</v>
      </c>
      <c r="B268" s="97" t="s">
        <v>23</v>
      </c>
      <c r="C268">
        <v>2026</v>
      </c>
      <c r="D268">
        <v>1</v>
      </c>
      <c r="E268" s="2">
        <v>46034</v>
      </c>
      <c r="F268" s="97" t="s">
        <v>7</v>
      </c>
      <c r="G268" s="97" t="s">
        <v>8</v>
      </c>
      <c r="H268" s="97" t="s">
        <v>74</v>
      </c>
      <c r="I268" s="97" t="s">
        <v>75</v>
      </c>
      <c r="J268" s="97" t="s">
        <v>76</v>
      </c>
      <c r="K268" s="97" t="s">
        <v>73</v>
      </c>
      <c r="L268">
        <v>701000</v>
      </c>
      <c r="M268" s="97" t="s">
        <v>62</v>
      </c>
      <c r="N268" s="97" t="s">
        <v>33</v>
      </c>
      <c r="O268">
        <v>2930</v>
      </c>
      <c r="P268">
        <v>1.4</v>
      </c>
      <c r="Q268">
        <v>4.0999999999999996</v>
      </c>
      <c r="R268" s="97" t="s">
        <v>1198</v>
      </c>
      <c r="S268" s="97" t="s">
        <v>195</v>
      </c>
    </row>
    <row r="269" spans="1:19" x14ac:dyDescent="0.3">
      <c r="A269" s="97" t="s">
        <v>557</v>
      </c>
      <c r="B269" s="97" t="s">
        <v>23</v>
      </c>
      <c r="C269">
        <v>2026</v>
      </c>
      <c r="D269">
        <v>1</v>
      </c>
      <c r="E269" s="2">
        <v>46034</v>
      </c>
      <c r="F269" s="97" t="s">
        <v>7</v>
      </c>
      <c r="G269" s="97" t="s">
        <v>8</v>
      </c>
      <c r="H269" s="97" t="s">
        <v>74</v>
      </c>
      <c r="I269" s="97" t="s">
        <v>75</v>
      </c>
      <c r="J269" s="97" t="s">
        <v>76</v>
      </c>
      <c r="K269" s="97" t="s">
        <v>73</v>
      </c>
      <c r="L269">
        <v>701000</v>
      </c>
      <c r="M269" s="97" t="s">
        <v>62</v>
      </c>
      <c r="N269" s="97" t="s">
        <v>33</v>
      </c>
      <c r="O269">
        <v>2984</v>
      </c>
      <c r="P269">
        <v>1.4</v>
      </c>
      <c r="Q269">
        <v>4.18</v>
      </c>
      <c r="R269" s="97" t="s">
        <v>1205</v>
      </c>
      <c r="S269" s="97" t="s">
        <v>195</v>
      </c>
    </row>
    <row r="270" spans="1:19" x14ac:dyDescent="0.3">
      <c r="A270" s="97" t="s">
        <v>558</v>
      </c>
      <c r="B270" s="97" t="s">
        <v>23</v>
      </c>
      <c r="C270">
        <v>2026</v>
      </c>
      <c r="D270">
        <v>1</v>
      </c>
      <c r="E270" s="2">
        <v>46034</v>
      </c>
      <c r="F270" s="97" t="s">
        <v>7</v>
      </c>
      <c r="G270" s="97" t="s">
        <v>8</v>
      </c>
      <c r="H270" s="97" t="s">
        <v>74</v>
      </c>
      <c r="I270" s="97" t="s">
        <v>75</v>
      </c>
      <c r="J270" s="97" t="s">
        <v>76</v>
      </c>
      <c r="K270" s="97" t="s">
        <v>73</v>
      </c>
      <c r="L270">
        <v>701000</v>
      </c>
      <c r="M270" s="97" t="s">
        <v>62</v>
      </c>
      <c r="N270" s="97" t="s">
        <v>33</v>
      </c>
      <c r="O270">
        <v>157</v>
      </c>
      <c r="P270">
        <v>1.4</v>
      </c>
      <c r="Q270">
        <v>0.22</v>
      </c>
      <c r="R270" s="97" t="s">
        <v>1200</v>
      </c>
      <c r="S270" s="97" t="s">
        <v>195</v>
      </c>
    </row>
    <row r="271" spans="1:19" x14ac:dyDescent="0.3">
      <c r="A271" s="97" t="s">
        <v>559</v>
      </c>
      <c r="B271" s="97" t="s">
        <v>23</v>
      </c>
      <c r="C271">
        <v>2026</v>
      </c>
      <c r="D271">
        <v>1</v>
      </c>
      <c r="E271" s="2">
        <v>46034</v>
      </c>
      <c r="F271" s="97" t="s">
        <v>7</v>
      </c>
      <c r="G271" s="97" t="s">
        <v>8</v>
      </c>
      <c r="H271" s="97" t="s">
        <v>74</v>
      </c>
      <c r="I271" s="97" t="s">
        <v>75</v>
      </c>
      <c r="J271" s="97" t="s">
        <v>76</v>
      </c>
      <c r="K271" s="97" t="s">
        <v>73</v>
      </c>
      <c r="L271">
        <v>701000</v>
      </c>
      <c r="M271" s="97" t="s">
        <v>62</v>
      </c>
      <c r="N271" s="97" t="s">
        <v>33</v>
      </c>
      <c r="O271">
        <v>487</v>
      </c>
      <c r="P271">
        <v>1.4</v>
      </c>
      <c r="Q271">
        <v>0.68</v>
      </c>
      <c r="R271" s="97" t="s">
        <v>1204</v>
      </c>
      <c r="S271" s="97" t="s">
        <v>195</v>
      </c>
    </row>
    <row r="272" spans="1:19" x14ac:dyDescent="0.3">
      <c r="A272" s="97" t="s">
        <v>675</v>
      </c>
      <c r="B272" s="97" t="s">
        <v>23</v>
      </c>
      <c r="C272">
        <v>2026</v>
      </c>
      <c r="D272">
        <v>1</v>
      </c>
      <c r="E272" s="2">
        <v>46034</v>
      </c>
      <c r="F272" s="97" t="s">
        <v>7</v>
      </c>
      <c r="G272" s="97" t="s">
        <v>8</v>
      </c>
      <c r="H272" s="97" t="s">
        <v>70</v>
      </c>
      <c r="I272" s="97" t="s">
        <v>77</v>
      </c>
      <c r="J272" s="97" t="s">
        <v>78</v>
      </c>
      <c r="K272" s="97" t="s">
        <v>73</v>
      </c>
      <c r="L272">
        <v>701000</v>
      </c>
      <c r="M272" s="97" t="s">
        <v>62</v>
      </c>
      <c r="N272" s="97" t="s">
        <v>33</v>
      </c>
      <c r="O272">
        <v>1341</v>
      </c>
      <c r="P272">
        <v>1.8</v>
      </c>
      <c r="Q272">
        <v>2.42</v>
      </c>
      <c r="R272" s="97" t="s">
        <v>1199</v>
      </c>
      <c r="S272" s="97" t="s">
        <v>195</v>
      </c>
    </row>
    <row r="273" spans="1:19" x14ac:dyDescent="0.3">
      <c r="A273" s="97" t="s">
        <v>676</v>
      </c>
      <c r="B273" s="97" t="s">
        <v>23</v>
      </c>
      <c r="C273">
        <v>2026</v>
      </c>
      <c r="D273">
        <v>1</v>
      </c>
      <c r="E273" s="2">
        <v>46034</v>
      </c>
      <c r="F273" s="97" t="s">
        <v>7</v>
      </c>
      <c r="G273" s="97" t="s">
        <v>8</v>
      </c>
      <c r="H273" s="97" t="s">
        <v>70</v>
      </c>
      <c r="I273" s="97" t="s">
        <v>77</v>
      </c>
      <c r="J273" s="97" t="s">
        <v>78</v>
      </c>
      <c r="K273" s="97" t="s">
        <v>73</v>
      </c>
      <c r="L273">
        <v>701000</v>
      </c>
      <c r="M273" s="97" t="s">
        <v>62</v>
      </c>
      <c r="N273" s="97" t="s">
        <v>33</v>
      </c>
      <c r="O273">
        <v>580</v>
      </c>
      <c r="P273">
        <v>1.79</v>
      </c>
      <c r="Q273">
        <v>1.04</v>
      </c>
      <c r="R273" s="97" t="s">
        <v>1202</v>
      </c>
      <c r="S273" s="97" t="s">
        <v>195</v>
      </c>
    </row>
    <row r="274" spans="1:19" x14ac:dyDescent="0.3">
      <c r="A274" s="97" t="s">
        <v>677</v>
      </c>
      <c r="B274" s="97" t="s">
        <v>23</v>
      </c>
      <c r="C274">
        <v>2026</v>
      </c>
      <c r="D274">
        <v>1</v>
      </c>
      <c r="E274" s="2">
        <v>46034</v>
      </c>
      <c r="F274" s="97" t="s">
        <v>7</v>
      </c>
      <c r="G274" s="97" t="s">
        <v>8</v>
      </c>
      <c r="H274" s="97" t="s">
        <v>70</v>
      </c>
      <c r="I274" s="97" t="s">
        <v>77</v>
      </c>
      <c r="J274" s="97" t="s">
        <v>78</v>
      </c>
      <c r="K274" s="97" t="s">
        <v>73</v>
      </c>
      <c r="L274">
        <v>701000</v>
      </c>
      <c r="M274" s="97" t="s">
        <v>62</v>
      </c>
      <c r="N274" s="97" t="s">
        <v>33</v>
      </c>
      <c r="O274">
        <v>3728</v>
      </c>
      <c r="P274">
        <v>1.8</v>
      </c>
      <c r="Q274">
        <v>6.71</v>
      </c>
      <c r="R274" s="97" t="s">
        <v>1197</v>
      </c>
      <c r="S274" s="97" t="s">
        <v>195</v>
      </c>
    </row>
    <row r="275" spans="1:19" x14ac:dyDescent="0.3">
      <c r="A275" s="97" t="s">
        <v>678</v>
      </c>
      <c r="B275" s="97" t="s">
        <v>23</v>
      </c>
      <c r="C275">
        <v>2026</v>
      </c>
      <c r="D275">
        <v>1</v>
      </c>
      <c r="E275" s="2">
        <v>46034</v>
      </c>
      <c r="F275" s="97" t="s">
        <v>7</v>
      </c>
      <c r="G275" s="97" t="s">
        <v>8</v>
      </c>
      <c r="H275" s="97" t="s">
        <v>70</v>
      </c>
      <c r="I275" s="97" t="s">
        <v>77</v>
      </c>
      <c r="J275" s="97" t="s">
        <v>78</v>
      </c>
      <c r="K275" s="97" t="s">
        <v>73</v>
      </c>
      <c r="L275">
        <v>701000</v>
      </c>
      <c r="M275" s="97" t="s">
        <v>62</v>
      </c>
      <c r="N275" s="97" t="s">
        <v>33</v>
      </c>
      <c r="O275">
        <v>1341</v>
      </c>
      <c r="P275">
        <v>1.8</v>
      </c>
      <c r="Q275">
        <v>2.42</v>
      </c>
      <c r="R275" s="97" t="s">
        <v>1204</v>
      </c>
      <c r="S275" s="97" t="s">
        <v>195</v>
      </c>
    </row>
    <row r="276" spans="1:19" x14ac:dyDescent="0.3">
      <c r="A276" s="97" t="s">
        <v>679</v>
      </c>
      <c r="B276" s="97" t="s">
        <v>23</v>
      </c>
      <c r="C276">
        <v>2026</v>
      </c>
      <c r="D276">
        <v>1</v>
      </c>
      <c r="E276" s="2">
        <v>46034</v>
      </c>
      <c r="F276" s="97" t="s">
        <v>7</v>
      </c>
      <c r="G276" s="97" t="s">
        <v>8</v>
      </c>
      <c r="H276" s="97" t="s">
        <v>70</v>
      </c>
      <c r="I276" s="97" t="s">
        <v>77</v>
      </c>
      <c r="J276" s="97" t="s">
        <v>78</v>
      </c>
      <c r="K276" s="97" t="s">
        <v>73</v>
      </c>
      <c r="L276">
        <v>701000</v>
      </c>
      <c r="M276" s="97" t="s">
        <v>62</v>
      </c>
      <c r="N276" s="97" t="s">
        <v>33</v>
      </c>
      <c r="O276">
        <v>1230</v>
      </c>
      <c r="P276">
        <v>1.8</v>
      </c>
      <c r="Q276">
        <v>2.21</v>
      </c>
      <c r="R276" s="97" t="s">
        <v>1201</v>
      </c>
      <c r="S276" s="97" t="s">
        <v>195</v>
      </c>
    </row>
    <row r="277" spans="1:19" x14ac:dyDescent="0.3">
      <c r="A277" s="97" t="s">
        <v>680</v>
      </c>
      <c r="B277" s="97" t="s">
        <v>23</v>
      </c>
      <c r="C277">
        <v>2026</v>
      </c>
      <c r="D277">
        <v>1</v>
      </c>
      <c r="E277" s="2">
        <v>46034</v>
      </c>
      <c r="F277" s="97" t="s">
        <v>7</v>
      </c>
      <c r="G277" s="97" t="s">
        <v>8</v>
      </c>
      <c r="H277" s="97" t="s">
        <v>70</v>
      </c>
      <c r="I277" s="97" t="s">
        <v>77</v>
      </c>
      <c r="J277" s="97" t="s">
        <v>78</v>
      </c>
      <c r="K277" s="97" t="s">
        <v>73</v>
      </c>
      <c r="L277">
        <v>701000</v>
      </c>
      <c r="M277" s="97" t="s">
        <v>62</v>
      </c>
      <c r="N277" s="97" t="s">
        <v>33</v>
      </c>
      <c r="O277">
        <v>1324</v>
      </c>
      <c r="P277">
        <v>1.8</v>
      </c>
      <c r="Q277">
        <v>2.38</v>
      </c>
      <c r="R277" s="97" t="s">
        <v>1199</v>
      </c>
      <c r="S277" s="97" t="s">
        <v>195</v>
      </c>
    </row>
    <row r="278" spans="1:19" x14ac:dyDescent="0.3">
      <c r="A278" s="97" t="s">
        <v>681</v>
      </c>
      <c r="B278" s="97" t="s">
        <v>23</v>
      </c>
      <c r="C278">
        <v>2026</v>
      </c>
      <c r="D278">
        <v>1</v>
      </c>
      <c r="E278" s="2">
        <v>46034</v>
      </c>
      <c r="F278" s="97" t="s">
        <v>7</v>
      </c>
      <c r="G278" s="97" t="s">
        <v>8</v>
      </c>
      <c r="H278" s="97" t="s">
        <v>70</v>
      </c>
      <c r="I278" s="97" t="s">
        <v>77</v>
      </c>
      <c r="J278" s="97" t="s">
        <v>78</v>
      </c>
      <c r="K278" s="97" t="s">
        <v>73</v>
      </c>
      <c r="L278">
        <v>701000</v>
      </c>
      <c r="M278" s="97" t="s">
        <v>62</v>
      </c>
      <c r="N278" s="97" t="s">
        <v>33</v>
      </c>
      <c r="O278">
        <v>1898</v>
      </c>
      <c r="P278">
        <v>1.8</v>
      </c>
      <c r="Q278">
        <v>3.42</v>
      </c>
      <c r="R278" s="97" t="s">
        <v>1202</v>
      </c>
      <c r="S278" s="97" t="s">
        <v>195</v>
      </c>
    </row>
    <row r="279" spans="1:19" x14ac:dyDescent="0.3">
      <c r="A279" s="97" t="s">
        <v>682</v>
      </c>
      <c r="B279" s="97" t="s">
        <v>23</v>
      </c>
      <c r="C279">
        <v>2026</v>
      </c>
      <c r="D279">
        <v>1</v>
      </c>
      <c r="E279" s="2">
        <v>46034</v>
      </c>
      <c r="F279" s="97" t="s">
        <v>7</v>
      </c>
      <c r="G279" s="97" t="s">
        <v>8</v>
      </c>
      <c r="H279" s="97" t="s">
        <v>70</v>
      </c>
      <c r="I279" s="97" t="s">
        <v>77</v>
      </c>
      <c r="J279" s="97" t="s">
        <v>78</v>
      </c>
      <c r="K279" s="97" t="s">
        <v>73</v>
      </c>
      <c r="L279">
        <v>701000</v>
      </c>
      <c r="M279" s="97" t="s">
        <v>62</v>
      </c>
      <c r="N279" s="97" t="s">
        <v>33</v>
      </c>
      <c r="O279">
        <v>2816</v>
      </c>
      <c r="P279">
        <v>1.8</v>
      </c>
      <c r="Q279">
        <v>5.07</v>
      </c>
      <c r="R279" s="97" t="s">
        <v>1201</v>
      </c>
      <c r="S279" s="97" t="s">
        <v>195</v>
      </c>
    </row>
    <row r="280" spans="1:19" x14ac:dyDescent="0.3">
      <c r="A280" s="97" t="s">
        <v>683</v>
      </c>
      <c r="B280" s="97" t="s">
        <v>23</v>
      </c>
      <c r="C280">
        <v>2026</v>
      </c>
      <c r="D280">
        <v>1</v>
      </c>
      <c r="E280" s="2">
        <v>46034</v>
      </c>
      <c r="F280" s="97" t="s">
        <v>7</v>
      </c>
      <c r="G280" s="97" t="s">
        <v>8</v>
      </c>
      <c r="H280" s="97" t="s">
        <v>70</v>
      </c>
      <c r="I280" s="97" t="s">
        <v>77</v>
      </c>
      <c r="J280" s="97" t="s">
        <v>78</v>
      </c>
      <c r="K280" s="97" t="s">
        <v>73</v>
      </c>
      <c r="L280">
        <v>701000</v>
      </c>
      <c r="M280" s="97" t="s">
        <v>62</v>
      </c>
      <c r="N280" s="97" t="s">
        <v>33</v>
      </c>
      <c r="O280">
        <v>1295</v>
      </c>
      <c r="P280">
        <v>1.8</v>
      </c>
      <c r="Q280">
        <v>2.33</v>
      </c>
      <c r="R280" s="97" t="s">
        <v>1205</v>
      </c>
      <c r="S280" s="97" t="s">
        <v>195</v>
      </c>
    </row>
    <row r="281" spans="1:19" x14ac:dyDescent="0.3">
      <c r="A281" s="97" t="s">
        <v>684</v>
      </c>
      <c r="B281" s="97" t="s">
        <v>23</v>
      </c>
      <c r="C281">
        <v>2026</v>
      </c>
      <c r="D281">
        <v>1</v>
      </c>
      <c r="E281" s="2">
        <v>46034</v>
      </c>
      <c r="F281" s="97" t="s">
        <v>7</v>
      </c>
      <c r="G281" s="97" t="s">
        <v>8</v>
      </c>
      <c r="H281" s="97" t="s">
        <v>70</v>
      </c>
      <c r="I281" s="97" t="s">
        <v>77</v>
      </c>
      <c r="J281" s="97" t="s">
        <v>78</v>
      </c>
      <c r="K281" s="97" t="s">
        <v>73</v>
      </c>
      <c r="L281">
        <v>701000</v>
      </c>
      <c r="M281" s="97" t="s">
        <v>62</v>
      </c>
      <c r="N281" s="97" t="s">
        <v>33</v>
      </c>
      <c r="O281">
        <v>1386</v>
      </c>
      <c r="P281">
        <v>1.8</v>
      </c>
      <c r="Q281">
        <v>2.4900000000000002</v>
      </c>
      <c r="R281" s="97" t="s">
        <v>1198</v>
      </c>
      <c r="S281" s="97" t="s">
        <v>195</v>
      </c>
    </row>
    <row r="282" spans="1:19" x14ac:dyDescent="0.3">
      <c r="A282" s="97" t="s">
        <v>710</v>
      </c>
      <c r="B282" s="97" t="s">
        <v>23</v>
      </c>
      <c r="C282">
        <v>2026</v>
      </c>
      <c r="D282">
        <v>1</v>
      </c>
      <c r="E282" s="2">
        <v>46034</v>
      </c>
      <c r="F282" s="97" t="s">
        <v>7</v>
      </c>
      <c r="G282" s="97" t="s">
        <v>8</v>
      </c>
      <c r="H282" s="97" t="s">
        <v>70</v>
      </c>
      <c r="I282" s="97" t="s">
        <v>77</v>
      </c>
      <c r="J282" s="97" t="s">
        <v>78</v>
      </c>
      <c r="K282" s="97" t="s">
        <v>73</v>
      </c>
      <c r="L282">
        <v>701000</v>
      </c>
      <c r="M282" s="97" t="s">
        <v>62</v>
      </c>
      <c r="N282" s="97" t="s">
        <v>33</v>
      </c>
      <c r="O282">
        <v>887</v>
      </c>
      <c r="P282">
        <v>1.8</v>
      </c>
      <c r="Q282">
        <v>1.6</v>
      </c>
      <c r="R282" s="97" t="s">
        <v>1197</v>
      </c>
      <c r="S282" s="97" t="s">
        <v>195</v>
      </c>
    </row>
    <row r="283" spans="1:19" x14ac:dyDescent="0.3">
      <c r="A283" s="97" t="s">
        <v>711</v>
      </c>
      <c r="B283" s="97" t="s">
        <v>23</v>
      </c>
      <c r="C283">
        <v>2026</v>
      </c>
      <c r="D283">
        <v>1</v>
      </c>
      <c r="E283" s="2">
        <v>46034</v>
      </c>
      <c r="F283" s="97" t="s">
        <v>7</v>
      </c>
      <c r="G283" s="97" t="s">
        <v>8</v>
      </c>
      <c r="H283" s="97" t="s">
        <v>70</v>
      </c>
      <c r="I283" s="97" t="s">
        <v>77</v>
      </c>
      <c r="J283" s="97" t="s">
        <v>78</v>
      </c>
      <c r="K283" s="97" t="s">
        <v>73</v>
      </c>
      <c r="L283">
        <v>701000</v>
      </c>
      <c r="M283" s="97" t="s">
        <v>62</v>
      </c>
      <c r="N283" s="97" t="s">
        <v>33</v>
      </c>
      <c r="O283">
        <v>339</v>
      </c>
      <c r="P283">
        <v>1.8</v>
      </c>
      <c r="Q283">
        <v>0.61</v>
      </c>
      <c r="R283" s="97" t="s">
        <v>1200</v>
      </c>
      <c r="S283" s="97" t="s">
        <v>195</v>
      </c>
    </row>
    <row r="284" spans="1:19" x14ac:dyDescent="0.3">
      <c r="A284" s="97" t="s">
        <v>712</v>
      </c>
      <c r="B284" s="97" t="s">
        <v>23</v>
      </c>
      <c r="C284">
        <v>2026</v>
      </c>
      <c r="D284">
        <v>1</v>
      </c>
      <c r="E284" s="2">
        <v>46034</v>
      </c>
      <c r="F284" s="97" t="s">
        <v>7</v>
      </c>
      <c r="G284" s="97" t="s">
        <v>8</v>
      </c>
      <c r="H284" s="97" t="s">
        <v>70</v>
      </c>
      <c r="I284" s="97" t="s">
        <v>77</v>
      </c>
      <c r="J284" s="97" t="s">
        <v>78</v>
      </c>
      <c r="K284" s="97" t="s">
        <v>73</v>
      </c>
      <c r="L284">
        <v>701000</v>
      </c>
      <c r="M284" s="97" t="s">
        <v>62</v>
      </c>
      <c r="N284" s="97" t="s">
        <v>33</v>
      </c>
      <c r="O284">
        <v>2708</v>
      </c>
      <c r="P284">
        <v>1.8</v>
      </c>
      <c r="Q284">
        <v>4.87</v>
      </c>
      <c r="R284" s="97" t="s">
        <v>1201</v>
      </c>
      <c r="S284" s="97" t="s">
        <v>195</v>
      </c>
    </row>
    <row r="285" spans="1:19" x14ac:dyDescent="0.3">
      <c r="A285" s="97" t="s">
        <v>713</v>
      </c>
      <c r="B285" s="97" t="s">
        <v>23</v>
      </c>
      <c r="C285">
        <v>2026</v>
      </c>
      <c r="D285">
        <v>1</v>
      </c>
      <c r="E285" s="2">
        <v>46034</v>
      </c>
      <c r="F285" s="97" t="s">
        <v>7</v>
      </c>
      <c r="G285" s="97" t="s">
        <v>8</v>
      </c>
      <c r="H285" s="97" t="s">
        <v>70</v>
      </c>
      <c r="I285" s="97" t="s">
        <v>77</v>
      </c>
      <c r="J285" s="97" t="s">
        <v>78</v>
      </c>
      <c r="K285" s="97" t="s">
        <v>73</v>
      </c>
      <c r="L285">
        <v>701000</v>
      </c>
      <c r="M285" s="97" t="s">
        <v>62</v>
      </c>
      <c r="N285" s="97" t="s">
        <v>33</v>
      </c>
      <c r="O285">
        <v>1006</v>
      </c>
      <c r="P285">
        <v>1.8</v>
      </c>
      <c r="Q285">
        <v>1.81</v>
      </c>
      <c r="R285" s="97" t="s">
        <v>1203</v>
      </c>
      <c r="S285" s="97" t="s">
        <v>195</v>
      </c>
    </row>
    <row r="286" spans="1:19" x14ac:dyDescent="0.3">
      <c r="A286" s="97" t="s">
        <v>714</v>
      </c>
      <c r="B286" s="97" t="s">
        <v>23</v>
      </c>
      <c r="C286">
        <v>2026</v>
      </c>
      <c r="D286">
        <v>1</v>
      </c>
      <c r="E286" s="2">
        <v>46034</v>
      </c>
      <c r="F286" s="97" t="s">
        <v>7</v>
      </c>
      <c r="G286" s="97" t="s">
        <v>8</v>
      </c>
      <c r="H286" s="97" t="s">
        <v>70</v>
      </c>
      <c r="I286" s="97" t="s">
        <v>77</v>
      </c>
      <c r="J286" s="97" t="s">
        <v>78</v>
      </c>
      <c r="K286" s="97" t="s">
        <v>73</v>
      </c>
      <c r="L286">
        <v>701000</v>
      </c>
      <c r="M286" s="97" t="s">
        <v>62</v>
      </c>
      <c r="N286" s="97" t="s">
        <v>33</v>
      </c>
      <c r="O286">
        <v>3998</v>
      </c>
      <c r="P286">
        <v>1.8</v>
      </c>
      <c r="Q286">
        <v>7.2</v>
      </c>
      <c r="R286" s="97" t="s">
        <v>1199</v>
      </c>
      <c r="S286" s="97" t="s">
        <v>195</v>
      </c>
    </row>
    <row r="287" spans="1:19" x14ac:dyDescent="0.3">
      <c r="A287" s="97" t="s">
        <v>970</v>
      </c>
      <c r="B287" s="97" t="s">
        <v>23</v>
      </c>
      <c r="C287">
        <v>2026</v>
      </c>
      <c r="D287">
        <v>1</v>
      </c>
      <c r="E287" s="2">
        <v>46034</v>
      </c>
      <c r="F287" s="97" t="s">
        <v>7</v>
      </c>
      <c r="G287" s="97" t="s">
        <v>8</v>
      </c>
      <c r="H287" s="97" t="s">
        <v>74</v>
      </c>
      <c r="I287" s="97" t="s">
        <v>82</v>
      </c>
      <c r="J287" s="97" t="s">
        <v>83</v>
      </c>
      <c r="K287" s="97" t="s">
        <v>73</v>
      </c>
      <c r="L287">
        <v>701000</v>
      </c>
      <c r="M287" s="97" t="s">
        <v>62</v>
      </c>
      <c r="N287" s="97" t="s">
        <v>33</v>
      </c>
      <c r="O287">
        <v>93</v>
      </c>
      <c r="P287">
        <v>18.39</v>
      </c>
      <c r="Q287">
        <v>1.71</v>
      </c>
      <c r="R287" s="97" t="s">
        <v>1199</v>
      </c>
      <c r="S287" s="97" t="s">
        <v>195</v>
      </c>
    </row>
    <row r="288" spans="1:19" x14ac:dyDescent="0.3">
      <c r="A288" s="97" t="s">
        <v>971</v>
      </c>
      <c r="B288" s="97" t="s">
        <v>23</v>
      </c>
      <c r="C288">
        <v>2026</v>
      </c>
      <c r="D288">
        <v>1</v>
      </c>
      <c r="E288" s="2">
        <v>46034</v>
      </c>
      <c r="F288" s="97" t="s">
        <v>7</v>
      </c>
      <c r="G288" s="97" t="s">
        <v>8</v>
      </c>
      <c r="H288" s="97" t="s">
        <v>74</v>
      </c>
      <c r="I288" s="97" t="s">
        <v>82</v>
      </c>
      <c r="J288" s="97" t="s">
        <v>83</v>
      </c>
      <c r="K288" s="97" t="s">
        <v>73</v>
      </c>
      <c r="L288">
        <v>701000</v>
      </c>
      <c r="M288" s="97" t="s">
        <v>62</v>
      </c>
      <c r="N288" s="97" t="s">
        <v>33</v>
      </c>
      <c r="O288">
        <v>139</v>
      </c>
      <c r="P288">
        <v>18.420000000000002</v>
      </c>
      <c r="Q288">
        <v>2.56</v>
      </c>
      <c r="R288" s="97" t="s">
        <v>1198</v>
      </c>
      <c r="S288" s="97" t="s">
        <v>195</v>
      </c>
    </row>
    <row r="289" spans="1:19" x14ac:dyDescent="0.3">
      <c r="A289" s="97" t="s">
        <v>972</v>
      </c>
      <c r="B289" s="97" t="s">
        <v>23</v>
      </c>
      <c r="C289">
        <v>2026</v>
      </c>
      <c r="D289">
        <v>1</v>
      </c>
      <c r="E289" s="2">
        <v>46034</v>
      </c>
      <c r="F289" s="97" t="s">
        <v>7</v>
      </c>
      <c r="G289" s="97" t="s">
        <v>8</v>
      </c>
      <c r="H289" s="97" t="s">
        <v>74</v>
      </c>
      <c r="I289" s="97" t="s">
        <v>82</v>
      </c>
      <c r="J289" s="97" t="s">
        <v>83</v>
      </c>
      <c r="K289" s="97" t="s">
        <v>73</v>
      </c>
      <c r="L289">
        <v>701000</v>
      </c>
      <c r="M289" s="97" t="s">
        <v>62</v>
      </c>
      <c r="N289" s="97" t="s">
        <v>33</v>
      </c>
      <c r="O289">
        <v>204</v>
      </c>
      <c r="P289">
        <v>18.48</v>
      </c>
      <c r="Q289">
        <v>3.77</v>
      </c>
      <c r="R289" s="97" t="s">
        <v>1202</v>
      </c>
      <c r="S289" s="97" t="s">
        <v>195</v>
      </c>
    </row>
    <row r="290" spans="1:19" x14ac:dyDescent="0.3">
      <c r="A290" s="97" t="s">
        <v>973</v>
      </c>
      <c r="B290" s="97" t="s">
        <v>23</v>
      </c>
      <c r="C290">
        <v>2026</v>
      </c>
      <c r="D290">
        <v>1</v>
      </c>
      <c r="E290" s="2">
        <v>46034</v>
      </c>
      <c r="F290" s="97" t="s">
        <v>7</v>
      </c>
      <c r="G290" s="97" t="s">
        <v>8</v>
      </c>
      <c r="H290" s="97" t="s">
        <v>74</v>
      </c>
      <c r="I290" s="97" t="s">
        <v>82</v>
      </c>
      <c r="J290" s="97" t="s">
        <v>83</v>
      </c>
      <c r="K290" s="97" t="s">
        <v>73</v>
      </c>
      <c r="L290">
        <v>701000</v>
      </c>
      <c r="M290" s="97" t="s">
        <v>62</v>
      </c>
      <c r="N290" s="97" t="s">
        <v>33</v>
      </c>
      <c r="O290">
        <v>285</v>
      </c>
      <c r="P290">
        <v>18.53</v>
      </c>
      <c r="Q290">
        <v>5.28</v>
      </c>
      <c r="R290" s="97" t="s">
        <v>1203</v>
      </c>
      <c r="S290" s="97" t="s">
        <v>195</v>
      </c>
    </row>
    <row r="291" spans="1:19" x14ac:dyDescent="0.3">
      <c r="A291" s="97" t="s">
        <v>974</v>
      </c>
      <c r="B291" s="97" t="s">
        <v>23</v>
      </c>
      <c r="C291">
        <v>2026</v>
      </c>
      <c r="D291">
        <v>1</v>
      </c>
      <c r="E291" s="2">
        <v>46034</v>
      </c>
      <c r="F291" s="97" t="s">
        <v>7</v>
      </c>
      <c r="G291" s="97" t="s">
        <v>8</v>
      </c>
      <c r="H291" s="97" t="s">
        <v>74</v>
      </c>
      <c r="I291" s="97" t="s">
        <v>82</v>
      </c>
      <c r="J291" s="97" t="s">
        <v>83</v>
      </c>
      <c r="K291" s="97" t="s">
        <v>73</v>
      </c>
      <c r="L291">
        <v>701000</v>
      </c>
      <c r="M291" s="97" t="s">
        <v>62</v>
      </c>
      <c r="N291" s="97" t="s">
        <v>33</v>
      </c>
      <c r="O291">
        <v>158</v>
      </c>
      <c r="P291">
        <v>18.670000000000002</v>
      </c>
      <c r="Q291">
        <v>2.95</v>
      </c>
      <c r="R291" s="97" t="s">
        <v>1205</v>
      </c>
      <c r="S291" s="97" t="s">
        <v>195</v>
      </c>
    </row>
    <row r="292" spans="1:19" x14ac:dyDescent="0.3">
      <c r="A292" s="97" t="s">
        <v>245</v>
      </c>
      <c r="B292" s="97" t="s">
        <v>23</v>
      </c>
      <c r="C292">
        <v>2026</v>
      </c>
      <c r="D292">
        <v>1</v>
      </c>
      <c r="E292" s="2">
        <v>46035</v>
      </c>
      <c r="F292" s="97" t="s">
        <v>7</v>
      </c>
      <c r="G292" s="97" t="s">
        <v>8</v>
      </c>
      <c r="H292" s="97" t="s">
        <v>74</v>
      </c>
      <c r="I292" s="97" t="s">
        <v>84</v>
      </c>
      <c r="J292" s="97" t="s">
        <v>85</v>
      </c>
      <c r="K292" s="97" t="s">
        <v>73</v>
      </c>
      <c r="L292">
        <v>701000</v>
      </c>
      <c r="M292" s="97" t="s">
        <v>62</v>
      </c>
      <c r="N292" s="97" t="s">
        <v>33</v>
      </c>
      <c r="O292">
        <v>1713</v>
      </c>
      <c r="P292">
        <v>0.95</v>
      </c>
      <c r="Q292">
        <v>1.63</v>
      </c>
      <c r="R292" s="97" t="s">
        <v>1200</v>
      </c>
      <c r="S292" s="97" t="s">
        <v>195</v>
      </c>
    </row>
    <row r="293" spans="1:19" x14ac:dyDescent="0.3">
      <c r="A293" s="97" t="s">
        <v>246</v>
      </c>
      <c r="B293" s="97" t="s">
        <v>23</v>
      </c>
      <c r="C293">
        <v>2026</v>
      </c>
      <c r="D293">
        <v>1</v>
      </c>
      <c r="E293" s="2">
        <v>46035</v>
      </c>
      <c r="F293" s="97" t="s">
        <v>7</v>
      </c>
      <c r="G293" s="97" t="s">
        <v>8</v>
      </c>
      <c r="H293" s="97" t="s">
        <v>74</v>
      </c>
      <c r="I293" s="97" t="s">
        <v>84</v>
      </c>
      <c r="J293" s="97" t="s">
        <v>85</v>
      </c>
      <c r="K293" s="97" t="s">
        <v>73</v>
      </c>
      <c r="L293">
        <v>701000</v>
      </c>
      <c r="M293" s="97" t="s">
        <v>62</v>
      </c>
      <c r="N293" s="97" t="s">
        <v>33</v>
      </c>
      <c r="O293">
        <v>3932</v>
      </c>
      <c r="P293">
        <v>0.95</v>
      </c>
      <c r="Q293">
        <v>3.74</v>
      </c>
      <c r="R293" s="97" t="s">
        <v>1199</v>
      </c>
      <c r="S293" s="97" t="s">
        <v>195</v>
      </c>
    </row>
    <row r="294" spans="1:19" x14ac:dyDescent="0.3">
      <c r="A294" s="97" t="s">
        <v>247</v>
      </c>
      <c r="B294" s="97" t="s">
        <v>23</v>
      </c>
      <c r="C294">
        <v>2026</v>
      </c>
      <c r="D294">
        <v>1</v>
      </c>
      <c r="E294" s="2">
        <v>46035</v>
      </c>
      <c r="F294" s="97" t="s">
        <v>7</v>
      </c>
      <c r="G294" s="97" t="s">
        <v>8</v>
      </c>
      <c r="H294" s="97" t="s">
        <v>74</v>
      </c>
      <c r="I294" s="97" t="s">
        <v>84</v>
      </c>
      <c r="J294" s="97" t="s">
        <v>85</v>
      </c>
      <c r="K294" s="97" t="s">
        <v>73</v>
      </c>
      <c r="L294">
        <v>701000</v>
      </c>
      <c r="M294" s="97" t="s">
        <v>62</v>
      </c>
      <c r="N294" s="97" t="s">
        <v>33</v>
      </c>
      <c r="O294">
        <v>4600</v>
      </c>
      <c r="P294">
        <v>0.95</v>
      </c>
      <c r="Q294">
        <v>4.37</v>
      </c>
      <c r="R294" s="97" t="s">
        <v>1202</v>
      </c>
      <c r="S294" s="97" t="s">
        <v>195</v>
      </c>
    </row>
    <row r="295" spans="1:19" x14ac:dyDescent="0.3">
      <c r="A295" s="97" t="s">
        <v>248</v>
      </c>
      <c r="B295" s="97" t="s">
        <v>23</v>
      </c>
      <c r="C295">
        <v>2026</v>
      </c>
      <c r="D295">
        <v>1</v>
      </c>
      <c r="E295" s="2">
        <v>46035</v>
      </c>
      <c r="F295" s="97" t="s">
        <v>7</v>
      </c>
      <c r="G295" s="97" t="s">
        <v>8</v>
      </c>
      <c r="H295" s="97" t="s">
        <v>74</v>
      </c>
      <c r="I295" s="97" t="s">
        <v>84</v>
      </c>
      <c r="J295" s="97" t="s">
        <v>85</v>
      </c>
      <c r="K295" s="97" t="s">
        <v>73</v>
      </c>
      <c r="L295">
        <v>701000</v>
      </c>
      <c r="M295" s="97" t="s">
        <v>62</v>
      </c>
      <c r="N295" s="97" t="s">
        <v>33</v>
      </c>
      <c r="O295">
        <v>2547</v>
      </c>
      <c r="P295">
        <v>0.95</v>
      </c>
      <c r="Q295">
        <v>2.42</v>
      </c>
      <c r="R295" s="97" t="s">
        <v>1204</v>
      </c>
      <c r="S295" s="97" t="s">
        <v>195</v>
      </c>
    </row>
    <row r="296" spans="1:19" x14ac:dyDescent="0.3">
      <c r="A296" s="97" t="s">
        <v>249</v>
      </c>
      <c r="B296" s="97" t="s">
        <v>23</v>
      </c>
      <c r="C296">
        <v>2026</v>
      </c>
      <c r="D296">
        <v>1</v>
      </c>
      <c r="E296" s="2">
        <v>46035</v>
      </c>
      <c r="F296" s="97" t="s">
        <v>7</v>
      </c>
      <c r="G296" s="97" t="s">
        <v>8</v>
      </c>
      <c r="H296" s="97" t="s">
        <v>74</v>
      </c>
      <c r="I296" s="97" t="s">
        <v>84</v>
      </c>
      <c r="J296" s="97" t="s">
        <v>85</v>
      </c>
      <c r="K296" s="97" t="s">
        <v>73</v>
      </c>
      <c r="L296">
        <v>701000</v>
      </c>
      <c r="M296" s="97" t="s">
        <v>62</v>
      </c>
      <c r="N296" s="97" t="s">
        <v>33</v>
      </c>
      <c r="O296">
        <v>3343</v>
      </c>
      <c r="P296">
        <v>0.95</v>
      </c>
      <c r="Q296">
        <v>3.17</v>
      </c>
      <c r="R296" s="97" t="s">
        <v>1197</v>
      </c>
      <c r="S296" s="97" t="s">
        <v>195</v>
      </c>
    </row>
    <row r="297" spans="1:19" x14ac:dyDescent="0.3">
      <c r="A297" s="97" t="s">
        <v>435</v>
      </c>
      <c r="B297" s="97" t="s">
        <v>23</v>
      </c>
      <c r="C297">
        <v>2026</v>
      </c>
      <c r="D297">
        <v>1</v>
      </c>
      <c r="E297" s="2">
        <v>46035</v>
      </c>
      <c r="F297" s="97" t="s">
        <v>7</v>
      </c>
      <c r="G297" s="97" t="s">
        <v>8</v>
      </c>
      <c r="H297" s="97" t="s">
        <v>70</v>
      </c>
      <c r="I297" s="97" t="s">
        <v>71</v>
      </c>
      <c r="J297" s="97" t="s">
        <v>72</v>
      </c>
      <c r="K297" s="97" t="s">
        <v>73</v>
      </c>
      <c r="L297">
        <v>701000</v>
      </c>
      <c r="M297" s="97" t="s">
        <v>62</v>
      </c>
      <c r="N297" s="97" t="s">
        <v>33</v>
      </c>
      <c r="O297">
        <v>607</v>
      </c>
      <c r="P297">
        <v>1.05</v>
      </c>
      <c r="Q297">
        <v>0.64</v>
      </c>
      <c r="R297" s="97" t="s">
        <v>1203</v>
      </c>
      <c r="S297" s="97" t="s">
        <v>195</v>
      </c>
    </row>
    <row r="298" spans="1:19" x14ac:dyDescent="0.3">
      <c r="A298" s="97" t="s">
        <v>436</v>
      </c>
      <c r="B298" s="97" t="s">
        <v>23</v>
      </c>
      <c r="C298">
        <v>2026</v>
      </c>
      <c r="D298">
        <v>1</v>
      </c>
      <c r="E298" s="2">
        <v>46035</v>
      </c>
      <c r="F298" s="97" t="s">
        <v>7</v>
      </c>
      <c r="G298" s="97" t="s">
        <v>8</v>
      </c>
      <c r="H298" s="97" t="s">
        <v>70</v>
      </c>
      <c r="I298" s="97" t="s">
        <v>71</v>
      </c>
      <c r="J298" s="97" t="s">
        <v>72</v>
      </c>
      <c r="K298" s="97" t="s">
        <v>73</v>
      </c>
      <c r="L298">
        <v>701000</v>
      </c>
      <c r="M298" s="97" t="s">
        <v>62</v>
      </c>
      <c r="N298" s="97" t="s">
        <v>33</v>
      </c>
      <c r="O298">
        <v>4568</v>
      </c>
      <c r="P298">
        <v>1.05</v>
      </c>
      <c r="Q298">
        <v>4.79</v>
      </c>
      <c r="R298" s="97" t="s">
        <v>1198</v>
      </c>
      <c r="S298" s="97" t="s">
        <v>195</v>
      </c>
    </row>
    <row r="299" spans="1:19" x14ac:dyDescent="0.3">
      <c r="A299" s="97" t="s">
        <v>437</v>
      </c>
      <c r="B299" s="97" t="s">
        <v>23</v>
      </c>
      <c r="C299">
        <v>2026</v>
      </c>
      <c r="D299">
        <v>1</v>
      </c>
      <c r="E299" s="2">
        <v>46035</v>
      </c>
      <c r="F299" s="97" t="s">
        <v>7</v>
      </c>
      <c r="G299" s="97" t="s">
        <v>8</v>
      </c>
      <c r="H299" s="97" t="s">
        <v>70</v>
      </c>
      <c r="I299" s="97" t="s">
        <v>71</v>
      </c>
      <c r="J299" s="97" t="s">
        <v>72</v>
      </c>
      <c r="K299" s="97" t="s">
        <v>73</v>
      </c>
      <c r="L299">
        <v>701000</v>
      </c>
      <c r="M299" s="97" t="s">
        <v>62</v>
      </c>
      <c r="N299" s="97" t="s">
        <v>33</v>
      </c>
      <c r="O299">
        <v>1380</v>
      </c>
      <c r="P299">
        <v>1.05</v>
      </c>
      <c r="Q299">
        <v>1.45</v>
      </c>
      <c r="R299" s="97" t="s">
        <v>1200</v>
      </c>
      <c r="S299" s="97" t="s">
        <v>195</v>
      </c>
    </row>
    <row r="300" spans="1:19" x14ac:dyDescent="0.3">
      <c r="A300" s="97" t="s">
        <v>438</v>
      </c>
      <c r="B300" s="97" t="s">
        <v>23</v>
      </c>
      <c r="C300">
        <v>2026</v>
      </c>
      <c r="D300">
        <v>1</v>
      </c>
      <c r="E300" s="2">
        <v>46035</v>
      </c>
      <c r="F300" s="97" t="s">
        <v>7</v>
      </c>
      <c r="G300" s="97" t="s">
        <v>8</v>
      </c>
      <c r="H300" s="97" t="s">
        <v>70</v>
      </c>
      <c r="I300" s="97" t="s">
        <v>71</v>
      </c>
      <c r="J300" s="97" t="s">
        <v>72</v>
      </c>
      <c r="K300" s="97" t="s">
        <v>73</v>
      </c>
      <c r="L300">
        <v>701000</v>
      </c>
      <c r="M300" s="97" t="s">
        <v>62</v>
      </c>
      <c r="N300" s="97" t="s">
        <v>33</v>
      </c>
      <c r="O300">
        <v>986</v>
      </c>
      <c r="P300">
        <v>1.05</v>
      </c>
      <c r="Q300">
        <v>1.04</v>
      </c>
      <c r="R300" s="97" t="s">
        <v>1199</v>
      </c>
      <c r="S300" s="97" t="s">
        <v>195</v>
      </c>
    </row>
    <row r="301" spans="1:19" x14ac:dyDescent="0.3">
      <c r="A301" s="97" t="s">
        <v>439</v>
      </c>
      <c r="B301" s="97" t="s">
        <v>23</v>
      </c>
      <c r="C301">
        <v>2026</v>
      </c>
      <c r="D301">
        <v>1</v>
      </c>
      <c r="E301" s="2">
        <v>46035</v>
      </c>
      <c r="F301" s="97" t="s">
        <v>7</v>
      </c>
      <c r="G301" s="97" t="s">
        <v>8</v>
      </c>
      <c r="H301" s="97" t="s">
        <v>70</v>
      </c>
      <c r="I301" s="97" t="s">
        <v>71</v>
      </c>
      <c r="J301" s="97" t="s">
        <v>72</v>
      </c>
      <c r="K301" s="97" t="s">
        <v>73</v>
      </c>
      <c r="L301">
        <v>701000</v>
      </c>
      <c r="M301" s="97" t="s">
        <v>62</v>
      </c>
      <c r="N301" s="97" t="s">
        <v>33</v>
      </c>
      <c r="O301">
        <v>1777</v>
      </c>
      <c r="P301">
        <v>1.05</v>
      </c>
      <c r="Q301">
        <v>1.86</v>
      </c>
      <c r="R301" s="97" t="s">
        <v>1197</v>
      </c>
      <c r="S301" s="97" t="s">
        <v>195</v>
      </c>
    </row>
    <row r="302" spans="1:19" x14ac:dyDescent="0.3">
      <c r="A302" s="97" t="s">
        <v>480</v>
      </c>
      <c r="B302" s="97" t="s">
        <v>23</v>
      </c>
      <c r="C302">
        <v>2026</v>
      </c>
      <c r="D302">
        <v>1</v>
      </c>
      <c r="E302" s="2">
        <v>46035</v>
      </c>
      <c r="F302" s="97" t="s">
        <v>7</v>
      </c>
      <c r="G302" s="97" t="s">
        <v>8</v>
      </c>
      <c r="H302" s="97" t="s">
        <v>70</v>
      </c>
      <c r="I302" s="97" t="s">
        <v>71</v>
      </c>
      <c r="J302" s="97" t="s">
        <v>72</v>
      </c>
      <c r="K302" s="97" t="s">
        <v>73</v>
      </c>
      <c r="L302">
        <v>701000</v>
      </c>
      <c r="M302" s="97" t="s">
        <v>62</v>
      </c>
      <c r="N302" s="97" t="s">
        <v>33</v>
      </c>
      <c r="O302">
        <v>2219</v>
      </c>
      <c r="P302">
        <v>1.05</v>
      </c>
      <c r="Q302">
        <v>2.33</v>
      </c>
      <c r="R302" s="97" t="s">
        <v>1202</v>
      </c>
      <c r="S302" s="97" t="s">
        <v>195</v>
      </c>
    </row>
    <row r="303" spans="1:19" x14ac:dyDescent="0.3">
      <c r="A303" s="97" t="s">
        <v>481</v>
      </c>
      <c r="B303" s="97" t="s">
        <v>23</v>
      </c>
      <c r="C303">
        <v>2026</v>
      </c>
      <c r="D303">
        <v>1</v>
      </c>
      <c r="E303" s="2">
        <v>46035</v>
      </c>
      <c r="F303" s="97" t="s">
        <v>7</v>
      </c>
      <c r="G303" s="97" t="s">
        <v>8</v>
      </c>
      <c r="H303" s="97" t="s">
        <v>70</v>
      </c>
      <c r="I303" s="97" t="s">
        <v>71</v>
      </c>
      <c r="J303" s="97" t="s">
        <v>72</v>
      </c>
      <c r="K303" s="97" t="s">
        <v>73</v>
      </c>
      <c r="L303">
        <v>701000</v>
      </c>
      <c r="M303" s="97" t="s">
        <v>62</v>
      </c>
      <c r="N303" s="97" t="s">
        <v>33</v>
      </c>
      <c r="O303">
        <v>744</v>
      </c>
      <c r="P303">
        <v>1.05</v>
      </c>
      <c r="Q303">
        <v>0.78</v>
      </c>
      <c r="R303" s="97" t="s">
        <v>1197</v>
      </c>
      <c r="S303" s="97" t="s">
        <v>195</v>
      </c>
    </row>
    <row r="304" spans="1:19" x14ac:dyDescent="0.3">
      <c r="A304" s="97" t="s">
        <v>482</v>
      </c>
      <c r="B304" s="97" t="s">
        <v>23</v>
      </c>
      <c r="C304">
        <v>2026</v>
      </c>
      <c r="D304">
        <v>1</v>
      </c>
      <c r="E304" s="2">
        <v>46035</v>
      </c>
      <c r="F304" s="97" t="s">
        <v>7</v>
      </c>
      <c r="G304" s="97" t="s">
        <v>8</v>
      </c>
      <c r="H304" s="97" t="s">
        <v>70</v>
      </c>
      <c r="I304" s="97" t="s">
        <v>71</v>
      </c>
      <c r="J304" s="97" t="s">
        <v>72</v>
      </c>
      <c r="K304" s="97" t="s">
        <v>73</v>
      </c>
      <c r="L304">
        <v>701000</v>
      </c>
      <c r="M304" s="97" t="s">
        <v>62</v>
      </c>
      <c r="N304" s="97" t="s">
        <v>33</v>
      </c>
      <c r="O304">
        <v>1068</v>
      </c>
      <c r="P304">
        <v>1.05</v>
      </c>
      <c r="Q304">
        <v>1.1200000000000001</v>
      </c>
      <c r="R304" s="97" t="s">
        <v>1200</v>
      </c>
      <c r="S304" s="97" t="s">
        <v>195</v>
      </c>
    </row>
    <row r="305" spans="1:19" x14ac:dyDescent="0.3">
      <c r="A305" s="97" t="s">
        <v>483</v>
      </c>
      <c r="B305" s="97" t="s">
        <v>23</v>
      </c>
      <c r="C305">
        <v>2026</v>
      </c>
      <c r="D305">
        <v>1</v>
      </c>
      <c r="E305" s="2">
        <v>46035</v>
      </c>
      <c r="F305" s="97" t="s">
        <v>7</v>
      </c>
      <c r="G305" s="97" t="s">
        <v>8</v>
      </c>
      <c r="H305" s="97" t="s">
        <v>70</v>
      </c>
      <c r="I305" s="97" t="s">
        <v>71</v>
      </c>
      <c r="J305" s="97" t="s">
        <v>72</v>
      </c>
      <c r="K305" s="97" t="s">
        <v>73</v>
      </c>
      <c r="L305">
        <v>701000</v>
      </c>
      <c r="M305" s="97" t="s">
        <v>62</v>
      </c>
      <c r="N305" s="97" t="s">
        <v>33</v>
      </c>
      <c r="O305">
        <v>2198</v>
      </c>
      <c r="P305">
        <v>1.05</v>
      </c>
      <c r="Q305">
        <v>2.31</v>
      </c>
      <c r="R305" s="97" t="s">
        <v>1201</v>
      </c>
      <c r="S305" s="97" t="s">
        <v>195</v>
      </c>
    </row>
    <row r="306" spans="1:19" x14ac:dyDescent="0.3">
      <c r="A306" s="97" t="s">
        <v>484</v>
      </c>
      <c r="B306" s="97" t="s">
        <v>23</v>
      </c>
      <c r="C306">
        <v>2026</v>
      </c>
      <c r="D306">
        <v>1</v>
      </c>
      <c r="E306" s="2">
        <v>46035</v>
      </c>
      <c r="F306" s="97" t="s">
        <v>7</v>
      </c>
      <c r="G306" s="97" t="s">
        <v>8</v>
      </c>
      <c r="H306" s="97" t="s">
        <v>70</v>
      </c>
      <c r="I306" s="97" t="s">
        <v>71</v>
      </c>
      <c r="J306" s="97" t="s">
        <v>72</v>
      </c>
      <c r="K306" s="97" t="s">
        <v>73</v>
      </c>
      <c r="L306">
        <v>701000</v>
      </c>
      <c r="M306" s="97" t="s">
        <v>62</v>
      </c>
      <c r="N306" s="97" t="s">
        <v>33</v>
      </c>
      <c r="O306">
        <v>1778</v>
      </c>
      <c r="P306">
        <v>1.05</v>
      </c>
      <c r="Q306">
        <v>1.87</v>
      </c>
      <c r="R306" s="97" t="s">
        <v>1204</v>
      </c>
      <c r="S306" s="97" t="s">
        <v>195</v>
      </c>
    </row>
    <row r="307" spans="1:19" x14ac:dyDescent="0.3">
      <c r="A307" s="97" t="s">
        <v>915</v>
      </c>
      <c r="B307" s="97" t="s">
        <v>23</v>
      </c>
      <c r="C307">
        <v>2026</v>
      </c>
      <c r="D307">
        <v>1</v>
      </c>
      <c r="E307" s="2">
        <v>46035</v>
      </c>
      <c r="F307" s="97" t="s">
        <v>7</v>
      </c>
      <c r="G307" s="97" t="s">
        <v>8</v>
      </c>
      <c r="H307" s="97" t="s">
        <v>70</v>
      </c>
      <c r="I307" s="97" t="s">
        <v>82</v>
      </c>
      <c r="J307" s="97" t="s">
        <v>83</v>
      </c>
      <c r="K307" s="97" t="s">
        <v>73</v>
      </c>
      <c r="L307">
        <v>701000</v>
      </c>
      <c r="M307" s="97" t="s">
        <v>62</v>
      </c>
      <c r="N307" s="97" t="s">
        <v>33</v>
      </c>
      <c r="O307">
        <v>148</v>
      </c>
      <c r="P307">
        <v>18.510000000000002</v>
      </c>
      <c r="Q307">
        <v>2.74</v>
      </c>
      <c r="R307" s="97" t="s">
        <v>1205</v>
      </c>
      <c r="S307" s="97" t="s">
        <v>195</v>
      </c>
    </row>
    <row r="308" spans="1:19" x14ac:dyDescent="0.3">
      <c r="A308" s="97" t="s">
        <v>916</v>
      </c>
      <c r="B308" s="97" t="s">
        <v>23</v>
      </c>
      <c r="C308">
        <v>2026</v>
      </c>
      <c r="D308">
        <v>1</v>
      </c>
      <c r="E308" s="2">
        <v>46035</v>
      </c>
      <c r="F308" s="97" t="s">
        <v>7</v>
      </c>
      <c r="G308" s="97" t="s">
        <v>8</v>
      </c>
      <c r="H308" s="97" t="s">
        <v>70</v>
      </c>
      <c r="I308" s="97" t="s">
        <v>82</v>
      </c>
      <c r="J308" s="97" t="s">
        <v>83</v>
      </c>
      <c r="K308" s="97" t="s">
        <v>73</v>
      </c>
      <c r="L308">
        <v>701000</v>
      </c>
      <c r="M308" s="97" t="s">
        <v>62</v>
      </c>
      <c r="N308" s="97" t="s">
        <v>33</v>
      </c>
      <c r="O308">
        <v>125</v>
      </c>
      <c r="P308">
        <v>18.559999999999999</v>
      </c>
      <c r="Q308">
        <v>2.3199999999999998</v>
      </c>
      <c r="R308" s="97" t="s">
        <v>1200</v>
      </c>
      <c r="S308" s="97" t="s">
        <v>195</v>
      </c>
    </row>
    <row r="309" spans="1:19" x14ac:dyDescent="0.3">
      <c r="A309" s="97" t="s">
        <v>917</v>
      </c>
      <c r="B309" s="97" t="s">
        <v>23</v>
      </c>
      <c r="C309">
        <v>2026</v>
      </c>
      <c r="D309">
        <v>1</v>
      </c>
      <c r="E309" s="2">
        <v>46035</v>
      </c>
      <c r="F309" s="97" t="s">
        <v>7</v>
      </c>
      <c r="G309" s="97" t="s">
        <v>8</v>
      </c>
      <c r="H309" s="97" t="s">
        <v>70</v>
      </c>
      <c r="I309" s="97" t="s">
        <v>82</v>
      </c>
      <c r="J309" s="97" t="s">
        <v>83</v>
      </c>
      <c r="K309" s="97" t="s">
        <v>73</v>
      </c>
      <c r="L309">
        <v>701000</v>
      </c>
      <c r="M309" s="97" t="s">
        <v>62</v>
      </c>
      <c r="N309" s="97" t="s">
        <v>33</v>
      </c>
      <c r="O309">
        <v>98</v>
      </c>
      <c r="P309">
        <v>18.47</v>
      </c>
      <c r="Q309">
        <v>1.81</v>
      </c>
      <c r="R309" s="97" t="s">
        <v>1204</v>
      </c>
      <c r="S309" s="97" t="s">
        <v>195</v>
      </c>
    </row>
    <row r="310" spans="1:19" x14ac:dyDescent="0.3">
      <c r="A310" s="97" t="s">
        <v>918</v>
      </c>
      <c r="B310" s="97" t="s">
        <v>23</v>
      </c>
      <c r="C310">
        <v>2026</v>
      </c>
      <c r="D310">
        <v>1</v>
      </c>
      <c r="E310" s="2">
        <v>46035</v>
      </c>
      <c r="F310" s="97" t="s">
        <v>7</v>
      </c>
      <c r="G310" s="97" t="s">
        <v>8</v>
      </c>
      <c r="H310" s="97" t="s">
        <v>70</v>
      </c>
      <c r="I310" s="97" t="s">
        <v>82</v>
      </c>
      <c r="J310" s="97" t="s">
        <v>83</v>
      </c>
      <c r="K310" s="97" t="s">
        <v>73</v>
      </c>
      <c r="L310">
        <v>701000</v>
      </c>
      <c r="M310" s="97" t="s">
        <v>62</v>
      </c>
      <c r="N310" s="97" t="s">
        <v>33</v>
      </c>
      <c r="O310">
        <v>185</v>
      </c>
      <c r="P310">
        <v>18.489999999999998</v>
      </c>
      <c r="Q310">
        <v>3.42</v>
      </c>
      <c r="R310" s="97" t="s">
        <v>1199</v>
      </c>
      <c r="S310" s="97" t="s">
        <v>195</v>
      </c>
    </row>
    <row r="311" spans="1:19" x14ac:dyDescent="0.3">
      <c r="A311" s="97" t="s">
        <v>919</v>
      </c>
      <c r="B311" s="97" t="s">
        <v>23</v>
      </c>
      <c r="C311">
        <v>2026</v>
      </c>
      <c r="D311">
        <v>1</v>
      </c>
      <c r="E311" s="2">
        <v>46035</v>
      </c>
      <c r="F311" s="97" t="s">
        <v>7</v>
      </c>
      <c r="G311" s="97" t="s">
        <v>8</v>
      </c>
      <c r="H311" s="97" t="s">
        <v>70</v>
      </c>
      <c r="I311" s="97" t="s">
        <v>82</v>
      </c>
      <c r="J311" s="97" t="s">
        <v>83</v>
      </c>
      <c r="K311" s="97" t="s">
        <v>73</v>
      </c>
      <c r="L311">
        <v>701000</v>
      </c>
      <c r="M311" s="97" t="s">
        <v>62</v>
      </c>
      <c r="N311" s="97" t="s">
        <v>33</v>
      </c>
      <c r="O311">
        <v>129</v>
      </c>
      <c r="P311">
        <v>18.45</v>
      </c>
      <c r="Q311">
        <v>2.38</v>
      </c>
      <c r="R311" s="97" t="s">
        <v>1203</v>
      </c>
      <c r="S311" s="97" t="s">
        <v>195</v>
      </c>
    </row>
    <row r="312" spans="1:19" x14ac:dyDescent="0.3">
      <c r="A312" s="97" t="s">
        <v>215</v>
      </c>
      <c r="B312" s="97" t="s">
        <v>23</v>
      </c>
      <c r="C312">
        <v>2026</v>
      </c>
      <c r="D312">
        <v>1</v>
      </c>
      <c r="E312" s="2">
        <v>46036</v>
      </c>
      <c r="F312" s="97" t="s">
        <v>7</v>
      </c>
      <c r="G312" s="97" t="s">
        <v>8</v>
      </c>
      <c r="H312" s="97" t="s">
        <v>74</v>
      </c>
      <c r="I312" s="97" t="s">
        <v>84</v>
      </c>
      <c r="J312" s="97" t="s">
        <v>85</v>
      </c>
      <c r="K312" s="97" t="s">
        <v>73</v>
      </c>
      <c r="L312">
        <v>701000</v>
      </c>
      <c r="M312" s="97" t="s">
        <v>62</v>
      </c>
      <c r="N312" s="97" t="s">
        <v>33</v>
      </c>
      <c r="O312">
        <v>3865</v>
      </c>
      <c r="P312">
        <v>0.95</v>
      </c>
      <c r="Q312">
        <v>3.67</v>
      </c>
      <c r="R312" s="97" t="s">
        <v>1197</v>
      </c>
      <c r="S312" s="97" t="s">
        <v>195</v>
      </c>
    </row>
    <row r="313" spans="1:19" x14ac:dyDescent="0.3">
      <c r="A313" s="97" t="s">
        <v>216</v>
      </c>
      <c r="B313" s="97" t="s">
        <v>23</v>
      </c>
      <c r="C313">
        <v>2026</v>
      </c>
      <c r="D313">
        <v>1</v>
      </c>
      <c r="E313" s="2">
        <v>46036</v>
      </c>
      <c r="F313" s="97" t="s">
        <v>7</v>
      </c>
      <c r="G313" s="97" t="s">
        <v>8</v>
      </c>
      <c r="H313" s="97" t="s">
        <v>74</v>
      </c>
      <c r="I313" s="97" t="s">
        <v>84</v>
      </c>
      <c r="J313" s="97" t="s">
        <v>85</v>
      </c>
      <c r="K313" s="97" t="s">
        <v>73</v>
      </c>
      <c r="L313">
        <v>701000</v>
      </c>
      <c r="M313" s="97" t="s">
        <v>62</v>
      </c>
      <c r="N313" s="97" t="s">
        <v>33</v>
      </c>
      <c r="O313">
        <v>1741</v>
      </c>
      <c r="P313">
        <v>0.95</v>
      </c>
      <c r="Q313">
        <v>1.65</v>
      </c>
      <c r="R313" s="97" t="s">
        <v>1199</v>
      </c>
      <c r="S313" s="97" t="s">
        <v>195</v>
      </c>
    </row>
    <row r="314" spans="1:19" x14ac:dyDescent="0.3">
      <c r="A314" s="97" t="s">
        <v>217</v>
      </c>
      <c r="B314" s="97" t="s">
        <v>23</v>
      </c>
      <c r="C314">
        <v>2026</v>
      </c>
      <c r="D314">
        <v>1</v>
      </c>
      <c r="E314" s="2">
        <v>46036</v>
      </c>
      <c r="F314" s="97" t="s">
        <v>7</v>
      </c>
      <c r="G314" s="97" t="s">
        <v>8</v>
      </c>
      <c r="H314" s="97" t="s">
        <v>74</v>
      </c>
      <c r="I314" s="97" t="s">
        <v>84</v>
      </c>
      <c r="J314" s="97" t="s">
        <v>85</v>
      </c>
      <c r="K314" s="97" t="s">
        <v>73</v>
      </c>
      <c r="L314">
        <v>701000</v>
      </c>
      <c r="M314" s="97" t="s">
        <v>62</v>
      </c>
      <c r="N314" s="97" t="s">
        <v>33</v>
      </c>
      <c r="O314">
        <v>1702</v>
      </c>
      <c r="P314">
        <v>0.95</v>
      </c>
      <c r="Q314">
        <v>1.62</v>
      </c>
      <c r="R314" s="97" t="s">
        <v>1203</v>
      </c>
      <c r="S314" s="97" t="s">
        <v>195</v>
      </c>
    </row>
    <row r="315" spans="1:19" x14ac:dyDescent="0.3">
      <c r="A315" s="97" t="s">
        <v>218</v>
      </c>
      <c r="B315" s="97" t="s">
        <v>23</v>
      </c>
      <c r="C315">
        <v>2026</v>
      </c>
      <c r="D315">
        <v>1</v>
      </c>
      <c r="E315" s="2">
        <v>46036</v>
      </c>
      <c r="F315" s="97" t="s">
        <v>7</v>
      </c>
      <c r="G315" s="97" t="s">
        <v>8</v>
      </c>
      <c r="H315" s="97" t="s">
        <v>74</v>
      </c>
      <c r="I315" s="97" t="s">
        <v>84</v>
      </c>
      <c r="J315" s="97" t="s">
        <v>85</v>
      </c>
      <c r="K315" s="97" t="s">
        <v>73</v>
      </c>
      <c r="L315">
        <v>701000</v>
      </c>
      <c r="M315" s="97" t="s">
        <v>62</v>
      </c>
      <c r="N315" s="97" t="s">
        <v>33</v>
      </c>
      <c r="O315">
        <v>1892</v>
      </c>
      <c r="P315">
        <v>0.95</v>
      </c>
      <c r="Q315">
        <v>1.8</v>
      </c>
      <c r="R315" s="97" t="s">
        <v>1198</v>
      </c>
      <c r="S315" s="97" t="s">
        <v>195</v>
      </c>
    </row>
    <row r="316" spans="1:19" x14ac:dyDescent="0.3">
      <c r="A316" s="97" t="s">
        <v>219</v>
      </c>
      <c r="B316" s="97" t="s">
        <v>23</v>
      </c>
      <c r="C316">
        <v>2026</v>
      </c>
      <c r="D316">
        <v>1</v>
      </c>
      <c r="E316" s="2">
        <v>46036</v>
      </c>
      <c r="F316" s="97" t="s">
        <v>7</v>
      </c>
      <c r="G316" s="97" t="s">
        <v>8</v>
      </c>
      <c r="H316" s="97" t="s">
        <v>74</v>
      </c>
      <c r="I316" s="97" t="s">
        <v>84</v>
      </c>
      <c r="J316" s="97" t="s">
        <v>85</v>
      </c>
      <c r="K316" s="97" t="s">
        <v>73</v>
      </c>
      <c r="L316">
        <v>701000</v>
      </c>
      <c r="M316" s="97" t="s">
        <v>62</v>
      </c>
      <c r="N316" s="97" t="s">
        <v>33</v>
      </c>
      <c r="O316">
        <v>5586</v>
      </c>
      <c r="P316">
        <v>0.95</v>
      </c>
      <c r="Q316">
        <v>5.31</v>
      </c>
      <c r="R316" s="97" t="s">
        <v>1204</v>
      </c>
      <c r="S316" s="97" t="s">
        <v>195</v>
      </c>
    </row>
    <row r="317" spans="1:19" x14ac:dyDescent="0.3">
      <c r="A317" s="97" t="s">
        <v>225</v>
      </c>
      <c r="B317" s="97" t="s">
        <v>23</v>
      </c>
      <c r="C317">
        <v>2026</v>
      </c>
      <c r="D317">
        <v>1</v>
      </c>
      <c r="E317" s="2">
        <v>46036</v>
      </c>
      <c r="F317" s="97" t="s">
        <v>7</v>
      </c>
      <c r="G317" s="97" t="s">
        <v>8</v>
      </c>
      <c r="H317" s="97" t="s">
        <v>70</v>
      </c>
      <c r="I317" s="97" t="s">
        <v>84</v>
      </c>
      <c r="J317" s="97" t="s">
        <v>85</v>
      </c>
      <c r="K317" s="97" t="s">
        <v>73</v>
      </c>
      <c r="L317">
        <v>701000</v>
      </c>
      <c r="M317" s="97" t="s">
        <v>62</v>
      </c>
      <c r="N317" s="97" t="s">
        <v>33</v>
      </c>
      <c r="O317">
        <v>760</v>
      </c>
      <c r="P317">
        <v>0.95</v>
      </c>
      <c r="Q317">
        <v>0.72</v>
      </c>
      <c r="R317" s="97" t="s">
        <v>1201</v>
      </c>
      <c r="S317" s="97" t="s">
        <v>195</v>
      </c>
    </row>
    <row r="318" spans="1:19" x14ac:dyDescent="0.3">
      <c r="A318" s="97" t="s">
        <v>226</v>
      </c>
      <c r="B318" s="97" t="s">
        <v>23</v>
      </c>
      <c r="C318">
        <v>2026</v>
      </c>
      <c r="D318">
        <v>1</v>
      </c>
      <c r="E318" s="2">
        <v>46036</v>
      </c>
      <c r="F318" s="97" t="s">
        <v>7</v>
      </c>
      <c r="G318" s="97" t="s">
        <v>8</v>
      </c>
      <c r="H318" s="97" t="s">
        <v>70</v>
      </c>
      <c r="I318" s="97" t="s">
        <v>84</v>
      </c>
      <c r="J318" s="97" t="s">
        <v>85</v>
      </c>
      <c r="K318" s="97" t="s">
        <v>73</v>
      </c>
      <c r="L318">
        <v>701000</v>
      </c>
      <c r="M318" s="97" t="s">
        <v>62</v>
      </c>
      <c r="N318" s="97" t="s">
        <v>33</v>
      </c>
      <c r="O318">
        <v>3248</v>
      </c>
      <c r="P318">
        <v>0.95</v>
      </c>
      <c r="Q318">
        <v>3.08</v>
      </c>
      <c r="R318" s="97" t="s">
        <v>1205</v>
      </c>
      <c r="S318" s="97" t="s">
        <v>195</v>
      </c>
    </row>
    <row r="319" spans="1:19" x14ac:dyDescent="0.3">
      <c r="A319" s="97" t="s">
        <v>227</v>
      </c>
      <c r="B319" s="97" t="s">
        <v>23</v>
      </c>
      <c r="C319">
        <v>2026</v>
      </c>
      <c r="D319">
        <v>1</v>
      </c>
      <c r="E319" s="2">
        <v>46036</v>
      </c>
      <c r="F319" s="97" t="s">
        <v>7</v>
      </c>
      <c r="G319" s="97" t="s">
        <v>8</v>
      </c>
      <c r="H319" s="97" t="s">
        <v>70</v>
      </c>
      <c r="I319" s="97" t="s">
        <v>84</v>
      </c>
      <c r="J319" s="97" t="s">
        <v>85</v>
      </c>
      <c r="K319" s="97" t="s">
        <v>73</v>
      </c>
      <c r="L319">
        <v>701000</v>
      </c>
      <c r="M319" s="97" t="s">
        <v>62</v>
      </c>
      <c r="N319" s="97" t="s">
        <v>33</v>
      </c>
      <c r="O319">
        <v>111</v>
      </c>
      <c r="P319">
        <v>0.99</v>
      </c>
      <c r="Q319">
        <v>0.11</v>
      </c>
      <c r="R319" s="97" t="s">
        <v>1199</v>
      </c>
      <c r="S319" s="97" t="s">
        <v>195</v>
      </c>
    </row>
    <row r="320" spans="1:19" x14ac:dyDescent="0.3">
      <c r="A320" s="97" t="s">
        <v>228</v>
      </c>
      <c r="B320" s="97" t="s">
        <v>23</v>
      </c>
      <c r="C320">
        <v>2026</v>
      </c>
      <c r="D320">
        <v>1</v>
      </c>
      <c r="E320" s="2">
        <v>46036</v>
      </c>
      <c r="F320" s="97" t="s">
        <v>7</v>
      </c>
      <c r="G320" s="97" t="s">
        <v>8</v>
      </c>
      <c r="H320" s="97" t="s">
        <v>70</v>
      </c>
      <c r="I320" s="97" t="s">
        <v>84</v>
      </c>
      <c r="J320" s="97" t="s">
        <v>85</v>
      </c>
      <c r="K320" s="97" t="s">
        <v>73</v>
      </c>
      <c r="L320">
        <v>701000</v>
      </c>
      <c r="M320" s="97" t="s">
        <v>62</v>
      </c>
      <c r="N320" s="97" t="s">
        <v>33</v>
      </c>
      <c r="O320">
        <v>4036</v>
      </c>
      <c r="P320">
        <v>0.95</v>
      </c>
      <c r="Q320">
        <v>3.83</v>
      </c>
      <c r="R320" s="97" t="s">
        <v>1204</v>
      </c>
      <c r="S320" s="97" t="s">
        <v>195</v>
      </c>
    </row>
    <row r="321" spans="1:19" x14ac:dyDescent="0.3">
      <c r="A321" s="97" t="s">
        <v>229</v>
      </c>
      <c r="B321" s="97" t="s">
        <v>23</v>
      </c>
      <c r="C321">
        <v>2026</v>
      </c>
      <c r="D321">
        <v>1</v>
      </c>
      <c r="E321" s="2">
        <v>46036</v>
      </c>
      <c r="F321" s="97" t="s">
        <v>7</v>
      </c>
      <c r="G321" s="97" t="s">
        <v>8</v>
      </c>
      <c r="H321" s="97" t="s">
        <v>70</v>
      </c>
      <c r="I321" s="97" t="s">
        <v>84</v>
      </c>
      <c r="J321" s="97" t="s">
        <v>85</v>
      </c>
      <c r="K321" s="97" t="s">
        <v>73</v>
      </c>
      <c r="L321">
        <v>701000</v>
      </c>
      <c r="M321" s="97" t="s">
        <v>62</v>
      </c>
      <c r="N321" s="97" t="s">
        <v>33</v>
      </c>
      <c r="O321">
        <v>3943</v>
      </c>
      <c r="P321">
        <v>0.95</v>
      </c>
      <c r="Q321">
        <v>3.75</v>
      </c>
      <c r="R321" s="97" t="s">
        <v>1203</v>
      </c>
      <c r="S321" s="97" t="s">
        <v>195</v>
      </c>
    </row>
    <row r="322" spans="1:19" x14ac:dyDescent="0.3">
      <c r="A322" s="97" t="s">
        <v>330</v>
      </c>
      <c r="B322" s="97" t="s">
        <v>23</v>
      </c>
      <c r="C322">
        <v>2026</v>
      </c>
      <c r="D322">
        <v>1</v>
      </c>
      <c r="E322" s="2">
        <v>46036</v>
      </c>
      <c r="F322" s="97" t="s">
        <v>7</v>
      </c>
      <c r="G322" s="97" t="s">
        <v>8</v>
      </c>
      <c r="H322" s="97" t="s">
        <v>74</v>
      </c>
      <c r="I322" s="97" t="s">
        <v>84</v>
      </c>
      <c r="J322" s="97" t="s">
        <v>85</v>
      </c>
      <c r="K322" s="97" t="s">
        <v>73</v>
      </c>
      <c r="L322">
        <v>701000</v>
      </c>
      <c r="M322" s="97" t="s">
        <v>62</v>
      </c>
      <c r="N322" s="97" t="s">
        <v>33</v>
      </c>
      <c r="O322">
        <v>3921</v>
      </c>
      <c r="P322">
        <v>0.95</v>
      </c>
      <c r="Q322">
        <v>3.72</v>
      </c>
      <c r="R322" s="97" t="s">
        <v>1197</v>
      </c>
      <c r="S322" s="97" t="s">
        <v>195</v>
      </c>
    </row>
    <row r="323" spans="1:19" x14ac:dyDescent="0.3">
      <c r="A323" s="97" t="s">
        <v>331</v>
      </c>
      <c r="B323" s="97" t="s">
        <v>23</v>
      </c>
      <c r="C323">
        <v>2026</v>
      </c>
      <c r="D323">
        <v>1</v>
      </c>
      <c r="E323" s="2">
        <v>46036</v>
      </c>
      <c r="F323" s="97" t="s">
        <v>7</v>
      </c>
      <c r="G323" s="97" t="s">
        <v>8</v>
      </c>
      <c r="H323" s="97" t="s">
        <v>74</v>
      </c>
      <c r="I323" s="97" t="s">
        <v>84</v>
      </c>
      <c r="J323" s="97" t="s">
        <v>85</v>
      </c>
      <c r="K323" s="97" t="s">
        <v>73</v>
      </c>
      <c r="L323">
        <v>701000</v>
      </c>
      <c r="M323" s="97" t="s">
        <v>62</v>
      </c>
      <c r="N323" s="97" t="s">
        <v>33</v>
      </c>
      <c r="O323">
        <v>2364</v>
      </c>
      <c r="P323">
        <v>0.95</v>
      </c>
      <c r="Q323">
        <v>2.2400000000000002</v>
      </c>
      <c r="R323" s="97" t="s">
        <v>1198</v>
      </c>
      <c r="S323" s="97" t="s">
        <v>195</v>
      </c>
    </row>
    <row r="324" spans="1:19" x14ac:dyDescent="0.3">
      <c r="A324" s="97" t="s">
        <v>332</v>
      </c>
      <c r="B324" s="97" t="s">
        <v>23</v>
      </c>
      <c r="C324">
        <v>2026</v>
      </c>
      <c r="D324">
        <v>1</v>
      </c>
      <c r="E324" s="2">
        <v>46036</v>
      </c>
      <c r="F324" s="97" t="s">
        <v>7</v>
      </c>
      <c r="G324" s="97" t="s">
        <v>8</v>
      </c>
      <c r="H324" s="97" t="s">
        <v>74</v>
      </c>
      <c r="I324" s="97" t="s">
        <v>84</v>
      </c>
      <c r="J324" s="97" t="s">
        <v>85</v>
      </c>
      <c r="K324" s="97" t="s">
        <v>73</v>
      </c>
      <c r="L324">
        <v>701000</v>
      </c>
      <c r="M324" s="97" t="s">
        <v>62</v>
      </c>
      <c r="N324" s="97" t="s">
        <v>33</v>
      </c>
      <c r="O324">
        <v>3711</v>
      </c>
      <c r="P324">
        <v>0.95</v>
      </c>
      <c r="Q324">
        <v>3.52</v>
      </c>
      <c r="R324" s="97" t="s">
        <v>1205</v>
      </c>
      <c r="S324" s="97" t="s">
        <v>195</v>
      </c>
    </row>
    <row r="325" spans="1:19" x14ac:dyDescent="0.3">
      <c r="A325" s="97" t="s">
        <v>333</v>
      </c>
      <c r="B325" s="97" t="s">
        <v>23</v>
      </c>
      <c r="C325">
        <v>2026</v>
      </c>
      <c r="D325">
        <v>1</v>
      </c>
      <c r="E325" s="2">
        <v>46036</v>
      </c>
      <c r="F325" s="97" t="s">
        <v>7</v>
      </c>
      <c r="G325" s="97" t="s">
        <v>8</v>
      </c>
      <c r="H325" s="97" t="s">
        <v>74</v>
      </c>
      <c r="I325" s="97" t="s">
        <v>84</v>
      </c>
      <c r="J325" s="97" t="s">
        <v>85</v>
      </c>
      <c r="K325" s="97" t="s">
        <v>73</v>
      </c>
      <c r="L325">
        <v>701000</v>
      </c>
      <c r="M325" s="97" t="s">
        <v>62</v>
      </c>
      <c r="N325" s="97" t="s">
        <v>33</v>
      </c>
      <c r="O325">
        <v>2467</v>
      </c>
      <c r="P325">
        <v>0.95</v>
      </c>
      <c r="Q325">
        <v>2.34</v>
      </c>
      <c r="R325" s="97" t="s">
        <v>1199</v>
      </c>
      <c r="S325" s="97" t="s">
        <v>195</v>
      </c>
    </row>
    <row r="326" spans="1:19" x14ac:dyDescent="0.3">
      <c r="A326" s="97" t="s">
        <v>334</v>
      </c>
      <c r="B326" s="97" t="s">
        <v>23</v>
      </c>
      <c r="C326">
        <v>2026</v>
      </c>
      <c r="D326">
        <v>1</v>
      </c>
      <c r="E326" s="2">
        <v>46036</v>
      </c>
      <c r="F326" s="97" t="s">
        <v>7</v>
      </c>
      <c r="G326" s="97" t="s">
        <v>8</v>
      </c>
      <c r="H326" s="97" t="s">
        <v>74</v>
      </c>
      <c r="I326" s="97" t="s">
        <v>84</v>
      </c>
      <c r="J326" s="97" t="s">
        <v>85</v>
      </c>
      <c r="K326" s="97" t="s">
        <v>73</v>
      </c>
      <c r="L326">
        <v>701000</v>
      </c>
      <c r="M326" s="97" t="s">
        <v>62</v>
      </c>
      <c r="N326" s="97" t="s">
        <v>33</v>
      </c>
      <c r="O326">
        <v>2774</v>
      </c>
      <c r="P326">
        <v>0.96</v>
      </c>
      <c r="Q326">
        <v>2.65</v>
      </c>
      <c r="R326" s="97" t="s">
        <v>1203</v>
      </c>
      <c r="S326" s="97" t="s">
        <v>195</v>
      </c>
    </row>
    <row r="327" spans="1:19" x14ac:dyDescent="0.3">
      <c r="A327" s="97" t="s">
        <v>420</v>
      </c>
      <c r="B327" s="97" t="s">
        <v>23</v>
      </c>
      <c r="C327">
        <v>2026</v>
      </c>
      <c r="D327">
        <v>1</v>
      </c>
      <c r="E327" s="2">
        <v>46036</v>
      </c>
      <c r="F327" s="97" t="s">
        <v>7</v>
      </c>
      <c r="G327" s="97" t="s">
        <v>8</v>
      </c>
      <c r="H327" s="97" t="s">
        <v>70</v>
      </c>
      <c r="I327" s="97" t="s">
        <v>71</v>
      </c>
      <c r="J327" s="97" t="s">
        <v>72</v>
      </c>
      <c r="K327" s="97" t="s">
        <v>73</v>
      </c>
      <c r="L327">
        <v>701000</v>
      </c>
      <c r="M327" s="97" t="s">
        <v>62</v>
      </c>
      <c r="N327" s="97" t="s">
        <v>33</v>
      </c>
      <c r="O327">
        <v>748</v>
      </c>
      <c r="P327">
        <v>1.06</v>
      </c>
      <c r="Q327">
        <v>0.79</v>
      </c>
      <c r="R327" s="97" t="s">
        <v>1198</v>
      </c>
      <c r="S327" s="97" t="s">
        <v>195</v>
      </c>
    </row>
    <row r="328" spans="1:19" x14ac:dyDescent="0.3">
      <c r="A328" s="97" t="s">
        <v>421</v>
      </c>
      <c r="B328" s="97" t="s">
        <v>23</v>
      </c>
      <c r="C328">
        <v>2026</v>
      </c>
      <c r="D328">
        <v>1</v>
      </c>
      <c r="E328" s="2">
        <v>46036</v>
      </c>
      <c r="F328" s="97" t="s">
        <v>7</v>
      </c>
      <c r="G328" s="97" t="s">
        <v>8</v>
      </c>
      <c r="H328" s="97" t="s">
        <v>70</v>
      </c>
      <c r="I328" s="97" t="s">
        <v>71</v>
      </c>
      <c r="J328" s="97" t="s">
        <v>72</v>
      </c>
      <c r="K328" s="97" t="s">
        <v>73</v>
      </c>
      <c r="L328">
        <v>701000</v>
      </c>
      <c r="M328" s="97" t="s">
        <v>62</v>
      </c>
      <c r="N328" s="97" t="s">
        <v>33</v>
      </c>
      <c r="O328">
        <v>1556</v>
      </c>
      <c r="P328">
        <v>1.05</v>
      </c>
      <c r="Q328">
        <v>1.63</v>
      </c>
      <c r="R328" s="97" t="s">
        <v>1199</v>
      </c>
      <c r="S328" s="97" t="s">
        <v>195</v>
      </c>
    </row>
    <row r="329" spans="1:19" x14ac:dyDescent="0.3">
      <c r="A329" s="97" t="s">
        <v>422</v>
      </c>
      <c r="B329" s="97" t="s">
        <v>23</v>
      </c>
      <c r="C329">
        <v>2026</v>
      </c>
      <c r="D329">
        <v>1</v>
      </c>
      <c r="E329" s="2">
        <v>46036</v>
      </c>
      <c r="F329" s="97" t="s">
        <v>7</v>
      </c>
      <c r="G329" s="97" t="s">
        <v>8</v>
      </c>
      <c r="H329" s="97" t="s">
        <v>70</v>
      </c>
      <c r="I329" s="97" t="s">
        <v>71</v>
      </c>
      <c r="J329" s="97" t="s">
        <v>72</v>
      </c>
      <c r="K329" s="97" t="s">
        <v>73</v>
      </c>
      <c r="L329">
        <v>701000</v>
      </c>
      <c r="M329" s="97" t="s">
        <v>62</v>
      </c>
      <c r="N329" s="97" t="s">
        <v>33</v>
      </c>
      <c r="O329">
        <v>2552</v>
      </c>
      <c r="P329">
        <v>1.05</v>
      </c>
      <c r="Q329">
        <v>2.68</v>
      </c>
      <c r="R329" s="97" t="s">
        <v>1203</v>
      </c>
      <c r="S329" s="97" t="s">
        <v>195</v>
      </c>
    </row>
    <row r="330" spans="1:19" x14ac:dyDescent="0.3">
      <c r="A330" s="97" t="s">
        <v>423</v>
      </c>
      <c r="B330" s="97" t="s">
        <v>23</v>
      </c>
      <c r="C330">
        <v>2026</v>
      </c>
      <c r="D330">
        <v>1</v>
      </c>
      <c r="E330" s="2">
        <v>46036</v>
      </c>
      <c r="F330" s="97" t="s">
        <v>7</v>
      </c>
      <c r="G330" s="97" t="s">
        <v>8</v>
      </c>
      <c r="H330" s="97" t="s">
        <v>70</v>
      </c>
      <c r="I330" s="97" t="s">
        <v>71</v>
      </c>
      <c r="J330" s="97" t="s">
        <v>72</v>
      </c>
      <c r="K330" s="97" t="s">
        <v>73</v>
      </c>
      <c r="L330">
        <v>701000</v>
      </c>
      <c r="M330" s="97" t="s">
        <v>62</v>
      </c>
      <c r="N330" s="97" t="s">
        <v>33</v>
      </c>
      <c r="O330">
        <v>1172</v>
      </c>
      <c r="P330">
        <v>1.05</v>
      </c>
      <c r="Q330">
        <v>1.23</v>
      </c>
      <c r="R330" s="97" t="s">
        <v>1201</v>
      </c>
      <c r="S330" s="97" t="s">
        <v>195</v>
      </c>
    </row>
    <row r="331" spans="1:19" x14ac:dyDescent="0.3">
      <c r="A331" s="97" t="s">
        <v>424</v>
      </c>
      <c r="B331" s="97" t="s">
        <v>23</v>
      </c>
      <c r="C331">
        <v>2026</v>
      </c>
      <c r="D331">
        <v>1</v>
      </c>
      <c r="E331" s="2">
        <v>46036</v>
      </c>
      <c r="F331" s="97" t="s">
        <v>7</v>
      </c>
      <c r="G331" s="97" t="s">
        <v>8</v>
      </c>
      <c r="H331" s="97" t="s">
        <v>70</v>
      </c>
      <c r="I331" s="97" t="s">
        <v>71</v>
      </c>
      <c r="J331" s="97" t="s">
        <v>72</v>
      </c>
      <c r="K331" s="97" t="s">
        <v>73</v>
      </c>
      <c r="L331">
        <v>701000</v>
      </c>
      <c r="M331" s="97" t="s">
        <v>62</v>
      </c>
      <c r="N331" s="97" t="s">
        <v>33</v>
      </c>
      <c r="O331">
        <v>1143</v>
      </c>
      <c r="P331">
        <v>1.05</v>
      </c>
      <c r="Q331">
        <v>1.2</v>
      </c>
      <c r="R331" s="97" t="s">
        <v>1205</v>
      </c>
      <c r="S331" s="97" t="s">
        <v>195</v>
      </c>
    </row>
    <row r="332" spans="1:19" x14ac:dyDescent="0.3">
      <c r="A332" s="97" t="s">
        <v>445</v>
      </c>
      <c r="B332" s="97" t="s">
        <v>23</v>
      </c>
      <c r="C332">
        <v>2026</v>
      </c>
      <c r="D332">
        <v>1</v>
      </c>
      <c r="E332" s="2">
        <v>46036</v>
      </c>
      <c r="F332" s="97" t="s">
        <v>7</v>
      </c>
      <c r="G332" s="97" t="s">
        <v>8</v>
      </c>
      <c r="H332" s="97" t="s">
        <v>74</v>
      </c>
      <c r="I332" s="97" t="s">
        <v>71</v>
      </c>
      <c r="J332" s="97" t="s">
        <v>72</v>
      </c>
      <c r="K332" s="97" t="s">
        <v>73</v>
      </c>
      <c r="L332">
        <v>701000</v>
      </c>
      <c r="M332" s="97" t="s">
        <v>62</v>
      </c>
      <c r="N332" s="97" t="s">
        <v>33</v>
      </c>
      <c r="O332">
        <v>3231</v>
      </c>
      <c r="P332">
        <v>1.05</v>
      </c>
      <c r="Q332">
        <v>3.39</v>
      </c>
      <c r="R332" s="97" t="s">
        <v>1201</v>
      </c>
      <c r="S332" s="97" t="s">
        <v>195</v>
      </c>
    </row>
    <row r="333" spans="1:19" x14ac:dyDescent="0.3">
      <c r="A333" s="97" t="s">
        <v>446</v>
      </c>
      <c r="B333" s="97" t="s">
        <v>23</v>
      </c>
      <c r="C333">
        <v>2026</v>
      </c>
      <c r="D333">
        <v>1</v>
      </c>
      <c r="E333" s="2">
        <v>46036</v>
      </c>
      <c r="F333" s="97" t="s">
        <v>7</v>
      </c>
      <c r="G333" s="97" t="s">
        <v>8</v>
      </c>
      <c r="H333" s="97" t="s">
        <v>74</v>
      </c>
      <c r="I333" s="97" t="s">
        <v>71</v>
      </c>
      <c r="J333" s="97" t="s">
        <v>72</v>
      </c>
      <c r="K333" s="97" t="s">
        <v>73</v>
      </c>
      <c r="L333">
        <v>701000</v>
      </c>
      <c r="M333" s="97" t="s">
        <v>62</v>
      </c>
      <c r="N333" s="97" t="s">
        <v>33</v>
      </c>
      <c r="O333">
        <v>860</v>
      </c>
      <c r="P333">
        <v>1.05</v>
      </c>
      <c r="Q333">
        <v>0.9</v>
      </c>
      <c r="R333" s="97" t="s">
        <v>1197</v>
      </c>
      <c r="S333" s="97" t="s">
        <v>195</v>
      </c>
    </row>
    <row r="334" spans="1:19" x14ac:dyDescent="0.3">
      <c r="A334" s="97" t="s">
        <v>447</v>
      </c>
      <c r="B334" s="97" t="s">
        <v>23</v>
      </c>
      <c r="C334">
        <v>2026</v>
      </c>
      <c r="D334">
        <v>1</v>
      </c>
      <c r="E334" s="2">
        <v>46036</v>
      </c>
      <c r="F334" s="97" t="s">
        <v>7</v>
      </c>
      <c r="G334" s="97" t="s">
        <v>8</v>
      </c>
      <c r="H334" s="97" t="s">
        <v>74</v>
      </c>
      <c r="I334" s="97" t="s">
        <v>71</v>
      </c>
      <c r="J334" s="97" t="s">
        <v>72</v>
      </c>
      <c r="K334" s="97" t="s">
        <v>73</v>
      </c>
      <c r="L334">
        <v>701000</v>
      </c>
      <c r="M334" s="97" t="s">
        <v>62</v>
      </c>
      <c r="N334" s="97" t="s">
        <v>33</v>
      </c>
      <c r="O334">
        <v>1480</v>
      </c>
      <c r="P334">
        <v>1.05</v>
      </c>
      <c r="Q334">
        <v>1.55</v>
      </c>
      <c r="R334" s="97" t="s">
        <v>1199</v>
      </c>
      <c r="S334" s="97" t="s">
        <v>195</v>
      </c>
    </row>
    <row r="335" spans="1:19" x14ac:dyDescent="0.3">
      <c r="A335" s="97" t="s">
        <v>448</v>
      </c>
      <c r="B335" s="97" t="s">
        <v>23</v>
      </c>
      <c r="C335">
        <v>2026</v>
      </c>
      <c r="D335">
        <v>1</v>
      </c>
      <c r="E335" s="2">
        <v>46036</v>
      </c>
      <c r="F335" s="97" t="s">
        <v>7</v>
      </c>
      <c r="G335" s="97" t="s">
        <v>8</v>
      </c>
      <c r="H335" s="97" t="s">
        <v>74</v>
      </c>
      <c r="I335" s="97" t="s">
        <v>71</v>
      </c>
      <c r="J335" s="97" t="s">
        <v>72</v>
      </c>
      <c r="K335" s="97" t="s">
        <v>73</v>
      </c>
      <c r="L335">
        <v>701000</v>
      </c>
      <c r="M335" s="97" t="s">
        <v>62</v>
      </c>
      <c r="N335" s="97" t="s">
        <v>33</v>
      </c>
      <c r="O335">
        <v>1767</v>
      </c>
      <c r="P335">
        <v>1.05</v>
      </c>
      <c r="Q335">
        <v>1.86</v>
      </c>
      <c r="R335" s="97" t="s">
        <v>1200</v>
      </c>
      <c r="S335" s="97" t="s">
        <v>195</v>
      </c>
    </row>
    <row r="336" spans="1:19" x14ac:dyDescent="0.3">
      <c r="A336" s="97" t="s">
        <v>449</v>
      </c>
      <c r="B336" s="97" t="s">
        <v>23</v>
      </c>
      <c r="C336">
        <v>2026</v>
      </c>
      <c r="D336">
        <v>1</v>
      </c>
      <c r="E336" s="2">
        <v>46036</v>
      </c>
      <c r="F336" s="97" t="s">
        <v>7</v>
      </c>
      <c r="G336" s="97" t="s">
        <v>8</v>
      </c>
      <c r="H336" s="97" t="s">
        <v>74</v>
      </c>
      <c r="I336" s="97" t="s">
        <v>71</v>
      </c>
      <c r="J336" s="97" t="s">
        <v>72</v>
      </c>
      <c r="K336" s="97" t="s">
        <v>73</v>
      </c>
      <c r="L336">
        <v>701000</v>
      </c>
      <c r="M336" s="97" t="s">
        <v>62</v>
      </c>
      <c r="N336" s="97" t="s">
        <v>33</v>
      </c>
      <c r="O336">
        <v>2555</v>
      </c>
      <c r="P336">
        <v>1.05</v>
      </c>
      <c r="Q336">
        <v>2.69</v>
      </c>
      <c r="R336" s="97" t="s">
        <v>1198</v>
      </c>
      <c r="S336" s="97" t="s">
        <v>195</v>
      </c>
    </row>
    <row r="337" spans="1:19" x14ac:dyDescent="0.3">
      <c r="A337" s="97" t="s">
        <v>660</v>
      </c>
      <c r="B337" s="97" t="s">
        <v>23</v>
      </c>
      <c r="C337">
        <v>2026</v>
      </c>
      <c r="D337">
        <v>1</v>
      </c>
      <c r="E337" s="2">
        <v>46036</v>
      </c>
      <c r="F337" s="97" t="s">
        <v>7</v>
      </c>
      <c r="G337" s="97" t="s">
        <v>8</v>
      </c>
      <c r="H337" s="97" t="s">
        <v>70</v>
      </c>
      <c r="I337" s="97" t="s">
        <v>75</v>
      </c>
      <c r="J337" s="97" t="s">
        <v>76</v>
      </c>
      <c r="K337" s="97" t="s">
        <v>73</v>
      </c>
      <c r="L337">
        <v>701000</v>
      </c>
      <c r="M337" s="97" t="s">
        <v>62</v>
      </c>
      <c r="N337" s="97" t="s">
        <v>33</v>
      </c>
      <c r="O337">
        <v>1147</v>
      </c>
      <c r="P337">
        <v>1.4</v>
      </c>
      <c r="Q337">
        <v>1.61</v>
      </c>
      <c r="R337" s="97" t="s">
        <v>1204</v>
      </c>
      <c r="S337" s="97" t="s">
        <v>195</v>
      </c>
    </row>
    <row r="338" spans="1:19" x14ac:dyDescent="0.3">
      <c r="A338" s="97" t="s">
        <v>661</v>
      </c>
      <c r="B338" s="97" t="s">
        <v>23</v>
      </c>
      <c r="C338">
        <v>2026</v>
      </c>
      <c r="D338">
        <v>1</v>
      </c>
      <c r="E338" s="2">
        <v>46036</v>
      </c>
      <c r="F338" s="97" t="s">
        <v>7</v>
      </c>
      <c r="G338" s="97" t="s">
        <v>8</v>
      </c>
      <c r="H338" s="97" t="s">
        <v>70</v>
      </c>
      <c r="I338" s="97" t="s">
        <v>75</v>
      </c>
      <c r="J338" s="97" t="s">
        <v>76</v>
      </c>
      <c r="K338" s="97" t="s">
        <v>73</v>
      </c>
      <c r="L338">
        <v>701000</v>
      </c>
      <c r="M338" s="97" t="s">
        <v>62</v>
      </c>
      <c r="N338" s="97" t="s">
        <v>33</v>
      </c>
      <c r="O338">
        <v>693</v>
      </c>
      <c r="P338">
        <v>1.4</v>
      </c>
      <c r="Q338">
        <v>0.97</v>
      </c>
      <c r="R338" s="97" t="s">
        <v>1201</v>
      </c>
      <c r="S338" s="97" t="s">
        <v>195</v>
      </c>
    </row>
    <row r="339" spans="1:19" x14ac:dyDescent="0.3">
      <c r="A339" s="97" t="s">
        <v>662</v>
      </c>
      <c r="B339" s="97" t="s">
        <v>23</v>
      </c>
      <c r="C339">
        <v>2026</v>
      </c>
      <c r="D339">
        <v>1</v>
      </c>
      <c r="E339" s="2">
        <v>46036</v>
      </c>
      <c r="F339" s="97" t="s">
        <v>7</v>
      </c>
      <c r="G339" s="97" t="s">
        <v>8</v>
      </c>
      <c r="H339" s="97" t="s">
        <v>70</v>
      </c>
      <c r="I339" s="97" t="s">
        <v>75</v>
      </c>
      <c r="J339" s="97" t="s">
        <v>76</v>
      </c>
      <c r="K339" s="97" t="s">
        <v>73</v>
      </c>
      <c r="L339">
        <v>701000</v>
      </c>
      <c r="M339" s="97" t="s">
        <v>62</v>
      </c>
      <c r="N339" s="97" t="s">
        <v>33</v>
      </c>
      <c r="O339">
        <v>546</v>
      </c>
      <c r="P339">
        <v>1.39</v>
      </c>
      <c r="Q339">
        <v>0.76</v>
      </c>
      <c r="R339" s="97" t="s">
        <v>1198</v>
      </c>
      <c r="S339" s="97" t="s">
        <v>195</v>
      </c>
    </row>
    <row r="340" spans="1:19" x14ac:dyDescent="0.3">
      <c r="A340" s="97" t="s">
        <v>663</v>
      </c>
      <c r="B340" s="97" t="s">
        <v>23</v>
      </c>
      <c r="C340">
        <v>2026</v>
      </c>
      <c r="D340">
        <v>1</v>
      </c>
      <c r="E340" s="2">
        <v>46036</v>
      </c>
      <c r="F340" s="97" t="s">
        <v>7</v>
      </c>
      <c r="G340" s="97" t="s">
        <v>8</v>
      </c>
      <c r="H340" s="97" t="s">
        <v>70</v>
      </c>
      <c r="I340" s="97" t="s">
        <v>75</v>
      </c>
      <c r="J340" s="97" t="s">
        <v>76</v>
      </c>
      <c r="K340" s="97" t="s">
        <v>73</v>
      </c>
      <c r="L340">
        <v>701000</v>
      </c>
      <c r="M340" s="97" t="s">
        <v>62</v>
      </c>
      <c r="N340" s="97" t="s">
        <v>33</v>
      </c>
      <c r="O340">
        <v>2329</v>
      </c>
      <c r="P340">
        <v>1.4</v>
      </c>
      <c r="Q340">
        <v>3.26</v>
      </c>
      <c r="R340" s="97" t="s">
        <v>1203</v>
      </c>
      <c r="S340" s="97" t="s">
        <v>195</v>
      </c>
    </row>
    <row r="341" spans="1:19" x14ac:dyDescent="0.3">
      <c r="A341" s="97" t="s">
        <v>664</v>
      </c>
      <c r="B341" s="97" t="s">
        <v>23</v>
      </c>
      <c r="C341">
        <v>2026</v>
      </c>
      <c r="D341">
        <v>1</v>
      </c>
      <c r="E341" s="2">
        <v>46036</v>
      </c>
      <c r="F341" s="97" t="s">
        <v>7</v>
      </c>
      <c r="G341" s="97" t="s">
        <v>8</v>
      </c>
      <c r="H341" s="97" t="s">
        <v>70</v>
      </c>
      <c r="I341" s="97" t="s">
        <v>75</v>
      </c>
      <c r="J341" s="97" t="s">
        <v>76</v>
      </c>
      <c r="K341" s="97" t="s">
        <v>73</v>
      </c>
      <c r="L341">
        <v>701000</v>
      </c>
      <c r="M341" s="97" t="s">
        <v>62</v>
      </c>
      <c r="N341" s="97" t="s">
        <v>33</v>
      </c>
      <c r="O341">
        <v>2609</v>
      </c>
      <c r="P341">
        <v>1.4</v>
      </c>
      <c r="Q341">
        <v>3.65</v>
      </c>
      <c r="R341" s="97" t="s">
        <v>1200</v>
      </c>
      <c r="S341" s="97" t="s">
        <v>195</v>
      </c>
    </row>
    <row r="342" spans="1:19" x14ac:dyDescent="0.3">
      <c r="A342" s="97" t="s">
        <v>850</v>
      </c>
      <c r="B342" s="97" t="s">
        <v>23</v>
      </c>
      <c r="C342">
        <v>2026</v>
      </c>
      <c r="D342">
        <v>1</v>
      </c>
      <c r="E342" s="2">
        <v>46036</v>
      </c>
      <c r="F342" s="97" t="s">
        <v>7</v>
      </c>
      <c r="G342" s="97" t="s">
        <v>8</v>
      </c>
      <c r="H342" s="97" t="s">
        <v>70</v>
      </c>
      <c r="I342" s="97" t="s">
        <v>79</v>
      </c>
      <c r="J342" s="97" t="s">
        <v>80</v>
      </c>
      <c r="K342" s="97" t="s">
        <v>73</v>
      </c>
      <c r="L342">
        <v>701000</v>
      </c>
      <c r="M342" s="97" t="s">
        <v>62</v>
      </c>
      <c r="N342" s="97" t="s">
        <v>33</v>
      </c>
      <c r="O342">
        <v>709</v>
      </c>
      <c r="P342">
        <v>2.6</v>
      </c>
      <c r="Q342">
        <v>1.84</v>
      </c>
      <c r="R342" s="97" t="s">
        <v>1205</v>
      </c>
      <c r="S342" s="97" t="s">
        <v>195</v>
      </c>
    </row>
    <row r="343" spans="1:19" x14ac:dyDescent="0.3">
      <c r="A343" s="97" t="s">
        <v>851</v>
      </c>
      <c r="B343" s="97" t="s">
        <v>23</v>
      </c>
      <c r="C343">
        <v>2026</v>
      </c>
      <c r="D343">
        <v>1</v>
      </c>
      <c r="E343" s="2">
        <v>46036</v>
      </c>
      <c r="F343" s="97" t="s">
        <v>7</v>
      </c>
      <c r="G343" s="97" t="s">
        <v>8</v>
      </c>
      <c r="H343" s="97" t="s">
        <v>70</v>
      </c>
      <c r="I343" s="97" t="s">
        <v>79</v>
      </c>
      <c r="J343" s="97" t="s">
        <v>80</v>
      </c>
      <c r="K343" s="97" t="s">
        <v>73</v>
      </c>
      <c r="L343">
        <v>701000</v>
      </c>
      <c r="M343" s="97" t="s">
        <v>62</v>
      </c>
      <c r="N343" s="97" t="s">
        <v>33</v>
      </c>
      <c r="O343">
        <v>1369</v>
      </c>
      <c r="P343">
        <v>2.6</v>
      </c>
      <c r="Q343">
        <v>3.56</v>
      </c>
      <c r="R343" s="97" t="s">
        <v>1197</v>
      </c>
      <c r="S343" s="97" t="s">
        <v>195</v>
      </c>
    </row>
    <row r="344" spans="1:19" x14ac:dyDescent="0.3">
      <c r="A344" s="97" t="s">
        <v>852</v>
      </c>
      <c r="B344" s="97" t="s">
        <v>23</v>
      </c>
      <c r="C344">
        <v>2026</v>
      </c>
      <c r="D344">
        <v>1</v>
      </c>
      <c r="E344" s="2">
        <v>46036</v>
      </c>
      <c r="F344" s="97" t="s">
        <v>7</v>
      </c>
      <c r="G344" s="97" t="s">
        <v>8</v>
      </c>
      <c r="H344" s="97" t="s">
        <v>70</v>
      </c>
      <c r="I344" s="97" t="s">
        <v>79</v>
      </c>
      <c r="J344" s="97" t="s">
        <v>80</v>
      </c>
      <c r="K344" s="97" t="s">
        <v>73</v>
      </c>
      <c r="L344">
        <v>701000</v>
      </c>
      <c r="M344" s="97" t="s">
        <v>62</v>
      </c>
      <c r="N344" s="97" t="s">
        <v>33</v>
      </c>
      <c r="O344">
        <v>1917</v>
      </c>
      <c r="P344">
        <v>2.6</v>
      </c>
      <c r="Q344">
        <v>4.9800000000000004</v>
      </c>
      <c r="R344" s="97" t="s">
        <v>1201</v>
      </c>
      <c r="S344" s="97" t="s">
        <v>195</v>
      </c>
    </row>
    <row r="345" spans="1:19" x14ac:dyDescent="0.3">
      <c r="A345" s="97" t="s">
        <v>853</v>
      </c>
      <c r="B345" s="97" t="s">
        <v>23</v>
      </c>
      <c r="C345">
        <v>2026</v>
      </c>
      <c r="D345">
        <v>1</v>
      </c>
      <c r="E345" s="2">
        <v>46036</v>
      </c>
      <c r="F345" s="97" t="s">
        <v>7</v>
      </c>
      <c r="G345" s="97" t="s">
        <v>8</v>
      </c>
      <c r="H345" s="97" t="s">
        <v>70</v>
      </c>
      <c r="I345" s="97" t="s">
        <v>79</v>
      </c>
      <c r="J345" s="97" t="s">
        <v>80</v>
      </c>
      <c r="K345" s="97" t="s">
        <v>73</v>
      </c>
      <c r="L345">
        <v>701000</v>
      </c>
      <c r="M345" s="97" t="s">
        <v>62</v>
      </c>
      <c r="N345" s="97" t="s">
        <v>33</v>
      </c>
      <c r="O345">
        <v>1201</v>
      </c>
      <c r="P345">
        <v>2.6</v>
      </c>
      <c r="Q345">
        <v>3.12</v>
      </c>
      <c r="R345" s="97" t="s">
        <v>1202</v>
      </c>
      <c r="S345" s="97" t="s">
        <v>195</v>
      </c>
    </row>
    <row r="346" spans="1:19" x14ac:dyDescent="0.3">
      <c r="A346" s="97" t="s">
        <v>854</v>
      </c>
      <c r="B346" s="97" t="s">
        <v>23</v>
      </c>
      <c r="C346">
        <v>2026</v>
      </c>
      <c r="D346">
        <v>1</v>
      </c>
      <c r="E346" s="2">
        <v>46036</v>
      </c>
      <c r="F346" s="97" t="s">
        <v>7</v>
      </c>
      <c r="G346" s="97" t="s">
        <v>8</v>
      </c>
      <c r="H346" s="97" t="s">
        <v>70</v>
      </c>
      <c r="I346" s="97" t="s">
        <v>79</v>
      </c>
      <c r="J346" s="97" t="s">
        <v>80</v>
      </c>
      <c r="K346" s="97" t="s">
        <v>73</v>
      </c>
      <c r="L346">
        <v>701000</v>
      </c>
      <c r="M346" s="97" t="s">
        <v>62</v>
      </c>
      <c r="N346" s="97" t="s">
        <v>33</v>
      </c>
      <c r="O346">
        <v>1735</v>
      </c>
      <c r="P346">
        <v>2.61</v>
      </c>
      <c r="Q346">
        <v>4.5199999999999996</v>
      </c>
      <c r="R346" s="97" t="s">
        <v>1204</v>
      </c>
      <c r="S346" s="97" t="s">
        <v>195</v>
      </c>
    </row>
    <row r="347" spans="1:19" x14ac:dyDescent="0.3">
      <c r="A347" s="97" t="s">
        <v>1000</v>
      </c>
      <c r="B347" s="97" t="s">
        <v>23</v>
      </c>
      <c r="C347">
        <v>2026</v>
      </c>
      <c r="D347">
        <v>1</v>
      </c>
      <c r="E347" s="2">
        <v>46036</v>
      </c>
      <c r="F347" s="97" t="s">
        <v>7</v>
      </c>
      <c r="G347" s="97" t="s">
        <v>8</v>
      </c>
      <c r="H347" s="97" t="s">
        <v>74</v>
      </c>
      <c r="I347" s="97" t="s">
        <v>82</v>
      </c>
      <c r="J347" s="97" t="s">
        <v>83</v>
      </c>
      <c r="K347" s="97" t="s">
        <v>73</v>
      </c>
      <c r="L347">
        <v>701000</v>
      </c>
      <c r="M347" s="97" t="s">
        <v>62</v>
      </c>
      <c r="N347" s="97" t="s">
        <v>33</v>
      </c>
      <c r="O347">
        <v>230</v>
      </c>
      <c r="P347">
        <v>18.52</v>
      </c>
      <c r="Q347">
        <v>4.26</v>
      </c>
      <c r="R347" s="97" t="s">
        <v>1204</v>
      </c>
      <c r="S347" s="97" t="s">
        <v>195</v>
      </c>
    </row>
    <row r="348" spans="1:19" x14ac:dyDescent="0.3">
      <c r="A348" s="97" t="s">
        <v>1001</v>
      </c>
      <c r="B348" s="97" t="s">
        <v>23</v>
      </c>
      <c r="C348">
        <v>2026</v>
      </c>
      <c r="D348">
        <v>1</v>
      </c>
      <c r="E348" s="2">
        <v>46036</v>
      </c>
      <c r="F348" s="97" t="s">
        <v>7</v>
      </c>
      <c r="G348" s="97" t="s">
        <v>8</v>
      </c>
      <c r="H348" s="97" t="s">
        <v>74</v>
      </c>
      <c r="I348" s="97" t="s">
        <v>82</v>
      </c>
      <c r="J348" s="97" t="s">
        <v>83</v>
      </c>
      <c r="K348" s="97" t="s">
        <v>73</v>
      </c>
      <c r="L348">
        <v>701000</v>
      </c>
      <c r="M348" s="97" t="s">
        <v>62</v>
      </c>
      <c r="N348" s="97" t="s">
        <v>33</v>
      </c>
      <c r="O348">
        <v>95</v>
      </c>
      <c r="P348">
        <v>18.420000000000002</v>
      </c>
      <c r="Q348">
        <v>1.75</v>
      </c>
      <c r="R348" s="97" t="s">
        <v>1197</v>
      </c>
      <c r="S348" s="97" t="s">
        <v>195</v>
      </c>
    </row>
    <row r="349" spans="1:19" x14ac:dyDescent="0.3">
      <c r="A349" s="97" t="s">
        <v>1002</v>
      </c>
      <c r="B349" s="97" t="s">
        <v>23</v>
      </c>
      <c r="C349">
        <v>2026</v>
      </c>
      <c r="D349">
        <v>1</v>
      </c>
      <c r="E349" s="2">
        <v>46036</v>
      </c>
      <c r="F349" s="97" t="s">
        <v>7</v>
      </c>
      <c r="G349" s="97" t="s">
        <v>8</v>
      </c>
      <c r="H349" s="97" t="s">
        <v>74</v>
      </c>
      <c r="I349" s="97" t="s">
        <v>82</v>
      </c>
      <c r="J349" s="97" t="s">
        <v>83</v>
      </c>
      <c r="K349" s="97" t="s">
        <v>73</v>
      </c>
      <c r="L349">
        <v>701000</v>
      </c>
      <c r="M349" s="97" t="s">
        <v>62</v>
      </c>
      <c r="N349" s="97" t="s">
        <v>33</v>
      </c>
      <c r="O349">
        <v>103</v>
      </c>
      <c r="P349">
        <v>18.54</v>
      </c>
      <c r="Q349">
        <v>1.91</v>
      </c>
      <c r="R349" s="97" t="s">
        <v>1198</v>
      </c>
      <c r="S349" s="97" t="s">
        <v>195</v>
      </c>
    </row>
    <row r="350" spans="1:19" x14ac:dyDescent="0.3">
      <c r="A350" s="97" t="s">
        <v>1003</v>
      </c>
      <c r="B350" s="97" t="s">
        <v>23</v>
      </c>
      <c r="C350">
        <v>2026</v>
      </c>
      <c r="D350">
        <v>1</v>
      </c>
      <c r="E350" s="2">
        <v>46036</v>
      </c>
      <c r="F350" s="97" t="s">
        <v>7</v>
      </c>
      <c r="G350" s="97" t="s">
        <v>8</v>
      </c>
      <c r="H350" s="97" t="s">
        <v>74</v>
      </c>
      <c r="I350" s="97" t="s">
        <v>82</v>
      </c>
      <c r="J350" s="97" t="s">
        <v>83</v>
      </c>
      <c r="K350" s="97" t="s">
        <v>73</v>
      </c>
      <c r="L350">
        <v>701000</v>
      </c>
      <c r="M350" s="97" t="s">
        <v>62</v>
      </c>
      <c r="N350" s="97" t="s">
        <v>33</v>
      </c>
      <c r="O350">
        <v>200</v>
      </c>
      <c r="P350">
        <v>18.45</v>
      </c>
      <c r="Q350">
        <v>3.69</v>
      </c>
      <c r="R350" s="97" t="s">
        <v>1200</v>
      </c>
      <c r="S350" s="97" t="s">
        <v>195</v>
      </c>
    </row>
    <row r="351" spans="1:19" x14ac:dyDescent="0.3">
      <c r="A351" s="97" t="s">
        <v>1004</v>
      </c>
      <c r="B351" s="97" t="s">
        <v>23</v>
      </c>
      <c r="C351">
        <v>2026</v>
      </c>
      <c r="D351">
        <v>1</v>
      </c>
      <c r="E351" s="2">
        <v>46036</v>
      </c>
      <c r="F351" s="97" t="s">
        <v>7</v>
      </c>
      <c r="G351" s="97" t="s">
        <v>8</v>
      </c>
      <c r="H351" s="97" t="s">
        <v>74</v>
      </c>
      <c r="I351" s="97" t="s">
        <v>82</v>
      </c>
      <c r="J351" s="97" t="s">
        <v>83</v>
      </c>
      <c r="K351" s="97" t="s">
        <v>73</v>
      </c>
      <c r="L351">
        <v>701000</v>
      </c>
      <c r="M351" s="97" t="s">
        <v>62</v>
      </c>
      <c r="N351" s="97" t="s">
        <v>33</v>
      </c>
      <c r="O351">
        <v>191</v>
      </c>
      <c r="P351">
        <v>18.53</v>
      </c>
      <c r="Q351">
        <v>3.54</v>
      </c>
      <c r="R351" s="97" t="s">
        <v>1203</v>
      </c>
      <c r="S351" s="97" t="s">
        <v>195</v>
      </c>
    </row>
    <row r="352" spans="1:19" x14ac:dyDescent="0.3">
      <c r="A352" s="97" t="s">
        <v>265</v>
      </c>
      <c r="B352" s="97" t="s">
        <v>23</v>
      </c>
      <c r="C352">
        <v>2026</v>
      </c>
      <c r="D352">
        <v>1</v>
      </c>
      <c r="E352" s="2">
        <v>46037</v>
      </c>
      <c r="F352" s="97" t="s">
        <v>7</v>
      </c>
      <c r="G352" s="97" t="s">
        <v>8</v>
      </c>
      <c r="H352" s="97" t="s">
        <v>70</v>
      </c>
      <c r="I352" s="97" t="s">
        <v>84</v>
      </c>
      <c r="J352" s="97" t="s">
        <v>85</v>
      </c>
      <c r="K352" s="97" t="s">
        <v>73</v>
      </c>
      <c r="L352">
        <v>701000</v>
      </c>
      <c r="M352" s="97" t="s">
        <v>62</v>
      </c>
      <c r="N352" s="97" t="s">
        <v>33</v>
      </c>
      <c r="O352">
        <v>1202</v>
      </c>
      <c r="P352">
        <v>0.95</v>
      </c>
      <c r="Q352">
        <v>1.1399999999999999</v>
      </c>
      <c r="R352" s="97" t="s">
        <v>1202</v>
      </c>
      <c r="S352" s="97" t="s">
        <v>195</v>
      </c>
    </row>
    <row r="353" spans="1:19" x14ac:dyDescent="0.3">
      <c r="A353" s="97" t="s">
        <v>266</v>
      </c>
      <c r="B353" s="97" t="s">
        <v>23</v>
      </c>
      <c r="C353">
        <v>2026</v>
      </c>
      <c r="D353">
        <v>1</v>
      </c>
      <c r="E353" s="2">
        <v>46037</v>
      </c>
      <c r="F353" s="97" t="s">
        <v>7</v>
      </c>
      <c r="G353" s="97" t="s">
        <v>8</v>
      </c>
      <c r="H353" s="97" t="s">
        <v>70</v>
      </c>
      <c r="I353" s="97" t="s">
        <v>84</v>
      </c>
      <c r="J353" s="97" t="s">
        <v>85</v>
      </c>
      <c r="K353" s="97" t="s">
        <v>73</v>
      </c>
      <c r="L353">
        <v>701000</v>
      </c>
      <c r="M353" s="97" t="s">
        <v>62</v>
      </c>
      <c r="N353" s="97" t="s">
        <v>33</v>
      </c>
      <c r="O353">
        <v>3665</v>
      </c>
      <c r="P353">
        <v>0.95</v>
      </c>
      <c r="Q353">
        <v>3.48</v>
      </c>
      <c r="R353" s="97" t="s">
        <v>1205</v>
      </c>
      <c r="S353" s="97" t="s">
        <v>195</v>
      </c>
    </row>
    <row r="354" spans="1:19" x14ac:dyDescent="0.3">
      <c r="A354" s="97" t="s">
        <v>267</v>
      </c>
      <c r="B354" s="97" t="s">
        <v>23</v>
      </c>
      <c r="C354">
        <v>2026</v>
      </c>
      <c r="D354">
        <v>1</v>
      </c>
      <c r="E354" s="2">
        <v>46037</v>
      </c>
      <c r="F354" s="97" t="s">
        <v>7</v>
      </c>
      <c r="G354" s="97" t="s">
        <v>8</v>
      </c>
      <c r="H354" s="97" t="s">
        <v>70</v>
      </c>
      <c r="I354" s="97" t="s">
        <v>84</v>
      </c>
      <c r="J354" s="97" t="s">
        <v>85</v>
      </c>
      <c r="K354" s="97" t="s">
        <v>73</v>
      </c>
      <c r="L354">
        <v>701000</v>
      </c>
      <c r="M354" s="97" t="s">
        <v>62</v>
      </c>
      <c r="N354" s="97" t="s">
        <v>33</v>
      </c>
      <c r="O354">
        <v>3130</v>
      </c>
      <c r="P354">
        <v>0.95</v>
      </c>
      <c r="Q354">
        <v>2.97</v>
      </c>
      <c r="R354" s="97" t="s">
        <v>1200</v>
      </c>
      <c r="S354" s="97" t="s">
        <v>195</v>
      </c>
    </row>
    <row r="355" spans="1:19" x14ac:dyDescent="0.3">
      <c r="A355" s="97" t="s">
        <v>268</v>
      </c>
      <c r="B355" s="97" t="s">
        <v>23</v>
      </c>
      <c r="C355">
        <v>2026</v>
      </c>
      <c r="D355">
        <v>1</v>
      </c>
      <c r="E355" s="2">
        <v>46037</v>
      </c>
      <c r="F355" s="97" t="s">
        <v>7</v>
      </c>
      <c r="G355" s="97" t="s">
        <v>8</v>
      </c>
      <c r="H355" s="97" t="s">
        <v>70</v>
      </c>
      <c r="I355" s="97" t="s">
        <v>84</v>
      </c>
      <c r="J355" s="97" t="s">
        <v>85</v>
      </c>
      <c r="K355" s="97" t="s">
        <v>73</v>
      </c>
      <c r="L355">
        <v>701000</v>
      </c>
      <c r="M355" s="97" t="s">
        <v>62</v>
      </c>
      <c r="N355" s="97" t="s">
        <v>33</v>
      </c>
      <c r="O355">
        <v>3424</v>
      </c>
      <c r="P355">
        <v>0.95</v>
      </c>
      <c r="Q355">
        <v>3.25</v>
      </c>
      <c r="R355" s="97" t="s">
        <v>1204</v>
      </c>
      <c r="S355" s="97" t="s">
        <v>195</v>
      </c>
    </row>
    <row r="356" spans="1:19" x14ac:dyDescent="0.3">
      <c r="A356" s="97" t="s">
        <v>269</v>
      </c>
      <c r="B356" s="97" t="s">
        <v>23</v>
      </c>
      <c r="C356">
        <v>2026</v>
      </c>
      <c r="D356">
        <v>1</v>
      </c>
      <c r="E356" s="2">
        <v>46037</v>
      </c>
      <c r="F356" s="97" t="s">
        <v>7</v>
      </c>
      <c r="G356" s="97" t="s">
        <v>8</v>
      </c>
      <c r="H356" s="97" t="s">
        <v>70</v>
      </c>
      <c r="I356" s="97" t="s">
        <v>84</v>
      </c>
      <c r="J356" s="97" t="s">
        <v>85</v>
      </c>
      <c r="K356" s="97" t="s">
        <v>73</v>
      </c>
      <c r="L356">
        <v>701000</v>
      </c>
      <c r="M356" s="97" t="s">
        <v>62</v>
      </c>
      <c r="N356" s="97" t="s">
        <v>33</v>
      </c>
      <c r="O356">
        <v>1771</v>
      </c>
      <c r="P356">
        <v>0.95</v>
      </c>
      <c r="Q356">
        <v>1.69</v>
      </c>
      <c r="R356" s="97" t="s">
        <v>1199</v>
      </c>
      <c r="S356" s="97" t="s">
        <v>195</v>
      </c>
    </row>
    <row r="357" spans="1:19" x14ac:dyDescent="0.3">
      <c r="A357" s="97" t="s">
        <v>280</v>
      </c>
      <c r="B357" s="97" t="s">
        <v>23</v>
      </c>
      <c r="C357">
        <v>2026</v>
      </c>
      <c r="D357">
        <v>1</v>
      </c>
      <c r="E357" s="2">
        <v>46037</v>
      </c>
      <c r="F357" s="97" t="s">
        <v>7</v>
      </c>
      <c r="G357" s="97" t="s">
        <v>8</v>
      </c>
      <c r="H357" s="97" t="s">
        <v>70</v>
      </c>
      <c r="I357" s="97" t="s">
        <v>84</v>
      </c>
      <c r="J357" s="97" t="s">
        <v>85</v>
      </c>
      <c r="K357" s="97" t="s">
        <v>73</v>
      </c>
      <c r="L357">
        <v>701000</v>
      </c>
      <c r="M357" s="97" t="s">
        <v>62</v>
      </c>
      <c r="N357" s="97" t="s">
        <v>33</v>
      </c>
      <c r="O357">
        <v>1646</v>
      </c>
      <c r="P357">
        <v>0.95</v>
      </c>
      <c r="Q357">
        <v>1.56</v>
      </c>
      <c r="R357" s="97" t="s">
        <v>1197</v>
      </c>
      <c r="S357" s="97" t="s">
        <v>195</v>
      </c>
    </row>
    <row r="358" spans="1:19" x14ac:dyDescent="0.3">
      <c r="A358" s="97" t="s">
        <v>281</v>
      </c>
      <c r="B358" s="97" t="s">
        <v>23</v>
      </c>
      <c r="C358">
        <v>2026</v>
      </c>
      <c r="D358">
        <v>1</v>
      </c>
      <c r="E358" s="2">
        <v>46037</v>
      </c>
      <c r="F358" s="97" t="s">
        <v>7</v>
      </c>
      <c r="G358" s="97" t="s">
        <v>8</v>
      </c>
      <c r="H358" s="97" t="s">
        <v>70</v>
      </c>
      <c r="I358" s="97" t="s">
        <v>84</v>
      </c>
      <c r="J358" s="97" t="s">
        <v>85</v>
      </c>
      <c r="K358" s="97" t="s">
        <v>73</v>
      </c>
      <c r="L358">
        <v>701000</v>
      </c>
      <c r="M358" s="97" t="s">
        <v>62</v>
      </c>
      <c r="N358" s="97" t="s">
        <v>33</v>
      </c>
      <c r="O358">
        <v>1960</v>
      </c>
      <c r="P358">
        <v>0.95</v>
      </c>
      <c r="Q358">
        <v>1.86</v>
      </c>
      <c r="R358" s="97" t="s">
        <v>1205</v>
      </c>
      <c r="S358" s="97" t="s">
        <v>195</v>
      </c>
    </row>
    <row r="359" spans="1:19" x14ac:dyDescent="0.3">
      <c r="A359" s="97" t="s">
        <v>282</v>
      </c>
      <c r="B359" s="97" t="s">
        <v>23</v>
      </c>
      <c r="C359">
        <v>2026</v>
      </c>
      <c r="D359">
        <v>1</v>
      </c>
      <c r="E359" s="2">
        <v>46037</v>
      </c>
      <c r="F359" s="97" t="s">
        <v>7</v>
      </c>
      <c r="G359" s="97" t="s">
        <v>8</v>
      </c>
      <c r="H359" s="97" t="s">
        <v>70</v>
      </c>
      <c r="I359" s="97" t="s">
        <v>84</v>
      </c>
      <c r="J359" s="97" t="s">
        <v>85</v>
      </c>
      <c r="K359" s="97" t="s">
        <v>73</v>
      </c>
      <c r="L359">
        <v>701000</v>
      </c>
      <c r="M359" s="97" t="s">
        <v>62</v>
      </c>
      <c r="N359" s="97" t="s">
        <v>33</v>
      </c>
      <c r="O359">
        <v>6168</v>
      </c>
      <c r="P359">
        <v>0.95</v>
      </c>
      <c r="Q359">
        <v>5.86</v>
      </c>
      <c r="R359" s="97" t="s">
        <v>1202</v>
      </c>
      <c r="S359" s="97" t="s">
        <v>195</v>
      </c>
    </row>
    <row r="360" spans="1:19" x14ac:dyDescent="0.3">
      <c r="A360" s="97" t="s">
        <v>283</v>
      </c>
      <c r="B360" s="97" t="s">
        <v>23</v>
      </c>
      <c r="C360">
        <v>2026</v>
      </c>
      <c r="D360">
        <v>1</v>
      </c>
      <c r="E360" s="2">
        <v>46037</v>
      </c>
      <c r="F360" s="97" t="s">
        <v>7</v>
      </c>
      <c r="G360" s="97" t="s">
        <v>8</v>
      </c>
      <c r="H360" s="97" t="s">
        <v>70</v>
      </c>
      <c r="I360" s="97" t="s">
        <v>84</v>
      </c>
      <c r="J360" s="97" t="s">
        <v>85</v>
      </c>
      <c r="K360" s="97" t="s">
        <v>73</v>
      </c>
      <c r="L360">
        <v>701000</v>
      </c>
      <c r="M360" s="97" t="s">
        <v>62</v>
      </c>
      <c r="N360" s="97" t="s">
        <v>33</v>
      </c>
      <c r="O360">
        <v>1426</v>
      </c>
      <c r="P360">
        <v>0.95</v>
      </c>
      <c r="Q360">
        <v>1.35</v>
      </c>
      <c r="R360" s="97" t="s">
        <v>1201</v>
      </c>
      <c r="S360" s="97" t="s">
        <v>195</v>
      </c>
    </row>
    <row r="361" spans="1:19" x14ac:dyDescent="0.3">
      <c r="A361" s="97" t="s">
        <v>284</v>
      </c>
      <c r="B361" s="97" t="s">
        <v>23</v>
      </c>
      <c r="C361">
        <v>2026</v>
      </c>
      <c r="D361">
        <v>1</v>
      </c>
      <c r="E361" s="2">
        <v>46037</v>
      </c>
      <c r="F361" s="97" t="s">
        <v>7</v>
      </c>
      <c r="G361" s="97" t="s">
        <v>8</v>
      </c>
      <c r="H361" s="97" t="s">
        <v>70</v>
      </c>
      <c r="I361" s="97" t="s">
        <v>84</v>
      </c>
      <c r="J361" s="97" t="s">
        <v>85</v>
      </c>
      <c r="K361" s="97" t="s">
        <v>73</v>
      </c>
      <c r="L361">
        <v>701000</v>
      </c>
      <c r="M361" s="97" t="s">
        <v>62</v>
      </c>
      <c r="N361" s="97" t="s">
        <v>33</v>
      </c>
      <c r="O361">
        <v>1320</v>
      </c>
      <c r="P361">
        <v>0.95</v>
      </c>
      <c r="Q361">
        <v>1.26</v>
      </c>
      <c r="R361" s="97" t="s">
        <v>1198</v>
      </c>
      <c r="S361" s="97" t="s">
        <v>195</v>
      </c>
    </row>
    <row r="362" spans="1:19" x14ac:dyDescent="0.3">
      <c r="A362" s="97" t="s">
        <v>335</v>
      </c>
      <c r="B362" s="97" t="s">
        <v>23</v>
      </c>
      <c r="C362">
        <v>2026</v>
      </c>
      <c r="D362">
        <v>1</v>
      </c>
      <c r="E362" s="2">
        <v>46037</v>
      </c>
      <c r="F362" s="97" t="s">
        <v>7</v>
      </c>
      <c r="G362" s="97" t="s">
        <v>8</v>
      </c>
      <c r="H362" s="97" t="s">
        <v>70</v>
      </c>
      <c r="I362" s="97" t="s">
        <v>84</v>
      </c>
      <c r="J362" s="97" t="s">
        <v>85</v>
      </c>
      <c r="K362" s="97" t="s">
        <v>73</v>
      </c>
      <c r="L362">
        <v>706000</v>
      </c>
      <c r="M362" s="97" t="s">
        <v>63</v>
      </c>
      <c r="N362" s="97" t="s">
        <v>33</v>
      </c>
      <c r="O362">
        <v>4838</v>
      </c>
      <c r="P362">
        <v>0.95</v>
      </c>
      <c r="Q362">
        <v>4.5999999999999996</v>
      </c>
      <c r="R362" s="97" t="s">
        <v>1198</v>
      </c>
      <c r="S362" s="97" t="s">
        <v>195</v>
      </c>
    </row>
    <row r="363" spans="1:19" x14ac:dyDescent="0.3">
      <c r="A363" s="97" t="s">
        <v>336</v>
      </c>
      <c r="B363" s="97" t="s">
        <v>23</v>
      </c>
      <c r="C363">
        <v>2026</v>
      </c>
      <c r="D363">
        <v>1</v>
      </c>
      <c r="E363" s="2">
        <v>46037</v>
      </c>
      <c r="F363" s="97" t="s">
        <v>7</v>
      </c>
      <c r="G363" s="97" t="s">
        <v>8</v>
      </c>
      <c r="H363" s="97" t="s">
        <v>70</v>
      </c>
      <c r="I363" s="97" t="s">
        <v>84</v>
      </c>
      <c r="J363" s="97" t="s">
        <v>85</v>
      </c>
      <c r="K363" s="97" t="s">
        <v>73</v>
      </c>
      <c r="L363">
        <v>706000</v>
      </c>
      <c r="M363" s="97" t="s">
        <v>63</v>
      </c>
      <c r="N363" s="97" t="s">
        <v>33</v>
      </c>
      <c r="O363">
        <v>2046</v>
      </c>
      <c r="P363">
        <v>0.95</v>
      </c>
      <c r="Q363">
        <v>1.94</v>
      </c>
      <c r="R363" s="97" t="s">
        <v>1199</v>
      </c>
      <c r="S363" s="97" t="s">
        <v>195</v>
      </c>
    </row>
    <row r="364" spans="1:19" x14ac:dyDescent="0.3">
      <c r="A364" s="97" t="s">
        <v>337</v>
      </c>
      <c r="B364" s="97" t="s">
        <v>23</v>
      </c>
      <c r="C364">
        <v>2026</v>
      </c>
      <c r="D364">
        <v>1</v>
      </c>
      <c r="E364" s="2">
        <v>46037</v>
      </c>
      <c r="F364" s="97" t="s">
        <v>7</v>
      </c>
      <c r="G364" s="97" t="s">
        <v>8</v>
      </c>
      <c r="H364" s="97" t="s">
        <v>70</v>
      </c>
      <c r="I364" s="97" t="s">
        <v>84</v>
      </c>
      <c r="J364" s="97" t="s">
        <v>85</v>
      </c>
      <c r="K364" s="97" t="s">
        <v>73</v>
      </c>
      <c r="L364">
        <v>706000</v>
      </c>
      <c r="M364" s="97" t="s">
        <v>63</v>
      </c>
      <c r="N364" s="97" t="s">
        <v>33</v>
      </c>
      <c r="O364">
        <v>2089</v>
      </c>
      <c r="P364">
        <v>0.95</v>
      </c>
      <c r="Q364">
        <v>1.98</v>
      </c>
      <c r="R364" s="97" t="s">
        <v>1204</v>
      </c>
      <c r="S364" s="97" t="s">
        <v>195</v>
      </c>
    </row>
    <row r="365" spans="1:19" x14ac:dyDescent="0.3">
      <c r="A365" s="97" t="s">
        <v>338</v>
      </c>
      <c r="B365" s="97" t="s">
        <v>23</v>
      </c>
      <c r="C365">
        <v>2026</v>
      </c>
      <c r="D365">
        <v>1</v>
      </c>
      <c r="E365" s="2">
        <v>46037</v>
      </c>
      <c r="F365" s="97" t="s">
        <v>7</v>
      </c>
      <c r="G365" s="97" t="s">
        <v>8</v>
      </c>
      <c r="H365" s="97" t="s">
        <v>70</v>
      </c>
      <c r="I365" s="97" t="s">
        <v>84</v>
      </c>
      <c r="J365" s="97" t="s">
        <v>85</v>
      </c>
      <c r="K365" s="97" t="s">
        <v>73</v>
      </c>
      <c r="L365">
        <v>706000</v>
      </c>
      <c r="M365" s="97" t="s">
        <v>63</v>
      </c>
      <c r="N365" s="97" t="s">
        <v>33</v>
      </c>
      <c r="O365">
        <v>2959</v>
      </c>
      <c r="P365">
        <v>0.95</v>
      </c>
      <c r="Q365">
        <v>2.81</v>
      </c>
      <c r="R365" s="97" t="s">
        <v>1197</v>
      </c>
      <c r="S365" s="97" t="s">
        <v>195</v>
      </c>
    </row>
    <row r="366" spans="1:19" x14ac:dyDescent="0.3">
      <c r="A366" s="97" t="s">
        <v>339</v>
      </c>
      <c r="B366" s="97" t="s">
        <v>23</v>
      </c>
      <c r="C366">
        <v>2026</v>
      </c>
      <c r="D366">
        <v>1</v>
      </c>
      <c r="E366" s="2">
        <v>46037</v>
      </c>
      <c r="F366" s="97" t="s">
        <v>7</v>
      </c>
      <c r="G366" s="97" t="s">
        <v>8</v>
      </c>
      <c r="H366" s="97" t="s">
        <v>70</v>
      </c>
      <c r="I366" s="97" t="s">
        <v>84</v>
      </c>
      <c r="J366" s="97" t="s">
        <v>85</v>
      </c>
      <c r="K366" s="97" t="s">
        <v>73</v>
      </c>
      <c r="L366">
        <v>706000</v>
      </c>
      <c r="M366" s="97" t="s">
        <v>63</v>
      </c>
      <c r="N366" s="97" t="s">
        <v>33</v>
      </c>
      <c r="O366">
        <v>2331</v>
      </c>
      <c r="P366">
        <v>0.95</v>
      </c>
      <c r="Q366">
        <v>2.2200000000000002</v>
      </c>
      <c r="R366" s="97" t="s">
        <v>1200</v>
      </c>
      <c r="S366" s="97" t="s">
        <v>195</v>
      </c>
    </row>
    <row r="367" spans="1:19" x14ac:dyDescent="0.3">
      <c r="A367" s="97" t="s">
        <v>350</v>
      </c>
      <c r="B367" s="97" t="s">
        <v>23</v>
      </c>
      <c r="C367">
        <v>2026</v>
      </c>
      <c r="D367">
        <v>1</v>
      </c>
      <c r="E367" s="2">
        <v>46037</v>
      </c>
      <c r="F367" s="97" t="s">
        <v>7</v>
      </c>
      <c r="G367" s="97" t="s">
        <v>8</v>
      </c>
      <c r="H367" s="97" t="s">
        <v>74</v>
      </c>
      <c r="I367" s="97" t="s">
        <v>84</v>
      </c>
      <c r="J367" s="97" t="s">
        <v>85</v>
      </c>
      <c r="K367" s="97" t="s">
        <v>73</v>
      </c>
      <c r="L367">
        <v>707000</v>
      </c>
      <c r="M367" s="97" t="s">
        <v>81</v>
      </c>
      <c r="N367" s="97" t="s">
        <v>33</v>
      </c>
      <c r="O367">
        <v>327</v>
      </c>
      <c r="P367">
        <v>0.95</v>
      </c>
      <c r="Q367">
        <v>0.31</v>
      </c>
      <c r="R367" s="97" t="s">
        <v>1197</v>
      </c>
      <c r="S367" s="97" t="s">
        <v>195</v>
      </c>
    </row>
    <row r="368" spans="1:19" x14ac:dyDescent="0.3">
      <c r="A368" s="97" t="s">
        <v>351</v>
      </c>
      <c r="B368" s="97" t="s">
        <v>23</v>
      </c>
      <c r="C368">
        <v>2026</v>
      </c>
      <c r="D368">
        <v>1</v>
      </c>
      <c r="E368" s="2">
        <v>46037</v>
      </c>
      <c r="F368" s="97" t="s">
        <v>7</v>
      </c>
      <c r="G368" s="97" t="s">
        <v>8</v>
      </c>
      <c r="H368" s="97" t="s">
        <v>74</v>
      </c>
      <c r="I368" s="97" t="s">
        <v>84</v>
      </c>
      <c r="J368" s="97" t="s">
        <v>85</v>
      </c>
      <c r="K368" s="97" t="s">
        <v>73</v>
      </c>
      <c r="L368">
        <v>707000</v>
      </c>
      <c r="M368" s="97" t="s">
        <v>81</v>
      </c>
      <c r="N368" s="97" t="s">
        <v>33</v>
      </c>
      <c r="O368">
        <v>3533</v>
      </c>
      <c r="P368">
        <v>0.95</v>
      </c>
      <c r="Q368">
        <v>3.36</v>
      </c>
      <c r="R368" s="97" t="s">
        <v>1203</v>
      </c>
      <c r="S368" s="97" t="s">
        <v>195</v>
      </c>
    </row>
    <row r="369" spans="1:19" x14ac:dyDescent="0.3">
      <c r="A369" s="97" t="s">
        <v>352</v>
      </c>
      <c r="B369" s="97" t="s">
        <v>23</v>
      </c>
      <c r="C369">
        <v>2026</v>
      </c>
      <c r="D369">
        <v>1</v>
      </c>
      <c r="E369" s="2">
        <v>46037</v>
      </c>
      <c r="F369" s="97" t="s">
        <v>7</v>
      </c>
      <c r="G369" s="97" t="s">
        <v>8</v>
      </c>
      <c r="H369" s="97" t="s">
        <v>74</v>
      </c>
      <c r="I369" s="97" t="s">
        <v>84</v>
      </c>
      <c r="J369" s="97" t="s">
        <v>85</v>
      </c>
      <c r="K369" s="97" t="s">
        <v>73</v>
      </c>
      <c r="L369">
        <v>707000</v>
      </c>
      <c r="M369" s="97" t="s">
        <v>81</v>
      </c>
      <c r="N369" s="97" t="s">
        <v>33</v>
      </c>
      <c r="O369">
        <v>3455</v>
      </c>
      <c r="P369">
        <v>0.95</v>
      </c>
      <c r="Q369">
        <v>3.28</v>
      </c>
      <c r="R369" s="97" t="s">
        <v>1201</v>
      </c>
      <c r="S369" s="97" t="s">
        <v>195</v>
      </c>
    </row>
    <row r="370" spans="1:19" x14ac:dyDescent="0.3">
      <c r="A370" s="97" t="s">
        <v>353</v>
      </c>
      <c r="B370" s="97" t="s">
        <v>23</v>
      </c>
      <c r="C370">
        <v>2026</v>
      </c>
      <c r="D370">
        <v>1</v>
      </c>
      <c r="E370" s="2">
        <v>46037</v>
      </c>
      <c r="F370" s="97" t="s">
        <v>7</v>
      </c>
      <c r="G370" s="97" t="s">
        <v>8</v>
      </c>
      <c r="H370" s="97" t="s">
        <v>74</v>
      </c>
      <c r="I370" s="97" t="s">
        <v>84</v>
      </c>
      <c r="J370" s="97" t="s">
        <v>85</v>
      </c>
      <c r="K370" s="97" t="s">
        <v>73</v>
      </c>
      <c r="L370">
        <v>707000</v>
      </c>
      <c r="M370" s="97" t="s">
        <v>81</v>
      </c>
      <c r="N370" s="97" t="s">
        <v>33</v>
      </c>
      <c r="O370">
        <v>3461</v>
      </c>
      <c r="P370">
        <v>0.95</v>
      </c>
      <c r="Q370">
        <v>3.29</v>
      </c>
      <c r="R370" s="97" t="s">
        <v>1199</v>
      </c>
      <c r="S370" s="97" t="s">
        <v>195</v>
      </c>
    </row>
    <row r="371" spans="1:19" x14ac:dyDescent="0.3">
      <c r="A371" s="97" t="s">
        <v>354</v>
      </c>
      <c r="B371" s="97" t="s">
        <v>23</v>
      </c>
      <c r="C371">
        <v>2026</v>
      </c>
      <c r="D371">
        <v>1</v>
      </c>
      <c r="E371" s="2">
        <v>46037</v>
      </c>
      <c r="F371" s="97" t="s">
        <v>7</v>
      </c>
      <c r="G371" s="97" t="s">
        <v>8</v>
      </c>
      <c r="H371" s="97" t="s">
        <v>74</v>
      </c>
      <c r="I371" s="97" t="s">
        <v>84</v>
      </c>
      <c r="J371" s="97" t="s">
        <v>85</v>
      </c>
      <c r="K371" s="97" t="s">
        <v>73</v>
      </c>
      <c r="L371">
        <v>707000</v>
      </c>
      <c r="M371" s="97" t="s">
        <v>81</v>
      </c>
      <c r="N371" s="97" t="s">
        <v>33</v>
      </c>
      <c r="O371">
        <v>2687</v>
      </c>
      <c r="P371">
        <v>0.95</v>
      </c>
      <c r="Q371">
        <v>2.5499999999999998</v>
      </c>
      <c r="R371" s="97" t="s">
        <v>1198</v>
      </c>
      <c r="S371" s="97" t="s">
        <v>195</v>
      </c>
    </row>
    <row r="372" spans="1:19" x14ac:dyDescent="0.3">
      <c r="A372" s="97" t="s">
        <v>545</v>
      </c>
      <c r="B372" s="97" t="s">
        <v>23</v>
      </c>
      <c r="C372">
        <v>2026</v>
      </c>
      <c r="D372">
        <v>1</v>
      </c>
      <c r="E372" s="2">
        <v>46037</v>
      </c>
      <c r="F372" s="97" t="s">
        <v>7</v>
      </c>
      <c r="G372" s="97" t="s">
        <v>8</v>
      </c>
      <c r="H372" s="97" t="s">
        <v>74</v>
      </c>
      <c r="I372" s="97" t="s">
        <v>75</v>
      </c>
      <c r="J372" s="97" t="s">
        <v>76</v>
      </c>
      <c r="K372" s="97" t="s">
        <v>73</v>
      </c>
      <c r="L372">
        <v>701000</v>
      </c>
      <c r="M372" s="97" t="s">
        <v>62</v>
      </c>
      <c r="N372" s="97" t="s">
        <v>33</v>
      </c>
      <c r="O372">
        <v>700</v>
      </c>
      <c r="P372">
        <v>1.4</v>
      </c>
      <c r="Q372">
        <v>0.98</v>
      </c>
      <c r="R372" s="97" t="s">
        <v>1204</v>
      </c>
      <c r="S372" s="97" t="s">
        <v>195</v>
      </c>
    </row>
    <row r="373" spans="1:19" x14ac:dyDescent="0.3">
      <c r="A373" s="97" t="s">
        <v>546</v>
      </c>
      <c r="B373" s="97" t="s">
        <v>23</v>
      </c>
      <c r="C373">
        <v>2026</v>
      </c>
      <c r="D373">
        <v>1</v>
      </c>
      <c r="E373" s="2">
        <v>46037</v>
      </c>
      <c r="F373" s="97" t="s">
        <v>7</v>
      </c>
      <c r="G373" s="97" t="s">
        <v>8</v>
      </c>
      <c r="H373" s="97" t="s">
        <v>74</v>
      </c>
      <c r="I373" s="97" t="s">
        <v>75</v>
      </c>
      <c r="J373" s="97" t="s">
        <v>76</v>
      </c>
      <c r="K373" s="97" t="s">
        <v>73</v>
      </c>
      <c r="L373">
        <v>701000</v>
      </c>
      <c r="M373" s="97" t="s">
        <v>62</v>
      </c>
      <c r="N373" s="97" t="s">
        <v>33</v>
      </c>
      <c r="O373">
        <v>2198</v>
      </c>
      <c r="P373">
        <v>1.4</v>
      </c>
      <c r="Q373">
        <v>3.08</v>
      </c>
      <c r="R373" s="97" t="s">
        <v>1198</v>
      </c>
      <c r="S373" s="97" t="s">
        <v>195</v>
      </c>
    </row>
    <row r="374" spans="1:19" x14ac:dyDescent="0.3">
      <c r="A374" s="97" t="s">
        <v>547</v>
      </c>
      <c r="B374" s="97" t="s">
        <v>23</v>
      </c>
      <c r="C374">
        <v>2026</v>
      </c>
      <c r="D374">
        <v>1</v>
      </c>
      <c r="E374" s="2">
        <v>46037</v>
      </c>
      <c r="F374" s="97" t="s">
        <v>7</v>
      </c>
      <c r="G374" s="97" t="s">
        <v>8</v>
      </c>
      <c r="H374" s="97" t="s">
        <v>74</v>
      </c>
      <c r="I374" s="97" t="s">
        <v>75</v>
      </c>
      <c r="J374" s="97" t="s">
        <v>76</v>
      </c>
      <c r="K374" s="97" t="s">
        <v>73</v>
      </c>
      <c r="L374">
        <v>701000</v>
      </c>
      <c r="M374" s="97" t="s">
        <v>62</v>
      </c>
      <c r="N374" s="97" t="s">
        <v>33</v>
      </c>
      <c r="O374">
        <v>216</v>
      </c>
      <c r="P374">
        <v>1.39</v>
      </c>
      <c r="Q374">
        <v>0.3</v>
      </c>
      <c r="R374" s="97" t="s">
        <v>1203</v>
      </c>
      <c r="S374" s="97" t="s">
        <v>195</v>
      </c>
    </row>
    <row r="375" spans="1:19" x14ac:dyDescent="0.3">
      <c r="A375" s="97" t="s">
        <v>548</v>
      </c>
      <c r="B375" s="97" t="s">
        <v>23</v>
      </c>
      <c r="C375">
        <v>2026</v>
      </c>
      <c r="D375">
        <v>1</v>
      </c>
      <c r="E375" s="2">
        <v>46037</v>
      </c>
      <c r="F375" s="97" t="s">
        <v>7</v>
      </c>
      <c r="G375" s="97" t="s">
        <v>8</v>
      </c>
      <c r="H375" s="97" t="s">
        <v>74</v>
      </c>
      <c r="I375" s="97" t="s">
        <v>75</v>
      </c>
      <c r="J375" s="97" t="s">
        <v>76</v>
      </c>
      <c r="K375" s="97" t="s">
        <v>73</v>
      </c>
      <c r="L375">
        <v>701000</v>
      </c>
      <c r="M375" s="97" t="s">
        <v>62</v>
      </c>
      <c r="N375" s="97" t="s">
        <v>33</v>
      </c>
      <c r="O375">
        <v>1663</v>
      </c>
      <c r="P375">
        <v>1.4</v>
      </c>
      <c r="Q375">
        <v>2.33</v>
      </c>
      <c r="R375" s="97" t="s">
        <v>1201</v>
      </c>
      <c r="S375" s="97" t="s">
        <v>195</v>
      </c>
    </row>
    <row r="376" spans="1:19" x14ac:dyDescent="0.3">
      <c r="A376" s="97" t="s">
        <v>549</v>
      </c>
      <c r="B376" s="97" t="s">
        <v>23</v>
      </c>
      <c r="C376">
        <v>2026</v>
      </c>
      <c r="D376">
        <v>1</v>
      </c>
      <c r="E376" s="2">
        <v>46037</v>
      </c>
      <c r="F376" s="97" t="s">
        <v>7</v>
      </c>
      <c r="G376" s="97" t="s">
        <v>8</v>
      </c>
      <c r="H376" s="97" t="s">
        <v>74</v>
      </c>
      <c r="I376" s="97" t="s">
        <v>75</v>
      </c>
      <c r="J376" s="97" t="s">
        <v>76</v>
      </c>
      <c r="K376" s="97" t="s">
        <v>73</v>
      </c>
      <c r="L376">
        <v>701000</v>
      </c>
      <c r="M376" s="97" t="s">
        <v>62</v>
      </c>
      <c r="N376" s="97" t="s">
        <v>33</v>
      </c>
      <c r="O376">
        <v>995</v>
      </c>
      <c r="P376">
        <v>1.4</v>
      </c>
      <c r="Q376">
        <v>1.39</v>
      </c>
      <c r="R376" s="97" t="s">
        <v>1205</v>
      </c>
      <c r="S376" s="97" t="s">
        <v>195</v>
      </c>
    </row>
    <row r="377" spans="1:19" x14ac:dyDescent="0.3">
      <c r="A377" s="97" t="s">
        <v>810</v>
      </c>
      <c r="B377" s="97" t="s">
        <v>23</v>
      </c>
      <c r="C377">
        <v>2026</v>
      </c>
      <c r="D377">
        <v>1</v>
      </c>
      <c r="E377" s="2">
        <v>46037</v>
      </c>
      <c r="F377" s="97" t="s">
        <v>7</v>
      </c>
      <c r="G377" s="97" t="s">
        <v>8</v>
      </c>
      <c r="H377" s="97" t="s">
        <v>74</v>
      </c>
      <c r="I377" s="97" t="s">
        <v>79</v>
      </c>
      <c r="J377" s="97" t="s">
        <v>80</v>
      </c>
      <c r="K377" s="97" t="s">
        <v>73</v>
      </c>
      <c r="L377">
        <v>701000</v>
      </c>
      <c r="M377" s="97" t="s">
        <v>62</v>
      </c>
      <c r="N377" s="97" t="s">
        <v>33</v>
      </c>
      <c r="O377">
        <v>420</v>
      </c>
      <c r="P377">
        <v>2.6</v>
      </c>
      <c r="Q377">
        <v>1.0900000000000001</v>
      </c>
      <c r="R377" s="97" t="s">
        <v>1204</v>
      </c>
      <c r="S377" s="97" t="s">
        <v>195</v>
      </c>
    </row>
    <row r="378" spans="1:19" x14ac:dyDescent="0.3">
      <c r="A378" s="97" t="s">
        <v>811</v>
      </c>
      <c r="B378" s="97" t="s">
        <v>23</v>
      </c>
      <c r="C378">
        <v>2026</v>
      </c>
      <c r="D378">
        <v>1</v>
      </c>
      <c r="E378" s="2">
        <v>46037</v>
      </c>
      <c r="F378" s="97" t="s">
        <v>7</v>
      </c>
      <c r="G378" s="97" t="s">
        <v>8</v>
      </c>
      <c r="H378" s="97" t="s">
        <v>74</v>
      </c>
      <c r="I378" s="97" t="s">
        <v>79</v>
      </c>
      <c r="J378" s="97" t="s">
        <v>80</v>
      </c>
      <c r="K378" s="97" t="s">
        <v>73</v>
      </c>
      <c r="L378">
        <v>701000</v>
      </c>
      <c r="M378" s="97" t="s">
        <v>62</v>
      </c>
      <c r="N378" s="97" t="s">
        <v>33</v>
      </c>
      <c r="O378">
        <v>1437</v>
      </c>
      <c r="P378">
        <v>2.6</v>
      </c>
      <c r="Q378">
        <v>3.74</v>
      </c>
      <c r="R378" s="97" t="s">
        <v>1201</v>
      </c>
      <c r="S378" s="97" t="s">
        <v>195</v>
      </c>
    </row>
    <row r="379" spans="1:19" x14ac:dyDescent="0.3">
      <c r="A379" s="97" t="s">
        <v>812</v>
      </c>
      <c r="B379" s="97" t="s">
        <v>23</v>
      </c>
      <c r="C379">
        <v>2026</v>
      </c>
      <c r="D379">
        <v>1</v>
      </c>
      <c r="E379" s="2">
        <v>46037</v>
      </c>
      <c r="F379" s="97" t="s">
        <v>7</v>
      </c>
      <c r="G379" s="97" t="s">
        <v>8</v>
      </c>
      <c r="H379" s="97" t="s">
        <v>74</v>
      </c>
      <c r="I379" s="97" t="s">
        <v>79</v>
      </c>
      <c r="J379" s="97" t="s">
        <v>80</v>
      </c>
      <c r="K379" s="97" t="s">
        <v>73</v>
      </c>
      <c r="L379">
        <v>701000</v>
      </c>
      <c r="M379" s="97" t="s">
        <v>62</v>
      </c>
      <c r="N379" s="97" t="s">
        <v>33</v>
      </c>
      <c r="O379">
        <v>749</v>
      </c>
      <c r="P379">
        <v>2.6</v>
      </c>
      <c r="Q379">
        <v>1.95</v>
      </c>
      <c r="R379" s="97" t="s">
        <v>1197</v>
      </c>
      <c r="S379" s="97" t="s">
        <v>195</v>
      </c>
    </row>
    <row r="380" spans="1:19" x14ac:dyDescent="0.3">
      <c r="A380" s="97" t="s">
        <v>813</v>
      </c>
      <c r="B380" s="97" t="s">
        <v>23</v>
      </c>
      <c r="C380">
        <v>2026</v>
      </c>
      <c r="D380">
        <v>1</v>
      </c>
      <c r="E380" s="2">
        <v>46037</v>
      </c>
      <c r="F380" s="97" t="s">
        <v>7</v>
      </c>
      <c r="G380" s="97" t="s">
        <v>8</v>
      </c>
      <c r="H380" s="97" t="s">
        <v>74</v>
      </c>
      <c r="I380" s="97" t="s">
        <v>79</v>
      </c>
      <c r="J380" s="97" t="s">
        <v>80</v>
      </c>
      <c r="K380" s="97" t="s">
        <v>73</v>
      </c>
      <c r="L380">
        <v>701000</v>
      </c>
      <c r="M380" s="97" t="s">
        <v>62</v>
      </c>
      <c r="N380" s="97" t="s">
        <v>33</v>
      </c>
      <c r="O380">
        <v>2070</v>
      </c>
      <c r="P380">
        <v>2.6</v>
      </c>
      <c r="Q380">
        <v>5.38</v>
      </c>
      <c r="R380" s="97" t="s">
        <v>1199</v>
      </c>
      <c r="S380" s="97" t="s">
        <v>195</v>
      </c>
    </row>
    <row r="381" spans="1:19" x14ac:dyDescent="0.3">
      <c r="A381" s="97" t="s">
        <v>814</v>
      </c>
      <c r="B381" s="97" t="s">
        <v>23</v>
      </c>
      <c r="C381">
        <v>2026</v>
      </c>
      <c r="D381">
        <v>1</v>
      </c>
      <c r="E381" s="2">
        <v>46037</v>
      </c>
      <c r="F381" s="97" t="s">
        <v>7</v>
      </c>
      <c r="G381" s="97" t="s">
        <v>8</v>
      </c>
      <c r="H381" s="97" t="s">
        <v>74</v>
      </c>
      <c r="I381" s="97" t="s">
        <v>79</v>
      </c>
      <c r="J381" s="97" t="s">
        <v>80</v>
      </c>
      <c r="K381" s="97" t="s">
        <v>73</v>
      </c>
      <c r="L381">
        <v>701000</v>
      </c>
      <c r="M381" s="97" t="s">
        <v>62</v>
      </c>
      <c r="N381" s="97" t="s">
        <v>33</v>
      </c>
      <c r="O381">
        <v>1522</v>
      </c>
      <c r="P381">
        <v>2.6</v>
      </c>
      <c r="Q381">
        <v>3.95</v>
      </c>
      <c r="R381" s="97" t="s">
        <v>1200</v>
      </c>
      <c r="S381" s="97" t="s">
        <v>195</v>
      </c>
    </row>
    <row r="382" spans="1:19" x14ac:dyDescent="0.3">
      <c r="A382" s="97" t="s">
        <v>880</v>
      </c>
      <c r="B382" s="97" t="s">
        <v>23</v>
      </c>
      <c r="C382">
        <v>2026</v>
      </c>
      <c r="D382">
        <v>1</v>
      </c>
      <c r="E382" s="2">
        <v>46037</v>
      </c>
      <c r="F382" s="97" t="s">
        <v>7</v>
      </c>
      <c r="G382" s="97" t="s">
        <v>8</v>
      </c>
      <c r="H382" s="97" t="s">
        <v>74</v>
      </c>
      <c r="I382" s="97" t="s">
        <v>82</v>
      </c>
      <c r="J382" s="97" t="s">
        <v>83</v>
      </c>
      <c r="K382" s="97" t="s">
        <v>73</v>
      </c>
      <c r="L382">
        <v>701000</v>
      </c>
      <c r="M382" s="97" t="s">
        <v>62</v>
      </c>
      <c r="N382" s="97" t="s">
        <v>33</v>
      </c>
      <c r="O382">
        <v>139</v>
      </c>
      <c r="P382">
        <v>18.559999999999999</v>
      </c>
      <c r="Q382">
        <v>2.58</v>
      </c>
      <c r="R382" s="97" t="s">
        <v>1203</v>
      </c>
      <c r="S382" s="97" t="s">
        <v>195</v>
      </c>
    </row>
    <row r="383" spans="1:19" x14ac:dyDescent="0.3">
      <c r="A383" s="97" t="s">
        <v>881</v>
      </c>
      <c r="B383" s="97" t="s">
        <v>23</v>
      </c>
      <c r="C383">
        <v>2026</v>
      </c>
      <c r="D383">
        <v>1</v>
      </c>
      <c r="E383" s="2">
        <v>46037</v>
      </c>
      <c r="F383" s="97" t="s">
        <v>7</v>
      </c>
      <c r="G383" s="97" t="s">
        <v>8</v>
      </c>
      <c r="H383" s="97" t="s">
        <v>74</v>
      </c>
      <c r="I383" s="97" t="s">
        <v>82</v>
      </c>
      <c r="J383" s="97" t="s">
        <v>83</v>
      </c>
      <c r="K383" s="97" t="s">
        <v>73</v>
      </c>
      <c r="L383">
        <v>701000</v>
      </c>
      <c r="M383" s="97" t="s">
        <v>62</v>
      </c>
      <c r="N383" s="97" t="s">
        <v>33</v>
      </c>
      <c r="O383">
        <v>240</v>
      </c>
      <c r="P383">
        <v>18.5</v>
      </c>
      <c r="Q383">
        <v>4.4400000000000004</v>
      </c>
      <c r="R383" s="97" t="s">
        <v>1200</v>
      </c>
      <c r="S383" s="97" t="s">
        <v>195</v>
      </c>
    </row>
    <row r="384" spans="1:19" x14ac:dyDescent="0.3">
      <c r="A384" s="97" t="s">
        <v>882</v>
      </c>
      <c r="B384" s="97" t="s">
        <v>23</v>
      </c>
      <c r="C384">
        <v>2026</v>
      </c>
      <c r="D384">
        <v>1</v>
      </c>
      <c r="E384" s="2">
        <v>46037</v>
      </c>
      <c r="F384" s="97" t="s">
        <v>7</v>
      </c>
      <c r="G384" s="97" t="s">
        <v>8</v>
      </c>
      <c r="H384" s="97" t="s">
        <v>74</v>
      </c>
      <c r="I384" s="97" t="s">
        <v>82</v>
      </c>
      <c r="J384" s="97" t="s">
        <v>83</v>
      </c>
      <c r="K384" s="97" t="s">
        <v>73</v>
      </c>
      <c r="L384">
        <v>701000</v>
      </c>
      <c r="M384" s="97" t="s">
        <v>62</v>
      </c>
      <c r="N384" s="97" t="s">
        <v>33</v>
      </c>
      <c r="O384">
        <v>90</v>
      </c>
      <c r="P384">
        <v>18.559999999999999</v>
      </c>
      <c r="Q384">
        <v>1.67</v>
      </c>
      <c r="R384" s="97" t="s">
        <v>1199</v>
      </c>
      <c r="S384" s="97" t="s">
        <v>195</v>
      </c>
    </row>
    <row r="385" spans="1:19" x14ac:dyDescent="0.3">
      <c r="A385" s="97" t="s">
        <v>883</v>
      </c>
      <c r="B385" s="97" t="s">
        <v>23</v>
      </c>
      <c r="C385">
        <v>2026</v>
      </c>
      <c r="D385">
        <v>1</v>
      </c>
      <c r="E385" s="2">
        <v>46037</v>
      </c>
      <c r="F385" s="97" t="s">
        <v>7</v>
      </c>
      <c r="G385" s="97" t="s">
        <v>8</v>
      </c>
      <c r="H385" s="97" t="s">
        <v>74</v>
      </c>
      <c r="I385" s="97" t="s">
        <v>82</v>
      </c>
      <c r="J385" s="97" t="s">
        <v>83</v>
      </c>
      <c r="K385" s="97" t="s">
        <v>73</v>
      </c>
      <c r="L385">
        <v>701000</v>
      </c>
      <c r="M385" s="97" t="s">
        <v>62</v>
      </c>
      <c r="N385" s="97" t="s">
        <v>33</v>
      </c>
      <c r="O385">
        <v>191</v>
      </c>
      <c r="P385">
        <v>18.53</v>
      </c>
      <c r="Q385">
        <v>3.54</v>
      </c>
      <c r="R385" s="97" t="s">
        <v>1201</v>
      </c>
      <c r="S385" s="97" t="s">
        <v>195</v>
      </c>
    </row>
    <row r="386" spans="1:19" x14ac:dyDescent="0.3">
      <c r="A386" s="97" t="s">
        <v>884</v>
      </c>
      <c r="B386" s="97" t="s">
        <v>23</v>
      </c>
      <c r="C386">
        <v>2026</v>
      </c>
      <c r="D386">
        <v>1</v>
      </c>
      <c r="E386" s="2">
        <v>46037</v>
      </c>
      <c r="F386" s="97" t="s">
        <v>7</v>
      </c>
      <c r="G386" s="97" t="s">
        <v>8</v>
      </c>
      <c r="H386" s="97" t="s">
        <v>74</v>
      </c>
      <c r="I386" s="97" t="s">
        <v>82</v>
      </c>
      <c r="J386" s="97" t="s">
        <v>83</v>
      </c>
      <c r="K386" s="97" t="s">
        <v>73</v>
      </c>
      <c r="L386">
        <v>701000</v>
      </c>
      <c r="M386" s="97" t="s">
        <v>62</v>
      </c>
      <c r="N386" s="97" t="s">
        <v>33</v>
      </c>
      <c r="O386">
        <v>78</v>
      </c>
      <c r="P386">
        <v>18.329999999999998</v>
      </c>
      <c r="Q386">
        <v>1.43</v>
      </c>
      <c r="R386" s="97" t="s">
        <v>1197</v>
      </c>
      <c r="S386" s="97" t="s">
        <v>195</v>
      </c>
    </row>
    <row r="387" spans="1:19" x14ac:dyDescent="0.3">
      <c r="A387" s="97" t="s">
        <v>985</v>
      </c>
      <c r="B387" s="97" t="s">
        <v>23</v>
      </c>
      <c r="C387">
        <v>2026</v>
      </c>
      <c r="D387">
        <v>1</v>
      </c>
      <c r="E387" s="2">
        <v>46037</v>
      </c>
      <c r="F387" s="97" t="s">
        <v>7</v>
      </c>
      <c r="G387" s="97" t="s">
        <v>8</v>
      </c>
      <c r="H387" s="97" t="s">
        <v>70</v>
      </c>
      <c r="I387" s="97" t="s">
        <v>82</v>
      </c>
      <c r="J387" s="97" t="s">
        <v>83</v>
      </c>
      <c r="K387" s="97" t="s">
        <v>73</v>
      </c>
      <c r="L387">
        <v>701000</v>
      </c>
      <c r="M387" s="97" t="s">
        <v>62</v>
      </c>
      <c r="N387" s="97" t="s">
        <v>33</v>
      </c>
      <c r="O387">
        <v>100</v>
      </c>
      <c r="P387">
        <v>18.5</v>
      </c>
      <c r="Q387">
        <v>1.85</v>
      </c>
      <c r="R387" s="97" t="s">
        <v>1199</v>
      </c>
      <c r="S387" s="97" t="s">
        <v>195</v>
      </c>
    </row>
    <row r="388" spans="1:19" x14ac:dyDescent="0.3">
      <c r="A388" s="97" t="s">
        <v>986</v>
      </c>
      <c r="B388" s="97" t="s">
        <v>23</v>
      </c>
      <c r="C388">
        <v>2026</v>
      </c>
      <c r="D388">
        <v>1</v>
      </c>
      <c r="E388" s="2">
        <v>46037</v>
      </c>
      <c r="F388" s="97" t="s">
        <v>7</v>
      </c>
      <c r="G388" s="97" t="s">
        <v>8</v>
      </c>
      <c r="H388" s="97" t="s">
        <v>70</v>
      </c>
      <c r="I388" s="97" t="s">
        <v>82</v>
      </c>
      <c r="J388" s="97" t="s">
        <v>83</v>
      </c>
      <c r="K388" s="97" t="s">
        <v>73</v>
      </c>
      <c r="L388">
        <v>701000</v>
      </c>
      <c r="M388" s="97" t="s">
        <v>62</v>
      </c>
      <c r="N388" s="97" t="s">
        <v>33</v>
      </c>
      <c r="O388">
        <v>151</v>
      </c>
      <c r="P388">
        <v>18.48</v>
      </c>
      <c r="Q388">
        <v>2.79</v>
      </c>
      <c r="R388" s="97" t="s">
        <v>1198</v>
      </c>
      <c r="S388" s="97" t="s">
        <v>195</v>
      </c>
    </row>
    <row r="389" spans="1:19" x14ac:dyDescent="0.3">
      <c r="A389" s="97" t="s">
        <v>987</v>
      </c>
      <c r="B389" s="97" t="s">
        <v>23</v>
      </c>
      <c r="C389">
        <v>2026</v>
      </c>
      <c r="D389">
        <v>1</v>
      </c>
      <c r="E389" s="2">
        <v>46037</v>
      </c>
      <c r="F389" s="97" t="s">
        <v>7</v>
      </c>
      <c r="G389" s="97" t="s">
        <v>8</v>
      </c>
      <c r="H389" s="97" t="s">
        <v>70</v>
      </c>
      <c r="I389" s="97" t="s">
        <v>82</v>
      </c>
      <c r="J389" s="97" t="s">
        <v>83</v>
      </c>
      <c r="K389" s="97" t="s">
        <v>73</v>
      </c>
      <c r="L389">
        <v>701000</v>
      </c>
      <c r="M389" s="97" t="s">
        <v>62</v>
      </c>
      <c r="N389" s="97" t="s">
        <v>33</v>
      </c>
      <c r="O389">
        <v>239</v>
      </c>
      <c r="P389">
        <v>18.489999999999998</v>
      </c>
      <c r="Q389">
        <v>4.42</v>
      </c>
      <c r="R389" s="97" t="s">
        <v>1197</v>
      </c>
      <c r="S389" s="97" t="s">
        <v>195</v>
      </c>
    </row>
    <row r="390" spans="1:19" x14ac:dyDescent="0.3">
      <c r="A390" s="97" t="s">
        <v>988</v>
      </c>
      <c r="B390" s="97" t="s">
        <v>23</v>
      </c>
      <c r="C390">
        <v>2026</v>
      </c>
      <c r="D390">
        <v>1</v>
      </c>
      <c r="E390" s="2">
        <v>46037</v>
      </c>
      <c r="F390" s="97" t="s">
        <v>7</v>
      </c>
      <c r="G390" s="97" t="s">
        <v>8</v>
      </c>
      <c r="H390" s="97" t="s">
        <v>70</v>
      </c>
      <c r="I390" s="97" t="s">
        <v>82</v>
      </c>
      <c r="J390" s="97" t="s">
        <v>83</v>
      </c>
      <c r="K390" s="97" t="s">
        <v>73</v>
      </c>
      <c r="L390">
        <v>701000</v>
      </c>
      <c r="M390" s="97" t="s">
        <v>62</v>
      </c>
      <c r="N390" s="97" t="s">
        <v>33</v>
      </c>
      <c r="O390">
        <v>76</v>
      </c>
      <c r="P390">
        <v>18.420000000000002</v>
      </c>
      <c r="Q390">
        <v>1.4</v>
      </c>
      <c r="R390" s="97" t="s">
        <v>1203</v>
      </c>
      <c r="S390" s="97" t="s">
        <v>195</v>
      </c>
    </row>
    <row r="391" spans="1:19" x14ac:dyDescent="0.3">
      <c r="A391" s="97" t="s">
        <v>989</v>
      </c>
      <c r="B391" s="97" t="s">
        <v>23</v>
      </c>
      <c r="C391">
        <v>2026</v>
      </c>
      <c r="D391">
        <v>1</v>
      </c>
      <c r="E391" s="2">
        <v>46037</v>
      </c>
      <c r="F391" s="97" t="s">
        <v>7</v>
      </c>
      <c r="G391" s="97" t="s">
        <v>8</v>
      </c>
      <c r="H391" s="97" t="s">
        <v>70</v>
      </c>
      <c r="I391" s="97" t="s">
        <v>82</v>
      </c>
      <c r="J391" s="97" t="s">
        <v>83</v>
      </c>
      <c r="K391" s="97" t="s">
        <v>73</v>
      </c>
      <c r="L391">
        <v>701000</v>
      </c>
      <c r="M391" s="97" t="s">
        <v>62</v>
      </c>
      <c r="N391" s="97" t="s">
        <v>33</v>
      </c>
      <c r="O391">
        <v>363</v>
      </c>
      <c r="P391">
        <v>18.54</v>
      </c>
      <c r="Q391">
        <v>6.73</v>
      </c>
      <c r="R391" s="97" t="s">
        <v>1205</v>
      </c>
      <c r="S391" s="97" t="s">
        <v>195</v>
      </c>
    </row>
    <row r="392" spans="1:19" x14ac:dyDescent="0.3">
      <c r="A392" s="97" t="s">
        <v>990</v>
      </c>
      <c r="B392" s="97" t="s">
        <v>23</v>
      </c>
      <c r="C392">
        <v>2026</v>
      </c>
      <c r="D392">
        <v>1</v>
      </c>
      <c r="E392" s="2">
        <v>46037</v>
      </c>
      <c r="F392" s="97" t="s">
        <v>7</v>
      </c>
      <c r="G392" s="97" t="s">
        <v>8</v>
      </c>
      <c r="H392" s="97" t="s">
        <v>74</v>
      </c>
      <c r="I392" s="97" t="s">
        <v>82</v>
      </c>
      <c r="J392" s="97" t="s">
        <v>83</v>
      </c>
      <c r="K392" s="97" t="s">
        <v>73</v>
      </c>
      <c r="L392">
        <v>701000</v>
      </c>
      <c r="M392" s="97" t="s">
        <v>62</v>
      </c>
      <c r="N392" s="97" t="s">
        <v>33</v>
      </c>
      <c r="O392">
        <v>65</v>
      </c>
      <c r="P392">
        <v>18.62</v>
      </c>
      <c r="Q392">
        <v>1.21</v>
      </c>
      <c r="R392" s="97" t="s">
        <v>1205</v>
      </c>
      <c r="S392" s="97" t="s">
        <v>195</v>
      </c>
    </row>
    <row r="393" spans="1:19" x14ac:dyDescent="0.3">
      <c r="A393" s="97" t="s">
        <v>991</v>
      </c>
      <c r="B393" s="97" t="s">
        <v>23</v>
      </c>
      <c r="C393">
        <v>2026</v>
      </c>
      <c r="D393">
        <v>1</v>
      </c>
      <c r="E393" s="2">
        <v>46037</v>
      </c>
      <c r="F393" s="97" t="s">
        <v>7</v>
      </c>
      <c r="G393" s="97" t="s">
        <v>8</v>
      </c>
      <c r="H393" s="97" t="s">
        <v>74</v>
      </c>
      <c r="I393" s="97" t="s">
        <v>82</v>
      </c>
      <c r="J393" s="97" t="s">
        <v>83</v>
      </c>
      <c r="K393" s="97" t="s">
        <v>73</v>
      </c>
      <c r="L393">
        <v>701000</v>
      </c>
      <c r="M393" s="97" t="s">
        <v>62</v>
      </c>
      <c r="N393" s="97" t="s">
        <v>33</v>
      </c>
      <c r="O393">
        <v>244</v>
      </c>
      <c r="P393">
        <v>18.48</v>
      </c>
      <c r="Q393">
        <v>4.51</v>
      </c>
      <c r="R393" s="97" t="s">
        <v>1201</v>
      </c>
      <c r="S393" s="97" t="s">
        <v>195</v>
      </c>
    </row>
    <row r="394" spans="1:19" x14ac:dyDescent="0.3">
      <c r="A394" s="97" t="s">
        <v>992</v>
      </c>
      <c r="B394" s="97" t="s">
        <v>23</v>
      </c>
      <c r="C394">
        <v>2026</v>
      </c>
      <c r="D394">
        <v>1</v>
      </c>
      <c r="E394" s="2">
        <v>46037</v>
      </c>
      <c r="F394" s="97" t="s">
        <v>7</v>
      </c>
      <c r="G394" s="97" t="s">
        <v>8</v>
      </c>
      <c r="H394" s="97" t="s">
        <v>74</v>
      </c>
      <c r="I394" s="97" t="s">
        <v>82</v>
      </c>
      <c r="J394" s="97" t="s">
        <v>83</v>
      </c>
      <c r="K394" s="97" t="s">
        <v>73</v>
      </c>
      <c r="L394">
        <v>701000</v>
      </c>
      <c r="M394" s="97" t="s">
        <v>62</v>
      </c>
      <c r="N394" s="97" t="s">
        <v>33</v>
      </c>
      <c r="O394">
        <v>338</v>
      </c>
      <c r="P394">
        <v>18.489999999999998</v>
      </c>
      <c r="Q394">
        <v>6.25</v>
      </c>
      <c r="R394" s="97" t="s">
        <v>1200</v>
      </c>
      <c r="S394" s="97" t="s">
        <v>195</v>
      </c>
    </row>
    <row r="395" spans="1:19" x14ac:dyDescent="0.3">
      <c r="A395" s="97" t="s">
        <v>993</v>
      </c>
      <c r="B395" s="97" t="s">
        <v>23</v>
      </c>
      <c r="C395">
        <v>2026</v>
      </c>
      <c r="D395">
        <v>1</v>
      </c>
      <c r="E395" s="2">
        <v>46037</v>
      </c>
      <c r="F395" s="97" t="s">
        <v>7</v>
      </c>
      <c r="G395" s="97" t="s">
        <v>8</v>
      </c>
      <c r="H395" s="97" t="s">
        <v>74</v>
      </c>
      <c r="I395" s="97" t="s">
        <v>82</v>
      </c>
      <c r="J395" s="97" t="s">
        <v>83</v>
      </c>
      <c r="K395" s="97" t="s">
        <v>73</v>
      </c>
      <c r="L395">
        <v>701000</v>
      </c>
      <c r="M395" s="97" t="s">
        <v>62</v>
      </c>
      <c r="N395" s="97" t="s">
        <v>33</v>
      </c>
      <c r="O395">
        <v>146</v>
      </c>
      <c r="P395">
        <v>18.559999999999999</v>
      </c>
      <c r="Q395">
        <v>2.71</v>
      </c>
      <c r="R395" s="97" t="s">
        <v>1204</v>
      </c>
      <c r="S395" s="97" t="s">
        <v>195</v>
      </c>
    </row>
    <row r="396" spans="1:19" x14ac:dyDescent="0.3">
      <c r="A396" s="97" t="s">
        <v>994</v>
      </c>
      <c r="B396" s="97" t="s">
        <v>23</v>
      </c>
      <c r="C396">
        <v>2026</v>
      </c>
      <c r="D396">
        <v>1</v>
      </c>
      <c r="E396" s="2">
        <v>46037</v>
      </c>
      <c r="F396" s="97" t="s">
        <v>7</v>
      </c>
      <c r="G396" s="97" t="s">
        <v>8</v>
      </c>
      <c r="H396" s="97" t="s">
        <v>74</v>
      </c>
      <c r="I396" s="97" t="s">
        <v>82</v>
      </c>
      <c r="J396" s="97" t="s">
        <v>83</v>
      </c>
      <c r="K396" s="97" t="s">
        <v>73</v>
      </c>
      <c r="L396">
        <v>701000</v>
      </c>
      <c r="M396" s="97" t="s">
        <v>62</v>
      </c>
      <c r="N396" s="97" t="s">
        <v>33</v>
      </c>
      <c r="O396">
        <v>85</v>
      </c>
      <c r="P396">
        <v>18.350000000000001</v>
      </c>
      <c r="Q396">
        <v>1.56</v>
      </c>
      <c r="R396" s="97" t="s">
        <v>1198</v>
      </c>
      <c r="S396" s="97" t="s">
        <v>195</v>
      </c>
    </row>
    <row r="397" spans="1:19" x14ac:dyDescent="0.3">
      <c r="A397" s="97" t="s">
        <v>450</v>
      </c>
      <c r="B397" s="97" t="s">
        <v>23</v>
      </c>
      <c r="C397">
        <v>2026</v>
      </c>
      <c r="D397">
        <v>1</v>
      </c>
      <c r="E397" s="2">
        <v>46038</v>
      </c>
      <c r="F397" s="97" t="s">
        <v>7</v>
      </c>
      <c r="G397" s="97" t="s">
        <v>8</v>
      </c>
      <c r="H397" s="97" t="s">
        <v>74</v>
      </c>
      <c r="I397" s="97" t="s">
        <v>71</v>
      </c>
      <c r="J397" s="97" t="s">
        <v>72</v>
      </c>
      <c r="K397" s="97" t="s">
        <v>73</v>
      </c>
      <c r="L397">
        <v>701000</v>
      </c>
      <c r="M397" s="97" t="s">
        <v>62</v>
      </c>
      <c r="N397" s="97" t="s">
        <v>33</v>
      </c>
      <c r="O397">
        <v>646</v>
      </c>
      <c r="P397">
        <v>1.05</v>
      </c>
      <c r="Q397">
        <v>0.68</v>
      </c>
      <c r="R397" s="97" t="s">
        <v>1200</v>
      </c>
      <c r="S397" s="97" t="s">
        <v>195</v>
      </c>
    </row>
    <row r="398" spans="1:19" x14ac:dyDescent="0.3">
      <c r="A398" s="97" t="s">
        <v>451</v>
      </c>
      <c r="B398" s="97" t="s">
        <v>23</v>
      </c>
      <c r="C398">
        <v>2026</v>
      </c>
      <c r="D398">
        <v>1</v>
      </c>
      <c r="E398" s="2">
        <v>46038</v>
      </c>
      <c r="F398" s="97" t="s">
        <v>7</v>
      </c>
      <c r="G398" s="97" t="s">
        <v>8</v>
      </c>
      <c r="H398" s="97" t="s">
        <v>74</v>
      </c>
      <c r="I398" s="97" t="s">
        <v>71</v>
      </c>
      <c r="J398" s="97" t="s">
        <v>72</v>
      </c>
      <c r="K398" s="97" t="s">
        <v>73</v>
      </c>
      <c r="L398">
        <v>701000</v>
      </c>
      <c r="M398" s="97" t="s">
        <v>62</v>
      </c>
      <c r="N398" s="97" t="s">
        <v>33</v>
      </c>
      <c r="O398">
        <v>2245</v>
      </c>
      <c r="P398">
        <v>1.05</v>
      </c>
      <c r="Q398">
        <v>2.36</v>
      </c>
      <c r="R398" s="97" t="s">
        <v>1199</v>
      </c>
      <c r="S398" s="97" t="s">
        <v>195</v>
      </c>
    </row>
    <row r="399" spans="1:19" x14ac:dyDescent="0.3">
      <c r="A399" s="97" t="s">
        <v>452</v>
      </c>
      <c r="B399" s="97" t="s">
        <v>23</v>
      </c>
      <c r="C399">
        <v>2026</v>
      </c>
      <c r="D399">
        <v>1</v>
      </c>
      <c r="E399" s="2">
        <v>46038</v>
      </c>
      <c r="F399" s="97" t="s">
        <v>7</v>
      </c>
      <c r="G399" s="97" t="s">
        <v>8</v>
      </c>
      <c r="H399" s="97" t="s">
        <v>74</v>
      </c>
      <c r="I399" s="97" t="s">
        <v>71</v>
      </c>
      <c r="J399" s="97" t="s">
        <v>72</v>
      </c>
      <c r="K399" s="97" t="s">
        <v>73</v>
      </c>
      <c r="L399">
        <v>701000</v>
      </c>
      <c r="M399" s="97" t="s">
        <v>62</v>
      </c>
      <c r="N399" s="97" t="s">
        <v>33</v>
      </c>
      <c r="O399">
        <v>1664</v>
      </c>
      <c r="P399">
        <v>1.05</v>
      </c>
      <c r="Q399">
        <v>1.75</v>
      </c>
      <c r="R399" s="97" t="s">
        <v>1197</v>
      </c>
      <c r="S399" s="97" t="s">
        <v>195</v>
      </c>
    </row>
    <row r="400" spans="1:19" x14ac:dyDescent="0.3">
      <c r="A400" s="97" t="s">
        <v>453</v>
      </c>
      <c r="B400" s="97" t="s">
        <v>23</v>
      </c>
      <c r="C400">
        <v>2026</v>
      </c>
      <c r="D400">
        <v>1</v>
      </c>
      <c r="E400" s="2">
        <v>46038</v>
      </c>
      <c r="F400" s="97" t="s">
        <v>7</v>
      </c>
      <c r="G400" s="97" t="s">
        <v>8</v>
      </c>
      <c r="H400" s="97" t="s">
        <v>74</v>
      </c>
      <c r="I400" s="97" t="s">
        <v>71</v>
      </c>
      <c r="J400" s="97" t="s">
        <v>72</v>
      </c>
      <c r="K400" s="97" t="s">
        <v>73</v>
      </c>
      <c r="L400">
        <v>701000</v>
      </c>
      <c r="M400" s="97" t="s">
        <v>62</v>
      </c>
      <c r="N400" s="97" t="s">
        <v>33</v>
      </c>
      <c r="O400">
        <v>1147</v>
      </c>
      <c r="P400">
        <v>1.05</v>
      </c>
      <c r="Q400">
        <v>1.2</v>
      </c>
      <c r="R400" s="97" t="s">
        <v>1204</v>
      </c>
      <c r="S400" s="97" t="s">
        <v>195</v>
      </c>
    </row>
    <row r="401" spans="1:19" x14ac:dyDescent="0.3">
      <c r="A401" s="97" t="s">
        <v>454</v>
      </c>
      <c r="B401" s="97" t="s">
        <v>23</v>
      </c>
      <c r="C401">
        <v>2026</v>
      </c>
      <c r="D401">
        <v>1</v>
      </c>
      <c r="E401" s="2">
        <v>46038</v>
      </c>
      <c r="F401" s="97" t="s">
        <v>7</v>
      </c>
      <c r="G401" s="97" t="s">
        <v>8</v>
      </c>
      <c r="H401" s="97" t="s">
        <v>74</v>
      </c>
      <c r="I401" s="97" t="s">
        <v>71</v>
      </c>
      <c r="J401" s="97" t="s">
        <v>72</v>
      </c>
      <c r="K401" s="97" t="s">
        <v>73</v>
      </c>
      <c r="L401">
        <v>701000</v>
      </c>
      <c r="M401" s="97" t="s">
        <v>62</v>
      </c>
      <c r="N401" s="97" t="s">
        <v>33</v>
      </c>
      <c r="O401">
        <v>2108</v>
      </c>
      <c r="P401">
        <v>1.05</v>
      </c>
      <c r="Q401">
        <v>2.21</v>
      </c>
      <c r="R401" s="97" t="s">
        <v>1198</v>
      </c>
      <c r="S401" s="97" t="s">
        <v>195</v>
      </c>
    </row>
    <row r="402" spans="1:19" x14ac:dyDescent="0.3">
      <c r="A402" s="97" t="s">
        <v>505</v>
      </c>
      <c r="B402" s="97" t="s">
        <v>23</v>
      </c>
      <c r="C402">
        <v>2026</v>
      </c>
      <c r="D402">
        <v>1</v>
      </c>
      <c r="E402" s="2">
        <v>46038</v>
      </c>
      <c r="F402" s="97" t="s">
        <v>7</v>
      </c>
      <c r="G402" s="97" t="s">
        <v>8</v>
      </c>
      <c r="H402" s="97" t="s">
        <v>74</v>
      </c>
      <c r="I402" s="97" t="s">
        <v>71</v>
      </c>
      <c r="J402" s="97" t="s">
        <v>72</v>
      </c>
      <c r="K402" s="97" t="s">
        <v>73</v>
      </c>
      <c r="L402">
        <v>701000</v>
      </c>
      <c r="M402" s="97" t="s">
        <v>62</v>
      </c>
      <c r="N402" s="97" t="s">
        <v>33</v>
      </c>
      <c r="O402">
        <v>729</v>
      </c>
      <c r="P402">
        <v>1.06</v>
      </c>
      <c r="Q402">
        <v>0.77</v>
      </c>
      <c r="R402" s="97" t="s">
        <v>1200</v>
      </c>
      <c r="S402" s="97" t="s">
        <v>195</v>
      </c>
    </row>
    <row r="403" spans="1:19" x14ac:dyDescent="0.3">
      <c r="A403" s="97" t="s">
        <v>506</v>
      </c>
      <c r="B403" s="97" t="s">
        <v>23</v>
      </c>
      <c r="C403">
        <v>2026</v>
      </c>
      <c r="D403">
        <v>1</v>
      </c>
      <c r="E403" s="2">
        <v>46038</v>
      </c>
      <c r="F403" s="97" t="s">
        <v>7</v>
      </c>
      <c r="G403" s="97" t="s">
        <v>8</v>
      </c>
      <c r="H403" s="97" t="s">
        <v>74</v>
      </c>
      <c r="I403" s="97" t="s">
        <v>71</v>
      </c>
      <c r="J403" s="97" t="s">
        <v>72</v>
      </c>
      <c r="K403" s="97" t="s">
        <v>73</v>
      </c>
      <c r="L403">
        <v>701000</v>
      </c>
      <c r="M403" s="97" t="s">
        <v>62</v>
      </c>
      <c r="N403" s="97" t="s">
        <v>33</v>
      </c>
      <c r="O403">
        <v>1714</v>
      </c>
      <c r="P403">
        <v>1.05</v>
      </c>
      <c r="Q403">
        <v>1.8</v>
      </c>
      <c r="R403" s="97" t="s">
        <v>1197</v>
      </c>
      <c r="S403" s="97" t="s">
        <v>195</v>
      </c>
    </row>
    <row r="404" spans="1:19" x14ac:dyDescent="0.3">
      <c r="A404" s="97" t="s">
        <v>507</v>
      </c>
      <c r="B404" s="97" t="s">
        <v>23</v>
      </c>
      <c r="C404">
        <v>2026</v>
      </c>
      <c r="D404">
        <v>1</v>
      </c>
      <c r="E404" s="2">
        <v>46038</v>
      </c>
      <c r="F404" s="97" t="s">
        <v>7</v>
      </c>
      <c r="G404" s="97" t="s">
        <v>8</v>
      </c>
      <c r="H404" s="97" t="s">
        <v>74</v>
      </c>
      <c r="I404" s="97" t="s">
        <v>71</v>
      </c>
      <c r="J404" s="97" t="s">
        <v>72</v>
      </c>
      <c r="K404" s="97" t="s">
        <v>73</v>
      </c>
      <c r="L404">
        <v>701000</v>
      </c>
      <c r="M404" s="97" t="s">
        <v>62</v>
      </c>
      <c r="N404" s="97" t="s">
        <v>33</v>
      </c>
      <c r="O404">
        <v>1214</v>
      </c>
      <c r="P404">
        <v>1.05</v>
      </c>
      <c r="Q404">
        <v>1.27</v>
      </c>
      <c r="R404" s="97" t="s">
        <v>1201</v>
      </c>
      <c r="S404" s="97" t="s">
        <v>195</v>
      </c>
    </row>
    <row r="405" spans="1:19" x14ac:dyDescent="0.3">
      <c r="A405" s="97" t="s">
        <v>508</v>
      </c>
      <c r="B405" s="97" t="s">
        <v>23</v>
      </c>
      <c r="C405">
        <v>2026</v>
      </c>
      <c r="D405">
        <v>1</v>
      </c>
      <c r="E405" s="2">
        <v>46038</v>
      </c>
      <c r="F405" s="97" t="s">
        <v>7</v>
      </c>
      <c r="G405" s="97" t="s">
        <v>8</v>
      </c>
      <c r="H405" s="97" t="s">
        <v>74</v>
      </c>
      <c r="I405" s="97" t="s">
        <v>71</v>
      </c>
      <c r="J405" s="97" t="s">
        <v>72</v>
      </c>
      <c r="K405" s="97" t="s">
        <v>73</v>
      </c>
      <c r="L405">
        <v>701000</v>
      </c>
      <c r="M405" s="97" t="s">
        <v>62</v>
      </c>
      <c r="N405" s="97" t="s">
        <v>33</v>
      </c>
      <c r="O405">
        <v>3187</v>
      </c>
      <c r="P405">
        <v>1.05</v>
      </c>
      <c r="Q405">
        <v>3.35</v>
      </c>
      <c r="R405" s="97" t="s">
        <v>1198</v>
      </c>
      <c r="S405" s="97" t="s">
        <v>195</v>
      </c>
    </row>
    <row r="406" spans="1:19" x14ac:dyDescent="0.3">
      <c r="A406" s="97" t="s">
        <v>509</v>
      </c>
      <c r="B406" s="97" t="s">
        <v>23</v>
      </c>
      <c r="C406">
        <v>2026</v>
      </c>
      <c r="D406">
        <v>1</v>
      </c>
      <c r="E406" s="2">
        <v>46038</v>
      </c>
      <c r="F406" s="97" t="s">
        <v>7</v>
      </c>
      <c r="G406" s="97" t="s">
        <v>8</v>
      </c>
      <c r="H406" s="97" t="s">
        <v>74</v>
      </c>
      <c r="I406" s="97" t="s">
        <v>71</v>
      </c>
      <c r="J406" s="97" t="s">
        <v>72</v>
      </c>
      <c r="K406" s="97" t="s">
        <v>73</v>
      </c>
      <c r="L406">
        <v>701000</v>
      </c>
      <c r="M406" s="97" t="s">
        <v>62</v>
      </c>
      <c r="N406" s="97" t="s">
        <v>33</v>
      </c>
      <c r="O406">
        <v>860</v>
      </c>
      <c r="P406">
        <v>1.05</v>
      </c>
      <c r="Q406">
        <v>0.9</v>
      </c>
      <c r="R406" s="97" t="s">
        <v>1205</v>
      </c>
      <c r="S406" s="97" t="s">
        <v>195</v>
      </c>
    </row>
    <row r="407" spans="1:19" x14ac:dyDescent="0.3">
      <c r="A407" s="97" t="s">
        <v>610</v>
      </c>
      <c r="B407" s="97" t="s">
        <v>23</v>
      </c>
      <c r="C407">
        <v>2026</v>
      </c>
      <c r="D407">
        <v>1</v>
      </c>
      <c r="E407" s="2">
        <v>46038</v>
      </c>
      <c r="F407" s="97" t="s">
        <v>7</v>
      </c>
      <c r="G407" s="97" t="s">
        <v>8</v>
      </c>
      <c r="H407" s="97" t="s">
        <v>70</v>
      </c>
      <c r="I407" s="97" t="s">
        <v>75</v>
      </c>
      <c r="J407" s="97" t="s">
        <v>76</v>
      </c>
      <c r="K407" s="97" t="s">
        <v>73</v>
      </c>
      <c r="L407">
        <v>701000</v>
      </c>
      <c r="M407" s="97" t="s">
        <v>62</v>
      </c>
      <c r="N407" s="97" t="s">
        <v>33</v>
      </c>
      <c r="O407">
        <v>1731</v>
      </c>
      <c r="P407">
        <v>1.4</v>
      </c>
      <c r="Q407">
        <v>2.42</v>
      </c>
      <c r="R407" s="97" t="s">
        <v>1204</v>
      </c>
      <c r="S407" s="97" t="s">
        <v>195</v>
      </c>
    </row>
    <row r="408" spans="1:19" x14ac:dyDescent="0.3">
      <c r="A408" s="97" t="s">
        <v>611</v>
      </c>
      <c r="B408" s="97" t="s">
        <v>23</v>
      </c>
      <c r="C408">
        <v>2026</v>
      </c>
      <c r="D408">
        <v>1</v>
      </c>
      <c r="E408" s="2">
        <v>46038</v>
      </c>
      <c r="F408" s="97" t="s">
        <v>7</v>
      </c>
      <c r="G408" s="97" t="s">
        <v>8</v>
      </c>
      <c r="H408" s="97" t="s">
        <v>70</v>
      </c>
      <c r="I408" s="97" t="s">
        <v>75</v>
      </c>
      <c r="J408" s="97" t="s">
        <v>76</v>
      </c>
      <c r="K408" s="97" t="s">
        <v>73</v>
      </c>
      <c r="L408">
        <v>701000</v>
      </c>
      <c r="M408" s="97" t="s">
        <v>62</v>
      </c>
      <c r="N408" s="97" t="s">
        <v>33</v>
      </c>
      <c r="O408">
        <v>782</v>
      </c>
      <c r="P408">
        <v>1.39</v>
      </c>
      <c r="Q408">
        <v>1.0900000000000001</v>
      </c>
      <c r="R408" s="97" t="s">
        <v>1197</v>
      </c>
      <c r="S408" s="97" t="s">
        <v>195</v>
      </c>
    </row>
    <row r="409" spans="1:19" x14ac:dyDescent="0.3">
      <c r="A409" s="97" t="s">
        <v>612</v>
      </c>
      <c r="B409" s="97" t="s">
        <v>23</v>
      </c>
      <c r="C409">
        <v>2026</v>
      </c>
      <c r="D409">
        <v>1</v>
      </c>
      <c r="E409" s="2">
        <v>46038</v>
      </c>
      <c r="F409" s="97" t="s">
        <v>7</v>
      </c>
      <c r="G409" s="97" t="s">
        <v>8</v>
      </c>
      <c r="H409" s="97" t="s">
        <v>70</v>
      </c>
      <c r="I409" s="97" t="s">
        <v>75</v>
      </c>
      <c r="J409" s="97" t="s">
        <v>76</v>
      </c>
      <c r="K409" s="97" t="s">
        <v>73</v>
      </c>
      <c r="L409">
        <v>701000</v>
      </c>
      <c r="M409" s="97" t="s">
        <v>62</v>
      </c>
      <c r="N409" s="97" t="s">
        <v>33</v>
      </c>
      <c r="O409">
        <v>3337</v>
      </c>
      <c r="P409">
        <v>1.4</v>
      </c>
      <c r="Q409">
        <v>4.67</v>
      </c>
      <c r="R409" s="97" t="s">
        <v>1199</v>
      </c>
      <c r="S409" s="97" t="s">
        <v>195</v>
      </c>
    </row>
    <row r="410" spans="1:19" x14ac:dyDescent="0.3">
      <c r="A410" s="97" t="s">
        <v>613</v>
      </c>
      <c r="B410" s="97" t="s">
        <v>23</v>
      </c>
      <c r="C410">
        <v>2026</v>
      </c>
      <c r="D410">
        <v>1</v>
      </c>
      <c r="E410" s="2">
        <v>46038</v>
      </c>
      <c r="F410" s="97" t="s">
        <v>7</v>
      </c>
      <c r="G410" s="97" t="s">
        <v>8</v>
      </c>
      <c r="H410" s="97" t="s">
        <v>70</v>
      </c>
      <c r="I410" s="97" t="s">
        <v>75</v>
      </c>
      <c r="J410" s="97" t="s">
        <v>76</v>
      </c>
      <c r="K410" s="97" t="s">
        <v>73</v>
      </c>
      <c r="L410">
        <v>701000</v>
      </c>
      <c r="M410" s="97" t="s">
        <v>62</v>
      </c>
      <c r="N410" s="97" t="s">
        <v>33</v>
      </c>
      <c r="O410">
        <v>305</v>
      </c>
      <c r="P410">
        <v>1.41</v>
      </c>
      <c r="Q410">
        <v>0.43</v>
      </c>
      <c r="R410" s="97" t="s">
        <v>1202</v>
      </c>
      <c r="S410" s="97" t="s">
        <v>195</v>
      </c>
    </row>
    <row r="411" spans="1:19" x14ac:dyDescent="0.3">
      <c r="A411" s="97" t="s">
        <v>614</v>
      </c>
      <c r="B411" s="97" t="s">
        <v>23</v>
      </c>
      <c r="C411">
        <v>2026</v>
      </c>
      <c r="D411">
        <v>1</v>
      </c>
      <c r="E411" s="2">
        <v>46038</v>
      </c>
      <c r="F411" s="97" t="s">
        <v>7</v>
      </c>
      <c r="G411" s="97" t="s">
        <v>8</v>
      </c>
      <c r="H411" s="97" t="s">
        <v>70</v>
      </c>
      <c r="I411" s="97" t="s">
        <v>75</v>
      </c>
      <c r="J411" s="97" t="s">
        <v>76</v>
      </c>
      <c r="K411" s="97" t="s">
        <v>73</v>
      </c>
      <c r="L411">
        <v>701000</v>
      </c>
      <c r="M411" s="97" t="s">
        <v>62</v>
      </c>
      <c r="N411" s="97" t="s">
        <v>33</v>
      </c>
      <c r="O411">
        <v>839</v>
      </c>
      <c r="P411">
        <v>1.41</v>
      </c>
      <c r="Q411">
        <v>1.18</v>
      </c>
      <c r="R411" s="97" t="s">
        <v>1198</v>
      </c>
      <c r="S411" s="97" t="s">
        <v>195</v>
      </c>
    </row>
    <row r="412" spans="1:19" x14ac:dyDescent="0.3">
      <c r="A412" s="97" t="s">
        <v>840</v>
      </c>
      <c r="B412" s="97" t="s">
        <v>23</v>
      </c>
      <c r="C412">
        <v>2026</v>
      </c>
      <c r="D412">
        <v>1</v>
      </c>
      <c r="E412" s="2">
        <v>46038</v>
      </c>
      <c r="F412" s="97" t="s">
        <v>7</v>
      </c>
      <c r="G412" s="97" t="s">
        <v>8</v>
      </c>
      <c r="H412" s="97" t="s">
        <v>74</v>
      </c>
      <c r="I412" s="97" t="s">
        <v>79</v>
      </c>
      <c r="J412" s="97" t="s">
        <v>80</v>
      </c>
      <c r="K412" s="97" t="s">
        <v>73</v>
      </c>
      <c r="L412">
        <v>706000</v>
      </c>
      <c r="M412" s="97" t="s">
        <v>63</v>
      </c>
      <c r="N412" s="97" t="s">
        <v>33</v>
      </c>
      <c r="O412">
        <v>645</v>
      </c>
      <c r="P412">
        <v>2.6</v>
      </c>
      <c r="Q412">
        <v>1.68</v>
      </c>
      <c r="R412" s="97" t="s">
        <v>1204</v>
      </c>
      <c r="S412" s="97" t="s">
        <v>195</v>
      </c>
    </row>
    <row r="413" spans="1:19" x14ac:dyDescent="0.3">
      <c r="A413" s="97" t="s">
        <v>841</v>
      </c>
      <c r="B413" s="97" t="s">
        <v>23</v>
      </c>
      <c r="C413">
        <v>2026</v>
      </c>
      <c r="D413">
        <v>1</v>
      </c>
      <c r="E413" s="2">
        <v>46038</v>
      </c>
      <c r="F413" s="97" t="s">
        <v>7</v>
      </c>
      <c r="G413" s="97" t="s">
        <v>8</v>
      </c>
      <c r="H413" s="97" t="s">
        <v>74</v>
      </c>
      <c r="I413" s="97" t="s">
        <v>79</v>
      </c>
      <c r="J413" s="97" t="s">
        <v>80</v>
      </c>
      <c r="K413" s="97" t="s">
        <v>73</v>
      </c>
      <c r="L413">
        <v>706000</v>
      </c>
      <c r="M413" s="97" t="s">
        <v>63</v>
      </c>
      <c r="N413" s="97" t="s">
        <v>33</v>
      </c>
      <c r="O413">
        <v>2894</v>
      </c>
      <c r="P413">
        <v>2.6</v>
      </c>
      <c r="Q413">
        <v>7.52</v>
      </c>
      <c r="R413" s="97" t="s">
        <v>1201</v>
      </c>
      <c r="S413" s="97" t="s">
        <v>195</v>
      </c>
    </row>
    <row r="414" spans="1:19" x14ac:dyDescent="0.3">
      <c r="A414" s="97" t="s">
        <v>842</v>
      </c>
      <c r="B414" s="97" t="s">
        <v>23</v>
      </c>
      <c r="C414">
        <v>2026</v>
      </c>
      <c r="D414">
        <v>1</v>
      </c>
      <c r="E414" s="2">
        <v>46038</v>
      </c>
      <c r="F414" s="97" t="s">
        <v>7</v>
      </c>
      <c r="G414" s="97" t="s">
        <v>8</v>
      </c>
      <c r="H414" s="97" t="s">
        <v>74</v>
      </c>
      <c r="I414" s="97" t="s">
        <v>79</v>
      </c>
      <c r="J414" s="97" t="s">
        <v>80</v>
      </c>
      <c r="K414" s="97" t="s">
        <v>73</v>
      </c>
      <c r="L414">
        <v>706000</v>
      </c>
      <c r="M414" s="97" t="s">
        <v>63</v>
      </c>
      <c r="N414" s="97" t="s">
        <v>33</v>
      </c>
      <c r="O414">
        <v>1479</v>
      </c>
      <c r="P414">
        <v>2.6</v>
      </c>
      <c r="Q414">
        <v>3.85</v>
      </c>
      <c r="R414" s="97" t="s">
        <v>1200</v>
      </c>
      <c r="S414" s="97" t="s">
        <v>195</v>
      </c>
    </row>
    <row r="415" spans="1:19" x14ac:dyDescent="0.3">
      <c r="A415" s="97" t="s">
        <v>843</v>
      </c>
      <c r="B415" s="97" t="s">
        <v>23</v>
      </c>
      <c r="C415">
        <v>2026</v>
      </c>
      <c r="D415">
        <v>1</v>
      </c>
      <c r="E415" s="2">
        <v>46038</v>
      </c>
      <c r="F415" s="97" t="s">
        <v>7</v>
      </c>
      <c r="G415" s="97" t="s">
        <v>8</v>
      </c>
      <c r="H415" s="97" t="s">
        <v>74</v>
      </c>
      <c r="I415" s="97" t="s">
        <v>79</v>
      </c>
      <c r="J415" s="97" t="s">
        <v>80</v>
      </c>
      <c r="K415" s="97" t="s">
        <v>73</v>
      </c>
      <c r="L415">
        <v>706000</v>
      </c>
      <c r="M415" s="97" t="s">
        <v>63</v>
      </c>
      <c r="N415" s="97" t="s">
        <v>33</v>
      </c>
      <c r="O415">
        <v>362</v>
      </c>
      <c r="P415">
        <v>2.6</v>
      </c>
      <c r="Q415">
        <v>0.94</v>
      </c>
      <c r="R415" s="97" t="s">
        <v>1203</v>
      </c>
      <c r="S415" s="97" t="s">
        <v>195</v>
      </c>
    </row>
    <row r="416" spans="1:19" x14ac:dyDescent="0.3">
      <c r="A416" s="97" t="s">
        <v>844</v>
      </c>
      <c r="B416" s="97" t="s">
        <v>23</v>
      </c>
      <c r="C416">
        <v>2026</v>
      </c>
      <c r="D416">
        <v>1</v>
      </c>
      <c r="E416" s="2">
        <v>46038</v>
      </c>
      <c r="F416" s="97" t="s">
        <v>7</v>
      </c>
      <c r="G416" s="97" t="s">
        <v>8</v>
      </c>
      <c r="H416" s="97" t="s">
        <v>74</v>
      </c>
      <c r="I416" s="97" t="s">
        <v>79</v>
      </c>
      <c r="J416" s="97" t="s">
        <v>80</v>
      </c>
      <c r="K416" s="97" t="s">
        <v>73</v>
      </c>
      <c r="L416">
        <v>706000</v>
      </c>
      <c r="M416" s="97" t="s">
        <v>63</v>
      </c>
      <c r="N416" s="97" t="s">
        <v>33</v>
      </c>
      <c r="O416">
        <v>1840</v>
      </c>
      <c r="P416">
        <v>2.6</v>
      </c>
      <c r="Q416">
        <v>4.78</v>
      </c>
      <c r="R416" s="97" t="s">
        <v>1205</v>
      </c>
      <c r="S416" s="97" t="s">
        <v>195</v>
      </c>
    </row>
    <row r="417" spans="1:19" x14ac:dyDescent="0.3">
      <c r="A417" s="97" t="s">
        <v>940</v>
      </c>
      <c r="B417" s="97" t="s">
        <v>23</v>
      </c>
      <c r="C417">
        <v>2026</v>
      </c>
      <c r="D417">
        <v>1</v>
      </c>
      <c r="E417" s="2">
        <v>46038</v>
      </c>
      <c r="F417" s="97" t="s">
        <v>7</v>
      </c>
      <c r="G417" s="97" t="s">
        <v>8</v>
      </c>
      <c r="H417" s="97" t="s">
        <v>70</v>
      </c>
      <c r="I417" s="97" t="s">
        <v>82</v>
      </c>
      <c r="J417" s="97" t="s">
        <v>83</v>
      </c>
      <c r="K417" s="97" t="s">
        <v>73</v>
      </c>
      <c r="L417">
        <v>701000</v>
      </c>
      <c r="M417" s="97" t="s">
        <v>62</v>
      </c>
      <c r="N417" s="97" t="s">
        <v>33</v>
      </c>
      <c r="O417">
        <v>91</v>
      </c>
      <c r="P417">
        <v>18.57</v>
      </c>
      <c r="Q417">
        <v>1.69</v>
      </c>
      <c r="R417" s="97" t="s">
        <v>1198</v>
      </c>
      <c r="S417" s="97" t="s">
        <v>195</v>
      </c>
    </row>
    <row r="418" spans="1:19" x14ac:dyDescent="0.3">
      <c r="A418" s="97" t="s">
        <v>941</v>
      </c>
      <c r="B418" s="97" t="s">
        <v>23</v>
      </c>
      <c r="C418">
        <v>2026</v>
      </c>
      <c r="D418">
        <v>1</v>
      </c>
      <c r="E418" s="2">
        <v>46038</v>
      </c>
      <c r="F418" s="97" t="s">
        <v>7</v>
      </c>
      <c r="G418" s="97" t="s">
        <v>8</v>
      </c>
      <c r="H418" s="97" t="s">
        <v>70</v>
      </c>
      <c r="I418" s="97" t="s">
        <v>82</v>
      </c>
      <c r="J418" s="97" t="s">
        <v>83</v>
      </c>
      <c r="K418" s="97" t="s">
        <v>73</v>
      </c>
      <c r="L418">
        <v>701000</v>
      </c>
      <c r="M418" s="97" t="s">
        <v>62</v>
      </c>
      <c r="N418" s="97" t="s">
        <v>33</v>
      </c>
      <c r="O418">
        <v>170</v>
      </c>
      <c r="P418">
        <v>18.47</v>
      </c>
      <c r="Q418">
        <v>3.14</v>
      </c>
      <c r="R418" s="97" t="s">
        <v>1203</v>
      </c>
      <c r="S418" s="97" t="s">
        <v>195</v>
      </c>
    </row>
    <row r="419" spans="1:19" x14ac:dyDescent="0.3">
      <c r="A419" s="97" t="s">
        <v>942</v>
      </c>
      <c r="B419" s="97" t="s">
        <v>23</v>
      </c>
      <c r="C419">
        <v>2026</v>
      </c>
      <c r="D419">
        <v>1</v>
      </c>
      <c r="E419" s="2">
        <v>46038</v>
      </c>
      <c r="F419" s="97" t="s">
        <v>7</v>
      </c>
      <c r="G419" s="97" t="s">
        <v>8</v>
      </c>
      <c r="H419" s="97" t="s">
        <v>70</v>
      </c>
      <c r="I419" s="97" t="s">
        <v>82</v>
      </c>
      <c r="J419" s="97" t="s">
        <v>83</v>
      </c>
      <c r="K419" s="97" t="s">
        <v>73</v>
      </c>
      <c r="L419">
        <v>701000</v>
      </c>
      <c r="M419" s="97" t="s">
        <v>62</v>
      </c>
      <c r="N419" s="97" t="s">
        <v>33</v>
      </c>
      <c r="O419">
        <v>153</v>
      </c>
      <c r="P419">
        <v>18.5</v>
      </c>
      <c r="Q419">
        <v>2.83</v>
      </c>
      <c r="R419" s="97" t="s">
        <v>1205</v>
      </c>
      <c r="S419" s="97" t="s">
        <v>195</v>
      </c>
    </row>
    <row r="420" spans="1:19" x14ac:dyDescent="0.3">
      <c r="A420" s="97" t="s">
        <v>943</v>
      </c>
      <c r="B420" s="97" t="s">
        <v>23</v>
      </c>
      <c r="C420">
        <v>2026</v>
      </c>
      <c r="D420">
        <v>1</v>
      </c>
      <c r="E420" s="2">
        <v>46038</v>
      </c>
      <c r="F420" s="97" t="s">
        <v>7</v>
      </c>
      <c r="G420" s="97" t="s">
        <v>8</v>
      </c>
      <c r="H420" s="97" t="s">
        <v>70</v>
      </c>
      <c r="I420" s="97" t="s">
        <v>82</v>
      </c>
      <c r="J420" s="97" t="s">
        <v>83</v>
      </c>
      <c r="K420" s="97" t="s">
        <v>73</v>
      </c>
      <c r="L420">
        <v>701000</v>
      </c>
      <c r="M420" s="97" t="s">
        <v>62</v>
      </c>
      <c r="N420" s="97" t="s">
        <v>33</v>
      </c>
      <c r="O420">
        <v>115</v>
      </c>
      <c r="P420">
        <v>18.43</v>
      </c>
      <c r="Q420">
        <v>2.12</v>
      </c>
      <c r="R420" s="97" t="s">
        <v>1200</v>
      </c>
      <c r="S420" s="97" t="s">
        <v>195</v>
      </c>
    </row>
    <row r="421" spans="1:19" x14ac:dyDescent="0.3">
      <c r="A421" s="97" t="s">
        <v>944</v>
      </c>
      <c r="B421" s="97" t="s">
        <v>23</v>
      </c>
      <c r="C421">
        <v>2026</v>
      </c>
      <c r="D421">
        <v>1</v>
      </c>
      <c r="E421" s="2">
        <v>46038</v>
      </c>
      <c r="F421" s="97" t="s">
        <v>7</v>
      </c>
      <c r="G421" s="97" t="s">
        <v>8</v>
      </c>
      <c r="H421" s="97" t="s">
        <v>70</v>
      </c>
      <c r="I421" s="97" t="s">
        <v>82</v>
      </c>
      <c r="J421" s="97" t="s">
        <v>83</v>
      </c>
      <c r="K421" s="97" t="s">
        <v>73</v>
      </c>
      <c r="L421">
        <v>701000</v>
      </c>
      <c r="M421" s="97" t="s">
        <v>62</v>
      </c>
      <c r="N421" s="97" t="s">
        <v>33</v>
      </c>
      <c r="O421">
        <v>260</v>
      </c>
      <c r="P421">
        <v>18.54</v>
      </c>
      <c r="Q421">
        <v>4.82</v>
      </c>
      <c r="R421" s="97" t="s">
        <v>1201</v>
      </c>
      <c r="S421" s="97" t="s">
        <v>195</v>
      </c>
    </row>
    <row r="422" spans="1:19" x14ac:dyDescent="0.3">
      <c r="A422" s="97" t="s">
        <v>690</v>
      </c>
      <c r="B422" s="97" t="s">
        <v>23</v>
      </c>
      <c r="C422">
        <v>2026</v>
      </c>
      <c r="D422">
        <v>1</v>
      </c>
      <c r="E422" s="2">
        <v>46039</v>
      </c>
      <c r="F422" s="97" t="s">
        <v>7</v>
      </c>
      <c r="G422" s="97" t="s">
        <v>8</v>
      </c>
      <c r="H422" s="97" t="s">
        <v>74</v>
      </c>
      <c r="I422" s="97" t="s">
        <v>77</v>
      </c>
      <c r="J422" s="97" t="s">
        <v>78</v>
      </c>
      <c r="K422" s="97" t="s">
        <v>73</v>
      </c>
      <c r="L422">
        <v>707000</v>
      </c>
      <c r="M422" s="97" t="s">
        <v>81</v>
      </c>
      <c r="N422" s="97" t="s">
        <v>33</v>
      </c>
      <c r="O422">
        <v>2221</v>
      </c>
      <c r="P422">
        <v>1.8</v>
      </c>
      <c r="Q422">
        <v>4</v>
      </c>
      <c r="R422" s="97" t="s">
        <v>1204</v>
      </c>
      <c r="S422" s="97" t="s">
        <v>195</v>
      </c>
    </row>
    <row r="423" spans="1:19" x14ac:dyDescent="0.3">
      <c r="A423" s="97" t="s">
        <v>691</v>
      </c>
      <c r="B423" s="97" t="s">
        <v>23</v>
      </c>
      <c r="C423">
        <v>2026</v>
      </c>
      <c r="D423">
        <v>1</v>
      </c>
      <c r="E423" s="2">
        <v>46039</v>
      </c>
      <c r="F423" s="97" t="s">
        <v>7</v>
      </c>
      <c r="G423" s="97" t="s">
        <v>8</v>
      </c>
      <c r="H423" s="97" t="s">
        <v>74</v>
      </c>
      <c r="I423" s="97" t="s">
        <v>77</v>
      </c>
      <c r="J423" s="97" t="s">
        <v>78</v>
      </c>
      <c r="K423" s="97" t="s">
        <v>73</v>
      </c>
      <c r="L423">
        <v>707000</v>
      </c>
      <c r="M423" s="97" t="s">
        <v>81</v>
      </c>
      <c r="N423" s="97" t="s">
        <v>33</v>
      </c>
      <c r="O423">
        <v>1805</v>
      </c>
      <c r="P423">
        <v>1.8</v>
      </c>
      <c r="Q423">
        <v>3.25</v>
      </c>
      <c r="R423" s="97" t="s">
        <v>1202</v>
      </c>
      <c r="S423" s="97" t="s">
        <v>195</v>
      </c>
    </row>
    <row r="424" spans="1:19" x14ac:dyDescent="0.3">
      <c r="A424" s="97" t="s">
        <v>692</v>
      </c>
      <c r="B424" s="97" t="s">
        <v>23</v>
      </c>
      <c r="C424">
        <v>2026</v>
      </c>
      <c r="D424">
        <v>1</v>
      </c>
      <c r="E424" s="2">
        <v>46039</v>
      </c>
      <c r="F424" s="97" t="s">
        <v>7</v>
      </c>
      <c r="G424" s="97" t="s">
        <v>8</v>
      </c>
      <c r="H424" s="97" t="s">
        <v>74</v>
      </c>
      <c r="I424" s="97" t="s">
        <v>77</v>
      </c>
      <c r="J424" s="97" t="s">
        <v>78</v>
      </c>
      <c r="K424" s="97" t="s">
        <v>73</v>
      </c>
      <c r="L424">
        <v>707000</v>
      </c>
      <c r="M424" s="97" t="s">
        <v>81</v>
      </c>
      <c r="N424" s="97" t="s">
        <v>33</v>
      </c>
      <c r="O424">
        <v>1369</v>
      </c>
      <c r="P424">
        <v>1.8</v>
      </c>
      <c r="Q424">
        <v>2.46</v>
      </c>
      <c r="R424" s="97" t="s">
        <v>1203</v>
      </c>
      <c r="S424" s="97" t="s">
        <v>195</v>
      </c>
    </row>
    <row r="425" spans="1:19" x14ac:dyDescent="0.3">
      <c r="A425" s="97" t="s">
        <v>693</v>
      </c>
      <c r="B425" s="97" t="s">
        <v>23</v>
      </c>
      <c r="C425">
        <v>2026</v>
      </c>
      <c r="D425">
        <v>1</v>
      </c>
      <c r="E425" s="2">
        <v>46039</v>
      </c>
      <c r="F425" s="97" t="s">
        <v>7</v>
      </c>
      <c r="G425" s="97" t="s">
        <v>8</v>
      </c>
      <c r="H425" s="97" t="s">
        <v>74</v>
      </c>
      <c r="I425" s="97" t="s">
        <v>77</v>
      </c>
      <c r="J425" s="97" t="s">
        <v>78</v>
      </c>
      <c r="K425" s="97" t="s">
        <v>73</v>
      </c>
      <c r="L425">
        <v>707000</v>
      </c>
      <c r="M425" s="97" t="s">
        <v>81</v>
      </c>
      <c r="N425" s="97" t="s">
        <v>33</v>
      </c>
      <c r="O425">
        <v>1169</v>
      </c>
      <c r="P425">
        <v>1.8</v>
      </c>
      <c r="Q425">
        <v>2.1</v>
      </c>
      <c r="R425" s="97" t="s">
        <v>1200</v>
      </c>
      <c r="S425" s="97" t="s">
        <v>195</v>
      </c>
    </row>
    <row r="426" spans="1:19" x14ac:dyDescent="0.3">
      <c r="A426" s="97" t="s">
        <v>694</v>
      </c>
      <c r="B426" s="97" t="s">
        <v>23</v>
      </c>
      <c r="C426">
        <v>2026</v>
      </c>
      <c r="D426">
        <v>1</v>
      </c>
      <c r="E426" s="2">
        <v>46039</v>
      </c>
      <c r="F426" s="97" t="s">
        <v>7</v>
      </c>
      <c r="G426" s="97" t="s">
        <v>8</v>
      </c>
      <c r="H426" s="97" t="s">
        <v>74</v>
      </c>
      <c r="I426" s="97" t="s">
        <v>77</v>
      </c>
      <c r="J426" s="97" t="s">
        <v>78</v>
      </c>
      <c r="K426" s="97" t="s">
        <v>73</v>
      </c>
      <c r="L426">
        <v>707000</v>
      </c>
      <c r="M426" s="97" t="s">
        <v>81</v>
      </c>
      <c r="N426" s="97" t="s">
        <v>33</v>
      </c>
      <c r="O426">
        <v>870</v>
      </c>
      <c r="P426">
        <v>1.8</v>
      </c>
      <c r="Q426">
        <v>1.57</v>
      </c>
      <c r="R426" s="97" t="s">
        <v>1205</v>
      </c>
      <c r="S426" s="97" t="s">
        <v>195</v>
      </c>
    </row>
    <row r="427" spans="1:19" x14ac:dyDescent="0.3">
      <c r="A427" s="97" t="s">
        <v>715</v>
      </c>
      <c r="B427" s="97" t="s">
        <v>23</v>
      </c>
      <c r="C427">
        <v>2026</v>
      </c>
      <c r="D427">
        <v>1</v>
      </c>
      <c r="E427" s="2">
        <v>46039</v>
      </c>
      <c r="F427" s="97" t="s">
        <v>7</v>
      </c>
      <c r="G427" s="97" t="s">
        <v>8</v>
      </c>
      <c r="H427" s="97" t="s">
        <v>70</v>
      </c>
      <c r="I427" s="97" t="s">
        <v>77</v>
      </c>
      <c r="J427" s="97" t="s">
        <v>78</v>
      </c>
      <c r="K427" s="97" t="s">
        <v>73</v>
      </c>
      <c r="L427">
        <v>701000</v>
      </c>
      <c r="M427" s="97" t="s">
        <v>62</v>
      </c>
      <c r="N427" s="97" t="s">
        <v>33</v>
      </c>
      <c r="O427">
        <v>687</v>
      </c>
      <c r="P427">
        <v>1.8</v>
      </c>
      <c r="Q427">
        <v>1.24</v>
      </c>
      <c r="R427" s="97" t="s">
        <v>1205</v>
      </c>
      <c r="S427" s="97" t="s">
        <v>195</v>
      </c>
    </row>
    <row r="428" spans="1:19" x14ac:dyDescent="0.3">
      <c r="A428" s="97" t="s">
        <v>716</v>
      </c>
      <c r="B428" s="97" t="s">
        <v>23</v>
      </c>
      <c r="C428">
        <v>2026</v>
      </c>
      <c r="D428">
        <v>1</v>
      </c>
      <c r="E428" s="2">
        <v>46039</v>
      </c>
      <c r="F428" s="97" t="s">
        <v>7</v>
      </c>
      <c r="G428" s="97" t="s">
        <v>8</v>
      </c>
      <c r="H428" s="97" t="s">
        <v>70</v>
      </c>
      <c r="I428" s="97" t="s">
        <v>77</v>
      </c>
      <c r="J428" s="97" t="s">
        <v>78</v>
      </c>
      <c r="K428" s="97" t="s">
        <v>73</v>
      </c>
      <c r="L428">
        <v>701000</v>
      </c>
      <c r="M428" s="97" t="s">
        <v>62</v>
      </c>
      <c r="N428" s="97" t="s">
        <v>33</v>
      </c>
      <c r="O428">
        <v>1426</v>
      </c>
      <c r="P428">
        <v>1.8</v>
      </c>
      <c r="Q428">
        <v>2.57</v>
      </c>
      <c r="R428" s="97" t="s">
        <v>1204</v>
      </c>
      <c r="S428" s="97" t="s">
        <v>195</v>
      </c>
    </row>
    <row r="429" spans="1:19" x14ac:dyDescent="0.3">
      <c r="A429" s="97" t="s">
        <v>717</v>
      </c>
      <c r="B429" s="97" t="s">
        <v>23</v>
      </c>
      <c r="C429">
        <v>2026</v>
      </c>
      <c r="D429">
        <v>1</v>
      </c>
      <c r="E429" s="2">
        <v>46039</v>
      </c>
      <c r="F429" s="97" t="s">
        <v>7</v>
      </c>
      <c r="G429" s="97" t="s">
        <v>8</v>
      </c>
      <c r="H429" s="97" t="s">
        <v>70</v>
      </c>
      <c r="I429" s="97" t="s">
        <v>77</v>
      </c>
      <c r="J429" s="97" t="s">
        <v>78</v>
      </c>
      <c r="K429" s="97" t="s">
        <v>73</v>
      </c>
      <c r="L429">
        <v>701000</v>
      </c>
      <c r="M429" s="97" t="s">
        <v>62</v>
      </c>
      <c r="N429" s="97" t="s">
        <v>33</v>
      </c>
      <c r="O429">
        <v>1955</v>
      </c>
      <c r="P429">
        <v>1.8</v>
      </c>
      <c r="Q429">
        <v>3.52</v>
      </c>
      <c r="R429" s="97" t="s">
        <v>1200</v>
      </c>
      <c r="S429" s="97" t="s">
        <v>195</v>
      </c>
    </row>
    <row r="430" spans="1:19" x14ac:dyDescent="0.3">
      <c r="A430" s="97" t="s">
        <v>718</v>
      </c>
      <c r="B430" s="97" t="s">
        <v>23</v>
      </c>
      <c r="C430">
        <v>2026</v>
      </c>
      <c r="D430">
        <v>1</v>
      </c>
      <c r="E430" s="2">
        <v>46039</v>
      </c>
      <c r="F430" s="97" t="s">
        <v>7</v>
      </c>
      <c r="G430" s="97" t="s">
        <v>8</v>
      </c>
      <c r="H430" s="97" t="s">
        <v>70</v>
      </c>
      <c r="I430" s="97" t="s">
        <v>77</v>
      </c>
      <c r="J430" s="97" t="s">
        <v>78</v>
      </c>
      <c r="K430" s="97" t="s">
        <v>73</v>
      </c>
      <c r="L430">
        <v>701000</v>
      </c>
      <c r="M430" s="97" t="s">
        <v>62</v>
      </c>
      <c r="N430" s="97" t="s">
        <v>33</v>
      </c>
      <c r="O430">
        <v>2732</v>
      </c>
      <c r="P430">
        <v>1.8</v>
      </c>
      <c r="Q430">
        <v>4.92</v>
      </c>
      <c r="R430" s="97" t="s">
        <v>1203</v>
      </c>
      <c r="S430" s="97" t="s">
        <v>195</v>
      </c>
    </row>
    <row r="431" spans="1:19" x14ac:dyDescent="0.3">
      <c r="A431" s="97" t="s">
        <v>719</v>
      </c>
      <c r="B431" s="97" t="s">
        <v>23</v>
      </c>
      <c r="C431">
        <v>2026</v>
      </c>
      <c r="D431">
        <v>1</v>
      </c>
      <c r="E431" s="2">
        <v>46039</v>
      </c>
      <c r="F431" s="97" t="s">
        <v>7</v>
      </c>
      <c r="G431" s="97" t="s">
        <v>8</v>
      </c>
      <c r="H431" s="97" t="s">
        <v>70</v>
      </c>
      <c r="I431" s="97" t="s">
        <v>77</v>
      </c>
      <c r="J431" s="97" t="s">
        <v>78</v>
      </c>
      <c r="K431" s="97" t="s">
        <v>73</v>
      </c>
      <c r="L431">
        <v>701000</v>
      </c>
      <c r="M431" s="97" t="s">
        <v>62</v>
      </c>
      <c r="N431" s="97" t="s">
        <v>33</v>
      </c>
      <c r="O431">
        <v>1099</v>
      </c>
      <c r="P431">
        <v>1.79</v>
      </c>
      <c r="Q431">
        <v>1.97</v>
      </c>
      <c r="R431" s="97" t="s">
        <v>1197</v>
      </c>
      <c r="S431" s="97" t="s">
        <v>195</v>
      </c>
    </row>
    <row r="432" spans="1:19" x14ac:dyDescent="0.3">
      <c r="A432" s="97" t="s">
        <v>725</v>
      </c>
      <c r="B432" s="97" t="s">
        <v>23</v>
      </c>
      <c r="C432">
        <v>2026</v>
      </c>
      <c r="D432">
        <v>1</v>
      </c>
      <c r="E432" s="2">
        <v>46039</v>
      </c>
      <c r="F432" s="97" t="s">
        <v>7</v>
      </c>
      <c r="G432" s="97" t="s">
        <v>8</v>
      </c>
      <c r="H432" s="97" t="s">
        <v>70</v>
      </c>
      <c r="I432" s="97" t="s">
        <v>77</v>
      </c>
      <c r="J432" s="97" t="s">
        <v>78</v>
      </c>
      <c r="K432" s="97" t="s">
        <v>73</v>
      </c>
      <c r="L432">
        <v>707000</v>
      </c>
      <c r="M432" s="97" t="s">
        <v>81</v>
      </c>
      <c r="N432" s="97" t="s">
        <v>33</v>
      </c>
      <c r="O432">
        <v>1666</v>
      </c>
      <c r="P432">
        <v>1.8</v>
      </c>
      <c r="Q432">
        <v>3</v>
      </c>
      <c r="R432" s="97" t="s">
        <v>1201</v>
      </c>
      <c r="S432" s="97" t="s">
        <v>195</v>
      </c>
    </row>
    <row r="433" spans="1:19" x14ac:dyDescent="0.3">
      <c r="A433" s="97" t="s">
        <v>726</v>
      </c>
      <c r="B433" s="97" t="s">
        <v>23</v>
      </c>
      <c r="C433">
        <v>2026</v>
      </c>
      <c r="D433">
        <v>1</v>
      </c>
      <c r="E433" s="2">
        <v>46039</v>
      </c>
      <c r="F433" s="97" t="s">
        <v>7</v>
      </c>
      <c r="G433" s="97" t="s">
        <v>8</v>
      </c>
      <c r="H433" s="97" t="s">
        <v>70</v>
      </c>
      <c r="I433" s="97" t="s">
        <v>77</v>
      </c>
      <c r="J433" s="97" t="s">
        <v>78</v>
      </c>
      <c r="K433" s="97" t="s">
        <v>73</v>
      </c>
      <c r="L433">
        <v>707000</v>
      </c>
      <c r="M433" s="97" t="s">
        <v>81</v>
      </c>
      <c r="N433" s="97" t="s">
        <v>33</v>
      </c>
      <c r="O433">
        <v>583</v>
      </c>
      <c r="P433">
        <v>1.8</v>
      </c>
      <c r="Q433">
        <v>1.05</v>
      </c>
      <c r="R433" s="97" t="s">
        <v>1200</v>
      </c>
      <c r="S433" s="97" t="s">
        <v>195</v>
      </c>
    </row>
    <row r="434" spans="1:19" x14ac:dyDescent="0.3">
      <c r="A434" s="97" t="s">
        <v>727</v>
      </c>
      <c r="B434" s="97" t="s">
        <v>23</v>
      </c>
      <c r="C434">
        <v>2026</v>
      </c>
      <c r="D434">
        <v>1</v>
      </c>
      <c r="E434" s="2">
        <v>46039</v>
      </c>
      <c r="F434" s="97" t="s">
        <v>7</v>
      </c>
      <c r="G434" s="97" t="s">
        <v>8</v>
      </c>
      <c r="H434" s="97" t="s">
        <v>70</v>
      </c>
      <c r="I434" s="97" t="s">
        <v>77</v>
      </c>
      <c r="J434" s="97" t="s">
        <v>78</v>
      </c>
      <c r="K434" s="97" t="s">
        <v>73</v>
      </c>
      <c r="L434">
        <v>707000</v>
      </c>
      <c r="M434" s="97" t="s">
        <v>81</v>
      </c>
      <c r="N434" s="97" t="s">
        <v>33</v>
      </c>
      <c r="O434">
        <v>999</v>
      </c>
      <c r="P434">
        <v>1.8</v>
      </c>
      <c r="Q434">
        <v>1.8</v>
      </c>
      <c r="R434" s="97" t="s">
        <v>1204</v>
      </c>
      <c r="S434" s="97" t="s">
        <v>195</v>
      </c>
    </row>
    <row r="435" spans="1:19" x14ac:dyDescent="0.3">
      <c r="A435" s="97" t="s">
        <v>728</v>
      </c>
      <c r="B435" s="97" t="s">
        <v>23</v>
      </c>
      <c r="C435">
        <v>2026</v>
      </c>
      <c r="D435">
        <v>1</v>
      </c>
      <c r="E435" s="2">
        <v>46039</v>
      </c>
      <c r="F435" s="97" t="s">
        <v>7</v>
      </c>
      <c r="G435" s="97" t="s">
        <v>8</v>
      </c>
      <c r="H435" s="97" t="s">
        <v>70</v>
      </c>
      <c r="I435" s="97" t="s">
        <v>77</v>
      </c>
      <c r="J435" s="97" t="s">
        <v>78</v>
      </c>
      <c r="K435" s="97" t="s">
        <v>73</v>
      </c>
      <c r="L435">
        <v>707000</v>
      </c>
      <c r="M435" s="97" t="s">
        <v>81</v>
      </c>
      <c r="N435" s="97" t="s">
        <v>33</v>
      </c>
      <c r="O435">
        <v>2324</v>
      </c>
      <c r="P435">
        <v>1.8</v>
      </c>
      <c r="Q435">
        <v>4.18</v>
      </c>
      <c r="R435" s="97" t="s">
        <v>1198</v>
      </c>
      <c r="S435" s="97" t="s">
        <v>195</v>
      </c>
    </row>
    <row r="436" spans="1:19" x14ac:dyDescent="0.3">
      <c r="A436" s="97" t="s">
        <v>729</v>
      </c>
      <c r="B436" s="97" t="s">
        <v>23</v>
      </c>
      <c r="C436">
        <v>2026</v>
      </c>
      <c r="D436">
        <v>1</v>
      </c>
      <c r="E436" s="2">
        <v>46039</v>
      </c>
      <c r="F436" s="97" t="s">
        <v>7</v>
      </c>
      <c r="G436" s="97" t="s">
        <v>8</v>
      </c>
      <c r="H436" s="97" t="s">
        <v>70</v>
      </c>
      <c r="I436" s="97" t="s">
        <v>77</v>
      </c>
      <c r="J436" s="97" t="s">
        <v>78</v>
      </c>
      <c r="K436" s="97" t="s">
        <v>73</v>
      </c>
      <c r="L436">
        <v>707000</v>
      </c>
      <c r="M436" s="97" t="s">
        <v>81</v>
      </c>
      <c r="N436" s="97" t="s">
        <v>33</v>
      </c>
      <c r="O436">
        <v>1253</v>
      </c>
      <c r="P436">
        <v>1.8</v>
      </c>
      <c r="Q436">
        <v>2.25</v>
      </c>
      <c r="R436" s="97" t="s">
        <v>1203</v>
      </c>
      <c r="S436" s="97" t="s">
        <v>195</v>
      </c>
    </row>
    <row r="437" spans="1:19" x14ac:dyDescent="0.3">
      <c r="A437" s="97" t="s">
        <v>885</v>
      </c>
      <c r="B437" s="97" t="s">
        <v>23</v>
      </c>
      <c r="C437">
        <v>2026</v>
      </c>
      <c r="D437">
        <v>1</v>
      </c>
      <c r="E437" s="2">
        <v>46039</v>
      </c>
      <c r="F437" s="97" t="s">
        <v>7</v>
      </c>
      <c r="G437" s="97" t="s">
        <v>8</v>
      </c>
      <c r="H437" s="97" t="s">
        <v>70</v>
      </c>
      <c r="I437" s="97" t="s">
        <v>82</v>
      </c>
      <c r="J437" s="97" t="s">
        <v>83</v>
      </c>
      <c r="K437" s="97" t="s">
        <v>73</v>
      </c>
      <c r="L437">
        <v>701000</v>
      </c>
      <c r="M437" s="97" t="s">
        <v>62</v>
      </c>
      <c r="N437" s="97" t="s">
        <v>33</v>
      </c>
      <c r="O437">
        <v>141</v>
      </c>
      <c r="P437">
        <v>18.579999999999998</v>
      </c>
      <c r="Q437">
        <v>2.62</v>
      </c>
      <c r="R437" s="97" t="s">
        <v>1205</v>
      </c>
      <c r="S437" s="97" t="s">
        <v>195</v>
      </c>
    </row>
    <row r="438" spans="1:19" x14ac:dyDescent="0.3">
      <c r="A438" s="97" t="s">
        <v>886</v>
      </c>
      <c r="B438" s="97" t="s">
        <v>23</v>
      </c>
      <c r="C438">
        <v>2026</v>
      </c>
      <c r="D438">
        <v>1</v>
      </c>
      <c r="E438" s="2">
        <v>46039</v>
      </c>
      <c r="F438" s="97" t="s">
        <v>7</v>
      </c>
      <c r="G438" s="97" t="s">
        <v>8</v>
      </c>
      <c r="H438" s="97" t="s">
        <v>70</v>
      </c>
      <c r="I438" s="97" t="s">
        <v>82</v>
      </c>
      <c r="J438" s="97" t="s">
        <v>83</v>
      </c>
      <c r="K438" s="97" t="s">
        <v>73</v>
      </c>
      <c r="L438">
        <v>701000</v>
      </c>
      <c r="M438" s="97" t="s">
        <v>62</v>
      </c>
      <c r="N438" s="97" t="s">
        <v>33</v>
      </c>
      <c r="O438">
        <v>518</v>
      </c>
      <c r="P438">
        <v>18.489999999999998</v>
      </c>
      <c r="Q438">
        <v>9.58</v>
      </c>
      <c r="R438" s="97" t="s">
        <v>1202</v>
      </c>
      <c r="S438" s="97" t="s">
        <v>195</v>
      </c>
    </row>
    <row r="439" spans="1:19" x14ac:dyDescent="0.3">
      <c r="A439" s="97" t="s">
        <v>887</v>
      </c>
      <c r="B439" s="97" t="s">
        <v>23</v>
      </c>
      <c r="C439">
        <v>2026</v>
      </c>
      <c r="D439">
        <v>1</v>
      </c>
      <c r="E439" s="2">
        <v>46039</v>
      </c>
      <c r="F439" s="97" t="s">
        <v>7</v>
      </c>
      <c r="G439" s="97" t="s">
        <v>8</v>
      </c>
      <c r="H439" s="97" t="s">
        <v>70</v>
      </c>
      <c r="I439" s="97" t="s">
        <v>82</v>
      </c>
      <c r="J439" s="97" t="s">
        <v>83</v>
      </c>
      <c r="K439" s="97" t="s">
        <v>73</v>
      </c>
      <c r="L439">
        <v>701000</v>
      </c>
      <c r="M439" s="97" t="s">
        <v>62</v>
      </c>
      <c r="N439" s="97" t="s">
        <v>33</v>
      </c>
      <c r="O439">
        <v>78</v>
      </c>
      <c r="P439">
        <v>18.46</v>
      </c>
      <c r="Q439">
        <v>1.44</v>
      </c>
      <c r="R439" s="97" t="s">
        <v>1198</v>
      </c>
      <c r="S439" s="97" t="s">
        <v>195</v>
      </c>
    </row>
    <row r="440" spans="1:19" x14ac:dyDescent="0.3">
      <c r="A440" s="97" t="s">
        <v>888</v>
      </c>
      <c r="B440" s="97" t="s">
        <v>23</v>
      </c>
      <c r="C440">
        <v>2026</v>
      </c>
      <c r="D440">
        <v>1</v>
      </c>
      <c r="E440" s="2">
        <v>46039</v>
      </c>
      <c r="F440" s="97" t="s">
        <v>7</v>
      </c>
      <c r="G440" s="97" t="s">
        <v>8</v>
      </c>
      <c r="H440" s="97" t="s">
        <v>70</v>
      </c>
      <c r="I440" s="97" t="s">
        <v>82</v>
      </c>
      <c r="J440" s="97" t="s">
        <v>83</v>
      </c>
      <c r="K440" s="97" t="s">
        <v>73</v>
      </c>
      <c r="L440">
        <v>701000</v>
      </c>
      <c r="M440" s="97" t="s">
        <v>62</v>
      </c>
      <c r="N440" s="97" t="s">
        <v>33</v>
      </c>
      <c r="O440">
        <v>55</v>
      </c>
      <c r="P440">
        <v>18.36</v>
      </c>
      <c r="Q440">
        <v>1.01</v>
      </c>
      <c r="R440" s="97" t="s">
        <v>1200</v>
      </c>
      <c r="S440" s="97" t="s">
        <v>195</v>
      </c>
    </row>
    <row r="441" spans="1:19" x14ac:dyDescent="0.3">
      <c r="A441" s="97" t="s">
        <v>889</v>
      </c>
      <c r="B441" s="97" t="s">
        <v>23</v>
      </c>
      <c r="C441">
        <v>2026</v>
      </c>
      <c r="D441">
        <v>1</v>
      </c>
      <c r="E441" s="2">
        <v>46039</v>
      </c>
      <c r="F441" s="97" t="s">
        <v>7</v>
      </c>
      <c r="G441" s="97" t="s">
        <v>8</v>
      </c>
      <c r="H441" s="97" t="s">
        <v>70</v>
      </c>
      <c r="I441" s="97" t="s">
        <v>82</v>
      </c>
      <c r="J441" s="97" t="s">
        <v>83</v>
      </c>
      <c r="K441" s="97" t="s">
        <v>73</v>
      </c>
      <c r="L441">
        <v>701000</v>
      </c>
      <c r="M441" s="97" t="s">
        <v>62</v>
      </c>
      <c r="N441" s="97" t="s">
        <v>33</v>
      </c>
      <c r="O441">
        <v>99</v>
      </c>
      <c r="P441">
        <v>18.48</v>
      </c>
      <c r="Q441">
        <v>1.83</v>
      </c>
      <c r="R441" s="97" t="s">
        <v>1204</v>
      </c>
      <c r="S441" s="97" t="s">
        <v>195</v>
      </c>
    </row>
    <row r="442" spans="1:19" x14ac:dyDescent="0.3">
      <c r="A442" s="97" t="s">
        <v>210</v>
      </c>
      <c r="B442" s="97" t="s">
        <v>23</v>
      </c>
      <c r="C442">
        <v>2026</v>
      </c>
      <c r="D442">
        <v>1</v>
      </c>
      <c r="E442" s="2">
        <v>46040</v>
      </c>
      <c r="F442" s="97" t="s">
        <v>7</v>
      </c>
      <c r="G442" s="97" t="s">
        <v>8</v>
      </c>
      <c r="H442" s="97" t="s">
        <v>74</v>
      </c>
      <c r="I442" s="97" t="s">
        <v>84</v>
      </c>
      <c r="J442" s="97" t="s">
        <v>85</v>
      </c>
      <c r="K442" s="97" t="s">
        <v>73</v>
      </c>
      <c r="L442">
        <v>701000</v>
      </c>
      <c r="M442" s="97" t="s">
        <v>62</v>
      </c>
      <c r="N442" s="97" t="s">
        <v>33</v>
      </c>
      <c r="O442">
        <v>2070</v>
      </c>
      <c r="P442">
        <v>0.95</v>
      </c>
      <c r="Q442">
        <v>1.97</v>
      </c>
      <c r="R442" s="97" t="s">
        <v>1203</v>
      </c>
      <c r="S442" s="97" t="s">
        <v>195</v>
      </c>
    </row>
    <row r="443" spans="1:19" x14ac:dyDescent="0.3">
      <c r="A443" s="97" t="s">
        <v>211</v>
      </c>
      <c r="B443" s="97" t="s">
        <v>23</v>
      </c>
      <c r="C443">
        <v>2026</v>
      </c>
      <c r="D443">
        <v>1</v>
      </c>
      <c r="E443" s="2">
        <v>46040</v>
      </c>
      <c r="F443" s="97" t="s">
        <v>7</v>
      </c>
      <c r="G443" s="97" t="s">
        <v>8</v>
      </c>
      <c r="H443" s="97" t="s">
        <v>74</v>
      </c>
      <c r="I443" s="97" t="s">
        <v>84</v>
      </c>
      <c r="J443" s="97" t="s">
        <v>85</v>
      </c>
      <c r="K443" s="97" t="s">
        <v>73</v>
      </c>
      <c r="L443">
        <v>701000</v>
      </c>
      <c r="M443" s="97" t="s">
        <v>62</v>
      </c>
      <c r="N443" s="97" t="s">
        <v>33</v>
      </c>
      <c r="O443">
        <v>2181</v>
      </c>
      <c r="P443">
        <v>0.95</v>
      </c>
      <c r="Q443">
        <v>2.0699999999999998</v>
      </c>
      <c r="R443" s="97" t="s">
        <v>1198</v>
      </c>
      <c r="S443" s="97" t="s">
        <v>195</v>
      </c>
    </row>
    <row r="444" spans="1:19" x14ac:dyDescent="0.3">
      <c r="A444" s="97" t="s">
        <v>212</v>
      </c>
      <c r="B444" s="97" t="s">
        <v>23</v>
      </c>
      <c r="C444">
        <v>2026</v>
      </c>
      <c r="D444">
        <v>1</v>
      </c>
      <c r="E444" s="2">
        <v>46040</v>
      </c>
      <c r="F444" s="97" t="s">
        <v>7</v>
      </c>
      <c r="G444" s="97" t="s">
        <v>8</v>
      </c>
      <c r="H444" s="97" t="s">
        <v>74</v>
      </c>
      <c r="I444" s="97" t="s">
        <v>84</v>
      </c>
      <c r="J444" s="97" t="s">
        <v>85</v>
      </c>
      <c r="K444" s="97" t="s">
        <v>73</v>
      </c>
      <c r="L444">
        <v>701000</v>
      </c>
      <c r="M444" s="97" t="s">
        <v>62</v>
      </c>
      <c r="N444" s="97" t="s">
        <v>33</v>
      </c>
      <c r="O444">
        <v>3036</v>
      </c>
      <c r="P444">
        <v>0.95</v>
      </c>
      <c r="Q444">
        <v>2.88</v>
      </c>
      <c r="R444" s="97" t="s">
        <v>1205</v>
      </c>
      <c r="S444" s="97" t="s">
        <v>195</v>
      </c>
    </row>
    <row r="445" spans="1:19" x14ac:dyDescent="0.3">
      <c r="A445" s="97" t="s">
        <v>213</v>
      </c>
      <c r="B445" s="97" t="s">
        <v>23</v>
      </c>
      <c r="C445">
        <v>2026</v>
      </c>
      <c r="D445">
        <v>1</v>
      </c>
      <c r="E445" s="2">
        <v>46040</v>
      </c>
      <c r="F445" s="97" t="s">
        <v>7</v>
      </c>
      <c r="G445" s="97" t="s">
        <v>8</v>
      </c>
      <c r="H445" s="97" t="s">
        <v>74</v>
      </c>
      <c r="I445" s="97" t="s">
        <v>84</v>
      </c>
      <c r="J445" s="97" t="s">
        <v>85</v>
      </c>
      <c r="K445" s="97" t="s">
        <v>73</v>
      </c>
      <c r="L445">
        <v>701000</v>
      </c>
      <c r="M445" s="97" t="s">
        <v>62</v>
      </c>
      <c r="N445" s="97" t="s">
        <v>33</v>
      </c>
      <c r="O445">
        <v>5471</v>
      </c>
      <c r="P445">
        <v>0.95</v>
      </c>
      <c r="Q445">
        <v>5.2</v>
      </c>
      <c r="R445" s="97" t="s">
        <v>1202</v>
      </c>
      <c r="S445" s="97" t="s">
        <v>195</v>
      </c>
    </row>
    <row r="446" spans="1:19" x14ac:dyDescent="0.3">
      <c r="A446" s="97" t="s">
        <v>214</v>
      </c>
      <c r="B446" s="97" t="s">
        <v>23</v>
      </c>
      <c r="C446">
        <v>2026</v>
      </c>
      <c r="D446">
        <v>1</v>
      </c>
      <c r="E446" s="2">
        <v>46040</v>
      </c>
      <c r="F446" s="97" t="s">
        <v>7</v>
      </c>
      <c r="G446" s="97" t="s">
        <v>8</v>
      </c>
      <c r="H446" s="97" t="s">
        <v>74</v>
      </c>
      <c r="I446" s="97" t="s">
        <v>84</v>
      </c>
      <c r="J446" s="97" t="s">
        <v>85</v>
      </c>
      <c r="K446" s="97" t="s">
        <v>73</v>
      </c>
      <c r="L446">
        <v>701000</v>
      </c>
      <c r="M446" s="97" t="s">
        <v>62</v>
      </c>
      <c r="N446" s="97" t="s">
        <v>33</v>
      </c>
      <c r="O446">
        <v>1535</v>
      </c>
      <c r="P446">
        <v>0.95</v>
      </c>
      <c r="Q446">
        <v>1.46</v>
      </c>
      <c r="R446" s="97" t="s">
        <v>1197</v>
      </c>
      <c r="S446" s="97" t="s">
        <v>195</v>
      </c>
    </row>
    <row r="447" spans="1:19" x14ac:dyDescent="0.3">
      <c r="A447" s="97" t="s">
        <v>410</v>
      </c>
      <c r="B447" s="97" t="s">
        <v>23</v>
      </c>
      <c r="C447">
        <v>2026</v>
      </c>
      <c r="D447">
        <v>1</v>
      </c>
      <c r="E447" s="2">
        <v>46040</v>
      </c>
      <c r="F447" s="97" t="s">
        <v>7</v>
      </c>
      <c r="G447" s="97" t="s">
        <v>8</v>
      </c>
      <c r="H447" s="97" t="s">
        <v>74</v>
      </c>
      <c r="I447" s="97" t="s">
        <v>71</v>
      </c>
      <c r="J447" s="97" t="s">
        <v>72</v>
      </c>
      <c r="K447" s="97" t="s">
        <v>73</v>
      </c>
      <c r="L447">
        <v>701000</v>
      </c>
      <c r="M447" s="97" t="s">
        <v>62</v>
      </c>
      <c r="N447" s="97" t="s">
        <v>33</v>
      </c>
      <c r="O447">
        <v>1458</v>
      </c>
      <c r="P447">
        <v>1.05</v>
      </c>
      <c r="Q447">
        <v>1.53</v>
      </c>
      <c r="R447" s="97" t="s">
        <v>1204</v>
      </c>
      <c r="S447" s="97" t="s">
        <v>195</v>
      </c>
    </row>
    <row r="448" spans="1:19" x14ac:dyDescent="0.3">
      <c r="A448" s="97" t="s">
        <v>411</v>
      </c>
      <c r="B448" s="97" t="s">
        <v>23</v>
      </c>
      <c r="C448">
        <v>2026</v>
      </c>
      <c r="D448">
        <v>1</v>
      </c>
      <c r="E448" s="2">
        <v>46040</v>
      </c>
      <c r="F448" s="97" t="s">
        <v>7</v>
      </c>
      <c r="G448" s="97" t="s">
        <v>8</v>
      </c>
      <c r="H448" s="97" t="s">
        <v>74</v>
      </c>
      <c r="I448" s="97" t="s">
        <v>71</v>
      </c>
      <c r="J448" s="97" t="s">
        <v>72</v>
      </c>
      <c r="K448" s="97" t="s">
        <v>73</v>
      </c>
      <c r="L448">
        <v>701000</v>
      </c>
      <c r="M448" s="97" t="s">
        <v>62</v>
      </c>
      <c r="N448" s="97" t="s">
        <v>33</v>
      </c>
      <c r="O448">
        <v>1116</v>
      </c>
      <c r="P448">
        <v>1.05</v>
      </c>
      <c r="Q448">
        <v>1.17</v>
      </c>
      <c r="R448" s="97" t="s">
        <v>1200</v>
      </c>
      <c r="S448" s="97" t="s">
        <v>195</v>
      </c>
    </row>
    <row r="449" spans="1:19" x14ac:dyDescent="0.3">
      <c r="A449" s="97" t="s">
        <v>412</v>
      </c>
      <c r="B449" s="97" t="s">
        <v>23</v>
      </c>
      <c r="C449">
        <v>2026</v>
      </c>
      <c r="D449">
        <v>1</v>
      </c>
      <c r="E449" s="2">
        <v>46040</v>
      </c>
      <c r="F449" s="97" t="s">
        <v>7</v>
      </c>
      <c r="G449" s="97" t="s">
        <v>8</v>
      </c>
      <c r="H449" s="97" t="s">
        <v>74</v>
      </c>
      <c r="I449" s="97" t="s">
        <v>71</v>
      </c>
      <c r="J449" s="97" t="s">
        <v>72</v>
      </c>
      <c r="K449" s="97" t="s">
        <v>73</v>
      </c>
      <c r="L449">
        <v>701000</v>
      </c>
      <c r="M449" s="97" t="s">
        <v>62</v>
      </c>
      <c r="N449" s="97" t="s">
        <v>33</v>
      </c>
      <c r="O449">
        <v>2032</v>
      </c>
      <c r="P449">
        <v>1.05</v>
      </c>
      <c r="Q449">
        <v>2.13</v>
      </c>
      <c r="R449" s="97" t="s">
        <v>1198</v>
      </c>
      <c r="S449" s="97" t="s">
        <v>195</v>
      </c>
    </row>
    <row r="450" spans="1:19" x14ac:dyDescent="0.3">
      <c r="A450" s="97" t="s">
        <v>413</v>
      </c>
      <c r="B450" s="97" t="s">
        <v>23</v>
      </c>
      <c r="C450">
        <v>2026</v>
      </c>
      <c r="D450">
        <v>1</v>
      </c>
      <c r="E450" s="2">
        <v>46040</v>
      </c>
      <c r="F450" s="97" t="s">
        <v>7</v>
      </c>
      <c r="G450" s="97" t="s">
        <v>8</v>
      </c>
      <c r="H450" s="97" t="s">
        <v>74</v>
      </c>
      <c r="I450" s="97" t="s">
        <v>71</v>
      </c>
      <c r="J450" s="97" t="s">
        <v>72</v>
      </c>
      <c r="K450" s="97" t="s">
        <v>73</v>
      </c>
      <c r="L450">
        <v>701000</v>
      </c>
      <c r="M450" s="97" t="s">
        <v>62</v>
      </c>
      <c r="N450" s="97" t="s">
        <v>33</v>
      </c>
      <c r="O450">
        <v>1912</v>
      </c>
      <c r="P450">
        <v>1.05</v>
      </c>
      <c r="Q450">
        <v>2.0099999999999998</v>
      </c>
      <c r="R450" s="97" t="s">
        <v>1205</v>
      </c>
      <c r="S450" s="97" t="s">
        <v>195</v>
      </c>
    </row>
    <row r="451" spans="1:19" x14ac:dyDescent="0.3">
      <c r="A451" s="97" t="s">
        <v>414</v>
      </c>
      <c r="B451" s="97" t="s">
        <v>23</v>
      </c>
      <c r="C451">
        <v>2026</v>
      </c>
      <c r="D451">
        <v>1</v>
      </c>
      <c r="E451" s="2">
        <v>46040</v>
      </c>
      <c r="F451" s="97" t="s">
        <v>7</v>
      </c>
      <c r="G451" s="97" t="s">
        <v>8</v>
      </c>
      <c r="H451" s="97" t="s">
        <v>74</v>
      </c>
      <c r="I451" s="97" t="s">
        <v>71</v>
      </c>
      <c r="J451" s="97" t="s">
        <v>72</v>
      </c>
      <c r="K451" s="97" t="s">
        <v>73</v>
      </c>
      <c r="L451">
        <v>701000</v>
      </c>
      <c r="M451" s="97" t="s">
        <v>62</v>
      </c>
      <c r="N451" s="97" t="s">
        <v>33</v>
      </c>
      <c r="O451">
        <v>1435</v>
      </c>
      <c r="P451">
        <v>1.05</v>
      </c>
      <c r="Q451">
        <v>1.51</v>
      </c>
      <c r="R451" s="97" t="s">
        <v>1202</v>
      </c>
      <c r="S451" s="97" t="s">
        <v>195</v>
      </c>
    </row>
    <row r="452" spans="1:19" x14ac:dyDescent="0.3">
      <c r="A452" s="97" t="s">
        <v>755</v>
      </c>
      <c r="B452" s="97" t="s">
        <v>23</v>
      </c>
      <c r="C452">
        <v>2026</v>
      </c>
      <c r="D452">
        <v>1</v>
      </c>
      <c r="E452" s="2">
        <v>46040</v>
      </c>
      <c r="F452" s="97" t="s">
        <v>7</v>
      </c>
      <c r="G452" s="97" t="s">
        <v>8</v>
      </c>
      <c r="H452" s="97" t="s">
        <v>70</v>
      </c>
      <c r="I452" s="97" t="s">
        <v>77</v>
      </c>
      <c r="J452" s="97" t="s">
        <v>78</v>
      </c>
      <c r="K452" s="97" t="s">
        <v>73</v>
      </c>
      <c r="L452">
        <v>701000</v>
      </c>
      <c r="M452" s="97" t="s">
        <v>62</v>
      </c>
      <c r="N452" s="97" t="s">
        <v>33</v>
      </c>
      <c r="O452">
        <v>3484</v>
      </c>
      <c r="P452">
        <v>1.8</v>
      </c>
      <c r="Q452">
        <v>6.27</v>
      </c>
      <c r="R452" s="97" t="s">
        <v>1199</v>
      </c>
      <c r="S452" s="97" t="s">
        <v>195</v>
      </c>
    </row>
    <row r="453" spans="1:19" x14ac:dyDescent="0.3">
      <c r="A453" s="97" t="s">
        <v>756</v>
      </c>
      <c r="B453" s="97" t="s">
        <v>23</v>
      </c>
      <c r="C453">
        <v>2026</v>
      </c>
      <c r="D453">
        <v>1</v>
      </c>
      <c r="E453" s="2">
        <v>46040</v>
      </c>
      <c r="F453" s="97" t="s">
        <v>7</v>
      </c>
      <c r="G453" s="97" t="s">
        <v>8</v>
      </c>
      <c r="H453" s="97" t="s">
        <v>70</v>
      </c>
      <c r="I453" s="97" t="s">
        <v>77</v>
      </c>
      <c r="J453" s="97" t="s">
        <v>78</v>
      </c>
      <c r="K453" s="97" t="s">
        <v>73</v>
      </c>
      <c r="L453">
        <v>701000</v>
      </c>
      <c r="M453" s="97" t="s">
        <v>62</v>
      </c>
      <c r="N453" s="97" t="s">
        <v>33</v>
      </c>
      <c r="O453">
        <v>1614</v>
      </c>
      <c r="P453">
        <v>1.8</v>
      </c>
      <c r="Q453">
        <v>2.9</v>
      </c>
      <c r="R453" s="97" t="s">
        <v>1203</v>
      </c>
      <c r="S453" s="97" t="s">
        <v>195</v>
      </c>
    </row>
    <row r="454" spans="1:19" x14ac:dyDescent="0.3">
      <c r="A454" s="97" t="s">
        <v>757</v>
      </c>
      <c r="B454" s="97" t="s">
        <v>23</v>
      </c>
      <c r="C454">
        <v>2026</v>
      </c>
      <c r="D454">
        <v>1</v>
      </c>
      <c r="E454" s="2">
        <v>46040</v>
      </c>
      <c r="F454" s="97" t="s">
        <v>7</v>
      </c>
      <c r="G454" s="97" t="s">
        <v>8</v>
      </c>
      <c r="H454" s="97" t="s">
        <v>70</v>
      </c>
      <c r="I454" s="97" t="s">
        <v>77</v>
      </c>
      <c r="J454" s="97" t="s">
        <v>78</v>
      </c>
      <c r="K454" s="97" t="s">
        <v>73</v>
      </c>
      <c r="L454">
        <v>701000</v>
      </c>
      <c r="M454" s="97" t="s">
        <v>62</v>
      </c>
      <c r="N454" s="97" t="s">
        <v>33</v>
      </c>
      <c r="O454">
        <v>1222</v>
      </c>
      <c r="P454">
        <v>1.8</v>
      </c>
      <c r="Q454">
        <v>2.2000000000000002</v>
      </c>
      <c r="R454" s="97" t="s">
        <v>1200</v>
      </c>
      <c r="S454" s="97" t="s">
        <v>195</v>
      </c>
    </row>
    <row r="455" spans="1:19" x14ac:dyDescent="0.3">
      <c r="A455" s="97" t="s">
        <v>758</v>
      </c>
      <c r="B455" s="97" t="s">
        <v>23</v>
      </c>
      <c r="C455">
        <v>2026</v>
      </c>
      <c r="D455">
        <v>1</v>
      </c>
      <c r="E455" s="2">
        <v>46040</v>
      </c>
      <c r="F455" s="97" t="s">
        <v>7</v>
      </c>
      <c r="G455" s="97" t="s">
        <v>8</v>
      </c>
      <c r="H455" s="97" t="s">
        <v>70</v>
      </c>
      <c r="I455" s="97" t="s">
        <v>77</v>
      </c>
      <c r="J455" s="97" t="s">
        <v>78</v>
      </c>
      <c r="K455" s="97" t="s">
        <v>73</v>
      </c>
      <c r="L455">
        <v>701000</v>
      </c>
      <c r="M455" s="97" t="s">
        <v>62</v>
      </c>
      <c r="N455" s="97" t="s">
        <v>33</v>
      </c>
      <c r="O455">
        <v>334</v>
      </c>
      <c r="P455">
        <v>1.8</v>
      </c>
      <c r="Q455">
        <v>0.6</v>
      </c>
      <c r="R455" s="97" t="s">
        <v>1205</v>
      </c>
      <c r="S455" s="97" t="s">
        <v>195</v>
      </c>
    </row>
    <row r="456" spans="1:19" x14ac:dyDescent="0.3">
      <c r="A456" s="97" t="s">
        <v>759</v>
      </c>
      <c r="B456" s="97" t="s">
        <v>23</v>
      </c>
      <c r="C456">
        <v>2026</v>
      </c>
      <c r="D456">
        <v>1</v>
      </c>
      <c r="E456" s="2">
        <v>46040</v>
      </c>
      <c r="F456" s="97" t="s">
        <v>7</v>
      </c>
      <c r="G456" s="97" t="s">
        <v>8</v>
      </c>
      <c r="H456" s="97" t="s">
        <v>70</v>
      </c>
      <c r="I456" s="97" t="s">
        <v>77</v>
      </c>
      <c r="J456" s="97" t="s">
        <v>78</v>
      </c>
      <c r="K456" s="97" t="s">
        <v>73</v>
      </c>
      <c r="L456">
        <v>701000</v>
      </c>
      <c r="M456" s="97" t="s">
        <v>62</v>
      </c>
      <c r="N456" s="97" t="s">
        <v>33</v>
      </c>
      <c r="O456">
        <v>1621</v>
      </c>
      <c r="P456">
        <v>1.8</v>
      </c>
      <c r="Q456">
        <v>2.92</v>
      </c>
      <c r="R456" s="97" t="s">
        <v>1202</v>
      </c>
      <c r="S456" s="97" t="s">
        <v>195</v>
      </c>
    </row>
    <row r="457" spans="1:19" x14ac:dyDescent="0.3">
      <c r="A457" s="97" t="s">
        <v>835</v>
      </c>
      <c r="B457" s="97" t="s">
        <v>23</v>
      </c>
      <c r="C457">
        <v>2026</v>
      </c>
      <c r="D457">
        <v>1</v>
      </c>
      <c r="E457" s="2">
        <v>46040</v>
      </c>
      <c r="F457" s="97" t="s">
        <v>7</v>
      </c>
      <c r="G457" s="97" t="s">
        <v>8</v>
      </c>
      <c r="H457" s="97" t="s">
        <v>74</v>
      </c>
      <c r="I457" s="97" t="s">
        <v>79</v>
      </c>
      <c r="J457" s="97" t="s">
        <v>80</v>
      </c>
      <c r="K457" s="97" t="s">
        <v>73</v>
      </c>
      <c r="L457">
        <v>701000</v>
      </c>
      <c r="M457" s="97" t="s">
        <v>62</v>
      </c>
      <c r="N457" s="97" t="s">
        <v>33</v>
      </c>
      <c r="O457">
        <v>367</v>
      </c>
      <c r="P457">
        <v>2.59</v>
      </c>
      <c r="Q457">
        <v>0.95</v>
      </c>
      <c r="R457" s="97" t="s">
        <v>1204</v>
      </c>
      <c r="S457" s="97" t="s">
        <v>195</v>
      </c>
    </row>
    <row r="458" spans="1:19" x14ac:dyDescent="0.3">
      <c r="A458" s="97" t="s">
        <v>836</v>
      </c>
      <c r="B458" s="97" t="s">
        <v>23</v>
      </c>
      <c r="C458">
        <v>2026</v>
      </c>
      <c r="D458">
        <v>1</v>
      </c>
      <c r="E458" s="2">
        <v>46040</v>
      </c>
      <c r="F458" s="97" t="s">
        <v>7</v>
      </c>
      <c r="G458" s="97" t="s">
        <v>8</v>
      </c>
      <c r="H458" s="97" t="s">
        <v>74</v>
      </c>
      <c r="I458" s="97" t="s">
        <v>79</v>
      </c>
      <c r="J458" s="97" t="s">
        <v>80</v>
      </c>
      <c r="K458" s="97" t="s">
        <v>73</v>
      </c>
      <c r="L458">
        <v>701000</v>
      </c>
      <c r="M458" s="97" t="s">
        <v>62</v>
      </c>
      <c r="N458" s="97" t="s">
        <v>33</v>
      </c>
      <c r="O458">
        <v>1836</v>
      </c>
      <c r="P458">
        <v>2.6</v>
      </c>
      <c r="Q458">
        <v>4.78</v>
      </c>
      <c r="R458" s="97" t="s">
        <v>1205</v>
      </c>
      <c r="S458" s="97" t="s">
        <v>195</v>
      </c>
    </row>
    <row r="459" spans="1:19" x14ac:dyDescent="0.3">
      <c r="A459" s="97" t="s">
        <v>837</v>
      </c>
      <c r="B459" s="97" t="s">
        <v>23</v>
      </c>
      <c r="C459">
        <v>2026</v>
      </c>
      <c r="D459">
        <v>1</v>
      </c>
      <c r="E459" s="2">
        <v>46040</v>
      </c>
      <c r="F459" s="97" t="s">
        <v>7</v>
      </c>
      <c r="G459" s="97" t="s">
        <v>8</v>
      </c>
      <c r="H459" s="97" t="s">
        <v>74</v>
      </c>
      <c r="I459" s="97" t="s">
        <v>79</v>
      </c>
      <c r="J459" s="97" t="s">
        <v>80</v>
      </c>
      <c r="K459" s="97" t="s">
        <v>73</v>
      </c>
      <c r="L459">
        <v>701000</v>
      </c>
      <c r="M459" s="97" t="s">
        <v>62</v>
      </c>
      <c r="N459" s="97" t="s">
        <v>33</v>
      </c>
      <c r="O459">
        <v>1206</v>
      </c>
      <c r="P459">
        <v>2.6</v>
      </c>
      <c r="Q459">
        <v>3.14</v>
      </c>
      <c r="R459" s="97" t="s">
        <v>1197</v>
      </c>
      <c r="S459" s="97" t="s">
        <v>195</v>
      </c>
    </row>
    <row r="460" spans="1:19" x14ac:dyDescent="0.3">
      <c r="A460" s="97" t="s">
        <v>838</v>
      </c>
      <c r="B460" s="97" t="s">
        <v>23</v>
      </c>
      <c r="C460">
        <v>2026</v>
      </c>
      <c r="D460">
        <v>1</v>
      </c>
      <c r="E460" s="2">
        <v>46040</v>
      </c>
      <c r="F460" s="97" t="s">
        <v>7</v>
      </c>
      <c r="G460" s="97" t="s">
        <v>8</v>
      </c>
      <c r="H460" s="97" t="s">
        <v>74</v>
      </c>
      <c r="I460" s="97" t="s">
        <v>79</v>
      </c>
      <c r="J460" s="97" t="s">
        <v>80</v>
      </c>
      <c r="K460" s="97" t="s">
        <v>73</v>
      </c>
      <c r="L460">
        <v>701000</v>
      </c>
      <c r="M460" s="97" t="s">
        <v>62</v>
      </c>
      <c r="N460" s="97" t="s">
        <v>33</v>
      </c>
      <c r="O460">
        <v>2054</v>
      </c>
      <c r="P460">
        <v>2.6</v>
      </c>
      <c r="Q460">
        <v>5.34</v>
      </c>
      <c r="R460" s="97" t="s">
        <v>1201</v>
      </c>
      <c r="S460" s="97" t="s">
        <v>195</v>
      </c>
    </row>
    <row r="461" spans="1:19" x14ac:dyDescent="0.3">
      <c r="A461" s="97" t="s">
        <v>839</v>
      </c>
      <c r="B461" s="97" t="s">
        <v>23</v>
      </c>
      <c r="C461">
        <v>2026</v>
      </c>
      <c r="D461">
        <v>1</v>
      </c>
      <c r="E461" s="2">
        <v>46040</v>
      </c>
      <c r="F461" s="97" t="s">
        <v>7</v>
      </c>
      <c r="G461" s="97" t="s">
        <v>8</v>
      </c>
      <c r="H461" s="97" t="s">
        <v>74</v>
      </c>
      <c r="I461" s="97" t="s">
        <v>79</v>
      </c>
      <c r="J461" s="97" t="s">
        <v>80</v>
      </c>
      <c r="K461" s="97" t="s">
        <v>73</v>
      </c>
      <c r="L461">
        <v>701000</v>
      </c>
      <c r="M461" s="97" t="s">
        <v>62</v>
      </c>
      <c r="N461" s="97" t="s">
        <v>33</v>
      </c>
      <c r="O461">
        <v>1351</v>
      </c>
      <c r="P461">
        <v>2.6</v>
      </c>
      <c r="Q461">
        <v>3.51</v>
      </c>
      <c r="R461" s="97" t="s">
        <v>1199</v>
      </c>
      <c r="S461" s="97" t="s">
        <v>195</v>
      </c>
    </row>
    <row r="462" spans="1:19" x14ac:dyDescent="0.3">
      <c r="A462" s="97" t="s">
        <v>865</v>
      </c>
      <c r="B462" s="97" t="s">
        <v>23</v>
      </c>
      <c r="C462">
        <v>2026</v>
      </c>
      <c r="D462">
        <v>1</v>
      </c>
      <c r="E462" s="2">
        <v>46040</v>
      </c>
      <c r="F462" s="97" t="s">
        <v>7</v>
      </c>
      <c r="G462" s="97" t="s">
        <v>8</v>
      </c>
      <c r="H462" s="97" t="s">
        <v>70</v>
      </c>
      <c r="I462" s="97" t="s">
        <v>79</v>
      </c>
      <c r="J462" s="97" t="s">
        <v>80</v>
      </c>
      <c r="K462" s="97" t="s">
        <v>73</v>
      </c>
      <c r="L462">
        <v>706000</v>
      </c>
      <c r="M462" s="97" t="s">
        <v>63</v>
      </c>
      <c r="N462" s="97" t="s">
        <v>33</v>
      </c>
      <c r="O462">
        <v>4356</v>
      </c>
      <c r="P462">
        <v>2.6</v>
      </c>
      <c r="Q462">
        <v>11.33</v>
      </c>
      <c r="R462" s="97" t="s">
        <v>1202</v>
      </c>
      <c r="S462" s="97" t="s">
        <v>195</v>
      </c>
    </row>
    <row r="463" spans="1:19" x14ac:dyDescent="0.3">
      <c r="A463" s="97" t="s">
        <v>866</v>
      </c>
      <c r="B463" s="97" t="s">
        <v>23</v>
      </c>
      <c r="C463">
        <v>2026</v>
      </c>
      <c r="D463">
        <v>1</v>
      </c>
      <c r="E463" s="2">
        <v>46040</v>
      </c>
      <c r="F463" s="97" t="s">
        <v>7</v>
      </c>
      <c r="G463" s="97" t="s">
        <v>8</v>
      </c>
      <c r="H463" s="97" t="s">
        <v>70</v>
      </c>
      <c r="I463" s="97" t="s">
        <v>79</v>
      </c>
      <c r="J463" s="97" t="s">
        <v>80</v>
      </c>
      <c r="K463" s="97" t="s">
        <v>73</v>
      </c>
      <c r="L463">
        <v>706000</v>
      </c>
      <c r="M463" s="97" t="s">
        <v>63</v>
      </c>
      <c r="N463" s="97" t="s">
        <v>33</v>
      </c>
      <c r="O463">
        <v>469</v>
      </c>
      <c r="P463">
        <v>2.6</v>
      </c>
      <c r="Q463">
        <v>1.22</v>
      </c>
      <c r="R463" s="97" t="s">
        <v>1200</v>
      </c>
      <c r="S463" s="97" t="s">
        <v>195</v>
      </c>
    </row>
    <row r="464" spans="1:19" x14ac:dyDescent="0.3">
      <c r="A464" s="97" t="s">
        <v>867</v>
      </c>
      <c r="B464" s="97" t="s">
        <v>23</v>
      </c>
      <c r="C464">
        <v>2026</v>
      </c>
      <c r="D464">
        <v>1</v>
      </c>
      <c r="E464" s="2">
        <v>46040</v>
      </c>
      <c r="F464" s="97" t="s">
        <v>7</v>
      </c>
      <c r="G464" s="97" t="s">
        <v>8</v>
      </c>
      <c r="H464" s="97" t="s">
        <v>70</v>
      </c>
      <c r="I464" s="97" t="s">
        <v>79</v>
      </c>
      <c r="J464" s="97" t="s">
        <v>80</v>
      </c>
      <c r="K464" s="97" t="s">
        <v>73</v>
      </c>
      <c r="L464">
        <v>706000</v>
      </c>
      <c r="M464" s="97" t="s">
        <v>63</v>
      </c>
      <c r="N464" s="97" t="s">
        <v>33</v>
      </c>
      <c r="O464">
        <v>1633</v>
      </c>
      <c r="P464">
        <v>2.6</v>
      </c>
      <c r="Q464">
        <v>4.25</v>
      </c>
      <c r="R464" s="97" t="s">
        <v>1203</v>
      </c>
      <c r="S464" s="97" t="s">
        <v>195</v>
      </c>
    </row>
    <row r="465" spans="1:19" x14ac:dyDescent="0.3">
      <c r="A465" s="97" t="s">
        <v>868</v>
      </c>
      <c r="B465" s="97" t="s">
        <v>23</v>
      </c>
      <c r="C465">
        <v>2026</v>
      </c>
      <c r="D465">
        <v>1</v>
      </c>
      <c r="E465" s="2">
        <v>46040</v>
      </c>
      <c r="F465" s="97" t="s">
        <v>7</v>
      </c>
      <c r="G465" s="97" t="s">
        <v>8</v>
      </c>
      <c r="H465" s="97" t="s">
        <v>70</v>
      </c>
      <c r="I465" s="97" t="s">
        <v>79</v>
      </c>
      <c r="J465" s="97" t="s">
        <v>80</v>
      </c>
      <c r="K465" s="97" t="s">
        <v>73</v>
      </c>
      <c r="L465">
        <v>706000</v>
      </c>
      <c r="M465" s="97" t="s">
        <v>63</v>
      </c>
      <c r="N465" s="97" t="s">
        <v>33</v>
      </c>
      <c r="O465">
        <v>416</v>
      </c>
      <c r="P465">
        <v>2.6</v>
      </c>
      <c r="Q465">
        <v>1.08</v>
      </c>
      <c r="R465" s="97" t="s">
        <v>1204</v>
      </c>
      <c r="S465" s="97" t="s">
        <v>195</v>
      </c>
    </row>
    <row r="466" spans="1:19" x14ac:dyDescent="0.3">
      <c r="A466" s="97" t="s">
        <v>869</v>
      </c>
      <c r="B466" s="97" t="s">
        <v>23</v>
      </c>
      <c r="C466">
        <v>2026</v>
      </c>
      <c r="D466">
        <v>1</v>
      </c>
      <c r="E466" s="2">
        <v>46040</v>
      </c>
      <c r="F466" s="97" t="s">
        <v>7</v>
      </c>
      <c r="G466" s="97" t="s">
        <v>8</v>
      </c>
      <c r="H466" s="97" t="s">
        <v>70</v>
      </c>
      <c r="I466" s="97" t="s">
        <v>79</v>
      </c>
      <c r="J466" s="97" t="s">
        <v>80</v>
      </c>
      <c r="K466" s="97" t="s">
        <v>73</v>
      </c>
      <c r="L466">
        <v>706000</v>
      </c>
      <c r="M466" s="97" t="s">
        <v>63</v>
      </c>
      <c r="N466" s="97" t="s">
        <v>33</v>
      </c>
      <c r="O466">
        <v>1648</v>
      </c>
      <c r="P466">
        <v>2.6</v>
      </c>
      <c r="Q466">
        <v>4.28</v>
      </c>
      <c r="R466" s="97" t="s">
        <v>1197</v>
      </c>
      <c r="S466" s="97" t="s">
        <v>195</v>
      </c>
    </row>
    <row r="467" spans="1:19" x14ac:dyDescent="0.3">
      <c r="A467" s="97" t="s">
        <v>955</v>
      </c>
      <c r="B467" s="97" t="s">
        <v>23</v>
      </c>
      <c r="C467">
        <v>2026</v>
      </c>
      <c r="D467">
        <v>1</v>
      </c>
      <c r="E467" s="2">
        <v>46040</v>
      </c>
      <c r="F467" s="97" t="s">
        <v>7</v>
      </c>
      <c r="G467" s="97" t="s">
        <v>8</v>
      </c>
      <c r="H467" s="97" t="s">
        <v>70</v>
      </c>
      <c r="I467" s="97" t="s">
        <v>82</v>
      </c>
      <c r="J467" s="97" t="s">
        <v>83</v>
      </c>
      <c r="K467" s="97" t="s">
        <v>73</v>
      </c>
      <c r="L467">
        <v>701000</v>
      </c>
      <c r="M467" s="97" t="s">
        <v>62</v>
      </c>
      <c r="N467" s="97" t="s">
        <v>33</v>
      </c>
      <c r="O467">
        <v>68</v>
      </c>
      <c r="P467">
        <v>18.38</v>
      </c>
      <c r="Q467">
        <v>1.25</v>
      </c>
      <c r="R467" s="97" t="s">
        <v>1198</v>
      </c>
      <c r="S467" s="97" t="s">
        <v>195</v>
      </c>
    </row>
    <row r="468" spans="1:19" x14ac:dyDescent="0.3">
      <c r="A468" s="97" t="s">
        <v>956</v>
      </c>
      <c r="B468" s="97" t="s">
        <v>23</v>
      </c>
      <c r="C468">
        <v>2026</v>
      </c>
      <c r="D468">
        <v>1</v>
      </c>
      <c r="E468" s="2">
        <v>46040</v>
      </c>
      <c r="F468" s="97" t="s">
        <v>7</v>
      </c>
      <c r="G468" s="97" t="s">
        <v>8</v>
      </c>
      <c r="H468" s="97" t="s">
        <v>70</v>
      </c>
      <c r="I468" s="97" t="s">
        <v>82</v>
      </c>
      <c r="J468" s="97" t="s">
        <v>83</v>
      </c>
      <c r="K468" s="97" t="s">
        <v>73</v>
      </c>
      <c r="L468">
        <v>701000</v>
      </c>
      <c r="M468" s="97" t="s">
        <v>62</v>
      </c>
      <c r="N468" s="97" t="s">
        <v>33</v>
      </c>
      <c r="O468">
        <v>262</v>
      </c>
      <c r="P468">
        <v>18.47</v>
      </c>
      <c r="Q468">
        <v>4.84</v>
      </c>
      <c r="R468" s="97" t="s">
        <v>1200</v>
      </c>
      <c r="S468" s="97" t="s">
        <v>195</v>
      </c>
    </row>
    <row r="469" spans="1:19" x14ac:dyDescent="0.3">
      <c r="A469" s="97" t="s">
        <v>957</v>
      </c>
      <c r="B469" s="97" t="s">
        <v>23</v>
      </c>
      <c r="C469">
        <v>2026</v>
      </c>
      <c r="D469">
        <v>1</v>
      </c>
      <c r="E469" s="2">
        <v>46040</v>
      </c>
      <c r="F469" s="97" t="s">
        <v>7</v>
      </c>
      <c r="G469" s="97" t="s">
        <v>8</v>
      </c>
      <c r="H469" s="97" t="s">
        <v>70</v>
      </c>
      <c r="I469" s="97" t="s">
        <v>82</v>
      </c>
      <c r="J469" s="97" t="s">
        <v>83</v>
      </c>
      <c r="K469" s="97" t="s">
        <v>73</v>
      </c>
      <c r="L469">
        <v>701000</v>
      </c>
      <c r="M469" s="97" t="s">
        <v>62</v>
      </c>
      <c r="N469" s="97" t="s">
        <v>33</v>
      </c>
      <c r="O469">
        <v>114</v>
      </c>
      <c r="P469">
        <v>18.510000000000002</v>
      </c>
      <c r="Q469">
        <v>2.11</v>
      </c>
      <c r="R469" s="97" t="s">
        <v>1203</v>
      </c>
      <c r="S469" s="97" t="s">
        <v>195</v>
      </c>
    </row>
    <row r="470" spans="1:19" x14ac:dyDescent="0.3">
      <c r="A470" s="97" t="s">
        <v>958</v>
      </c>
      <c r="B470" s="97" t="s">
        <v>23</v>
      </c>
      <c r="C470">
        <v>2026</v>
      </c>
      <c r="D470">
        <v>1</v>
      </c>
      <c r="E470" s="2">
        <v>46040</v>
      </c>
      <c r="F470" s="97" t="s">
        <v>7</v>
      </c>
      <c r="G470" s="97" t="s">
        <v>8</v>
      </c>
      <c r="H470" s="97" t="s">
        <v>70</v>
      </c>
      <c r="I470" s="97" t="s">
        <v>82</v>
      </c>
      <c r="J470" s="97" t="s">
        <v>83</v>
      </c>
      <c r="K470" s="97" t="s">
        <v>73</v>
      </c>
      <c r="L470">
        <v>701000</v>
      </c>
      <c r="M470" s="97" t="s">
        <v>62</v>
      </c>
      <c r="N470" s="97" t="s">
        <v>33</v>
      </c>
      <c r="O470">
        <v>194</v>
      </c>
      <c r="P470">
        <v>18.45</v>
      </c>
      <c r="Q470">
        <v>3.58</v>
      </c>
      <c r="R470" s="97" t="s">
        <v>1199</v>
      </c>
      <c r="S470" s="97" t="s">
        <v>195</v>
      </c>
    </row>
    <row r="471" spans="1:19" x14ac:dyDescent="0.3">
      <c r="A471" s="97" t="s">
        <v>959</v>
      </c>
      <c r="B471" s="97" t="s">
        <v>23</v>
      </c>
      <c r="C471">
        <v>2026</v>
      </c>
      <c r="D471">
        <v>1</v>
      </c>
      <c r="E471" s="2">
        <v>46040</v>
      </c>
      <c r="F471" s="97" t="s">
        <v>7</v>
      </c>
      <c r="G471" s="97" t="s">
        <v>8</v>
      </c>
      <c r="H471" s="97" t="s">
        <v>70</v>
      </c>
      <c r="I471" s="97" t="s">
        <v>82</v>
      </c>
      <c r="J471" s="97" t="s">
        <v>83</v>
      </c>
      <c r="K471" s="97" t="s">
        <v>73</v>
      </c>
      <c r="L471">
        <v>701000</v>
      </c>
      <c r="M471" s="97" t="s">
        <v>62</v>
      </c>
      <c r="N471" s="97" t="s">
        <v>33</v>
      </c>
      <c r="O471">
        <v>86</v>
      </c>
      <c r="P471">
        <v>18.72</v>
      </c>
      <c r="Q471">
        <v>1.61</v>
      </c>
      <c r="R471" s="97" t="s">
        <v>1197</v>
      </c>
      <c r="S471" s="97" t="s">
        <v>195</v>
      </c>
    </row>
    <row r="472" spans="1:19" x14ac:dyDescent="0.3">
      <c r="A472" s="97" t="s">
        <v>300</v>
      </c>
      <c r="B472" s="97" t="s">
        <v>23</v>
      </c>
      <c r="C472">
        <v>2026</v>
      </c>
      <c r="D472">
        <v>1</v>
      </c>
      <c r="E472" s="2">
        <v>46041</v>
      </c>
      <c r="F472" s="97" t="s">
        <v>7</v>
      </c>
      <c r="G472" s="97" t="s">
        <v>8</v>
      </c>
      <c r="H472" s="97" t="s">
        <v>70</v>
      </c>
      <c r="I472" s="97" t="s">
        <v>84</v>
      </c>
      <c r="J472" s="97" t="s">
        <v>85</v>
      </c>
      <c r="K472" s="97" t="s">
        <v>73</v>
      </c>
      <c r="L472">
        <v>701000</v>
      </c>
      <c r="M472" s="97" t="s">
        <v>62</v>
      </c>
      <c r="N472" s="97" t="s">
        <v>33</v>
      </c>
      <c r="O472">
        <v>2144</v>
      </c>
      <c r="P472">
        <v>0.95</v>
      </c>
      <c r="Q472">
        <v>2.04</v>
      </c>
      <c r="R472" s="97" t="s">
        <v>1203</v>
      </c>
      <c r="S472" s="97" t="s">
        <v>195</v>
      </c>
    </row>
    <row r="473" spans="1:19" x14ac:dyDescent="0.3">
      <c r="A473" s="97" t="s">
        <v>301</v>
      </c>
      <c r="B473" s="97" t="s">
        <v>23</v>
      </c>
      <c r="C473">
        <v>2026</v>
      </c>
      <c r="D473">
        <v>1</v>
      </c>
      <c r="E473" s="2">
        <v>46041</v>
      </c>
      <c r="F473" s="97" t="s">
        <v>7</v>
      </c>
      <c r="G473" s="97" t="s">
        <v>8</v>
      </c>
      <c r="H473" s="97" t="s">
        <v>70</v>
      </c>
      <c r="I473" s="97" t="s">
        <v>84</v>
      </c>
      <c r="J473" s="97" t="s">
        <v>85</v>
      </c>
      <c r="K473" s="97" t="s">
        <v>73</v>
      </c>
      <c r="L473">
        <v>701000</v>
      </c>
      <c r="M473" s="97" t="s">
        <v>62</v>
      </c>
      <c r="N473" s="97" t="s">
        <v>33</v>
      </c>
      <c r="O473">
        <v>2725</v>
      </c>
      <c r="P473">
        <v>0.95</v>
      </c>
      <c r="Q473">
        <v>2.59</v>
      </c>
      <c r="R473" s="97" t="s">
        <v>1205</v>
      </c>
      <c r="S473" s="97" t="s">
        <v>195</v>
      </c>
    </row>
    <row r="474" spans="1:19" x14ac:dyDescent="0.3">
      <c r="A474" s="97" t="s">
        <v>302</v>
      </c>
      <c r="B474" s="97" t="s">
        <v>23</v>
      </c>
      <c r="C474">
        <v>2026</v>
      </c>
      <c r="D474">
        <v>1</v>
      </c>
      <c r="E474" s="2">
        <v>46041</v>
      </c>
      <c r="F474" s="97" t="s">
        <v>7</v>
      </c>
      <c r="G474" s="97" t="s">
        <v>8</v>
      </c>
      <c r="H474" s="97" t="s">
        <v>70</v>
      </c>
      <c r="I474" s="97" t="s">
        <v>84</v>
      </c>
      <c r="J474" s="97" t="s">
        <v>85</v>
      </c>
      <c r="K474" s="97" t="s">
        <v>73</v>
      </c>
      <c r="L474">
        <v>701000</v>
      </c>
      <c r="M474" s="97" t="s">
        <v>62</v>
      </c>
      <c r="N474" s="97" t="s">
        <v>33</v>
      </c>
      <c r="O474">
        <v>1313</v>
      </c>
      <c r="P474">
        <v>0.95</v>
      </c>
      <c r="Q474">
        <v>1.25</v>
      </c>
      <c r="R474" s="97" t="s">
        <v>1202</v>
      </c>
      <c r="S474" s="97" t="s">
        <v>195</v>
      </c>
    </row>
    <row r="475" spans="1:19" x14ac:dyDescent="0.3">
      <c r="A475" s="97" t="s">
        <v>303</v>
      </c>
      <c r="B475" s="97" t="s">
        <v>23</v>
      </c>
      <c r="C475">
        <v>2026</v>
      </c>
      <c r="D475">
        <v>1</v>
      </c>
      <c r="E475" s="2">
        <v>46041</v>
      </c>
      <c r="F475" s="97" t="s">
        <v>7</v>
      </c>
      <c r="G475" s="97" t="s">
        <v>8</v>
      </c>
      <c r="H475" s="97" t="s">
        <v>70</v>
      </c>
      <c r="I475" s="97" t="s">
        <v>84</v>
      </c>
      <c r="J475" s="97" t="s">
        <v>85</v>
      </c>
      <c r="K475" s="97" t="s">
        <v>73</v>
      </c>
      <c r="L475">
        <v>701000</v>
      </c>
      <c r="M475" s="97" t="s">
        <v>62</v>
      </c>
      <c r="N475" s="97" t="s">
        <v>33</v>
      </c>
      <c r="O475">
        <v>3652</v>
      </c>
      <c r="P475">
        <v>0.95</v>
      </c>
      <c r="Q475">
        <v>3.47</v>
      </c>
      <c r="R475" s="97" t="s">
        <v>1200</v>
      </c>
      <c r="S475" s="97" t="s">
        <v>195</v>
      </c>
    </row>
    <row r="476" spans="1:19" x14ac:dyDescent="0.3">
      <c r="A476" s="97" t="s">
        <v>304</v>
      </c>
      <c r="B476" s="97" t="s">
        <v>23</v>
      </c>
      <c r="C476">
        <v>2026</v>
      </c>
      <c r="D476">
        <v>1</v>
      </c>
      <c r="E476" s="2">
        <v>46041</v>
      </c>
      <c r="F476" s="97" t="s">
        <v>7</v>
      </c>
      <c r="G476" s="97" t="s">
        <v>8</v>
      </c>
      <c r="H476" s="97" t="s">
        <v>70</v>
      </c>
      <c r="I476" s="97" t="s">
        <v>84</v>
      </c>
      <c r="J476" s="97" t="s">
        <v>85</v>
      </c>
      <c r="K476" s="97" t="s">
        <v>73</v>
      </c>
      <c r="L476">
        <v>701000</v>
      </c>
      <c r="M476" s="97" t="s">
        <v>62</v>
      </c>
      <c r="N476" s="97" t="s">
        <v>33</v>
      </c>
      <c r="O476">
        <v>2519</v>
      </c>
      <c r="P476">
        <v>0.94</v>
      </c>
      <c r="Q476">
        <v>2.38</v>
      </c>
      <c r="R476" s="97" t="s">
        <v>1197</v>
      </c>
      <c r="S476" s="97" t="s">
        <v>195</v>
      </c>
    </row>
    <row r="477" spans="1:19" x14ac:dyDescent="0.3">
      <c r="A477" s="97" t="s">
        <v>315</v>
      </c>
      <c r="B477" s="97" t="s">
        <v>23</v>
      </c>
      <c r="C477">
        <v>2026</v>
      </c>
      <c r="D477">
        <v>1</v>
      </c>
      <c r="E477" s="2">
        <v>46041</v>
      </c>
      <c r="F477" s="97" t="s">
        <v>7</v>
      </c>
      <c r="G477" s="97" t="s">
        <v>8</v>
      </c>
      <c r="H477" s="97" t="s">
        <v>70</v>
      </c>
      <c r="I477" s="97" t="s">
        <v>84</v>
      </c>
      <c r="J477" s="97" t="s">
        <v>85</v>
      </c>
      <c r="K477" s="97" t="s">
        <v>73</v>
      </c>
      <c r="L477">
        <v>701000</v>
      </c>
      <c r="M477" s="97" t="s">
        <v>62</v>
      </c>
      <c r="N477" s="97" t="s">
        <v>33</v>
      </c>
      <c r="O477">
        <v>1613</v>
      </c>
      <c r="P477">
        <v>0.95</v>
      </c>
      <c r="Q477">
        <v>1.53</v>
      </c>
      <c r="R477" s="97" t="s">
        <v>1204</v>
      </c>
      <c r="S477" s="97" t="s">
        <v>195</v>
      </c>
    </row>
    <row r="478" spans="1:19" x14ac:dyDescent="0.3">
      <c r="A478" s="97" t="s">
        <v>316</v>
      </c>
      <c r="B478" s="97" t="s">
        <v>23</v>
      </c>
      <c r="C478">
        <v>2026</v>
      </c>
      <c r="D478">
        <v>1</v>
      </c>
      <c r="E478" s="2">
        <v>46041</v>
      </c>
      <c r="F478" s="97" t="s">
        <v>7</v>
      </c>
      <c r="G478" s="97" t="s">
        <v>8</v>
      </c>
      <c r="H478" s="97" t="s">
        <v>70</v>
      </c>
      <c r="I478" s="97" t="s">
        <v>84</v>
      </c>
      <c r="J478" s="97" t="s">
        <v>85</v>
      </c>
      <c r="K478" s="97" t="s">
        <v>73</v>
      </c>
      <c r="L478">
        <v>701000</v>
      </c>
      <c r="M478" s="97" t="s">
        <v>62</v>
      </c>
      <c r="N478" s="97" t="s">
        <v>33</v>
      </c>
      <c r="O478">
        <v>2592</v>
      </c>
      <c r="P478">
        <v>0.95</v>
      </c>
      <c r="Q478">
        <v>2.46</v>
      </c>
      <c r="R478" s="97" t="s">
        <v>1201</v>
      </c>
      <c r="S478" s="97" t="s">
        <v>195</v>
      </c>
    </row>
    <row r="479" spans="1:19" x14ac:dyDescent="0.3">
      <c r="A479" s="97" t="s">
        <v>317</v>
      </c>
      <c r="B479" s="97" t="s">
        <v>23</v>
      </c>
      <c r="C479">
        <v>2026</v>
      </c>
      <c r="D479">
        <v>1</v>
      </c>
      <c r="E479" s="2">
        <v>46041</v>
      </c>
      <c r="F479" s="97" t="s">
        <v>7</v>
      </c>
      <c r="G479" s="97" t="s">
        <v>8</v>
      </c>
      <c r="H479" s="97" t="s">
        <v>70</v>
      </c>
      <c r="I479" s="97" t="s">
        <v>84</v>
      </c>
      <c r="J479" s="97" t="s">
        <v>85</v>
      </c>
      <c r="K479" s="97" t="s">
        <v>73</v>
      </c>
      <c r="L479">
        <v>701000</v>
      </c>
      <c r="M479" s="97" t="s">
        <v>62</v>
      </c>
      <c r="N479" s="97" t="s">
        <v>33</v>
      </c>
      <c r="O479">
        <v>3672</v>
      </c>
      <c r="P479">
        <v>0.95</v>
      </c>
      <c r="Q479">
        <v>3.49</v>
      </c>
      <c r="R479" s="97" t="s">
        <v>1197</v>
      </c>
      <c r="S479" s="97" t="s">
        <v>195</v>
      </c>
    </row>
    <row r="480" spans="1:19" x14ac:dyDescent="0.3">
      <c r="A480" s="97" t="s">
        <v>318</v>
      </c>
      <c r="B480" s="97" t="s">
        <v>23</v>
      </c>
      <c r="C480">
        <v>2026</v>
      </c>
      <c r="D480">
        <v>1</v>
      </c>
      <c r="E480" s="2">
        <v>46041</v>
      </c>
      <c r="F480" s="97" t="s">
        <v>7</v>
      </c>
      <c r="G480" s="97" t="s">
        <v>8</v>
      </c>
      <c r="H480" s="97" t="s">
        <v>70</v>
      </c>
      <c r="I480" s="97" t="s">
        <v>84</v>
      </c>
      <c r="J480" s="97" t="s">
        <v>85</v>
      </c>
      <c r="K480" s="97" t="s">
        <v>73</v>
      </c>
      <c r="L480">
        <v>701000</v>
      </c>
      <c r="M480" s="97" t="s">
        <v>62</v>
      </c>
      <c r="N480" s="97" t="s">
        <v>33</v>
      </c>
      <c r="O480">
        <v>1110</v>
      </c>
      <c r="P480">
        <v>0.95</v>
      </c>
      <c r="Q480">
        <v>1.05</v>
      </c>
      <c r="R480" s="97" t="s">
        <v>1199</v>
      </c>
      <c r="S480" s="97" t="s">
        <v>195</v>
      </c>
    </row>
    <row r="481" spans="1:19" x14ac:dyDescent="0.3">
      <c r="A481" s="97" t="s">
        <v>319</v>
      </c>
      <c r="B481" s="97" t="s">
        <v>23</v>
      </c>
      <c r="C481">
        <v>2026</v>
      </c>
      <c r="D481">
        <v>1</v>
      </c>
      <c r="E481" s="2">
        <v>46041</v>
      </c>
      <c r="F481" s="97" t="s">
        <v>7</v>
      </c>
      <c r="G481" s="97" t="s">
        <v>8</v>
      </c>
      <c r="H481" s="97" t="s">
        <v>70</v>
      </c>
      <c r="I481" s="97" t="s">
        <v>84</v>
      </c>
      <c r="J481" s="97" t="s">
        <v>85</v>
      </c>
      <c r="K481" s="97" t="s">
        <v>73</v>
      </c>
      <c r="L481">
        <v>701000</v>
      </c>
      <c r="M481" s="97" t="s">
        <v>62</v>
      </c>
      <c r="N481" s="97" t="s">
        <v>33</v>
      </c>
      <c r="O481">
        <v>4445</v>
      </c>
      <c r="P481">
        <v>0.95</v>
      </c>
      <c r="Q481">
        <v>4.2300000000000004</v>
      </c>
      <c r="R481" s="97" t="s">
        <v>1198</v>
      </c>
      <c r="S481" s="97" t="s">
        <v>195</v>
      </c>
    </row>
    <row r="482" spans="1:19" x14ac:dyDescent="0.3">
      <c r="A482" s="97" t="s">
        <v>525</v>
      </c>
      <c r="B482" s="97" t="s">
        <v>23</v>
      </c>
      <c r="C482">
        <v>2026</v>
      </c>
      <c r="D482">
        <v>1</v>
      </c>
      <c r="E482" s="2">
        <v>46041</v>
      </c>
      <c r="F482" s="97" t="s">
        <v>7</v>
      </c>
      <c r="G482" s="97" t="s">
        <v>8</v>
      </c>
      <c r="H482" s="97" t="s">
        <v>70</v>
      </c>
      <c r="I482" s="97" t="s">
        <v>71</v>
      </c>
      <c r="J482" s="97" t="s">
        <v>72</v>
      </c>
      <c r="K482" s="97" t="s">
        <v>73</v>
      </c>
      <c r="L482">
        <v>701000</v>
      </c>
      <c r="M482" s="97" t="s">
        <v>62</v>
      </c>
      <c r="N482" s="97" t="s">
        <v>33</v>
      </c>
      <c r="O482">
        <v>2699</v>
      </c>
      <c r="P482">
        <v>1.05</v>
      </c>
      <c r="Q482">
        <v>2.83</v>
      </c>
      <c r="R482" s="97" t="s">
        <v>1201</v>
      </c>
      <c r="S482" s="97" t="s">
        <v>195</v>
      </c>
    </row>
    <row r="483" spans="1:19" x14ac:dyDescent="0.3">
      <c r="A483" s="97" t="s">
        <v>526</v>
      </c>
      <c r="B483" s="97" t="s">
        <v>23</v>
      </c>
      <c r="C483">
        <v>2026</v>
      </c>
      <c r="D483">
        <v>1</v>
      </c>
      <c r="E483" s="2">
        <v>46041</v>
      </c>
      <c r="F483" s="97" t="s">
        <v>7</v>
      </c>
      <c r="G483" s="97" t="s">
        <v>8</v>
      </c>
      <c r="H483" s="97" t="s">
        <v>70</v>
      </c>
      <c r="I483" s="97" t="s">
        <v>71</v>
      </c>
      <c r="J483" s="97" t="s">
        <v>72</v>
      </c>
      <c r="K483" s="97" t="s">
        <v>73</v>
      </c>
      <c r="L483">
        <v>701000</v>
      </c>
      <c r="M483" s="97" t="s">
        <v>62</v>
      </c>
      <c r="N483" s="97" t="s">
        <v>33</v>
      </c>
      <c r="O483">
        <v>2055</v>
      </c>
      <c r="P483">
        <v>1.05</v>
      </c>
      <c r="Q483">
        <v>2.16</v>
      </c>
      <c r="R483" s="97" t="s">
        <v>1202</v>
      </c>
      <c r="S483" s="97" t="s">
        <v>195</v>
      </c>
    </row>
    <row r="484" spans="1:19" x14ac:dyDescent="0.3">
      <c r="A484" s="97" t="s">
        <v>527</v>
      </c>
      <c r="B484" s="97" t="s">
        <v>23</v>
      </c>
      <c r="C484">
        <v>2026</v>
      </c>
      <c r="D484">
        <v>1</v>
      </c>
      <c r="E484" s="2">
        <v>46041</v>
      </c>
      <c r="F484" s="97" t="s">
        <v>7</v>
      </c>
      <c r="G484" s="97" t="s">
        <v>8</v>
      </c>
      <c r="H484" s="97" t="s">
        <v>70</v>
      </c>
      <c r="I484" s="97" t="s">
        <v>71</v>
      </c>
      <c r="J484" s="97" t="s">
        <v>72</v>
      </c>
      <c r="K484" s="97" t="s">
        <v>73</v>
      </c>
      <c r="L484">
        <v>701000</v>
      </c>
      <c r="M484" s="97" t="s">
        <v>62</v>
      </c>
      <c r="N484" s="97" t="s">
        <v>33</v>
      </c>
      <c r="O484">
        <v>1951</v>
      </c>
      <c r="P484">
        <v>1.05</v>
      </c>
      <c r="Q484">
        <v>2.0499999999999998</v>
      </c>
      <c r="R484" s="97" t="s">
        <v>1199</v>
      </c>
      <c r="S484" s="97" t="s">
        <v>195</v>
      </c>
    </row>
    <row r="485" spans="1:19" x14ac:dyDescent="0.3">
      <c r="A485" s="97" t="s">
        <v>528</v>
      </c>
      <c r="B485" s="97" t="s">
        <v>23</v>
      </c>
      <c r="C485">
        <v>2026</v>
      </c>
      <c r="D485">
        <v>1</v>
      </c>
      <c r="E485" s="2">
        <v>46041</v>
      </c>
      <c r="F485" s="97" t="s">
        <v>7</v>
      </c>
      <c r="G485" s="97" t="s">
        <v>8</v>
      </c>
      <c r="H485" s="97" t="s">
        <v>70</v>
      </c>
      <c r="I485" s="97" t="s">
        <v>71</v>
      </c>
      <c r="J485" s="97" t="s">
        <v>72</v>
      </c>
      <c r="K485" s="97" t="s">
        <v>73</v>
      </c>
      <c r="L485">
        <v>701000</v>
      </c>
      <c r="M485" s="97" t="s">
        <v>62</v>
      </c>
      <c r="N485" s="97" t="s">
        <v>33</v>
      </c>
      <c r="O485">
        <v>1345</v>
      </c>
      <c r="P485">
        <v>1.05</v>
      </c>
      <c r="Q485">
        <v>1.41</v>
      </c>
      <c r="R485" s="97" t="s">
        <v>1198</v>
      </c>
      <c r="S485" s="97" t="s">
        <v>195</v>
      </c>
    </row>
    <row r="486" spans="1:19" x14ac:dyDescent="0.3">
      <c r="A486" s="97" t="s">
        <v>529</v>
      </c>
      <c r="B486" s="97" t="s">
        <v>23</v>
      </c>
      <c r="C486">
        <v>2026</v>
      </c>
      <c r="D486">
        <v>1</v>
      </c>
      <c r="E486" s="2">
        <v>46041</v>
      </c>
      <c r="F486" s="97" t="s">
        <v>7</v>
      </c>
      <c r="G486" s="97" t="s">
        <v>8</v>
      </c>
      <c r="H486" s="97" t="s">
        <v>70</v>
      </c>
      <c r="I486" s="97" t="s">
        <v>71</v>
      </c>
      <c r="J486" s="97" t="s">
        <v>72</v>
      </c>
      <c r="K486" s="97" t="s">
        <v>73</v>
      </c>
      <c r="L486">
        <v>701000</v>
      </c>
      <c r="M486" s="97" t="s">
        <v>62</v>
      </c>
      <c r="N486" s="97" t="s">
        <v>33</v>
      </c>
      <c r="O486">
        <v>1768</v>
      </c>
      <c r="P486">
        <v>1.05</v>
      </c>
      <c r="Q486">
        <v>1.86</v>
      </c>
      <c r="R486" s="97" t="s">
        <v>1197</v>
      </c>
      <c r="S486" s="97" t="s">
        <v>195</v>
      </c>
    </row>
    <row r="487" spans="1:19" x14ac:dyDescent="0.3">
      <c r="A487" s="97" t="s">
        <v>600</v>
      </c>
      <c r="B487" s="97" t="s">
        <v>23</v>
      </c>
      <c r="C487">
        <v>2026</v>
      </c>
      <c r="D487">
        <v>1</v>
      </c>
      <c r="E487" s="2">
        <v>46041</v>
      </c>
      <c r="F487" s="97" t="s">
        <v>7</v>
      </c>
      <c r="G487" s="97" t="s">
        <v>8</v>
      </c>
      <c r="H487" s="97" t="s">
        <v>70</v>
      </c>
      <c r="I487" s="97" t="s">
        <v>75</v>
      </c>
      <c r="J487" s="97" t="s">
        <v>76</v>
      </c>
      <c r="K487" s="97" t="s">
        <v>73</v>
      </c>
      <c r="L487">
        <v>701000</v>
      </c>
      <c r="M487" s="97" t="s">
        <v>62</v>
      </c>
      <c r="N487" s="97" t="s">
        <v>33</v>
      </c>
      <c r="O487">
        <v>1145</v>
      </c>
      <c r="P487">
        <v>1.4</v>
      </c>
      <c r="Q487">
        <v>1.6</v>
      </c>
      <c r="R487" s="97" t="s">
        <v>1200</v>
      </c>
      <c r="S487" s="97" t="s">
        <v>195</v>
      </c>
    </row>
    <row r="488" spans="1:19" x14ac:dyDescent="0.3">
      <c r="A488" s="97" t="s">
        <v>601</v>
      </c>
      <c r="B488" s="97" t="s">
        <v>23</v>
      </c>
      <c r="C488">
        <v>2026</v>
      </c>
      <c r="D488">
        <v>1</v>
      </c>
      <c r="E488" s="2">
        <v>46041</v>
      </c>
      <c r="F488" s="97" t="s">
        <v>7</v>
      </c>
      <c r="G488" s="97" t="s">
        <v>8</v>
      </c>
      <c r="H488" s="97" t="s">
        <v>70</v>
      </c>
      <c r="I488" s="97" t="s">
        <v>75</v>
      </c>
      <c r="J488" s="97" t="s">
        <v>76</v>
      </c>
      <c r="K488" s="97" t="s">
        <v>73</v>
      </c>
      <c r="L488">
        <v>701000</v>
      </c>
      <c r="M488" s="97" t="s">
        <v>62</v>
      </c>
      <c r="N488" s="97" t="s">
        <v>33</v>
      </c>
      <c r="O488">
        <v>1824</v>
      </c>
      <c r="P488">
        <v>1.4</v>
      </c>
      <c r="Q488">
        <v>2.5499999999999998</v>
      </c>
      <c r="R488" s="97" t="s">
        <v>1203</v>
      </c>
      <c r="S488" s="97" t="s">
        <v>195</v>
      </c>
    </row>
    <row r="489" spans="1:19" x14ac:dyDescent="0.3">
      <c r="A489" s="97" t="s">
        <v>602</v>
      </c>
      <c r="B489" s="97" t="s">
        <v>23</v>
      </c>
      <c r="C489">
        <v>2026</v>
      </c>
      <c r="D489">
        <v>1</v>
      </c>
      <c r="E489" s="2">
        <v>46041</v>
      </c>
      <c r="F489" s="97" t="s">
        <v>7</v>
      </c>
      <c r="G489" s="97" t="s">
        <v>8</v>
      </c>
      <c r="H489" s="97" t="s">
        <v>70</v>
      </c>
      <c r="I489" s="97" t="s">
        <v>75</v>
      </c>
      <c r="J489" s="97" t="s">
        <v>76</v>
      </c>
      <c r="K489" s="97" t="s">
        <v>73</v>
      </c>
      <c r="L489">
        <v>701000</v>
      </c>
      <c r="M489" s="97" t="s">
        <v>62</v>
      </c>
      <c r="N489" s="97" t="s">
        <v>33</v>
      </c>
      <c r="O489">
        <v>1456</v>
      </c>
      <c r="P489">
        <v>1.4</v>
      </c>
      <c r="Q489">
        <v>2.04</v>
      </c>
      <c r="R489" s="97" t="s">
        <v>1198</v>
      </c>
      <c r="S489" s="97" t="s">
        <v>195</v>
      </c>
    </row>
    <row r="490" spans="1:19" x14ac:dyDescent="0.3">
      <c r="A490" s="97" t="s">
        <v>603</v>
      </c>
      <c r="B490" s="97" t="s">
        <v>23</v>
      </c>
      <c r="C490">
        <v>2026</v>
      </c>
      <c r="D490">
        <v>1</v>
      </c>
      <c r="E490" s="2">
        <v>46041</v>
      </c>
      <c r="F490" s="97" t="s">
        <v>7</v>
      </c>
      <c r="G490" s="97" t="s">
        <v>8</v>
      </c>
      <c r="H490" s="97" t="s">
        <v>70</v>
      </c>
      <c r="I490" s="97" t="s">
        <v>75</v>
      </c>
      <c r="J490" s="97" t="s">
        <v>76</v>
      </c>
      <c r="K490" s="97" t="s">
        <v>73</v>
      </c>
      <c r="L490">
        <v>701000</v>
      </c>
      <c r="M490" s="97" t="s">
        <v>62</v>
      </c>
      <c r="N490" s="97" t="s">
        <v>33</v>
      </c>
      <c r="O490">
        <v>1839</v>
      </c>
      <c r="P490">
        <v>1.4</v>
      </c>
      <c r="Q490">
        <v>2.57</v>
      </c>
      <c r="R490" s="97" t="s">
        <v>1205</v>
      </c>
      <c r="S490" s="97" t="s">
        <v>195</v>
      </c>
    </row>
    <row r="491" spans="1:19" x14ac:dyDescent="0.3">
      <c r="A491" s="97" t="s">
        <v>604</v>
      </c>
      <c r="B491" s="97" t="s">
        <v>23</v>
      </c>
      <c r="C491">
        <v>2026</v>
      </c>
      <c r="D491">
        <v>1</v>
      </c>
      <c r="E491" s="2">
        <v>46041</v>
      </c>
      <c r="F491" s="97" t="s">
        <v>7</v>
      </c>
      <c r="G491" s="97" t="s">
        <v>8</v>
      </c>
      <c r="H491" s="97" t="s">
        <v>70</v>
      </c>
      <c r="I491" s="97" t="s">
        <v>75</v>
      </c>
      <c r="J491" s="97" t="s">
        <v>76</v>
      </c>
      <c r="K491" s="97" t="s">
        <v>73</v>
      </c>
      <c r="L491">
        <v>701000</v>
      </c>
      <c r="M491" s="97" t="s">
        <v>62</v>
      </c>
      <c r="N491" s="97" t="s">
        <v>33</v>
      </c>
      <c r="O491">
        <v>829</v>
      </c>
      <c r="P491">
        <v>1.41</v>
      </c>
      <c r="Q491">
        <v>1.17</v>
      </c>
      <c r="R491" s="97" t="s">
        <v>1197</v>
      </c>
      <c r="S491" s="97" t="s">
        <v>195</v>
      </c>
    </row>
    <row r="492" spans="1:19" x14ac:dyDescent="0.3">
      <c r="A492" s="97" t="s">
        <v>890</v>
      </c>
      <c r="B492" s="97" t="s">
        <v>23</v>
      </c>
      <c r="C492">
        <v>2026</v>
      </c>
      <c r="D492">
        <v>1</v>
      </c>
      <c r="E492" s="2">
        <v>46041</v>
      </c>
      <c r="F492" s="97" t="s">
        <v>7</v>
      </c>
      <c r="G492" s="97" t="s">
        <v>8</v>
      </c>
      <c r="H492" s="97" t="s">
        <v>74</v>
      </c>
      <c r="I492" s="97" t="s">
        <v>82</v>
      </c>
      <c r="J492" s="97" t="s">
        <v>83</v>
      </c>
      <c r="K492" s="97" t="s">
        <v>73</v>
      </c>
      <c r="L492">
        <v>701000</v>
      </c>
      <c r="M492" s="97" t="s">
        <v>62</v>
      </c>
      <c r="N492" s="97" t="s">
        <v>33</v>
      </c>
      <c r="O492">
        <v>42</v>
      </c>
      <c r="P492">
        <v>18.329999999999998</v>
      </c>
      <c r="Q492">
        <v>0.77</v>
      </c>
      <c r="R492" s="97" t="s">
        <v>1203</v>
      </c>
      <c r="S492" s="97" t="s">
        <v>195</v>
      </c>
    </row>
    <row r="493" spans="1:19" x14ac:dyDescent="0.3">
      <c r="A493" s="97" t="s">
        <v>891</v>
      </c>
      <c r="B493" s="97" t="s">
        <v>23</v>
      </c>
      <c r="C493">
        <v>2026</v>
      </c>
      <c r="D493">
        <v>1</v>
      </c>
      <c r="E493" s="2">
        <v>46041</v>
      </c>
      <c r="F493" s="97" t="s">
        <v>7</v>
      </c>
      <c r="G493" s="97" t="s">
        <v>8</v>
      </c>
      <c r="H493" s="97" t="s">
        <v>74</v>
      </c>
      <c r="I493" s="97" t="s">
        <v>82</v>
      </c>
      <c r="J493" s="97" t="s">
        <v>83</v>
      </c>
      <c r="K493" s="97" t="s">
        <v>73</v>
      </c>
      <c r="L493">
        <v>701000</v>
      </c>
      <c r="M493" s="97" t="s">
        <v>62</v>
      </c>
      <c r="N493" s="97" t="s">
        <v>33</v>
      </c>
      <c r="O493">
        <v>111</v>
      </c>
      <c r="P493">
        <v>18.47</v>
      </c>
      <c r="Q493">
        <v>2.0499999999999998</v>
      </c>
      <c r="R493" s="97" t="s">
        <v>1200</v>
      </c>
      <c r="S493" s="97" t="s">
        <v>195</v>
      </c>
    </row>
    <row r="494" spans="1:19" x14ac:dyDescent="0.3">
      <c r="A494" s="97" t="s">
        <v>892</v>
      </c>
      <c r="B494" s="97" t="s">
        <v>23</v>
      </c>
      <c r="C494">
        <v>2026</v>
      </c>
      <c r="D494">
        <v>1</v>
      </c>
      <c r="E494" s="2">
        <v>46041</v>
      </c>
      <c r="F494" s="97" t="s">
        <v>7</v>
      </c>
      <c r="G494" s="97" t="s">
        <v>8</v>
      </c>
      <c r="H494" s="97" t="s">
        <v>74</v>
      </c>
      <c r="I494" s="97" t="s">
        <v>82</v>
      </c>
      <c r="J494" s="97" t="s">
        <v>83</v>
      </c>
      <c r="K494" s="97" t="s">
        <v>73</v>
      </c>
      <c r="L494">
        <v>701000</v>
      </c>
      <c r="M494" s="97" t="s">
        <v>62</v>
      </c>
      <c r="N494" s="97" t="s">
        <v>33</v>
      </c>
      <c r="O494">
        <v>166</v>
      </c>
      <c r="P494">
        <v>18.55</v>
      </c>
      <c r="Q494">
        <v>3.08</v>
      </c>
      <c r="R494" s="97" t="s">
        <v>1202</v>
      </c>
      <c r="S494" s="97" t="s">
        <v>195</v>
      </c>
    </row>
    <row r="495" spans="1:19" x14ac:dyDescent="0.3">
      <c r="A495" s="97" t="s">
        <v>893</v>
      </c>
      <c r="B495" s="97" t="s">
        <v>23</v>
      </c>
      <c r="C495">
        <v>2026</v>
      </c>
      <c r="D495">
        <v>1</v>
      </c>
      <c r="E495" s="2">
        <v>46041</v>
      </c>
      <c r="F495" s="97" t="s">
        <v>7</v>
      </c>
      <c r="G495" s="97" t="s">
        <v>8</v>
      </c>
      <c r="H495" s="97" t="s">
        <v>74</v>
      </c>
      <c r="I495" s="97" t="s">
        <v>82</v>
      </c>
      <c r="J495" s="97" t="s">
        <v>83</v>
      </c>
      <c r="K495" s="97" t="s">
        <v>73</v>
      </c>
      <c r="L495">
        <v>701000</v>
      </c>
      <c r="M495" s="97" t="s">
        <v>62</v>
      </c>
      <c r="N495" s="97" t="s">
        <v>33</v>
      </c>
      <c r="O495">
        <v>354</v>
      </c>
      <c r="P495">
        <v>18.5</v>
      </c>
      <c r="Q495">
        <v>6.55</v>
      </c>
      <c r="R495" s="97" t="s">
        <v>1204</v>
      </c>
      <c r="S495" s="97" t="s">
        <v>195</v>
      </c>
    </row>
    <row r="496" spans="1:19" x14ac:dyDescent="0.3">
      <c r="A496" s="97" t="s">
        <v>894</v>
      </c>
      <c r="B496" s="97" t="s">
        <v>23</v>
      </c>
      <c r="C496">
        <v>2026</v>
      </c>
      <c r="D496">
        <v>1</v>
      </c>
      <c r="E496" s="2">
        <v>46041</v>
      </c>
      <c r="F496" s="97" t="s">
        <v>7</v>
      </c>
      <c r="G496" s="97" t="s">
        <v>8</v>
      </c>
      <c r="H496" s="97" t="s">
        <v>74</v>
      </c>
      <c r="I496" s="97" t="s">
        <v>82</v>
      </c>
      <c r="J496" s="97" t="s">
        <v>83</v>
      </c>
      <c r="K496" s="97" t="s">
        <v>73</v>
      </c>
      <c r="L496">
        <v>701000</v>
      </c>
      <c r="M496" s="97" t="s">
        <v>62</v>
      </c>
      <c r="N496" s="97" t="s">
        <v>33</v>
      </c>
      <c r="O496">
        <v>146</v>
      </c>
      <c r="P496">
        <v>18.559999999999999</v>
      </c>
      <c r="Q496">
        <v>2.71</v>
      </c>
      <c r="R496" s="97" t="s">
        <v>1205</v>
      </c>
      <c r="S496" s="97" t="s">
        <v>195</v>
      </c>
    </row>
    <row r="497" spans="1:19" x14ac:dyDescent="0.3">
      <c r="A497" s="97" t="s">
        <v>250</v>
      </c>
      <c r="B497" s="97" t="s">
        <v>23</v>
      </c>
      <c r="C497">
        <v>2026</v>
      </c>
      <c r="D497">
        <v>1</v>
      </c>
      <c r="E497" s="2">
        <v>46042</v>
      </c>
      <c r="F497" s="97" t="s">
        <v>7</v>
      </c>
      <c r="G497" s="97" t="s">
        <v>8</v>
      </c>
      <c r="H497" s="97" t="s">
        <v>70</v>
      </c>
      <c r="I497" s="97" t="s">
        <v>84</v>
      </c>
      <c r="J497" s="97" t="s">
        <v>85</v>
      </c>
      <c r="K497" s="97" t="s">
        <v>73</v>
      </c>
      <c r="L497">
        <v>701000</v>
      </c>
      <c r="M497" s="97" t="s">
        <v>62</v>
      </c>
      <c r="N497" s="97" t="s">
        <v>33</v>
      </c>
      <c r="O497">
        <v>2246</v>
      </c>
      <c r="P497">
        <v>0.95</v>
      </c>
      <c r="Q497">
        <v>2.13</v>
      </c>
      <c r="R497" s="97" t="s">
        <v>1198</v>
      </c>
      <c r="S497" s="97" t="s">
        <v>195</v>
      </c>
    </row>
    <row r="498" spans="1:19" x14ac:dyDescent="0.3">
      <c r="A498" s="97" t="s">
        <v>251</v>
      </c>
      <c r="B498" s="97" t="s">
        <v>23</v>
      </c>
      <c r="C498">
        <v>2026</v>
      </c>
      <c r="D498">
        <v>1</v>
      </c>
      <c r="E498" s="2">
        <v>46042</v>
      </c>
      <c r="F498" s="97" t="s">
        <v>7</v>
      </c>
      <c r="G498" s="97" t="s">
        <v>8</v>
      </c>
      <c r="H498" s="97" t="s">
        <v>70</v>
      </c>
      <c r="I498" s="97" t="s">
        <v>84</v>
      </c>
      <c r="J498" s="97" t="s">
        <v>85</v>
      </c>
      <c r="K498" s="97" t="s">
        <v>73</v>
      </c>
      <c r="L498">
        <v>701000</v>
      </c>
      <c r="M498" s="97" t="s">
        <v>62</v>
      </c>
      <c r="N498" s="97" t="s">
        <v>33</v>
      </c>
      <c r="O498">
        <v>1976</v>
      </c>
      <c r="P498">
        <v>0.95</v>
      </c>
      <c r="Q498">
        <v>1.88</v>
      </c>
      <c r="R498" s="97" t="s">
        <v>1197</v>
      </c>
      <c r="S498" s="97" t="s">
        <v>195</v>
      </c>
    </row>
    <row r="499" spans="1:19" x14ac:dyDescent="0.3">
      <c r="A499" s="97" t="s">
        <v>252</v>
      </c>
      <c r="B499" s="97" t="s">
        <v>23</v>
      </c>
      <c r="C499">
        <v>2026</v>
      </c>
      <c r="D499">
        <v>1</v>
      </c>
      <c r="E499" s="2">
        <v>46042</v>
      </c>
      <c r="F499" s="97" t="s">
        <v>7</v>
      </c>
      <c r="G499" s="97" t="s">
        <v>8</v>
      </c>
      <c r="H499" s="97" t="s">
        <v>70</v>
      </c>
      <c r="I499" s="97" t="s">
        <v>84</v>
      </c>
      <c r="J499" s="97" t="s">
        <v>85</v>
      </c>
      <c r="K499" s="97" t="s">
        <v>73</v>
      </c>
      <c r="L499">
        <v>701000</v>
      </c>
      <c r="M499" s="97" t="s">
        <v>62</v>
      </c>
      <c r="N499" s="97" t="s">
        <v>33</v>
      </c>
      <c r="O499">
        <v>5054</v>
      </c>
      <c r="P499">
        <v>0.95</v>
      </c>
      <c r="Q499">
        <v>4.8</v>
      </c>
      <c r="R499" s="97" t="s">
        <v>1201</v>
      </c>
      <c r="S499" s="97" t="s">
        <v>195</v>
      </c>
    </row>
    <row r="500" spans="1:19" x14ac:dyDescent="0.3">
      <c r="A500" s="97" t="s">
        <v>253</v>
      </c>
      <c r="B500" s="97" t="s">
        <v>23</v>
      </c>
      <c r="C500">
        <v>2026</v>
      </c>
      <c r="D500">
        <v>1</v>
      </c>
      <c r="E500" s="2">
        <v>46042</v>
      </c>
      <c r="F500" s="97" t="s">
        <v>7</v>
      </c>
      <c r="G500" s="97" t="s">
        <v>8</v>
      </c>
      <c r="H500" s="97" t="s">
        <v>70</v>
      </c>
      <c r="I500" s="97" t="s">
        <v>84</v>
      </c>
      <c r="J500" s="97" t="s">
        <v>85</v>
      </c>
      <c r="K500" s="97" t="s">
        <v>73</v>
      </c>
      <c r="L500">
        <v>701000</v>
      </c>
      <c r="M500" s="97" t="s">
        <v>62</v>
      </c>
      <c r="N500" s="97" t="s">
        <v>33</v>
      </c>
      <c r="O500">
        <v>272</v>
      </c>
      <c r="P500">
        <v>0.96</v>
      </c>
      <c r="Q500">
        <v>0.26</v>
      </c>
      <c r="R500" s="97" t="s">
        <v>1204</v>
      </c>
      <c r="S500" s="97" t="s">
        <v>195</v>
      </c>
    </row>
    <row r="501" spans="1:19" x14ac:dyDescent="0.3">
      <c r="A501" s="97" t="s">
        <v>254</v>
      </c>
      <c r="B501" s="97" t="s">
        <v>23</v>
      </c>
      <c r="C501">
        <v>2026</v>
      </c>
      <c r="D501">
        <v>1</v>
      </c>
      <c r="E501" s="2">
        <v>46042</v>
      </c>
      <c r="F501" s="97" t="s">
        <v>7</v>
      </c>
      <c r="G501" s="97" t="s">
        <v>8</v>
      </c>
      <c r="H501" s="97" t="s">
        <v>70</v>
      </c>
      <c r="I501" s="97" t="s">
        <v>84</v>
      </c>
      <c r="J501" s="97" t="s">
        <v>85</v>
      </c>
      <c r="K501" s="97" t="s">
        <v>73</v>
      </c>
      <c r="L501">
        <v>701000</v>
      </c>
      <c r="M501" s="97" t="s">
        <v>62</v>
      </c>
      <c r="N501" s="97" t="s">
        <v>33</v>
      </c>
      <c r="O501">
        <v>5874</v>
      </c>
      <c r="P501">
        <v>0.95</v>
      </c>
      <c r="Q501">
        <v>5.58</v>
      </c>
      <c r="R501" s="97" t="s">
        <v>1200</v>
      </c>
      <c r="S501" s="97" t="s">
        <v>195</v>
      </c>
    </row>
    <row r="502" spans="1:19" x14ac:dyDescent="0.3">
      <c r="A502" s="97" t="s">
        <v>385</v>
      </c>
      <c r="B502" s="97" t="s">
        <v>23</v>
      </c>
      <c r="C502">
        <v>2026</v>
      </c>
      <c r="D502">
        <v>1</v>
      </c>
      <c r="E502" s="2">
        <v>46042</v>
      </c>
      <c r="F502" s="97" t="s">
        <v>7</v>
      </c>
      <c r="G502" s="97" t="s">
        <v>8</v>
      </c>
      <c r="H502" s="97" t="s">
        <v>70</v>
      </c>
      <c r="I502" s="97" t="s">
        <v>71</v>
      </c>
      <c r="J502" s="97" t="s">
        <v>72</v>
      </c>
      <c r="K502" s="97" t="s">
        <v>73</v>
      </c>
      <c r="L502">
        <v>701000</v>
      </c>
      <c r="M502" s="97" t="s">
        <v>62</v>
      </c>
      <c r="N502" s="97" t="s">
        <v>33</v>
      </c>
      <c r="O502">
        <v>3596</v>
      </c>
      <c r="P502">
        <v>1.05</v>
      </c>
      <c r="Q502">
        <v>3.78</v>
      </c>
      <c r="R502" s="97" t="s">
        <v>1198</v>
      </c>
      <c r="S502" s="97" t="s">
        <v>195</v>
      </c>
    </row>
    <row r="503" spans="1:19" x14ac:dyDescent="0.3">
      <c r="A503" s="97" t="s">
        <v>386</v>
      </c>
      <c r="B503" s="97" t="s">
        <v>23</v>
      </c>
      <c r="C503">
        <v>2026</v>
      </c>
      <c r="D503">
        <v>1</v>
      </c>
      <c r="E503" s="2">
        <v>46042</v>
      </c>
      <c r="F503" s="97" t="s">
        <v>7</v>
      </c>
      <c r="G503" s="97" t="s">
        <v>8</v>
      </c>
      <c r="H503" s="97" t="s">
        <v>70</v>
      </c>
      <c r="I503" s="97" t="s">
        <v>71</v>
      </c>
      <c r="J503" s="97" t="s">
        <v>72</v>
      </c>
      <c r="K503" s="97" t="s">
        <v>73</v>
      </c>
      <c r="L503">
        <v>701000</v>
      </c>
      <c r="M503" s="97" t="s">
        <v>62</v>
      </c>
      <c r="N503" s="97" t="s">
        <v>33</v>
      </c>
      <c r="O503">
        <v>1372</v>
      </c>
      <c r="P503">
        <v>1.05</v>
      </c>
      <c r="Q503">
        <v>1.44</v>
      </c>
      <c r="R503" s="97" t="s">
        <v>1205</v>
      </c>
      <c r="S503" s="97" t="s">
        <v>195</v>
      </c>
    </row>
    <row r="504" spans="1:19" x14ac:dyDescent="0.3">
      <c r="A504" s="97" t="s">
        <v>387</v>
      </c>
      <c r="B504" s="97" t="s">
        <v>23</v>
      </c>
      <c r="C504">
        <v>2026</v>
      </c>
      <c r="D504">
        <v>1</v>
      </c>
      <c r="E504" s="2">
        <v>46042</v>
      </c>
      <c r="F504" s="97" t="s">
        <v>7</v>
      </c>
      <c r="G504" s="97" t="s">
        <v>8</v>
      </c>
      <c r="H504" s="97" t="s">
        <v>70</v>
      </c>
      <c r="I504" s="97" t="s">
        <v>71</v>
      </c>
      <c r="J504" s="97" t="s">
        <v>72</v>
      </c>
      <c r="K504" s="97" t="s">
        <v>73</v>
      </c>
      <c r="L504">
        <v>701000</v>
      </c>
      <c r="M504" s="97" t="s">
        <v>62</v>
      </c>
      <c r="N504" s="97" t="s">
        <v>33</v>
      </c>
      <c r="O504">
        <v>465</v>
      </c>
      <c r="P504">
        <v>1.05</v>
      </c>
      <c r="Q504">
        <v>0.49</v>
      </c>
      <c r="R504" s="97" t="s">
        <v>1202</v>
      </c>
      <c r="S504" s="97" t="s">
        <v>195</v>
      </c>
    </row>
    <row r="505" spans="1:19" x14ac:dyDescent="0.3">
      <c r="A505" s="97" t="s">
        <v>388</v>
      </c>
      <c r="B505" s="97" t="s">
        <v>23</v>
      </c>
      <c r="C505">
        <v>2026</v>
      </c>
      <c r="D505">
        <v>1</v>
      </c>
      <c r="E505" s="2">
        <v>46042</v>
      </c>
      <c r="F505" s="97" t="s">
        <v>7</v>
      </c>
      <c r="G505" s="97" t="s">
        <v>8</v>
      </c>
      <c r="H505" s="97" t="s">
        <v>70</v>
      </c>
      <c r="I505" s="97" t="s">
        <v>71</v>
      </c>
      <c r="J505" s="97" t="s">
        <v>72</v>
      </c>
      <c r="K505" s="97" t="s">
        <v>73</v>
      </c>
      <c r="L505">
        <v>701000</v>
      </c>
      <c r="M505" s="97" t="s">
        <v>62</v>
      </c>
      <c r="N505" s="97" t="s">
        <v>33</v>
      </c>
      <c r="O505">
        <v>1217</v>
      </c>
      <c r="P505">
        <v>1.05</v>
      </c>
      <c r="Q505">
        <v>1.28</v>
      </c>
      <c r="R505" s="97" t="s">
        <v>1197</v>
      </c>
      <c r="S505" s="97" t="s">
        <v>195</v>
      </c>
    </row>
    <row r="506" spans="1:19" x14ac:dyDescent="0.3">
      <c r="A506" s="97" t="s">
        <v>389</v>
      </c>
      <c r="B506" s="97" t="s">
        <v>23</v>
      </c>
      <c r="C506">
        <v>2026</v>
      </c>
      <c r="D506">
        <v>1</v>
      </c>
      <c r="E506" s="2">
        <v>46042</v>
      </c>
      <c r="F506" s="97" t="s">
        <v>7</v>
      </c>
      <c r="G506" s="97" t="s">
        <v>8</v>
      </c>
      <c r="H506" s="97" t="s">
        <v>70</v>
      </c>
      <c r="I506" s="97" t="s">
        <v>71</v>
      </c>
      <c r="J506" s="97" t="s">
        <v>72</v>
      </c>
      <c r="K506" s="97" t="s">
        <v>73</v>
      </c>
      <c r="L506">
        <v>701000</v>
      </c>
      <c r="M506" s="97" t="s">
        <v>62</v>
      </c>
      <c r="N506" s="97" t="s">
        <v>33</v>
      </c>
      <c r="O506">
        <v>3053</v>
      </c>
      <c r="P506">
        <v>1.05</v>
      </c>
      <c r="Q506">
        <v>3.2</v>
      </c>
      <c r="R506" s="97" t="s">
        <v>1199</v>
      </c>
      <c r="S506" s="97" t="s">
        <v>195</v>
      </c>
    </row>
    <row r="507" spans="1:19" x14ac:dyDescent="0.3">
      <c r="A507" s="97" t="s">
        <v>515</v>
      </c>
      <c r="B507" s="97" t="s">
        <v>23</v>
      </c>
      <c r="C507">
        <v>2026</v>
      </c>
      <c r="D507">
        <v>1</v>
      </c>
      <c r="E507" s="2">
        <v>46042</v>
      </c>
      <c r="F507" s="97" t="s">
        <v>7</v>
      </c>
      <c r="G507" s="97" t="s">
        <v>8</v>
      </c>
      <c r="H507" s="97" t="s">
        <v>74</v>
      </c>
      <c r="I507" s="97" t="s">
        <v>71</v>
      </c>
      <c r="J507" s="97" t="s">
        <v>72</v>
      </c>
      <c r="K507" s="97" t="s">
        <v>73</v>
      </c>
      <c r="L507">
        <v>701000</v>
      </c>
      <c r="M507" s="97" t="s">
        <v>62</v>
      </c>
      <c r="N507" s="97" t="s">
        <v>33</v>
      </c>
      <c r="O507">
        <v>808</v>
      </c>
      <c r="P507">
        <v>1.05</v>
      </c>
      <c r="Q507">
        <v>0.85</v>
      </c>
      <c r="R507" s="97" t="s">
        <v>1202</v>
      </c>
      <c r="S507" s="97" t="s">
        <v>195</v>
      </c>
    </row>
    <row r="508" spans="1:19" x14ac:dyDescent="0.3">
      <c r="A508" s="97" t="s">
        <v>516</v>
      </c>
      <c r="B508" s="97" t="s">
        <v>23</v>
      </c>
      <c r="C508">
        <v>2026</v>
      </c>
      <c r="D508">
        <v>1</v>
      </c>
      <c r="E508" s="2">
        <v>46042</v>
      </c>
      <c r="F508" s="97" t="s">
        <v>7</v>
      </c>
      <c r="G508" s="97" t="s">
        <v>8</v>
      </c>
      <c r="H508" s="97" t="s">
        <v>74</v>
      </c>
      <c r="I508" s="97" t="s">
        <v>71</v>
      </c>
      <c r="J508" s="97" t="s">
        <v>72</v>
      </c>
      <c r="K508" s="97" t="s">
        <v>73</v>
      </c>
      <c r="L508">
        <v>701000</v>
      </c>
      <c r="M508" s="97" t="s">
        <v>62</v>
      </c>
      <c r="N508" s="97" t="s">
        <v>33</v>
      </c>
      <c r="O508">
        <v>1889</v>
      </c>
      <c r="P508">
        <v>1.05</v>
      </c>
      <c r="Q508">
        <v>1.98</v>
      </c>
      <c r="R508" s="97" t="s">
        <v>1198</v>
      </c>
      <c r="S508" s="97" t="s">
        <v>195</v>
      </c>
    </row>
    <row r="509" spans="1:19" x14ac:dyDescent="0.3">
      <c r="A509" s="97" t="s">
        <v>517</v>
      </c>
      <c r="B509" s="97" t="s">
        <v>23</v>
      </c>
      <c r="C509">
        <v>2026</v>
      </c>
      <c r="D509">
        <v>1</v>
      </c>
      <c r="E509" s="2">
        <v>46042</v>
      </c>
      <c r="F509" s="97" t="s">
        <v>7</v>
      </c>
      <c r="G509" s="97" t="s">
        <v>8</v>
      </c>
      <c r="H509" s="97" t="s">
        <v>74</v>
      </c>
      <c r="I509" s="97" t="s">
        <v>71</v>
      </c>
      <c r="J509" s="97" t="s">
        <v>72</v>
      </c>
      <c r="K509" s="97" t="s">
        <v>73</v>
      </c>
      <c r="L509">
        <v>701000</v>
      </c>
      <c r="M509" s="97" t="s">
        <v>62</v>
      </c>
      <c r="N509" s="97" t="s">
        <v>33</v>
      </c>
      <c r="O509">
        <v>1969</v>
      </c>
      <c r="P509">
        <v>1.05</v>
      </c>
      <c r="Q509">
        <v>2.0699999999999998</v>
      </c>
      <c r="R509" s="97" t="s">
        <v>1203</v>
      </c>
      <c r="S509" s="97" t="s">
        <v>195</v>
      </c>
    </row>
    <row r="510" spans="1:19" x14ac:dyDescent="0.3">
      <c r="A510" s="97" t="s">
        <v>518</v>
      </c>
      <c r="B510" s="97" t="s">
        <v>23</v>
      </c>
      <c r="C510">
        <v>2026</v>
      </c>
      <c r="D510">
        <v>1</v>
      </c>
      <c r="E510" s="2">
        <v>46042</v>
      </c>
      <c r="F510" s="97" t="s">
        <v>7</v>
      </c>
      <c r="G510" s="97" t="s">
        <v>8</v>
      </c>
      <c r="H510" s="97" t="s">
        <v>74</v>
      </c>
      <c r="I510" s="97" t="s">
        <v>71</v>
      </c>
      <c r="J510" s="97" t="s">
        <v>72</v>
      </c>
      <c r="K510" s="97" t="s">
        <v>73</v>
      </c>
      <c r="L510">
        <v>701000</v>
      </c>
      <c r="M510" s="97" t="s">
        <v>62</v>
      </c>
      <c r="N510" s="97" t="s">
        <v>33</v>
      </c>
      <c r="O510">
        <v>1009</v>
      </c>
      <c r="P510">
        <v>1.05</v>
      </c>
      <c r="Q510">
        <v>1.06</v>
      </c>
      <c r="R510" s="97" t="s">
        <v>1199</v>
      </c>
      <c r="S510" s="97" t="s">
        <v>195</v>
      </c>
    </row>
    <row r="511" spans="1:19" x14ac:dyDescent="0.3">
      <c r="A511" s="97" t="s">
        <v>519</v>
      </c>
      <c r="B511" s="97" t="s">
        <v>23</v>
      </c>
      <c r="C511">
        <v>2026</v>
      </c>
      <c r="D511">
        <v>1</v>
      </c>
      <c r="E511" s="2">
        <v>46042</v>
      </c>
      <c r="F511" s="97" t="s">
        <v>7</v>
      </c>
      <c r="G511" s="97" t="s">
        <v>8</v>
      </c>
      <c r="H511" s="97" t="s">
        <v>74</v>
      </c>
      <c r="I511" s="97" t="s">
        <v>71</v>
      </c>
      <c r="J511" s="97" t="s">
        <v>72</v>
      </c>
      <c r="K511" s="97" t="s">
        <v>73</v>
      </c>
      <c r="L511">
        <v>701000</v>
      </c>
      <c r="M511" s="97" t="s">
        <v>62</v>
      </c>
      <c r="N511" s="97" t="s">
        <v>33</v>
      </c>
      <c r="O511">
        <v>1813</v>
      </c>
      <c r="P511">
        <v>1.05</v>
      </c>
      <c r="Q511">
        <v>1.9</v>
      </c>
      <c r="R511" s="97" t="s">
        <v>1197</v>
      </c>
      <c r="S511" s="97" t="s">
        <v>195</v>
      </c>
    </row>
    <row r="512" spans="1:19" x14ac:dyDescent="0.3">
      <c r="A512" s="97" t="s">
        <v>695</v>
      </c>
      <c r="B512" s="97" t="s">
        <v>23</v>
      </c>
      <c r="C512">
        <v>2026</v>
      </c>
      <c r="D512">
        <v>1</v>
      </c>
      <c r="E512" s="2">
        <v>46042</v>
      </c>
      <c r="F512" s="97" t="s">
        <v>7</v>
      </c>
      <c r="G512" s="97" t="s">
        <v>8</v>
      </c>
      <c r="H512" s="97" t="s">
        <v>70</v>
      </c>
      <c r="I512" s="97" t="s">
        <v>77</v>
      </c>
      <c r="J512" s="97" t="s">
        <v>78</v>
      </c>
      <c r="K512" s="97" t="s">
        <v>73</v>
      </c>
      <c r="L512">
        <v>701000</v>
      </c>
      <c r="M512" s="97" t="s">
        <v>62</v>
      </c>
      <c r="N512" s="97" t="s">
        <v>33</v>
      </c>
      <c r="O512">
        <v>437</v>
      </c>
      <c r="P512">
        <v>1.81</v>
      </c>
      <c r="Q512">
        <v>0.79</v>
      </c>
      <c r="R512" s="97" t="s">
        <v>1203</v>
      </c>
      <c r="S512" s="97" t="s">
        <v>195</v>
      </c>
    </row>
    <row r="513" spans="1:19" x14ac:dyDescent="0.3">
      <c r="A513" s="97" t="s">
        <v>696</v>
      </c>
      <c r="B513" s="97" t="s">
        <v>23</v>
      </c>
      <c r="C513">
        <v>2026</v>
      </c>
      <c r="D513">
        <v>1</v>
      </c>
      <c r="E513" s="2">
        <v>46042</v>
      </c>
      <c r="F513" s="97" t="s">
        <v>7</v>
      </c>
      <c r="G513" s="97" t="s">
        <v>8</v>
      </c>
      <c r="H513" s="97" t="s">
        <v>70</v>
      </c>
      <c r="I513" s="97" t="s">
        <v>77</v>
      </c>
      <c r="J513" s="97" t="s">
        <v>78</v>
      </c>
      <c r="K513" s="97" t="s">
        <v>73</v>
      </c>
      <c r="L513">
        <v>701000</v>
      </c>
      <c r="M513" s="97" t="s">
        <v>62</v>
      </c>
      <c r="N513" s="97" t="s">
        <v>33</v>
      </c>
      <c r="O513">
        <v>577</v>
      </c>
      <c r="P513">
        <v>1.8</v>
      </c>
      <c r="Q513">
        <v>1.04</v>
      </c>
      <c r="R513" s="97" t="s">
        <v>1200</v>
      </c>
      <c r="S513" s="97" t="s">
        <v>195</v>
      </c>
    </row>
    <row r="514" spans="1:19" x14ac:dyDescent="0.3">
      <c r="A514" s="97" t="s">
        <v>697</v>
      </c>
      <c r="B514" s="97" t="s">
        <v>23</v>
      </c>
      <c r="C514">
        <v>2026</v>
      </c>
      <c r="D514">
        <v>1</v>
      </c>
      <c r="E514" s="2">
        <v>46042</v>
      </c>
      <c r="F514" s="97" t="s">
        <v>7</v>
      </c>
      <c r="G514" s="97" t="s">
        <v>8</v>
      </c>
      <c r="H514" s="97" t="s">
        <v>70</v>
      </c>
      <c r="I514" s="97" t="s">
        <v>77</v>
      </c>
      <c r="J514" s="97" t="s">
        <v>78</v>
      </c>
      <c r="K514" s="97" t="s">
        <v>73</v>
      </c>
      <c r="L514">
        <v>701000</v>
      </c>
      <c r="M514" s="97" t="s">
        <v>62</v>
      </c>
      <c r="N514" s="97" t="s">
        <v>33</v>
      </c>
      <c r="O514">
        <v>1838</v>
      </c>
      <c r="P514">
        <v>1.8</v>
      </c>
      <c r="Q514">
        <v>3.31</v>
      </c>
      <c r="R514" s="97" t="s">
        <v>1205</v>
      </c>
      <c r="S514" s="97" t="s">
        <v>195</v>
      </c>
    </row>
    <row r="515" spans="1:19" x14ac:dyDescent="0.3">
      <c r="A515" s="97" t="s">
        <v>698</v>
      </c>
      <c r="B515" s="97" t="s">
        <v>23</v>
      </c>
      <c r="C515">
        <v>2026</v>
      </c>
      <c r="D515">
        <v>1</v>
      </c>
      <c r="E515" s="2">
        <v>46042</v>
      </c>
      <c r="F515" s="97" t="s">
        <v>7</v>
      </c>
      <c r="G515" s="97" t="s">
        <v>8</v>
      </c>
      <c r="H515" s="97" t="s">
        <v>70</v>
      </c>
      <c r="I515" s="97" t="s">
        <v>77</v>
      </c>
      <c r="J515" s="97" t="s">
        <v>78</v>
      </c>
      <c r="K515" s="97" t="s">
        <v>73</v>
      </c>
      <c r="L515">
        <v>701000</v>
      </c>
      <c r="M515" s="97" t="s">
        <v>62</v>
      </c>
      <c r="N515" s="97" t="s">
        <v>33</v>
      </c>
      <c r="O515">
        <v>2080</v>
      </c>
      <c r="P515">
        <v>1.8</v>
      </c>
      <c r="Q515">
        <v>3.74</v>
      </c>
      <c r="R515" s="97" t="s">
        <v>1202</v>
      </c>
      <c r="S515" s="97" t="s">
        <v>195</v>
      </c>
    </row>
    <row r="516" spans="1:19" x14ac:dyDescent="0.3">
      <c r="A516" s="97" t="s">
        <v>699</v>
      </c>
      <c r="B516" s="97" t="s">
        <v>23</v>
      </c>
      <c r="C516">
        <v>2026</v>
      </c>
      <c r="D516">
        <v>1</v>
      </c>
      <c r="E516" s="2">
        <v>46042</v>
      </c>
      <c r="F516" s="97" t="s">
        <v>7</v>
      </c>
      <c r="G516" s="97" t="s">
        <v>8</v>
      </c>
      <c r="H516" s="97" t="s">
        <v>70</v>
      </c>
      <c r="I516" s="97" t="s">
        <v>77</v>
      </c>
      <c r="J516" s="97" t="s">
        <v>78</v>
      </c>
      <c r="K516" s="97" t="s">
        <v>73</v>
      </c>
      <c r="L516">
        <v>701000</v>
      </c>
      <c r="M516" s="97" t="s">
        <v>62</v>
      </c>
      <c r="N516" s="97" t="s">
        <v>33</v>
      </c>
      <c r="O516">
        <v>1773</v>
      </c>
      <c r="P516">
        <v>1.8</v>
      </c>
      <c r="Q516">
        <v>3.19</v>
      </c>
      <c r="R516" s="97" t="s">
        <v>1199</v>
      </c>
      <c r="S516" s="97" t="s">
        <v>195</v>
      </c>
    </row>
    <row r="517" spans="1:19" x14ac:dyDescent="0.3">
      <c r="A517" s="97" t="s">
        <v>735</v>
      </c>
      <c r="B517" s="97" t="s">
        <v>23</v>
      </c>
      <c r="C517">
        <v>2026</v>
      </c>
      <c r="D517">
        <v>1</v>
      </c>
      <c r="E517" s="2">
        <v>46042</v>
      </c>
      <c r="F517" s="97" t="s">
        <v>7</v>
      </c>
      <c r="G517" s="97" t="s">
        <v>8</v>
      </c>
      <c r="H517" s="97" t="s">
        <v>70</v>
      </c>
      <c r="I517" s="97" t="s">
        <v>77</v>
      </c>
      <c r="J517" s="97" t="s">
        <v>78</v>
      </c>
      <c r="K517" s="97" t="s">
        <v>73</v>
      </c>
      <c r="L517">
        <v>701000</v>
      </c>
      <c r="M517" s="97" t="s">
        <v>62</v>
      </c>
      <c r="N517" s="97" t="s">
        <v>33</v>
      </c>
      <c r="O517">
        <v>740</v>
      </c>
      <c r="P517">
        <v>1.8</v>
      </c>
      <c r="Q517">
        <v>1.33</v>
      </c>
      <c r="R517" s="97" t="s">
        <v>1199</v>
      </c>
      <c r="S517" s="97" t="s">
        <v>195</v>
      </c>
    </row>
    <row r="518" spans="1:19" x14ac:dyDescent="0.3">
      <c r="A518" s="97" t="s">
        <v>736</v>
      </c>
      <c r="B518" s="97" t="s">
        <v>23</v>
      </c>
      <c r="C518">
        <v>2026</v>
      </c>
      <c r="D518">
        <v>1</v>
      </c>
      <c r="E518" s="2">
        <v>46042</v>
      </c>
      <c r="F518" s="97" t="s">
        <v>7</v>
      </c>
      <c r="G518" s="97" t="s">
        <v>8</v>
      </c>
      <c r="H518" s="97" t="s">
        <v>70</v>
      </c>
      <c r="I518" s="97" t="s">
        <v>77</v>
      </c>
      <c r="J518" s="97" t="s">
        <v>78</v>
      </c>
      <c r="K518" s="97" t="s">
        <v>73</v>
      </c>
      <c r="L518">
        <v>701000</v>
      </c>
      <c r="M518" s="97" t="s">
        <v>62</v>
      </c>
      <c r="N518" s="97" t="s">
        <v>33</v>
      </c>
      <c r="O518">
        <v>2260</v>
      </c>
      <c r="P518">
        <v>1.8</v>
      </c>
      <c r="Q518">
        <v>4.07</v>
      </c>
      <c r="R518" s="97" t="s">
        <v>1198</v>
      </c>
      <c r="S518" s="97" t="s">
        <v>195</v>
      </c>
    </row>
    <row r="519" spans="1:19" x14ac:dyDescent="0.3">
      <c r="A519" s="97" t="s">
        <v>737</v>
      </c>
      <c r="B519" s="97" t="s">
        <v>23</v>
      </c>
      <c r="C519">
        <v>2026</v>
      </c>
      <c r="D519">
        <v>1</v>
      </c>
      <c r="E519" s="2">
        <v>46042</v>
      </c>
      <c r="F519" s="97" t="s">
        <v>7</v>
      </c>
      <c r="G519" s="97" t="s">
        <v>8</v>
      </c>
      <c r="H519" s="97" t="s">
        <v>70</v>
      </c>
      <c r="I519" s="97" t="s">
        <v>77</v>
      </c>
      <c r="J519" s="97" t="s">
        <v>78</v>
      </c>
      <c r="K519" s="97" t="s">
        <v>73</v>
      </c>
      <c r="L519">
        <v>701000</v>
      </c>
      <c r="M519" s="97" t="s">
        <v>62</v>
      </c>
      <c r="N519" s="97" t="s">
        <v>33</v>
      </c>
      <c r="O519">
        <v>1305</v>
      </c>
      <c r="P519">
        <v>1.8</v>
      </c>
      <c r="Q519">
        <v>2.35</v>
      </c>
      <c r="R519" s="97" t="s">
        <v>1202</v>
      </c>
      <c r="S519" s="97" t="s">
        <v>195</v>
      </c>
    </row>
    <row r="520" spans="1:19" x14ac:dyDescent="0.3">
      <c r="A520" s="97" t="s">
        <v>738</v>
      </c>
      <c r="B520" s="97" t="s">
        <v>23</v>
      </c>
      <c r="C520">
        <v>2026</v>
      </c>
      <c r="D520">
        <v>1</v>
      </c>
      <c r="E520" s="2">
        <v>46042</v>
      </c>
      <c r="F520" s="97" t="s">
        <v>7</v>
      </c>
      <c r="G520" s="97" t="s">
        <v>8</v>
      </c>
      <c r="H520" s="97" t="s">
        <v>70</v>
      </c>
      <c r="I520" s="97" t="s">
        <v>77</v>
      </c>
      <c r="J520" s="97" t="s">
        <v>78</v>
      </c>
      <c r="K520" s="97" t="s">
        <v>73</v>
      </c>
      <c r="L520">
        <v>701000</v>
      </c>
      <c r="M520" s="97" t="s">
        <v>62</v>
      </c>
      <c r="N520" s="97" t="s">
        <v>33</v>
      </c>
      <c r="O520">
        <v>152</v>
      </c>
      <c r="P520">
        <v>1.78</v>
      </c>
      <c r="Q520">
        <v>0.27</v>
      </c>
      <c r="R520" s="97" t="s">
        <v>1201</v>
      </c>
      <c r="S520" s="97" t="s">
        <v>195</v>
      </c>
    </row>
    <row r="521" spans="1:19" x14ac:dyDescent="0.3">
      <c r="A521" s="97" t="s">
        <v>739</v>
      </c>
      <c r="B521" s="97" t="s">
        <v>23</v>
      </c>
      <c r="C521">
        <v>2026</v>
      </c>
      <c r="D521">
        <v>1</v>
      </c>
      <c r="E521" s="2">
        <v>46042</v>
      </c>
      <c r="F521" s="97" t="s">
        <v>7</v>
      </c>
      <c r="G521" s="97" t="s">
        <v>8</v>
      </c>
      <c r="H521" s="97" t="s">
        <v>70</v>
      </c>
      <c r="I521" s="97" t="s">
        <v>77</v>
      </c>
      <c r="J521" s="97" t="s">
        <v>78</v>
      </c>
      <c r="K521" s="97" t="s">
        <v>73</v>
      </c>
      <c r="L521">
        <v>701000</v>
      </c>
      <c r="M521" s="97" t="s">
        <v>62</v>
      </c>
      <c r="N521" s="97" t="s">
        <v>33</v>
      </c>
      <c r="O521">
        <v>2447</v>
      </c>
      <c r="P521">
        <v>1.8</v>
      </c>
      <c r="Q521">
        <v>4.41</v>
      </c>
      <c r="R521" s="97" t="s">
        <v>1197</v>
      </c>
      <c r="S521" s="97" t="s">
        <v>195</v>
      </c>
    </row>
    <row r="522" spans="1:19" x14ac:dyDescent="0.3">
      <c r="A522" s="97" t="s">
        <v>795</v>
      </c>
      <c r="B522" s="97" t="s">
        <v>23</v>
      </c>
      <c r="C522">
        <v>2026</v>
      </c>
      <c r="D522">
        <v>1</v>
      </c>
      <c r="E522" s="2">
        <v>46042</v>
      </c>
      <c r="F522" s="97" t="s">
        <v>7</v>
      </c>
      <c r="G522" s="97" t="s">
        <v>8</v>
      </c>
      <c r="H522" s="97" t="s">
        <v>74</v>
      </c>
      <c r="I522" s="97" t="s">
        <v>79</v>
      </c>
      <c r="J522" s="97" t="s">
        <v>80</v>
      </c>
      <c r="K522" s="97" t="s">
        <v>73</v>
      </c>
      <c r="L522">
        <v>701000</v>
      </c>
      <c r="M522" s="97" t="s">
        <v>62</v>
      </c>
      <c r="N522" s="97" t="s">
        <v>33</v>
      </c>
      <c r="O522">
        <v>2198</v>
      </c>
      <c r="P522">
        <v>2.6</v>
      </c>
      <c r="Q522">
        <v>5.72</v>
      </c>
      <c r="R522" s="97" t="s">
        <v>1200</v>
      </c>
      <c r="S522" s="97" t="s">
        <v>195</v>
      </c>
    </row>
    <row r="523" spans="1:19" x14ac:dyDescent="0.3">
      <c r="A523" s="97" t="s">
        <v>796</v>
      </c>
      <c r="B523" s="97" t="s">
        <v>23</v>
      </c>
      <c r="C523">
        <v>2026</v>
      </c>
      <c r="D523">
        <v>1</v>
      </c>
      <c r="E523" s="2">
        <v>46042</v>
      </c>
      <c r="F523" s="97" t="s">
        <v>7</v>
      </c>
      <c r="G523" s="97" t="s">
        <v>8</v>
      </c>
      <c r="H523" s="97" t="s">
        <v>74</v>
      </c>
      <c r="I523" s="97" t="s">
        <v>79</v>
      </c>
      <c r="J523" s="97" t="s">
        <v>80</v>
      </c>
      <c r="K523" s="97" t="s">
        <v>73</v>
      </c>
      <c r="L523">
        <v>701000</v>
      </c>
      <c r="M523" s="97" t="s">
        <v>62</v>
      </c>
      <c r="N523" s="97" t="s">
        <v>33</v>
      </c>
      <c r="O523">
        <v>1086</v>
      </c>
      <c r="P523">
        <v>2.6</v>
      </c>
      <c r="Q523">
        <v>2.82</v>
      </c>
      <c r="R523" s="97" t="s">
        <v>1201</v>
      </c>
      <c r="S523" s="97" t="s">
        <v>195</v>
      </c>
    </row>
    <row r="524" spans="1:19" x14ac:dyDescent="0.3">
      <c r="A524" s="97" t="s">
        <v>797</v>
      </c>
      <c r="B524" s="97" t="s">
        <v>23</v>
      </c>
      <c r="C524">
        <v>2026</v>
      </c>
      <c r="D524">
        <v>1</v>
      </c>
      <c r="E524" s="2">
        <v>46042</v>
      </c>
      <c r="F524" s="97" t="s">
        <v>7</v>
      </c>
      <c r="G524" s="97" t="s">
        <v>8</v>
      </c>
      <c r="H524" s="97" t="s">
        <v>74</v>
      </c>
      <c r="I524" s="97" t="s">
        <v>79</v>
      </c>
      <c r="J524" s="97" t="s">
        <v>80</v>
      </c>
      <c r="K524" s="97" t="s">
        <v>73</v>
      </c>
      <c r="L524">
        <v>701000</v>
      </c>
      <c r="M524" s="97" t="s">
        <v>62</v>
      </c>
      <c r="N524" s="97" t="s">
        <v>33</v>
      </c>
      <c r="O524">
        <v>1208</v>
      </c>
      <c r="P524">
        <v>2.6</v>
      </c>
      <c r="Q524">
        <v>3.14</v>
      </c>
      <c r="R524" s="97" t="s">
        <v>1205</v>
      </c>
      <c r="S524" s="97" t="s">
        <v>195</v>
      </c>
    </row>
    <row r="525" spans="1:19" x14ac:dyDescent="0.3">
      <c r="A525" s="97" t="s">
        <v>798</v>
      </c>
      <c r="B525" s="97" t="s">
        <v>23</v>
      </c>
      <c r="C525">
        <v>2026</v>
      </c>
      <c r="D525">
        <v>1</v>
      </c>
      <c r="E525" s="2">
        <v>46042</v>
      </c>
      <c r="F525" s="97" t="s">
        <v>7</v>
      </c>
      <c r="G525" s="97" t="s">
        <v>8</v>
      </c>
      <c r="H525" s="97" t="s">
        <v>74</v>
      </c>
      <c r="I525" s="97" t="s">
        <v>79</v>
      </c>
      <c r="J525" s="97" t="s">
        <v>80</v>
      </c>
      <c r="K525" s="97" t="s">
        <v>73</v>
      </c>
      <c r="L525">
        <v>701000</v>
      </c>
      <c r="M525" s="97" t="s">
        <v>62</v>
      </c>
      <c r="N525" s="97" t="s">
        <v>33</v>
      </c>
      <c r="O525">
        <v>1220</v>
      </c>
      <c r="P525">
        <v>2.6</v>
      </c>
      <c r="Q525">
        <v>3.17</v>
      </c>
      <c r="R525" s="97" t="s">
        <v>1202</v>
      </c>
      <c r="S525" s="97" t="s">
        <v>195</v>
      </c>
    </row>
    <row r="526" spans="1:19" x14ac:dyDescent="0.3">
      <c r="A526" s="97" t="s">
        <v>799</v>
      </c>
      <c r="B526" s="97" t="s">
        <v>23</v>
      </c>
      <c r="C526">
        <v>2026</v>
      </c>
      <c r="D526">
        <v>1</v>
      </c>
      <c r="E526" s="2">
        <v>46042</v>
      </c>
      <c r="F526" s="97" t="s">
        <v>7</v>
      </c>
      <c r="G526" s="97" t="s">
        <v>8</v>
      </c>
      <c r="H526" s="97" t="s">
        <v>74</v>
      </c>
      <c r="I526" s="97" t="s">
        <v>79</v>
      </c>
      <c r="J526" s="97" t="s">
        <v>80</v>
      </c>
      <c r="K526" s="97" t="s">
        <v>73</v>
      </c>
      <c r="L526">
        <v>701000</v>
      </c>
      <c r="M526" s="97" t="s">
        <v>62</v>
      </c>
      <c r="N526" s="97" t="s">
        <v>33</v>
      </c>
      <c r="O526">
        <v>2130</v>
      </c>
      <c r="P526">
        <v>2.6</v>
      </c>
      <c r="Q526">
        <v>5.54</v>
      </c>
      <c r="R526" s="97" t="s">
        <v>1198</v>
      </c>
      <c r="S526" s="97" t="s">
        <v>195</v>
      </c>
    </row>
    <row r="527" spans="1:19" x14ac:dyDescent="0.3">
      <c r="A527" s="97" t="s">
        <v>800</v>
      </c>
      <c r="B527" s="97" t="s">
        <v>23</v>
      </c>
      <c r="C527">
        <v>2026</v>
      </c>
      <c r="D527">
        <v>1</v>
      </c>
      <c r="E527" s="2">
        <v>46042</v>
      </c>
      <c r="F527" s="97" t="s">
        <v>7</v>
      </c>
      <c r="G527" s="97" t="s">
        <v>8</v>
      </c>
      <c r="H527" s="97" t="s">
        <v>74</v>
      </c>
      <c r="I527" s="97" t="s">
        <v>79</v>
      </c>
      <c r="J527" s="97" t="s">
        <v>80</v>
      </c>
      <c r="K527" s="97" t="s">
        <v>73</v>
      </c>
      <c r="L527">
        <v>701000</v>
      </c>
      <c r="M527" s="97" t="s">
        <v>62</v>
      </c>
      <c r="N527" s="97" t="s">
        <v>33</v>
      </c>
      <c r="O527">
        <v>974</v>
      </c>
      <c r="P527">
        <v>2.6</v>
      </c>
      <c r="Q527">
        <v>2.5299999999999998</v>
      </c>
      <c r="R527" s="97" t="s">
        <v>1198</v>
      </c>
      <c r="S527" s="97" t="s">
        <v>195</v>
      </c>
    </row>
    <row r="528" spans="1:19" x14ac:dyDescent="0.3">
      <c r="A528" s="97" t="s">
        <v>801</v>
      </c>
      <c r="B528" s="97" t="s">
        <v>23</v>
      </c>
      <c r="C528">
        <v>2026</v>
      </c>
      <c r="D528">
        <v>1</v>
      </c>
      <c r="E528" s="2">
        <v>46042</v>
      </c>
      <c r="F528" s="97" t="s">
        <v>7</v>
      </c>
      <c r="G528" s="97" t="s">
        <v>8</v>
      </c>
      <c r="H528" s="97" t="s">
        <v>74</v>
      </c>
      <c r="I528" s="97" t="s">
        <v>79</v>
      </c>
      <c r="J528" s="97" t="s">
        <v>80</v>
      </c>
      <c r="K528" s="97" t="s">
        <v>73</v>
      </c>
      <c r="L528">
        <v>701000</v>
      </c>
      <c r="M528" s="97" t="s">
        <v>62</v>
      </c>
      <c r="N528" s="97" t="s">
        <v>33</v>
      </c>
      <c r="O528">
        <v>1514</v>
      </c>
      <c r="P528">
        <v>2.6</v>
      </c>
      <c r="Q528">
        <v>3.93</v>
      </c>
      <c r="R528" s="97" t="s">
        <v>1197</v>
      </c>
      <c r="S528" s="97" t="s">
        <v>195</v>
      </c>
    </row>
    <row r="529" spans="1:19" x14ac:dyDescent="0.3">
      <c r="A529" s="97" t="s">
        <v>802</v>
      </c>
      <c r="B529" s="97" t="s">
        <v>23</v>
      </c>
      <c r="C529">
        <v>2026</v>
      </c>
      <c r="D529">
        <v>1</v>
      </c>
      <c r="E529" s="2">
        <v>46042</v>
      </c>
      <c r="F529" s="97" t="s">
        <v>7</v>
      </c>
      <c r="G529" s="97" t="s">
        <v>8</v>
      </c>
      <c r="H529" s="97" t="s">
        <v>74</v>
      </c>
      <c r="I529" s="97" t="s">
        <v>79</v>
      </c>
      <c r="J529" s="97" t="s">
        <v>80</v>
      </c>
      <c r="K529" s="97" t="s">
        <v>73</v>
      </c>
      <c r="L529">
        <v>701000</v>
      </c>
      <c r="M529" s="97" t="s">
        <v>62</v>
      </c>
      <c r="N529" s="97" t="s">
        <v>33</v>
      </c>
      <c r="O529">
        <v>564</v>
      </c>
      <c r="P529">
        <v>2.61</v>
      </c>
      <c r="Q529">
        <v>1.47</v>
      </c>
      <c r="R529" s="97" t="s">
        <v>1201</v>
      </c>
      <c r="S529" s="97" t="s">
        <v>195</v>
      </c>
    </row>
    <row r="530" spans="1:19" x14ac:dyDescent="0.3">
      <c r="A530" s="97" t="s">
        <v>803</v>
      </c>
      <c r="B530" s="97" t="s">
        <v>23</v>
      </c>
      <c r="C530">
        <v>2026</v>
      </c>
      <c r="D530">
        <v>1</v>
      </c>
      <c r="E530" s="2">
        <v>46042</v>
      </c>
      <c r="F530" s="97" t="s">
        <v>7</v>
      </c>
      <c r="G530" s="97" t="s">
        <v>8</v>
      </c>
      <c r="H530" s="97" t="s">
        <v>74</v>
      </c>
      <c r="I530" s="97" t="s">
        <v>79</v>
      </c>
      <c r="J530" s="97" t="s">
        <v>80</v>
      </c>
      <c r="K530" s="97" t="s">
        <v>73</v>
      </c>
      <c r="L530">
        <v>701000</v>
      </c>
      <c r="M530" s="97" t="s">
        <v>62</v>
      </c>
      <c r="N530" s="97" t="s">
        <v>33</v>
      </c>
      <c r="O530">
        <v>2492</v>
      </c>
      <c r="P530">
        <v>2.6</v>
      </c>
      <c r="Q530">
        <v>6.48</v>
      </c>
      <c r="R530" s="97" t="s">
        <v>1199</v>
      </c>
      <c r="S530" s="97" t="s">
        <v>195</v>
      </c>
    </row>
    <row r="531" spans="1:19" x14ac:dyDescent="0.3">
      <c r="A531" s="97" t="s">
        <v>804</v>
      </c>
      <c r="B531" s="97" t="s">
        <v>23</v>
      </c>
      <c r="C531">
        <v>2026</v>
      </c>
      <c r="D531">
        <v>1</v>
      </c>
      <c r="E531" s="2">
        <v>46042</v>
      </c>
      <c r="F531" s="97" t="s">
        <v>7</v>
      </c>
      <c r="G531" s="97" t="s">
        <v>8</v>
      </c>
      <c r="H531" s="97" t="s">
        <v>74</v>
      </c>
      <c r="I531" s="97" t="s">
        <v>79</v>
      </c>
      <c r="J531" s="97" t="s">
        <v>80</v>
      </c>
      <c r="K531" s="97" t="s">
        <v>73</v>
      </c>
      <c r="L531">
        <v>701000</v>
      </c>
      <c r="M531" s="97" t="s">
        <v>62</v>
      </c>
      <c r="N531" s="97" t="s">
        <v>33</v>
      </c>
      <c r="O531">
        <v>716</v>
      </c>
      <c r="P531">
        <v>2.6</v>
      </c>
      <c r="Q531">
        <v>1.86</v>
      </c>
      <c r="R531" s="97" t="s">
        <v>1204</v>
      </c>
      <c r="S531" s="97" t="s">
        <v>195</v>
      </c>
    </row>
    <row r="532" spans="1:19" x14ac:dyDescent="0.3">
      <c r="A532" s="97" t="s">
        <v>895</v>
      </c>
      <c r="B532" s="97" t="s">
        <v>23</v>
      </c>
      <c r="C532">
        <v>2026</v>
      </c>
      <c r="D532">
        <v>1</v>
      </c>
      <c r="E532" s="2">
        <v>46042</v>
      </c>
      <c r="F532" s="97" t="s">
        <v>7</v>
      </c>
      <c r="G532" s="97" t="s">
        <v>8</v>
      </c>
      <c r="H532" s="97" t="s">
        <v>74</v>
      </c>
      <c r="I532" s="97" t="s">
        <v>82</v>
      </c>
      <c r="J532" s="97" t="s">
        <v>83</v>
      </c>
      <c r="K532" s="97" t="s">
        <v>73</v>
      </c>
      <c r="L532">
        <v>701000</v>
      </c>
      <c r="M532" s="97" t="s">
        <v>62</v>
      </c>
      <c r="N532" s="97" t="s">
        <v>33</v>
      </c>
      <c r="O532">
        <v>201</v>
      </c>
      <c r="P532">
        <v>18.510000000000002</v>
      </c>
      <c r="Q532">
        <v>3.72</v>
      </c>
      <c r="R532" s="97" t="s">
        <v>1199</v>
      </c>
      <c r="S532" s="97" t="s">
        <v>195</v>
      </c>
    </row>
    <row r="533" spans="1:19" x14ac:dyDescent="0.3">
      <c r="A533" s="97" t="s">
        <v>896</v>
      </c>
      <c r="B533" s="97" t="s">
        <v>23</v>
      </c>
      <c r="C533">
        <v>2026</v>
      </c>
      <c r="D533">
        <v>1</v>
      </c>
      <c r="E533" s="2">
        <v>46042</v>
      </c>
      <c r="F533" s="97" t="s">
        <v>7</v>
      </c>
      <c r="G533" s="97" t="s">
        <v>8</v>
      </c>
      <c r="H533" s="97" t="s">
        <v>74</v>
      </c>
      <c r="I533" s="97" t="s">
        <v>82</v>
      </c>
      <c r="J533" s="97" t="s">
        <v>83</v>
      </c>
      <c r="K533" s="97" t="s">
        <v>73</v>
      </c>
      <c r="L533">
        <v>701000</v>
      </c>
      <c r="M533" s="97" t="s">
        <v>62</v>
      </c>
      <c r="N533" s="97" t="s">
        <v>33</v>
      </c>
      <c r="O533">
        <v>199</v>
      </c>
      <c r="P533">
        <v>18.54</v>
      </c>
      <c r="Q533">
        <v>3.69</v>
      </c>
      <c r="R533" s="97" t="s">
        <v>1200</v>
      </c>
      <c r="S533" s="97" t="s">
        <v>195</v>
      </c>
    </row>
    <row r="534" spans="1:19" x14ac:dyDescent="0.3">
      <c r="A534" s="97" t="s">
        <v>897</v>
      </c>
      <c r="B534" s="97" t="s">
        <v>23</v>
      </c>
      <c r="C534">
        <v>2026</v>
      </c>
      <c r="D534">
        <v>1</v>
      </c>
      <c r="E534" s="2">
        <v>46042</v>
      </c>
      <c r="F534" s="97" t="s">
        <v>7</v>
      </c>
      <c r="G534" s="97" t="s">
        <v>8</v>
      </c>
      <c r="H534" s="97" t="s">
        <v>74</v>
      </c>
      <c r="I534" s="97" t="s">
        <v>82</v>
      </c>
      <c r="J534" s="97" t="s">
        <v>83</v>
      </c>
      <c r="K534" s="97" t="s">
        <v>73</v>
      </c>
      <c r="L534">
        <v>701000</v>
      </c>
      <c r="M534" s="97" t="s">
        <v>62</v>
      </c>
      <c r="N534" s="97" t="s">
        <v>33</v>
      </c>
      <c r="O534">
        <v>223</v>
      </c>
      <c r="P534">
        <v>18.48</v>
      </c>
      <c r="Q534">
        <v>4.12</v>
      </c>
      <c r="R534" s="97" t="s">
        <v>1197</v>
      </c>
      <c r="S534" s="97" t="s">
        <v>195</v>
      </c>
    </row>
    <row r="535" spans="1:19" x14ac:dyDescent="0.3">
      <c r="A535" s="97" t="s">
        <v>898</v>
      </c>
      <c r="B535" s="97" t="s">
        <v>23</v>
      </c>
      <c r="C535">
        <v>2026</v>
      </c>
      <c r="D535">
        <v>1</v>
      </c>
      <c r="E535" s="2">
        <v>46042</v>
      </c>
      <c r="F535" s="97" t="s">
        <v>7</v>
      </c>
      <c r="G535" s="97" t="s">
        <v>8</v>
      </c>
      <c r="H535" s="97" t="s">
        <v>74</v>
      </c>
      <c r="I535" s="97" t="s">
        <v>82</v>
      </c>
      <c r="J535" s="97" t="s">
        <v>83</v>
      </c>
      <c r="K535" s="97" t="s">
        <v>73</v>
      </c>
      <c r="L535">
        <v>701000</v>
      </c>
      <c r="M535" s="97" t="s">
        <v>62</v>
      </c>
      <c r="N535" s="97" t="s">
        <v>33</v>
      </c>
      <c r="O535">
        <v>101</v>
      </c>
      <c r="P535">
        <v>18.61</v>
      </c>
      <c r="Q535">
        <v>1.88</v>
      </c>
      <c r="R535" s="97" t="s">
        <v>1203</v>
      </c>
      <c r="S535" s="97" t="s">
        <v>195</v>
      </c>
    </row>
    <row r="536" spans="1:19" x14ac:dyDescent="0.3">
      <c r="A536" s="97" t="s">
        <v>899</v>
      </c>
      <c r="B536" s="97" t="s">
        <v>23</v>
      </c>
      <c r="C536">
        <v>2026</v>
      </c>
      <c r="D536">
        <v>1</v>
      </c>
      <c r="E536" s="2">
        <v>46042</v>
      </c>
      <c r="F536" s="97" t="s">
        <v>7</v>
      </c>
      <c r="G536" s="97" t="s">
        <v>8</v>
      </c>
      <c r="H536" s="97" t="s">
        <v>74</v>
      </c>
      <c r="I536" s="97" t="s">
        <v>82</v>
      </c>
      <c r="J536" s="97" t="s">
        <v>83</v>
      </c>
      <c r="K536" s="97" t="s">
        <v>73</v>
      </c>
      <c r="L536">
        <v>701000</v>
      </c>
      <c r="M536" s="97" t="s">
        <v>62</v>
      </c>
      <c r="N536" s="97" t="s">
        <v>33</v>
      </c>
      <c r="O536">
        <v>162</v>
      </c>
      <c r="P536">
        <v>18.399999999999999</v>
      </c>
      <c r="Q536">
        <v>2.98</v>
      </c>
      <c r="R536" s="97" t="s">
        <v>1204</v>
      </c>
      <c r="S536" s="97" t="s">
        <v>195</v>
      </c>
    </row>
    <row r="537" spans="1:19" x14ac:dyDescent="0.3">
      <c r="A537" s="97" t="s">
        <v>305</v>
      </c>
      <c r="B537" s="97" t="s">
        <v>23</v>
      </c>
      <c r="C537">
        <v>2026</v>
      </c>
      <c r="D537">
        <v>1</v>
      </c>
      <c r="E537" s="2">
        <v>46043</v>
      </c>
      <c r="F537" s="97" t="s">
        <v>7</v>
      </c>
      <c r="G537" s="97" t="s">
        <v>8</v>
      </c>
      <c r="H537" s="97" t="s">
        <v>70</v>
      </c>
      <c r="I537" s="97" t="s">
        <v>84</v>
      </c>
      <c r="J537" s="97" t="s">
        <v>85</v>
      </c>
      <c r="K537" s="97" t="s">
        <v>73</v>
      </c>
      <c r="L537">
        <v>701000</v>
      </c>
      <c r="M537" s="97" t="s">
        <v>62</v>
      </c>
      <c r="N537" s="97" t="s">
        <v>33</v>
      </c>
      <c r="O537">
        <v>2227</v>
      </c>
      <c r="P537">
        <v>0.95</v>
      </c>
      <c r="Q537">
        <v>2.12</v>
      </c>
      <c r="R537" s="97" t="s">
        <v>1203</v>
      </c>
      <c r="S537" s="97" t="s">
        <v>195</v>
      </c>
    </row>
    <row r="538" spans="1:19" x14ac:dyDescent="0.3">
      <c r="A538" s="97" t="s">
        <v>306</v>
      </c>
      <c r="B538" s="97" t="s">
        <v>23</v>
      </c>
      <c r="C538">
        <v>2026</v>
      </c>
      <c r="D538">
        <v>1</v>
      </c>
      <c r="E538" s="2">
        <v>46043</v>
      </c>
      <c r="F538" s="97" t="s">
        <v>7</v>
      </c>
      <c r="G538" s="97" t="s">
        <v>8</v>
      </c>
      <c r="H538" s="97" t="s">
        <v>70</v>
      </c>
      <c r="I538" s="97" t="s">
        <v>84</v>
      </c>
      <c r="J538" s="97" t="s">
        <v>85</v>
      </c>
      <c r="K538" s="97" t="s">
        <v>73</v>
      </c>
      <c r="L538">
        <v>701000</v>
      </c>
      <c r="M538" s="97" t="s">
        <v>62</v>
      </c>
      <c r="N538" s="97" t="s">
        <v>33</v>
      </c>
      <c r="O538">
        <v>2738</v>
      </c>
      <c r="P538">
        <v>0.95</v>
      </c>
      <c r="Q538">
        <v>2.6</v>
      </c>
      <c r="R538" s="97" t="s">
        <v>1204</v>
      </c>
      <c r="S538" s="97" t="s">
        <v>195</v>
      </c>
    </row>
    <row r="539" spans="1:19" x14ac:dyDescent="0.3">
      <c r="A539" s="97" t="s">
        <v>307</v>
      </c>
      <c r="B539" s="97" t="s">
        <v>23</v>
      </c>
      <c r="C539">
        <v>2026</v>
      </c>
      <c r="D539">
        <v>1</v>
      </c>
      <c r="E539" s="2">
        <v>46043</v>
      </c>
      <c r="F539" s="97" t="s">
        <v>7</v>
      </c>
      <c r="G539" s="97" t="s">
        <v>8</v>
      </c>
      <c r="H539" s="97" t="s">
        <v>70</v>
      </c>
      <c r="I539" s="97" t="s">
        <v>84</v>
      </c>
      <c r="J539" s="97" t="s">
        <v>85</v>
      </c>
      <c r="K539" s="97" t="s">
        <v>73</v>
      </c>
      <c r="L539">
        <v>701000</v>
      </c>
      <c r="M539" s="97" t="s">
        <v>62</v>
      </c>
      <c r="N539" s="97" t="s">
        <v>33</v>
      </c>
      <c r="O539">
        <v>1521</v>
      </c>
      <c r="P539">
        <v>0.95</v>
      </c>
      <c r="Q539">
        <v>1.44</v>
      </c>
      <c r="R539" s="97" t="s">
        <v>1201</v>
      </c>
      <c r="S539" s="97" t="s">
        <v>195</v>
      </c>
    </row>
    <row r="540" spans="1:19" x14ac:dyDescent="0.3">
      <c r="A540" s="97" t="s">
        <v>308</v>
      </c>
      <c r="B540" s="97" t="s">
        <v>23</v>
      </c>
      <c r="C540">
        <v>2026</v>
      </c>
      <c r="D540">
        <v>1</v>
      </c>
      <c r="E540" s="2">
        <v>46043</v>
      </c>
      <c r="F540" s="97" t="s">
        <v>7</v>
      </c>
      <c r="G540" s="97" t="s">
        <v>8</v>
      </c>
      <c r="H540" s="97" t="s">
        <v>70</v>
      </c>
      <c r="I540" s="97" t="s">
        <v>84</v>
      </c>
      <c r="J540" s="97" t="s">
        <v>85</v>
      </c>
      <c r="K540" s="97" t="s">
        <v>73</v>
      </c>
      <c r="L540">
        <v>701000</v>
      </c>
      <c r="M540" s="97" t="s">
        <v>62</v>
      </c>
      <c r="N540" s="97" t="s">
        <v>33</v>
      </c>
      <c r="O540">
        <v>2243</v>
      </c>
      <c r="P540">
        <v>0.95</v>
      </c>
      <c r="Q540">
        <v>2.13</v>
      </c>
      <c r="R540" s="97" t="s">
        <v>1197</v>
      </c>
      <c r="S540" s="97" t="s">
        <v>195</v>
      </c>
    </row>
    <row r="541" spans="1:19" x14ac:dyDescent="0.3">
      <c r="A541" s="97" t="s">
        <v>309</v>
      </c>
      <c r="B541" s="97" t="s">
        <v>23</v>
      </c>
      <c r="C541">
        <v>2026</v>
      </c>
      <c r="D541">
        <v>1</v>
      </c>
      <c r="E541" s="2">
        <v>46043</v>
      </c>
      <c r="F541" s="97" t="s">
        <v>7</v>
      </c>
      <c r="G541" s="97" t="s">
        <v>8</v>
      </c>
      <c r="H541" s="97" t="s">
        <v>70</v>
      </c>
      <c r="I541" s="97" t="s">
        <v>84</v>
      </c>
      <c r="J541" s="97" t="s">
        <v>85</v>
      </c>
      <c r="K541" s="97" t="s">
        <v>73</v>
      </c>
      <c r="L541">
        <v>701000</v>
      </c>
      <c r="M541" s="97" t="s">
        <v>62</v>
      </c>
      <c r="N541" s="97" t="s">
        <v>33</v>
      </c>
      <c r="O541">
        <v>5054</v>
      </c>
      <c r="P541">
        <v>0.95</v>
      </c>
      <c r="Q541">
        <v>4.8</v>
      </c>
      <c r="R541" s="97" t="s">
        <v>1198</v>
      </c>
      <c r="S541" s="97" t="s">
        <v>195</v>
      </c>
    </row>
    <row r="542" spans="1:19" x14ac:dyDescent="0.3">
      <c r="A542" s="97" t="s">
        <v>360</v>
      </c>
      <c r="B542" s="97" t="s">
        <v>23</v>
      </c>
      <c r="C542">
        <v>2026</v>
      </c>
      <c r="D542">
        <v>1</v>
      </c>
      <c r="E542" s="2">
        <v>46043</v>
      </c>
      <c r="F542" s="97" t="s">
        <v>7</v>
      </c>
      <c r="G542" s="97" t="s">
        <v>8</v>
      </c>
      <c r="H542" s="97" t="s">
        <v>70</v>
      </c>
      <c r="I542" s="97" t="s">
        <v>84</v>
      </c>
      <c r="J542" s="97" t="s">
        <v>85</v>
      </c>
      <c r="K542" s="97" t="s">
        <v>73</v>
      </c>
      <c r="L542">
        <v>701000</v>
      </c>
      <c r="M542" s="97" t="s">
        <v>62</v>
      </c>
      <c r="N542" s="97" t="s">
        <v>33</v>
      </c>
      <c r="O542">
        <v>2772</v>
      </c>
      <c r="P542">
        <v>0.95</v>
      </c>
      <c r="Q542">
        <v>2.63</v>
      </c>
      <c r="R542" s="97" t="s">
        <v>1202</v>
      </c>
      <c r="S542" s="97" t="s">
        <v>195</v>
      </c>
    </row>
    <row r="543" spans="1:19" x14ac:dyDescent="0.3">
      <c r="A543" s="97" t="s">
        <v>361</v>
      </c>
      <c r="B543" s="97" t="s">
        <v>23</v>
      </c>
      <c r="C543">
        <v>2026</v>
      </c>
      <c r="D543">
        <v>1</v>
      </c>
      <c r="E543" s="2">
        <v>46043</v>
      </c>
      <c r="F543" s="97" t="s">
        <v>7</v>
      </c>
      <c r="G543" s="97" t="s">
        <v>8</v>
      </c>
      <c r="H543" s="97" t="s">
        <v>70</v>
      </c>
      <c r="I543" s="97" t="s">
        <v>84</v>
      </c>
      <c r="J543" s="97" t="s">
        <v>85</v>
      </c>
      <c r="K543" s="97" t="s">
        <v>73</v>
      </c>
      <c r="L543">
        <v>701000</v>
      </c>
      <c r="M543" s="97" t="s">
        <v>62</v>
      </c>
      <c r="N543" s="97" t="s">
        <v>33</v>
      </c>
      <c r="O543">
        <v>4114</v>
      </c>
      <c r="P543">
        <v>0.95</v>
      </c>
      <c r="Q543">
        <v>3.91</v>
      </c>
      <c r="R543" s="97" t="s">
        <v>1201</v>
      </c>
      <c r="S543" s="97" t="s">
        <v>195</v>
      </c>
    </row>
    <row r="544" spans="1:19" x14ac:dyDescent="0.3">
      <c r="A544" s="97" t="s">
        <v>362</v>
      </c>
      <c r="B544" s="97" t="s">
        <v>23</v>
      </c>
      <c r="C544">
        <v>2026</v>
      </c>
      <c r="D544">
        <v>1</v>
      </c>
      <c r="E544" s="2">
        <v>46043</v>
      </c>
      <c r="F544" s="97" t="s">
        <v>7</v>
      </c>
      <c r="G544" s="97" t="s">
        <v>8</v>
      </c>
      <c r="H544" s="97" t="s">
        <v>70</v>
      </c>
      <c r="I544" s="97" t="s">
        <v>84</v>
      </c>
      <c r="J544" s="97" t="s">
        <v>85</v>
      </c>
      <c r="K544" s="97" t="s">
        <v>73</v>
      </c>
      <c r="L544">
        <v>701000</v>
      </c>
      <c r="M544" s="97" t="s">
        <v>62</v>
      </c>
      <c r="N544" s="97" t="s">
        <v>33</v>
      </c>
      <c r="O544">
        <v>1511</v>
      </c>
      <c r="P544">
        <v>0.95</v>
      </c>
      <c r="Q544">
        <v>1.44</v>
      </c>
      <c r="R544" s="97" t="s">
        <v>1197</v>
      </c>
      <c r="S544" s="97" t="s">
        <v>195</v>
      </c>
    </row>
    <row r="545" spans="1:19" x14ac:dyDescent="0.3">
      <c r="A545" s="97" t="s">
        <v>363</v>
      </c>
      <c r="B545" s="97" t="s">
        <v>23</v>
      </c>
      <c r="C545">
        <v>2026</v>
      </c>
      <c r="D545">
        <v>1</v>
      </c>
      <c r="E545" s="2">
        <v>46043</v>
      </c>
      <c r="F545" s="97" t="s">
        <v>7</v>
      </c>
      <c r="G545" s="97" t="s">
        <v>8</v>
      </c>
      <c r="H545" s="97" t="s">
        <v>70</v>
      </c>
      <c r="I545" s="97" t="s">
        <v>84</v>
      </c>
      <c r="J545" s="97" t="s">
        <v>85</v>
      </c>
      <c r="K545" s="97" t="s">
        <v>73</v>
      </c>
      <c r="L545">
        <v>701000</v>
      </c>
      <c r="M545" s="97" t="s">
        <v>62</v>
      </c>
      <c r="N545" s="97" t="s">
        <v>33</v>
      </c>
      <c r="O545">
        <v>335</v>
      </c>
      <c r="P545">
        <v>0.96</v>
      </c>
      <c r="Q545">
        <v>0.32</v>
      </c>
      <c r="R545" s="97" t="s">
        <v>1200</v>
      </c>
      <c r="S545" s="97" t="s">
        <v>195</v>
      </c>
    </row>
    <row r="546" spans="1:19" x14ac:dyDescent="0.3">
      <c r="A546" s="97" t="s">
        <v>364</v>
      </c>
      <c r="B546" s="97" t="s">
        <v>23</v>
      </c>
      <c r="C546">
        <v>2026</v>
      </c>
      <c r="D546">
        <v>1</v>
      </c>
      <c r="E546" s="2">
        <v>46043</v>
      </c>
      <c r="F546" s="97" t="s">
        <v>7</v>
      </c>
      <c r="G546" s="97" t="s">
        <v>8</v>
      </c>
      <c r="H546" s="97" t="s">
        <v>70</v>
      </c>
      <c r="I546" s="97" t="s">
        <v>84</v>
      </c>
      <c r="J546" s="97" t="s">
        <v>85</v>
      </c>
      <c r="K546" s="97" t="s">
        <v>73</v>
      </c>
      <c r="L546">
        <v>701000</v>
      </c>
      <c r="M546" s="97" t="s">
        <v>62</v>
      </c>
      <c r="N546" s="97" t="s">
        <v>33</v>
      </c>
      <c r="O546">
        <v>3102</v>
      </c>
      <c r="P546">
        <v>0.95</v>
      </c>
      <c r="Q546">
        <v>2.94</v>
      </c>
      <c r="R546" s="97" t="s">
        <v>1199</v>
      </c>
      <c r="S546" s="97" t="s">
        <v>195</v>
      </c>
    </row>
    <row r="547" spans="1:19" x14ac:dyDescent="0.3">
      <c r="A547" s="97" t="s">
        <v>400</v>
      </c>
      <c r="B547" s="97" t="s">
        <v>23</v>
      </c>
      <c r="C547">
        <v>2026</v>
      </c>
      <c r="D547">
        <v>1</v>
      </c>
      <c r="E547" s="2">
        <v>46043</v>
      </c>
      <c r="F547" s="97" t="s">
        <v>7</v>
      </c>
      <c r="G547" s="97" t="s">
        <v>8</v>
      </c>
      <c r="H547" s="97" t="s">
        <v>74</v>
      </c>
      <c r="I547" s="97" t="s">
        <v>71</v>
      </c>
      <c r="J547" s="97" t="s">
        <v>72</v>
      </c>
      <c r="K547" s="97" t="s">
        <v>73</v>
      </c>
      <c r="L547">
        <v>701000</v>
      </c>
      <c r="M547" s="97" t="s">
        <v>62</v>
      </c>
      <c r="N547" s="97" t="s">
        <v>33</v>
      </c>
      <c r="O547">
        <v>1857</v>
      </c>
      <c r="P547">
        <v>1.05</v>
      </c>
      <c r="Q547">
        <v>1.95</v>
      </c>
      <c r="R547" s="97" t="s">
        <v>1204</v>
      </c>
      <c r="S547" s="97" t="s">
        <v>195</v>
      </c>
    </row>
    <row r="548" spans="1:19" x14ac:dyDescent="0.3">
      <c r="A548" s="97" t="s">
        <v>401</v>
      </c>
      <c r="B548" s="97" t="s">
        <v>23</v>
      </c>
      <c r="C548">
        <v>2026</v>
      </c>
      <c r="D548">
        <v>1</v>
      </c>
      <c r="E548" s="2">
        <v>46043</v>
      </c>
      <c r="F548" s="97" t="s">
        <v>7</v>
      </c>
      <c r="G548" s="97" t="s">
        <v>8</v>
      </c>
      <c r="H548" s="97" t="s">
        <v>74</v>
      </c>
      <c r="I548" s="97" t="s">
        <v>71</v>
      </c>
      <c r="J548" s="97" t="s">
        <v>72</v>
      </c>
      <c r="K548" s="97" t="s">
        <v>73</v>
      </c>
      <c r="L548">
        <v>701000</v>
      </c>
      <c r="M548" s="97" t="s">
        <v>62</v>
      </c>
      <c r="N548" s="97" t="s">
        <v>33</v>
      </c>
      <c r="O548">
        <v>803</v>
      </c>
      <c r="P548">
        <v>1.05</v>
      </c>
      <c r="Q548">
        <v>0.84</v>
      </c>
      <c r="R548" s="97" t="s">
        <v>1202</v>
      </c>
      <c r="S548" s="97" t="s">
        <v>195</v>
      </c>
    </row>
    <row r="549" spans="1:19" x14ac:dyDescent="0.3">
      <c r="A549" s="97" t="s">
        <v>402</v>
      </c>
      <c r="B549" s="97" t="s">
        <v>23</v>
      </c>
      <c r="C549">
        <v>2026</v>
      </c>
      <c r="D549">
        <v>1</v>
      </c>
      <c r="E549" s="2">
        <v>46043</v>
      </c>
      <c r="F549" s="97" t="s">
        <v>7</v>
      </c>
      <c r="G549" s="97" t="s">
        <v>8</v>
      </c>
      <c r="H549" s="97" t="s">
        <v>74</v>
      </c>
      <c r="I549" s="97" t="s">
        <v>71</v>
      </c>
      <c r="J549" s="97" t="s">
        <v>72</v>
      </c>
      <c r="K549" s="97" t="s">
        <v>73</v>
      </c>
      <c r="L549">
        <v>701000</v>
      </c>
      <c r="M549" s="97" t="s">
        <v>62</v>
      </c>
      <c r="N549" s="97" t="s">
        <v>33</v>
      </c>
      <c r="O549">
        <v>1366</v>
      </c>
      <c r="P549">
        <v>1.05</v>
      </c>
      <c r="Q549">
        <v>1.43</v>
      </c>
      <c r="R549" s="97" t="s">
        <v>1197</v>
      </c>
      <c r="S549" s="97" t="s">
        <v>195</v>
      </c>
    </row>
    <row r="550" spans="1:19" x14ac:dyDescent="0.3">
      <c r="A550" s="97" t="s">
        <v>403</v>
      </c>
      <c r="B550" s="97" t="s">
        <v>23</v>
      </c>
      <c r="C550">
        <v>2026</v>
      </c>
      <c r="D550">
        <v>1</v>
      </c>
      <c r="E550" s="2">
        <v>46043</v>
      </c>
      <c r="F550" s="97" t="s">
        <v>7</v>
      </c>
      <c r="G550" s="97" t="s">
        <v>8</v>
      </c>
      <c r="H550" s="97" t="s">
        <v>74</v>
      </c>
      <c r="I550" s="97" t="s">
        <v>71</v>
      </c>
      <c r="J550" s="97" t="s">
        <v>72</v>
      </c>
      <c r="K550" s="97" t="s">
        <v>73</v>
      </c>
      <c r="L550">
        <v>701000</v>
      </c>
      <c r="M550" s="97" t="s">
        <v>62</v>
      </c>
      <c r="N550" s="97" t="s">
        <v>33</v>
      </c>
      <c r="O550">
        <v>2520</v>
      </c>
      <c r="P550">
        <v>1.05</v>
      </c>
      <c r="Q550">
        <v>2.65</v>
      </c>
      <c r="R550" s="97" t="s">
        <v>1199</v>
      </c>
      <c r="S550" s="97" t="s">
        <v>195</v>
      </c>
    </row>
    <row r="551" spans="1:19" x14ac:dyDescent="0.3">
      <c r="A551" s="97" t="s">
        <v>404</v>
      </c>
      <c r="B551" s="97" t="s">
        <v>23</v>
      </c>
      <c r="C551">
        <v>2026</v>
      </c>
      <c r="D551">
        <v>1</v>
      </c>
      <c r="E551" s="2">
        <v>46043</v>
      </c>
      <c r="F551" s="97" t="s">
        <v>7</v>
      </c>
      <c r="G551" s="97" t="s">
        <v>8</v>
      </c>
      <c r="H551" s="97" t="s">
        <v>74</v>
      </c>
      <c r="I551" s="97" t="s">
        <v>71</v>
      </c>
      <c r="J551" s="97" t="s">
        <v>72</v>
      </c>
      <c r="K551" s="97" t="s">
        <v>73</v>
      </c>
      <c r="L551">
        <v>701000</v>
      </c>
      <c r="M551" s="97" t="s">
        <v>62</v>
      </c>
      <c r="N551" s="97" t="s">
        <v>33</v>
      </c>
      <c r="O551">
        <v>2024</v>
      </c>
      <c r="P551">
        <v>1.05</v>
      </c>
      <c r="Q551">
        <v>2.13</v>
      </c>
      <c r="R551" s="97" t="s">
        <v>1200</v>
      </c>
      <c r="S551" s="97" t="s">
        <v>195</v>
      </c>
    </row>
    <row r="552" spans="1:19" x14ac:dyDescent="0.3">
      <c r="A552" s="97" t="s">
        <v>495</v>
      </c>
      <c r="B552" s="97" t="s">
        <v>23</v>
      </c>
      <c r="C552">
        <v>2026</v>
      </c>
      <c r="D552">
        <v>1</v>
      </c>
      <c r="E552" s="2">
        <v>46043</v>
      </c>
      <c r="F552" s="97" t="s">
        <v>7</v>
      </c>
      <c r="G552" s="97" t="s">
        <v>8</v>
      </c>
      <c r="H552" s="97" t="s">
        <v>74</v>
      </c>
      <c r="I552" s="97" t="s">
        <v>71</v>
      </c>
      <c r="J552" s="97" t="s">
        <v>72</v>
      </c>
      <c r="K552" s="97" t="s">
        <v>73</v>
      </c>
      <c r="L552">
        <v>701000</v>
      </c>
      <c r="M552" s="97" t="s">
        <v>62</v>
      </c>
      <c r="N552" s="97" t="s">
        <v>33</v>
      </c>
      <c r="O552">
        <v>1314</v>
      </c>
      <c r="P552">
        <v>1.05</v>
      </c>
      <c r="Q552">
        <v>1.38</v>
      </c>
      <c r="R552" s="97" t="s">
        <v>1203</v>
      </c>
      <c r="S552" s="97" t="s">
        <v>195</v>
      </c>
    </row>
    <row r="553" spans="1:19" x14ac:dyDescent="0.3">
      <c r="A553" s="97" t="s">
        <v>496</v>
      </c>
      <c r="B553" s="97" t="s">
        <v>23</v>
      </c>
      <c r="C553">
        <v>2026</v>
      </c>
      <c r="D553">
        <v>1</v>
      </c>
      <c r="E553" s="2">
        <v>46043</v>
      </c>
      <c r="F553" s="97" t="s">
        <v>7</v>
      </c>
      <c r="G553" s="97" t="s">
        <v>8</v>
      </c>
      <c r="H553" s="97" t="s">
        <v>74</v>
      </c>
      <c r="I553" s="97" t="s">
        <v>71</v>
      </c>
      <c r="J553" s="97" t="s">
        <v>72</v>
      </c>
      <c r="K553" s="97" t="s">
        <v>73</v>
      </c>
      <c r="L553">
        <v>701000</v>
      </c>
      <c r="M553" s="97" t="s">
        <v>62</v>
      </c>
      <c r="N553" s="97" t="s">
        <v>33</v>
      </c>
      <c r="O553">
        <v>2552</v>
      </c>
      <c r="P553">
        <v>1.05</v>
      </c>
      <c r="Q553">
        <v>2.68</v>
      </c>
      <c r="R553" s="97" t="s">
        <v>1205</v>
      </c>
      <c r="S553" s="97" t="s">
        <v>195</v>
      </c>
    </row>
    <row r="554" spans="1:19" x14ac:dyDescent="0.3">
      <c r="A554" s="97" t="s">
        <v>497</v>
      </c>
      <c r="B554" s="97" t="s">
        <v>23</v>
      </c>
      <c r="C554">
        <v>2026</v>
      </c>
      <c r="D554">
        <v>1</v>
      </c>
      <c r="E554" s="2">
        <v>46043</v>
      </c>
      <c r="F554" s="97" t="s">
        <v>7</v>
      </c>
      <c r="G554" s="97" t="s">
        <v>8</v>
      </c>
      <c r="H554" s="97" t="s">
        <v>74</v>
      </c>
      <c r="I554" s="97" t="s">
        <v>71</v>
      </c>
      <c r="J554" s="97" t="s">
        <v>72</v>
      </c>
      <c r="K554" s="97" t="s">
        <v>73</v>
      </c>
      <c r="L554">
        <v>701000</v>
      </c>
      <c r="M554" s="97" t="s">
        <v>62</v>
      </c>
      <c r="N554" s="97" t="s">
        <v>33</v>
      </c>
      <c r="O554">
        <v>422</v>
      </c>
      <c r="P554">
        <v>1.04</v>
      </c>
      <c r="Q554">
        <v>0.44</v>
      </c>
      <c r="R554" s="97" t="s">
        <v>1204</v>
      </c>
      <c r="S554" s="97" t="s">
        <v>195</v>
      </c>
    </row>
    <row r="555" spans="1:19" x14ac:dyDescent="0.3">
      <c r="A555" s="97" t="s">
        <v>498</v>
      </c>
      <c r="B555" s="97" t="s">
        <v>23</v>
      </c>
      <c r="C555">
        <v>2026</v>
      </c>
      <c r="D555">
        <v>1</v>
      </c>
      <c r="E555" s="2">
        <v>46043</v>
      </c>
      <c r="F555" s="97" t="s">
        <v>7</v>
      </c>
      <c r="G555" s="97" t="s">
        <v>8</v>
      </c>
      <c r="H555" s="97" t="s">
        <v>74</v>
      </c>
      <c r="I555" s="97" t="s">
        <v>71</v>
      </c>
      <c r="J555" s="97" t="s">
        <v>72</v>
      </c>
      <c r="K555" s="97" t="s">
        <v>73</v>
      </c>
      <c r="L555">
        <v>701000</v>
      </c>
      <c r="M555" s="97" t="s">
        <v>62</v>
      </c>
      <c r="N555" s="97" t="s">
        <v>33</v>
      </c>
      <c r="O555">
        <v>2173</v>
      </c>
      <c r="P555">
        <v>1.05</v>
      </c>
      <c r="Q555">
        <v>2.2799999999999998</v>
      </c>
      <c r="R555" s="97" t="s">
        <v>1198</v>
      </c>
      <c r="S555" s="97" t="s">
        <v>195</v>
      </c>
    </row>
    <row r="556" spans="1:19" x14ac:dyDescent="0.3">
      <c r="A556" s="97" t="s">
        <v>499</v>
      </c>
      <c r="B556" s="97" t="s">
        <v>23</v>
      </c>
      <c r="C556">
        <v>2026</v>
      </c>
      <c r="D556">
        <v>1</v>
      </c>
      <c r="E556" s="2">
        <v>46043</v>
      </c>
      <c r="F556" s="97" t="s">
        <v>7</v>
      </c>
      <c r="G556" s="97" t="s">
        <v>8</v>
      </c>
      <c r="H556" s="97" t="s">
        <v>74</v>
      </c>
      <c r="I556" s="97" t="s">
        <v>71</v>
      </c>
      <c r="J556" s="97" t="s">
        <v>72</v>
      </c>
      <c r="K556" s="97" t="s">
        <v>73</v>
      </c>
      <c r="L556">
        <v>701000</v>
      </c>
      <c r="M556" s="97" t="s">
        <v>62</v>
      </c>
      <c r="N556" s="97" t="s">
        <v>33</v>
      </c>
      <c r="O556">
        <v>723</v>
      </c>
      <c r="P556">
        <v>1.05</v>
      </c>
      <c r="Q556">
        <v>0.76</v>
      </c>
      <c r="R556" s="97" t="s">
        <v>1201</v>
      </c>
      <c r="S556" s="97" t="s">
        <v>195</v>
      </c>
    </row>
    <row r="557" spans="1:19" x14ac:dyDescent="0.3">
      <c r="A557" s="97" t="s">
        <v>565</v>
      </c>
      <c r="B557" s="97" t="s">
        <v>23</v>
      </c>
      <c r="C557">
        <v>2026</v>
      </c>
      <c r="D557">
        <v>1</v>
      </c>
      <c r="E557" s="2">
        <v>46043</v>
      </c>
      <c r="F557" s="97" t="s">
        <v>7</v>
      </c>
      <c r="G557" s="97" t="s">
        <v>8</v>
      </c>
      <c r="H557" s="97" t="s">
        <v>74</v>
      </c>
      <c r="I557" s="97" t="s">
        <v>75</v>
      </c>
      <c r="J557" s="97" t="s">
        <v>76</v>
      </c>
      <c r="K557" s="97" t="s">
        <v>73</v>
      </c>
      <c r="L557">
        <v>701000</v>
      </c>
      <c r="M557" s="97" t="s">
        <v>62</v>
      </c>
      <c r="N557" s="97" t="s">
        <v>33</v>
      </c>
      <c r="O557">
        <v>543</v>
      </c>
      <c r="P557">
        <v>1.4</v>
      </c>
      <c r="Q557">
        <v>0.76</v>
      </c>
      <c r="R557" s="97" t="s">
        <v>1197</v>
      </c>
      <c r="S557" s="97" t="s">
        <v>195</v>
      </c>
    </row>
    <row r="558" spans="1:19" x14ac:dyDescent="0.3">
      <c r="A558" s="97" t="s">
        <v>566</v>
      </c>
      <c r="B558" s="97" t="s">
        <v>23</v>
      </c>
      <c r="C558">
        <v>2026</v>
      </c>
      <c r="D558">
        <v>1</v>
      </c>
      <c r="E558" s="2">
        <v>46043</v>
      </c>
      <c r="F558" s="97" t="s">
        <v>7</v>
      </c>
      <c r="G558" s="97" t="s">
        <v>8</v>
      </c>
      <c r="H558" s="97" t="s">
        <v>74</v>
      </c>
      <c r="I558" s="97" t="s">
        <v>75</v>
      </c>
      <c r="J558" s="97" t="s">
        <v>76</v>
      </c>
      <c r="K558" s="97" t="s">
        <v>73</v>
      </c>
      <c r="L558">
        <v>701000</v>
      </c>
      <c r="M558" s="97" t="s">
        <v>62</v>
      </c>
      <c r="N558" s="97" t="s">
        <v>33</v>
      </c>
      <c r="O558">
        <v>164</v>
      </c>
      <c r="P558">
        <v>1.4</v>
      </c>
      <c r="Q558">
        <v>0.23</v>
      </c>
      <c r="R558" s="97" t="s">
        <v>1204</v>
      </c>
      <c r="S558" s="97" t="s">
        <v>195</v>
      </c>
    </row>
    <row r="559" spans="1:19" x14ac:dyDescent="0.3">
      <c r="A559" s="97" t="s">
        <v>567</v>
      </c>
      <c r="B559" s="97" t="s">
        <v>23</v>
      </c>
      <c r="C559">
        <v>2026</v>
      </c>
      <c r="D559">
        <v>1</v>
      </c>
      <c r="E559" s="2">
        <v>46043</v>
      </c>
      <c r="F559" s="97" t="s">
        <v>7</v>
      </c>
      <c r="G559" s="97" t="s">
        <v>8</v>
      </c>
      <c r="H559" s="97" t="s">
        <v>74</v>
      </c>
      <c r="I559" s="97" t="s">
        <v>75</v>
      </c>
      <c r="J559" s="97" t="s">
        <v>76</v>
      </c>
      <c r="K559" s="97" t="s">
        <v>73</v>
      </c>
      <c r="L559">
        <v>701000</v>
      </c>
      <c r="M559" s="97" t="s">
        <v>62</v>
      </c>
      <c r="N559" s="97" t="s">
        <v>33</v>
      </c>
      <c r="O559">
        <v>1011</v>
      </c>
      <c r="P559">
        <v>1.4</v>
      </c>
      <c r="Q559">
        <v>1.42</v>
      </c>
      <c r="R559" s="97" t="s">
        <v>1198</v>
      </c>
      <c r="S559" s="97" t="s">
        <v>195</v>
      </c>
    </row>
    <row r="560" spans="1:19" x14ac:dyDescent="0.3">
      <c r="A560" s="97" t="s">
        <v>568</v>
      </c>
      <c r="B560" s="97" t="s">
        <v>23</v>
      </c>
      <c r="C560">
        <v>2026</v>
      </c>
      <c r="D560">
        <v>1</v>
      </c>
      <c r="E560" s="2">
        <v>46043</v>
      </c>
      <c r="F560" s="97" t="s">
        <v>7</v>
      </c>
      <c r="G560" s="97" t="s">
        <v>8</v>
      </c>
      <c r="H560" s="97" t="s">
        <v>74</v>
      </c>
      <c r="I560" s="97" t="s">
        <v>75</v>
      </c>
      <c r="J560" s="97" t="s">
        <v>76</v>
      </c>
      <c r="K560" s="97" t="s">
        <v>73</v>
      </c>
      <c r="L560">
        <v>701000</v>
      </c>
      <c r="M560" s="97" t="s">
        <v>62</v>
      </c>
      <c r="N560" s="97" t="s">
        <v>33</v>
      </c>
      <c r="O560">
        <v>1574</v>
      </c>
      <c r="P560">
        <v>1.4</v>
      </c>
      <c r="Q560">
        <v>2.2000000000000002</v>
      </c>
      <c r="R560" s="97" t="s">
        <v>1201</v>
      </c>
      <c r="S560" s="97" t="s">
        <v>195</v>
      </c>
    </row>
    <row r="561" spans="1:19" x14ac:dyDescent="0.3">
      <c r="A561" s="97" t="s">
        <v>569</v>
      </c>
      <c r="B561" s="97" t="s">
        <v>23</v>
      </c>
      <c r="C561">
        <v>2026</v>
      </c>
      <c r="D561">
        <v>1</v>
      </c>
      <c r="E561" s="2">
        <v>46043</v>
      </c>
      <c r="F561" s="97" t="s">
        <v>7</v>
      </c>
      <c r="G561" s="97" t="s">
        <v>8</v>
      </c>
      <c r="H561" s="97" t="s">
        <v>74</v>
      </c>
      <c r="I561" s="97" t="s">
        <v>75</v>
      </c>
      <c r="J561" s="97" t="s">
        <v>76</v>
      </c>
      <c r="K561" s="97" t="s">
        <v>73</v>
      </c>
      <c r="L561">
        <v>701000</v>
      </c>
      <c r="M561" s="97" t="s">
        <v>62</v>
      </c>
      <c r="N561" s="97" t="s">
        <v>33</v>
      </c>
      <c r="O561">
        <v>2468</v>
      </c>
      <c r="P561">
        <v>1.4</v>
      </c>
      <c r="Q561">
        <v>3.45</v>
      </c>
      <c r="R561" s="97" t="s">
        <v>1203</v>
      </c>
      <c r="S561" s="97" t="s">
        <v>195</v>
      </c>
    </row>
    <row r="562" spans="1:19" x14ac:dyDescent="0.3">
      <c r="A562" s="97" t="s">
        <v>875</v>
      </c>
      <c r="B562" s="97" t="s">
        <v>23</v>
      </c>
      <c r="C562">
        <v>2026</v>
      </c>
      <c r="D562">
        <v>1</v>
      </c>
      <c r="E562" s="2">
        <v>46043</v>
      </c>
      <c r="F562" s="97" t="s">
        <v>7</v>
      </c>
      <c r="G562" s="97" t="s">
        <v>8</v>
      </c>
      <c r="H562" s="97" t="s">
        <v>74</v>
      </c>
      <c r="I562" s="97" t="s">
        <v>79</v>
      </c>
      <c r="J562" s="97" t="s">
        <v>80</v>
      </c>
      <c r="K562" s="97" t="s">
        <v>73</v>
      </c>
      <c r="L562">
        <v>707000</v>
      </c>
      <c r="M562" s="97" t="s">
        <v>81</v>
      </c>
      <c r="N562" s="97" t="s">
        <v>33</v>
      </c>
      <c r="O562">
        <v>2133</v>
      </c>
      <c r="P562">
        <v>2.6</v>
      </c>
      <c r="Q562">
        <v>5.55</v>
      </c>
      <c r="R562" s="97" t="s">
        <v>1197</v>
      </c>
      <c r="S562" s="97" t="s">
        <v>195</v>
      </c>
    </row>
    <row r="563" spans="1:19" x14ac:dyDescent="0.3">
      <c r="A563" s="97" t="s">
        <v>876</v>
      </c>
      <c r="B563" s="97" t="s">
        <v>23</v>
      </c>
      <c r="C563">
        <v>2026</v>
      </c>
      <c r="D563">
        <v>1</v>
      </c>
      <c r="E563" s="2">
        <v>46043</v>
      </c>
      <c r="F563" s="97" t="s">
        <v>7</v>
      </c>
      <c r="G563" s="97" t="s">
        <v>8</v>
      </c>
      <c r="H563" s="97" t="s">
        <v>74</v>
      </c>
      <c r="I563" s="97" t="s">
        <v>79</v>
      </c>
      <c r="J563" s="97" t="s">
        <v>80</v>
      </c>
      <c r="K563" s="97" t="s">
        <v>73</v>
      </c>
      <c r="L563">
        <v>707000</v>
      </c>
      <c r="M563" s="97" t="s">
        <v>81</v>
      </c>
      <c r="N563" s="97" t="s">
        <v>33</v>
      </c>
      <c r="O563">
        <v>2095</v>
      </c>
      <c r="P563">
        <v>2.6</v>
      </c>
      <c r="Q563">
        <v>5.45</v>
      </c>
      <c r="R563" s="97" t="s">
        <v>1201</v>
      </c>
      <c r="S563" s="97" t="s">
        <v>195</v>
      </c>
    </row>
    <row r="564" spans="1:19" x14ac:dyDescent="0.3">
      <c r="A564" s="97" t="s">
        <v>877</v>
      </c>
      <c r="B564" s="97" t="s">
        <v>23</v>
      </c>
      <c r="C564">
        <v>2026</v>
      </c>
      <c r="D564">
        <v>1</v>
      </c>
      <c r="E564" s="2">
        <v>46043</v>
      </c>
      <c r="F564" s="97" t="s">
        <v>7</v>
      </c>
      <c r="G564" s="97" t="s">
        <v>8</v>
      </c>
      <c r="H564" s="97" t="s">
        <v>74</v>
      </c>
      <c r="I564" s="97" t="s">
        <v>79</v>
      </c>
      <c r="J564" s="97" t="s">
        <v>80</v>
      </c>
      <c r="K564" s="97" t="s">
        <v>73</v>
      </c>
      <c r="L564">
        <v>707000</v>
      </c>
      <c r="M564" s="97" t="s">
        <v>81</v>
      </c>
      <c r="N564" s="97" t="s">
        <v>33</v>
      </c>
      <c r="O564">
        <v>357</v>
      </c>
      <c r="P564">
        <v>2.61</v>
      </c>
      <c r="Q564">
        <v>0.93</v>
      </c>
      <c r="R564" s="97" t="s">
        <v>1199</v>
      </c>
      <c r="S564" s="97" t="s">
        <v>195</v>
      </c>
    </row>
    <row r="565" spans="1:19" x14ac:dyDescent="0.3">
      <c r="A565" s="97" t="s">
        <v>878</v>
      </c>
      <c r="B565" s="97" t="s">
        <v>23</v>
      </c>
      <c r="C565">
        <v>2026</v>
      </c>
      <c r="D565">
        <v>1</v>
      </c>
      <c r="E565" s="2">
        <v>46043</v>
      </c>
      <c r="F565" s="97" t="s">
        <v>7</v>
      </c>
      <c r="G565" s="97" t="s">
        <v>8</v>
      </c>
      <c r="H565" s="97" t="s">
        <v>74</v>
      </c>
      <c r="I565" s="97" t="s">
        <v>79</v>
      </c>
      <c r="J565" s="97" t="s">
        <v>80</v>
      </c>
      <c r="K565" s="97" t="s">
        <v>73</v>
      </c>
      <c r="L565">
        <v>707000</v>
      </c>
      <c r="M565" s="97" t="s">
        <v>81</v>
      </c>
      <c r="N565" s="97" t="s">
        <v>33</v>
      </c>
      <c r="O565">
        <v>361</v>
      </c>
      <c r="P565">
        <v>2.6</v>
      </c>
      <c r="Q565">
        <v>0.94</v>
      </c>
      <c r="R565" s="97" t="s">
        <v>1205</v>
      </c>
      <c r="S565" s="97" t="s">
        <v>195</v>
      </c>
    </row>
    <row r="566" spans="1:19" x14ac:dyDescent="0.3">
      <c r="A566" s="97" t="s">
        <v>879</v>
      </c>
      <c r="B566" s="97" t="s">
        <v>23</v>
      </c>
      <c r="C566">
        <v>2026</v>
      </c>
      <c r="D566">
        <v>1</v>
      </c>
      <c r="E566" s="2">
        <v>46043</v>
      </c>
      <c r="F566" s="97" t="s">
        <v>7</v>
      </c>
      <c r="G566" s="97" t="s">
        <v>8</v>
      </c>
      <c r="H566" s="97" t="s">
        <v>74</v>
      </c>
      <c r="I566" s="97" t="s">
        <v>79</v>
      </c>
      <c r="J566" s="97" t="s">
        <v>80</v>
      </c>
      <c r="K566" s="97" t="s">
        <v>73</v>
      </c>
      <c r="L566">
        <v>707000</v>
      </c>
      <c r="M566" s="97" t="s">
        <v>81</v>
      </c>
      <c r="N566" s="97" t="s">
        <v>33</v>
      </c>
      <c r="O566">
        <v>1677</v>
      </c>
      <c r="P566">
        <v>2.59</v>
      </c>
      <c r="Q566">
        <v>4.3499999999999996</v>
      </c>
      <c r="R566" s="97" t="s">
        <v>1203</v>
      </c>
      <c r="S566" s="97" t="s">
        <v>195</v>
      </c>
    </row>
    <row r="567" spans="1:19" x14ac:dyDescent="0.3">
      <c r="A567" s="97" t="s">
        <v>270</v>
      </c>
      <c r="B567" s="97" t="s">
        <v>23</v>
      </c>
      <c r="C567">
        <v>2026</v>
      </c>
      <c r="D567">
        <v>1</v>
      </c>
      <c r="E567" s="2">
        <v>46044</v>
      </c>
      <c r="F567" s="97" t="s">
        <v>7</v>
      </c>
      <c r="G567" s="97" t="s">
        <v>8</v>
      </c>
      <c r="H567" s="97" t="s">
        <v>70</v>
      </c>
      <c r="I567" s="97" t="s">
        <v>84</v>
      </c>
      <c r="J567" s="97" t="s">
        <v>85</v>
      </c>
      <c r="K567" s="97" t="s">
        <v>73</v>
      </c>
      <c r="L567">
        <v>701000</v>
      </c>
      <c r="M567" s="97" t="s">
        <v>62</v>
      </c>
      <c r="N567" s="97" t="s">
        <v>33</v>
      </c>
      <c r="O567">
        <v>1992</v>
      </c>
      <c r="P567">
        <v>0.95</v>
      </c>
      <c r="Q567">
        <v>1.89</v>
      </c>
      <c r="R567" s="97" t="s">
        <v>1205</v>
      </c>
      <c r="S567" s="97" t="s">
        <v>195</v>
      </c>
    </row>
    <row r="568" spans="1:19" x14ac:dyDescent="0.3">
      <c r="A568" s="97" t="s">
        <v>271</v>
      </c>
      <c r="B568" s="97" t="s">
        <v>23</v>
      </c>
      <c r="C568">
        <v>2026</v>
      </c>
      <c r="D568">
        <v>1</v>
      </c>
      <c r="E568" s="2">
        <v>46044</v>
      </c>
      <c r="F568" s="97" t="s">
        <v>7</v>
      </c>
      <c r="G568" s="97" t="s">
        <v>8</v>
      </c>
      <c r="H568" s="97" t="s">
        <v>70</v>
      </c>
      <c r="I568" s="97" t="s">
        <v>84</v>
      </c>
      <c r="J568" s="97" t="s">
        <v>85</v>
      </c>
      <c r="K568" s="97" t="s">
        <v>73</v>
      </c>
      <c r="L568">
        <v>701000</v>
      </c>
      <c r="M568" s="97" t="s">
        <v>62</v>
      </c>
      <c r="N568" s="97" t="s">
        <v>33</v>
      </c>
      <c r="O568">
        <v>2388</v>
      </c>
      <c r="P568">
        <v>0.95</v>
      </c>
      <c r="Q568">
        <v>2.27</v>
      </c>
      <c r="R568" s="97" t="s">
        <v>1199</v>
      </c>
      <c r="S568" s="97" t="s">
        <v>195</v>
      </c>
    </row>
    <row r="569" spans="1:19" x14ac:dyDescent="0.3">
      <c r="A569" s="97" t="s">
        <v>272</v>
      </c>
      <c r="B569" s="97" t="s">
        <v>23</v>
      </c>
      <c r="C569">
        <v>2026</v>
      </c>
      <c r="D569">
        <v>1</v>
      </c>
      <c r="E569" s="2">
        <v>46044</v>
      </c>
      <c r="F569" s="97" t="s">
        <v>7</v>
      </c>
      <c r="G569" s="97" t="s">
        <v>8</v>
      </c>
      <c r="H569" s="97" t="s">
        <v>70</v>
      </c>
      <c r="I569" s="97" t="s">
        <v>84</v>
      </c>
      <c r="J569" s="97" t="s">
        <v>85</v>
      </c>
      <c r="K569" s="97" t="s">
        <v>73</v>
      </c>
      <c r="L569">
        <v>701000</v>
      </c>
      <c r="M569" s="97" t="s">
        <v>62</v>
      </c>
      <c r="N569" s="97" t="s">
        <v>33</v>
      </c>
      <c r="O569">
        <v>3482</v>
      </c>
      <c r="P569">
        <v>0.95</v>
      </c>
      <c r="Q569">
        <v>3.31</v>
      </c>
      <c r="R569" s="97" t="s">
        <v>1197</v>
      </c>
      <c r="S569" s="97" t="s">
        <v>195</v>
      </c>
    </row>
    <row r="570" spans="1:19" x14ac:dyDescent="0.3">
      <c r="A570" s="97" t="s">
        <v>273</v>
      </c>
      <c r="B570" s="97" t="s">
        <v>23</v>
      </c>
      <c r="C570">
        <v>2026</v>
      </c>
      <c r="D570">
        <v>1</v>
      </c>
      <c r="E570" s="2">
        <v>46044</v>
      </c>
      <c r="F570" s="97" t="s">
        <v>7</v>
      </c>
      <c r="G570" s="97" t="s">
        <v>8</v>
      </c>
      <c r="H570" s="97" t="s">
        <v>70</v>
      </c>
      <c r="I570" s="97" t="s">
        <v>84</v>
      </c>
      <c r="J570" s="97" t="s">
        <v>85</v>
      </c>
      <c r="K570" s="97" t="s">
        <v>73</v>
      </c>
      <c r="L570">
        <v>701000</v>
      </c>
      <c r="M570" s="97" t="s">
        <v>62</v>
      </c>
      <c r="N570" s="97" t="s">
        <v>33</v>
      </c>
      <c r="O570">
        <v>2117</v>
      </c>
      <c r="P570">
        <v>0.95</v>
      </c>
      <c r="Q570">
        <v>2.0099999999999998</v>
      </c>
      <c r="R570" s="97" t="s">
        <v>1198</v>
      </c>
      <c r="S570" s="97" t="s">
        <v>195</v>
      </c>
    </row>
    <row r="571" spans="1:19" x14ac:dyDescent="0.3">
      <c r="A571" s="97" t="s">
        <v>274</v>
      </c>
      <c r="B571" s="97" t="s">
        <v>23</v>
      </c>
      <c r="C571">
        <v>2026</v>
      </c>
      <c r="D571">
        <v>1</v>
      </c>
      <c r="E571" s="2">
        <v>46044</v>
      </c>
      <c r="F571" s="97" t="s">
        <v>7</v>
      </c>
      <c r="G571" s="97" t="s">
        <v>8</v>
      </c>
      <c r="H571" s="97" t="s">
        <v>70</v>
      </c>
      <c r="I571" s="97" t="s">
        <v>84</v>
      </c>
      <c r="J571" s="97" t="s">
        <v>85</v>
      </c>
      <c r="K571" s="97" t="s">
        <v>73</v>
      </c>
      <c r="L571">
        <v>701000</v>
      </c>
      <c r="M571" s="97" t="s">
        <v>62</v>
      </c>
      <c r="N571" s="97" t="s">
        <v>33</v>
      </c>
      <c r="O571">
        <v>3090</v>
      </c>
      <c r="P571">
        <v>0.95</v>
      </c>
      <c r="Q571">
        <v>2.94</v>
      </c>
      <c r="R571" s="97" t="s">
        <v>1200</v>
      </c>
      <c r="S571" s="97" t="s">
        <v>195</v>
      </c>
    </row>
    <row r="572" spans="1:19" x14ac:dyDescent="0.3">
      <c r="A572" s="97" t="s">
        <v>380</v>
      </c>
      <c r="B572" s="97" t="s">
        <v>23</v>
      </c>
      <c r="C572">
        <v>2026</v>
      </c>
      <c r="D572">
        <v>1</v>
      </c>
      <c r="E572" s="2">
        <v>46044</v>
      </c>
      <c r="F572" s="97" t="s">
        <v>7</v>
      </c>
      <c r="G572" s="97" t="s">
        <v>8</v>
      </c>
      <c r="H572" s="97" t="s">
        <v>70</v>
      </c>
      <c r="I572" s="97" t="s">
        <v>71</v>
      </c>
      <c r="J572" s="97" t="s">
        <v>72</v>
      </c>
      <c r="K572" s="97" t="s">
        <v>73</v>
      </c>
      <c r="L572">
        <v>707000</v>
      </c>
      <c r="M572" s="97" t="s">
        <v>81</v>
      </c>
      <c r="N572" s="97" t="s">
        <v>33</v>
      </c>
      <c r="O572">
        <v>662</v>
      </c>
      <c r="P572">
        <v>1.04</v>
      </c>
      <c r="Q572">
        <v>0.69</v>
      </c>
      <c r="R572" s="97" t="s">
        <v>1201</v>
      </c>
      <c r="S572" s="97" t="s">
        <v>195</v>
      </c>
    </row>
    <row r="573" spans="1:19" x14ac:dyDescent="0.3">
      <c r="A573" s="97" t="s">
        <v>381</v>
      </c>
      <c r="B573" s="97" t="s">
        <v>23</v>
      </c>
      <c r="C573">
        <v>2026</v>
      </c>
      <c r="D573">
        <v>1</v>
      </c>
      <c r="E573" s="2">
        <v>46044</v>
      </c>
      <c r="F573" s="97" t="s">
        <v>7</v>
      </c>
      <c r="G573" s="97" t="s">
        <v>8</v>
      </c>
      <c r="H573" s="97" t="s">
        <v>70</v>
      </c>
      <c r="I573" s="97" t="s">
        <v>71</v>
      </c>
      <c r="J573" s="97" t="s">
        <v>72</v>
      </c>
      <c r="K573" s="97" t="s">
        <v>73</v>
      </c>
      <c r="L573">
        <v>707000</v>
      </c>
      <c r="M573" s="97" t="s">
        <v>81</v>
      </c>
      <c r="N573" s="97" t="s">
        <v>33</v>
      </c>
      <c r="O573">
        <v>1719</v>
      </c>
      <c r="P573">
        <v>1.05</v>
      </c>
      <c r="Q573">
        <v>1.8</v>
      </c>
      <c r="R573" s="97" t="s">
        <v>1197</v>
      </c>
      <c r="S573" s="97" t="s">
        <v>195</v>
      </c>
    </row>
    <row r="574" spans="1:19" x14ac:dyDescent="0.3">
      <c r="A574" s="97" t="s">
        <v>382</v>
      </c>
      <c r="B574" s="97" t="s">
        <v>23</v>
      </c>
      <c r="C574">
        <v>2026</v>
      </c>
      <c r="D574">
        <v>1</v>
      </c>
      <c r="E574" s="2">
        <v>46044</v>
      </c>
      <c r="F574" s="97" t="s">
        <v>7</v>
      </c>
      <c r="G574" s="97" t="s">
        <v>8</v>
      </c>
      <c r="H574" s="97" t="s">
        <v>70</v>
      </c>
      <c r="I574" s="97" t="s">
        <v>71</v>
      </c>
      <c r="J574" s="97" t="s">
        <v>72</v>
      </c>
      <c r="K574" s="97" t="s">
        <v>73</v>
      </c>
      <c r="L574">
        <v>707000</v>
      </c>
      <c r="M574" s="97" t="s">
        <v>81</v>
      </c>
      <c r="N574" s="97" t="s">
        <v>33</v>
      </c>
      <c r="O574">
        <v>504</v>
      </c>
      <c r="P574">
        <v>1.05</v>
      </c>
      <c r="Q574">
        <v>0.53</v>
      </c>
      <c r="R574" s="97" t="s">
        <v>1205</v>
      </c>
      <c r="S574" s="97" t="s">
        <v>195</v>
      </c>
    </row>
    <row r="575" spans="1:19" x14ac:dyDescent="0.3">
      <c r="A575" s="97" t="s">
        <v>383</v>
      </c>
      <c r="B575" s="97" t="s">
        <v>23</v>
      </c>
      <c r="C575">
        <v>2026</v>
      </c>
      <c r="D575">
        <v>1</v>
      </c>
      <c r="E575" s="2">
        <v>46044</v>
      </c>
      <c r="F575" s="97" t="s">
        <v>7</v>
      </c>
      <c r="G575" s="97" t="s">
        <v>8</v>
      </c>
      <c r="H575" s="97" t="s">
        <v>70</v>
      </c>
      <c r="I575" s="97" t="s">
        <v>71</v>
      </c>
      <c r="J575" s="97" t="s">
        <v>72</v>
      </c>
      <c r="K575" s="97" t="s">
        <v>73</v>
      </c>
      <c r="L575">
        <v>707000</v>
      </c>
      <c r="M575" s="97" t="s">
        <v>81</v>
      </c>
      <c r="N575" s="97" t="s">
        <v>33</v>
      </c>
      <c r="O575">
        <v>3660</v>
      </c>
      <c r="P575">
        <v>1.05</v>
      </c>
      <c r="Q575">
        <v>3.84</v>
      </c>
      <c r="R575" s="97" t="s">
        <v>1204</v>
      </c>
      <c r="S575" s="97" t="s">
        <v>195</v>
      </c>
    </row>
    <row r="576" spans="1:19" x14ac:dyDescent="0.3">
      <c r="A576" s="97" t="s">
        <v>384</v>
      </c>
      <c r="B576" s="97" t="s">
        <v>23</v>
      </c>
      <c r="C576">
        <v>2026</v>
      </c>
      <c r="D576">
        <v>1</v>
      </c>
      <c r="E576" s="2">
        <v>46044</v>
      </c>
      <c r="F576" s="97" t="s">
        <v>7</v>
      </c>
      <c r="G576" s="97" t="s">
        <v>8</v>
      </c>
      <c r="H576" s="97" t="s">
        <v>70</v>
      </c>
      <c r="I576" s="97" t="s">
        <v>71</v>
      </c>
      <c r="J576" s="97" t="s">
        <v>72</v>
      </c>
      <c r="K576" s="97" t="s">
        <v>73</v>
      </c>
      <c r="L576">
        <v>707000</v>
      </c>
      <c r="M576" s="97" t="s">
        <v>81</v>
      </c>
      <c r="N576" s="97" t="s">
        <v>33</v>
      </c>
      <c r="O576">
        <v>2883</v>
      </c>
      <c r="P576">
        <v>1.05</v>
      </c>
      <c r="Q576">
        <v>3.04</v>
      </c>
      <c r="R576" s="97" t="s">
        <v>1202</v>
      </c>
      <c r="S576" s="97" t="s">
        <v>195</v>
      </c>
    </row>
    <row r="577" spans="1:19" x14ac:dyDescent="0.3">
      <c r="A577" s="97" t="s">
        <v>465</v>
      </c>
      <c r="B577" s="97" t="s">
        <v>23</v>
      </c>
      <c r="C577">
        <v>2026</v>
      </c>
      <c r="D577">
        <v>1</v>
      </c>
      <c r="E577" s="2">
        <v>46044</v>
      </c>
      <c r="F577" s="97" t="s">
        <v>7</v>
      </c>
      <c r="G577" s="97" t="s">
        <v>8</v>
      </c>
      <c r="H577" s="97" t="s">
        <v>74</v>
      </c>
      <c r="I577" s="97" t="s">
        <v>71</v>
      </c>
      <c r="J577" s="97" t="s">
        <v>72</v>
      </c>
      <c r="K577" s="97" t="s">
        <v>73</v>
      </c>
      <c r="L577">
        <v>701000</v>
      </c>
      <c r="M577" s="97" t="s">
        <v>62</v>
      </c>
      <c r="N577" s="97" t="s">
        <v>33</v>
      </c>
      <c r="O577">
        <v>1210</v>
      </c>
      <c r="P577">
        <v>1.05</v>
      </c>
      <c r="Q577">
        <v>1.27</v>
      </c>
      <c r="R577" s="97" t="s">
        <v>1198</v>
      </c>
      <c r="S577" s="97" t="s">
        <v>195</v>
      </c>
    </row>
    <row r="578" spans="1:19" x14ac:dyDescent="0.3">
      <c r="A578" s="97" t="s">
        <v>466</v>
      </c>
      <c r="B578" s="97" t="s">
        <v>23</v>
      </c>
      <c r="C578">
        <v>2026</v>
      </c>
      <c r="D578">
        <v>1</v>
      </c>
      <c r="E578" s="2">
        <v>46044</v>
      </c>
      <c r="F578" s="97" t="s">
        <v>7</v>
      </c>
      <c r="G578" s="97" t="s">
        <v>8</v>
      </c>
      <c r="H578" s="97" t="s">
        <v>74</v>
      </c>
      <c r="I578" s="97" t="s">
        <v>71</v>
      </c>
      <c r="J578" s="97" t="s">
        <v>72</v>
      </c>
      <c r="K578" s="97" t="s">
        <v>73</v>
      </c>
      <c r="L578">
        <v>701000</v>
      </c>
      <c r="M578" s="97" t="s">
        <v>62</v>
      </c>
      <c r="N578" s="97" t="s">
        <v>33</v>
      </c>
      <c r="O578">
        <v>1177</v>
      </c>
      <c r="P578">
        <v>1.05</v>
      </c>
      <c r="Q578">
        <v>1.24</v>
      </c>
      <c r="R578" s="97" t="s">
        <v>1202</v>
      </c>
      <c r="S578" s="97" t="s">
        <v>195</v>
      </c>
    </row>
    <row r="579" spans="1:19" x14ac:dyDescent="0.3">
      <c r="A579" s="97" t="s">
        <v>467</v>
      </c>
      <c r="B579" s="97" t="s">
        <v>23</v>
      </c>
      <c r="C579">
        <v>2026</v>
      </c>
      <c r="D579">
        <v>1</v>
      </c>
      <c r="E579" s="2">
        <v>46044</v>
      </c>
      <c r="F579" s="97" t="s">
        <v>7</v>
      </c>
      <c r="G579" s="97" t="s">
        <v>8</v>
      </c>
      <c r="H579" s="97" t="s">
        <v>74</v>
      </c>
      <c r="I579" s="97" t="s">
        <v>71</v>
      </c>
      <c r="J579" s="97" t="s">
        <v>72</v>
      </c>
      <c r="K579" s="97" t="s">
        <v>73</v>
      </c>
      <c r="L579">
        <v>701000</v>
      </c>
      <c r="M579" s="97" t="s">
        <v>62</v>
      </c>
      <c r="N579" s="97" t="s">
        <v>33</v>
      </c>
      <c r="O579">
        <v>531</v>
      </c>
      <c r="P579">
        <v>1.05</v>
      </c>
      <c r="Q579">
        <v>0.56000000000000005</v>
      </c>
      <c r="R579" s="97" t="s">
        <v>1199</v>
      </c>
      <c r="S579" s="97" t="s">
        <v>195</v>
      </c>
    </row>
    <row r="580" spans="1:19" x14ac:dyDescent="0.3">
      <c r="A580" s="97" t="s">
        <v>468</v>
      </c>
      <c r="B580" s="97" t="s">
        <v>23</v>
      </c>
      <c r="C580">
        <v>2026</v>
      </c>
      <c r="D580">
        <v>1</v>
      </c>
      <c r="E580" s="2">
        <v>46044</v>
      </c>
      <c r="F580" s="97" t="s">
        <v>7</v>
      </c>
      <c r="G580" s="97" t="s">
        <v>8</v>
      </c>
      <c r="H580" s="97" t="s">
        <v>74</v>
      </c>
      <c r="I580" s="97" t="s">
        <v>71</v>
      </c>
      <c r="J580" s="97" t="s">
        <v>72</v>
      </c>
      <c r="K580" s="97" t="s">
        <v>73</v>
      </c>
      <c r="L580">
        <v>701000</v>
      </c>
      <c r="M580" s="97" t="s">
        <v>62</v>
      </c>
      <c r="N580" s="97" t="s">
        <v>33</v>
      </c>
      <c r="O580">
        <v>2726</v>
      </c>
      <c r="P580">
        <v>1.05</v>
      </c>
      <c r="Q580">
        <v>2.86</v>
      </c>
      <c r="R580" s="97" t="s">
        <v>1201</v>
      </c>
      <c r="S580" s="97" t="s">
        <v>195</v>
      </c>
    </row>
    <row r="581" spans="1:19" x14ac:dyDescent="0.3">
      <c r="A581" s="97" t="s">
        <v>469</v>
      </c>
      <c r="B581" s="97" t="s">
        <v>23</v>
      </c>
      <c r="C581">
        <v>2026</v>
      </c>
      <c r="D581">
        <v>1</v>
      </c>
      <c r="E581" s="2">
        <v>46044</v>
      </c>
      <c r="F581" s="97" t="s">
        <v>7</v>
      </c>
      <c r="G581" s="97" t="s">
        <v>8</v>
      </c>
      <c r="H581" s="97" t="s">
        <v>74</v>
      </c>
      <c r="I581" s="97" t="s">
        <v>71</v>
      </c>
      <c r="J581" s="97" t="s">
        <v>72</v>
      </c>
      <c r="K581" s="97" t="s">
        <v>73</v>
      </c>
      <c r="L581">
        <v>701000</v>
      </c>
      <c r="M581" s="97" t="s">
        <v>62</v>
      </c>
      <c r="N581" s="97" t="s">
        <v>33</v>
      </c>
      <c r="O581">
        <v>3142</v>
      </c>
      <c r="P581">
        <v>1.05</v>
      </c>
      <c r="Q581">
        <v>3.3</v>
      </c>
      <c r="R581" s="97" t="s">
        <v>1203</v>
      </c>
      <c r="S581" s="97" t="s">
        <v>195</v>
      </c>
    </row>
    <row r="582" spans="1:19" x14ac:dyDescent="0.3">
      <c r="A582" s="97" t="s">
        <v>550</v>
      </c>
      <c r="B582" s="97" t="s">
        <v>23</v>
      </c>
      <c r="C582">
        <v>2026</v>
      </c>
      <c r="D582">
        <v>1</v>
      </c>
      <c r="E582" s="2">
        <v>46044</v>
      </c>
      <c r="F582" s="97" t="s">
        <v>7</v>
      </c>
      <c r="G582" s="97" t="s">
        <v>8</v>
      </c>
      <c r="H582" s="97" t="s">
        <v>70</v>
      </c>
      <c r="I582" s="97" t="s">
        <v>75</v>
      </c>
      <c r="J582" s="97" t="s">
        <v>76</v>
      </c>
      <c r="K582" s="97" t="s">
        <v>73</v>
      </c>
      <c r="L582">
        <v>701000</v>
      </c>
      <c r="M582" s="97" t="s">
        <v>62</v>
      </c>
      <c r="N582" s="97" t="s">
        <v>33</v>
      </c>
      <c r="O582">
        <v>542</v>
      </c>
      <c r="P582">
        <v>1.4</v>
      </c>
      <c r="Q582">
        <v>0.76</v>
      </c>
      <c r="R582" s="97" t="s">
        <v>1203</v>
      </c>
      <c r="S582" s="97" t="s">
        <v>195</v>
      </c>
    </row>
    <row r="583" spans="1:19" x14ac:dyDescent="0.3">
      <c r="A583" s="97" t="s">
        <v>551</v>
      </c>
      <c r="B583" s="97" t="s">
        <v>23</v>
      </c>
      <c r="C583">
        <v>2026</v>
      </c>
      <c r="D583">
        <v>1</v>
      </c>
      <c r="E583" s="2">
        <v>46044</v>
      </c>
      <c r="F583" s="97" t="s">
        <v>7</v>
      </c>
      <c r="G583" s="97" t="s">
        <v>8</v>
      </c>
      <c r="H583" s="97" t="s">
        <v>70</v>
      </c>
      <c r="I583" s="97" t="s">
        <v>75</v>
      </c>
      <c r="J583" s="97" t="s">
        <v>76</v>
      </c>
      <c r="K583" s="97" t="s">
        <v>73</v>
      </c>
      <c r="L583">
        <v>701000</v>
      </c>
      <c r="M583" s="97" t="s">
        <v>62</v>
      </c>
      <c r="N583" s="97" t="s">
        <v>33</v>
      </c>
      <c r="O583">
        <v>528</v>
      </c>
      <c r="P583">
        <v>1.4</v>
      </c>
      <c r="Q583">
        <v>0.74</v>
      </c>
      <c r="R583" s="97" t="s">
        <v>1199</v>
      </c>
      <c r="S583" s="97" t="s">
        <v>195</v>
      </c>
    </row>
    <row r="584" spans="1:19" x14ac:dyDescent="0.3">
      <c r="A584" s="97" t="s">
        <v>552</v>
      </c>
      <c r="B584" s="97" t="s">
        <v>23</v>
      </c>
      <c r="C584">
        <v>2026</v>
      </c>
      <c r="D584">
        <v>1</v>
      </c>
      <c r="E584" s="2">
        <v>46044</v>
      </c>
      <c r="F584" s="97" t="s">
        <v>7</v>
      </c>
      <c r="G584" s="97" t="s">
        <v>8</v>
      </c>
      <c r="H584" s="97" t="s">
        <v>70</v>
      </c>
      <c r="I584" s="97" t="s">
        <v>75</v>
      </c>
      <c r="J584" s="97" t="s">
        <v>76</v>
      </c>
      <c r="K584" s="97" t="s">
        <v>73</v>
      </c>
      <c r="L584">
        <v>701000</v>
      </c>
      <c r="M584" s="97" t="s">
        <v>62</v>
      </c>
      <c r="N584" s="97" t="s">
        <v>33</v>
      </c>
      <c r="O584">
        <v>1512</v>
      </c>
      <c r="P584">
        <v>1.4</v>
      </c>
      <c r="Q584">
        <v>2.12</v>
      </c>
      <c r="R584" s="97" t="s">
        <v>1198</v>
      </c>
      <c r="S584" s="97" t="s">
        <v>195</v>
      </c>
    </row>
    <row r="585" spans="1:19" x14ac:dyDescent="0.3">
      <c r="A585" s="97" t="s">
        <v>553</v>
      </c>
      <c r="B585" s="97" t="s">
        <v>23</v>
      </c>
      <c r="C585">
        <v>2026</v>
      </c>
      <c r="D585">
        <v>1</v>
      </c>
      <c r="E585" s="2">
        <v>46044</v>
      </c>
      <c r="F585" s="97" t="s">
        <v>7</v>
      </c>
      <c r="G585" s="97" t="s">
        <v>8</v>
      </c>
      <c r="H585" s="97" t="s">
        <v>70</v>
      </c>
      <c r="I585" s="97" t="s">
        <v>75</v>
      </c>
      <c r="J585" s="97" t="s">
        <v>76</v>
      </c>
      <c r="K585" s="97" t="s">
        <v>73</v>
      </c>
      <c r="L585">
        <v>701000</v>
      </c>
      <c r="M585" s="97" t="s">
        <v>62</v>
      </c>
      <c r="N585" s="97" t="s">
        <v>33</v>
      </c>
      <c r="O585">
        <v>1450</v>
      </c>
      <c r="P585">
        <v>1.4</v>
      </c>
      <c r="Q585">
        <v>2.0299999999999998</v>
      </c>
      <c r="R585" s="97" t="s">
        <v>1205</v>
      </c>
      <c r="S585" s="97" t="s">
        <v>195</v>
      </c>
    </row>
    <row r="586" spans="1:19" x14ac:dyDescent="0.3">
      <c r="A586" s="97" t="s">
        <v>554</v>
      </c>
      <c r="B586" s="97" t="s">
        <v>23</v>
      </c>
      <c r="C586">
        <v>2026</v>
      </c>
      <c r="D586">
        <v>1</v>
      </c>
      <c r="E586" s="2">
        <v>46044</v>
      </c>
      <c r="F586" s="97" t="s">
        <v>7</v>
      </c>
      <c r="G586" s="97" t="s">
        <v>8</v>
      </c>
      <c r="H586" s="97" t="s">
        <v>70</v>
      </c>
      <c r="I586" s="97" t="s">
        <v>75</v>
      </c>
      <c r="J586" s="97" t="s">
        <v>76</v>
      </c>
      <c r="K586" s="97" t="s">
        <v>73</v>
      </c>
      <c r="L586">
        <v>701000</v>
      </c>
      <c r="M586" s="97" t="s">
        <v>62</v>
      </c>
      <c r="N586" s="97" t="s">
        <v>33</v>
      </c>
      <c r="O586">
        <v>1467</v>
      </c>
      <c r="P586">
        <v>1.4</v>
      </c>
      <c r="Q586">
        <v>2.0499999999999998</v>
      </c>
      <c r="R586" s="97" t="s">
        <v>1200</v>
      </c>
      <c r="S586" s="97" t="s">
        <v>195</v>
      </c>
    </row>
    <row r="587" spans="1:19" x14ac:dyDescent="0.3">
      <c r="A587" s="97" t="s">
        <v>830</v>
      </c>
      <c r="B587" s="97" t="s">
        <v>23</v>
      </c>
      <c r="C587">
        <v>2026</v>
      </c>
      <c r="D587">
        <v>1</v>
      </c>
      <c r="E587" s="2">
        <v>46044</v>
      </c>
      <c r="F587" s="97" t="s">
        <v>7</v>
      </c>
      <c r="G587" s="97" t="s">
        <v>8</v>
      </c>
      <c r="H587" s="97" t="s">
        <v>74</v>
      </c>
      <c r="I587" s="97" t="s">
        <v>79</v>
      </c>
      <c r="J587" s="97" t="s">
        <v>80</v>
      </c>
      <c r="K587" s="97" t="s">
        <v>73</v>
      </c>
      <c r="L587">
        <v>701000</v>
      </c>
      <c r="M587" s="97" t="s">
        <v>62</v>
      </c>
      <c r="N587" s="97" t="s">
        <v>33</v>
      </c>
      <c r="O587">
        <v>1726</v>
      </c>
      <c r="P587">
        <v>2.6</v>
      </c>
      <c r="Q587">
        <v>4.49</v>
      </c>
      <c r="R587" s="97" t="s">
        <v>1201</v>
      </c>
      <c r="S587" s="97" t="s">
        <v>195</v>
      </c>
    </row>
    <row r="588" spans="1:19" x14ac:dyDescent="0.3">
      <c r="A588" s="97" t="s">
        <v>831</v>
      </c>
      <c r="B588" s="97" t="s">
        <v>23</v>
      </c>
      <c r="C588">
        <v>2026</v>
      </c>
      <c r="D588">
        <v>1</v>
      </c>
      <c r="E588" s="2">
        <v>46044</v>
      </c>
      <c r="F588" s="97" t="s">
        <v>7</v>
      </c>
      <c r="G588" s="97" t="s">
        <v>8</v>
      </c>
      <c r="H588" s="97" t="s">
        <v>74</v>
      </c>
      <c r="I588" s="97" t="s">
        <v>79</v>
      </c>
      <c r="J588" s="97" t="s">
        <v>80</v>
      </c>
      <c r="K588" s="97" t="s">
        <v>73</v>
      </c>
      <c r="L588">
        <v>701000</v>
      </c>
      <c r="M588" s="97" t="s">
        <v>62</v>
      </c>
      <c r="N588" s="97" t="s">
        <v>33</v>
      </c>
      <c r="O588">
        <v>2824</v>
      </c>
      <c r="P588">
        <v>2.6</v>
      </c>
      <c r="Q588">
        <v>7.34</v>
      </c>
      <c r="R588" s="97" t="s">
        <v>1203</v>
      </c>
      <c r="S588" s="97" t="s">
        <v>195</v>
      </c>
    </row>
    <row r="589" spans="1:19" x14ac:dyDescent="0.3">
      <c r="A589" s="97" t="s">
        <v>832</v>
      </c>
      <c r="B589" s="97" t="s">
        <v>23</v>
      </c>
      <c r="C589">
        <v>2026</v>
      </c>
      <c r="D589">
        <v>1</v>
      </c>
      <c r="E589" s="2">
        <v>46044</v>
      </c>
      <c r="F589" s="97" t="s">
        <v>7</v>
      </c>
      <c r="G589" s="97" t="s">
        <v>8</v>
      </c>
      <c r="H589" s="97" t="s">
        <v>74</v>
      </c>
      <c r="I589" s="97" t="s">
        <v>79</v>
      </c>
      <c r="J589" s="97" t="s">
        <v>80</v>
      </c>
      <c r="K589" s="97" t="s">
        <v>73</v>
      </c>
      <c r="L589">
        <v>701000</v>
      </c>
      <c r="M589" s="97" t="s">
        <v>62</v>
      </c>
      <c r="N589" s="97" t="s">
        <v>33</v>
      </c>
      <c r="O589">
        <v>700</v>
      </c>
      <c r="P589">
        <v>2.6</v>
      </c>
      <c r="Q589">
        <v>1.82</v>
      </c>
      <c r="R589" s="97" t="s">
        <v>1204</v>
      </c>
      <c r="S589" s="97" t="s">
        <v>195</v>
      </c>
    </row>
    <row r="590" spans="1:19" x14ac:dyDescent="0.3">
      <c r="A590" s="97" t="s">
        <v>833</v>
      </c>
      <c r="B590" s="97" t="s">
        <v>23</v>
      </c>
      <c r="C590">
        <v>2026</v>
      </c>
      <c r="D590">
        <v>1</v>
      </c>
      <c r="E590" s="2">
        <v>46044</v>
      </c>
      <c r="F590" s="97" t="s">
        <v>7</v>
      </c>
      <c r="G590" s="97" t="s">
        <v>8</v>
      </c>
      <c r="H590" s="97" t="s">
        <v>74</v>
      </c>
      <c r="I590" s="97" t="s">
        <v>79</v>
      </c>
      <c r="J590" s="97" t="s">
        <v>80</v>
      </c>
      <c r="K590" s="97" t="s">
        <v>73</v>
      </c>
      <c r="L590">
        <v>701000</v>
      </c>
      <c r="M590" s="97" t="s">
        <v>62</v>
      </c>
      <c r="N590" s="97" t="s">
        <v>33</v>
      </c>
      <c r="O590">
        <v>2170</v>
      </c>
      <c r="P590">
        <v>2.6</v>
      </c>
      <c r="Q590">
        <v>5.64</v>
      </c>
      <c r="R590" s="97" t="s">
        <v>1205</v>
      </c>
      <c r="S590" s="97" t="s">
        <v>195</v>
      </c>
    </row>
    <row r="591" spans="1:19" x14ac:dyDescent="0.3">
      <c r="A591" s="97" t="s">
        <v>834</v>
      </c>
      <c r="B591" s="97" t="s">
        <v>23</v>
      </c>
      <c r="C591">
        <v>2026</v>
      </c>
      <c r="D591">
        <v>1</v>
      </c>
      <c r="E591" s="2">
        <v>46044</v>
      </c>
      <c r="F591" s="97" t="s">
        <v>7</v>
      </c>
      <c r="G591" s="97" t="s">
        <v>8</v>
      </c>
      <c r="H591" s="97" t="s">
        <v>74</v>
      </c>
      <c r="I591" s="97" t="s">
        <v>79</v>
      </c>
      <c r="J591" s="97" t="s">
        <v>80</v>
      </c>
      <c r="K591" s="97" t="s">
        <v>73</v>
      </c>
      <c r="L591">
        <v>701000</v>
      </c>
      <c r="M591" s="97" t="s">
        <v>62</v>
      </c>
      <c r="N591" s="97" t="s">
        <v>33</v>
      </c>
      <c r="O591">
        <v>999</v>
      </c>
      <c r="P591">
        <v>2.6</v>
      </c>
      <c r="Q591">
        <v>2.6</v>
      </c>
      <c r="R591" s="97" t="s">
        <v>1197</v>
      </c>
      <c r="S591" s="97" t="s">
        <v>195</v>
      </c>
    </row>
    <row r="592" spans="1:19" x14ac:dyDescent="0.3">
      <c r="A592" s="97" t="s">
        <v>845</v>
      </c>
      <c r="B592" s="97" t="s">
        <v>23</v>
      </c>
      <c r="C592">
        <v>2026</v>
      </c>
      <c r="D592">
        <v>1</v>
      </c>
      <c r="E592" s="2">
        <v>46044</v>
      </c>
      <c r="F592" s="97" t="s">
        <v>7</v>
      </c>
      <c r="G592" s="97" t="s">
        <v>8</v>
      </c>
      <c r="H592" s="97" t="s">
        <v>70</v>
      </c>
      <c r="I592" s="97" t="s">
        <v>79</v>
      </c>
      <c r="J592" s="97" t="s">
        <v>80</v>
      </c>
      <c r="K592" s="97" t="s">
        <v>73</v>
      </c>
      <c r="L592">
        <v>701000</v>
      </c>
      <c r="M592" s="97" t="s">
        <v>62</v>
      </c>
      <c r="N592" s="97" t="s">
        <v>33</v>
      </c>
      <c r="O592">
        <v>1253</v>
      </c>
      <c r="P592">
        <v>2.6</v>
      </c>
      <c r="Q592">
        <v>3.26</v>
      </c>
      <c r="R592" s="97" t="s">
        <v>1199</v>
      </c>
      <c r="S592" s="97" t="s">
        <v>195</v>
      </c>
    </row>
    <row r="593" spans="1:19" x14ac:dyDescent="0.3">
      <c r="A593" s="97" t="s">
        <v>846</v>
      </c>
      <c r="B593" s="97" t="s">
        <v>23</v>
      </c>
      <c r="C593">
        <v>2026</v>
      </c>
      <c r="D593">
        <v>1</v>
      </c>
      <c r="E593" s="2">
        <v>46044</v>
      </c>
      <c r="F593" s="97" t="s">
        <v>7</v>
      </c>
      <c r="G593" s="97" t="s">
        <v>8</v>
      </c>
      <c r="H593" s="97" t="s">
        <v>70</v>
      </c>
      <c r="I593" s="97" t="s">
        <v>79</v>
      </c>
      <c r="J593" s="97" t="s">
        <v>80</v>
      </c>
      <c r="K593" s="97" t="s">
        <v>73</v>
      </c>
      <c r="L593">
        <v>701000</v>
      </c>
      <c r="M593" s="97" t="s">
        <v>62</v>
      </c>
      <c r="N593" s="97" t="s">
        <v>33</v>
      </c>
      <c r="O593">
        <v>1296</v>
      </c>
      <c r="P593">
        <v>2.6</v>
      </c>
      <c r="Q593">
        <v>3.37</v>
      </c>
      <c r="R593" s="97" t="s">
        <v>1200</v>
      </c>
      <c r="S593" s="97" t="s">
        <v>195</v>
      </c>
    </row>
    <row r="594" spans="1:19" x14ac:dyDescent="0.3">
      <c r="A594" s="97" t="s">
        <v>847</v>
      </c>
      <c r="B594" s="97" t="s">
        <v>23</v>
      </c>
      <c r="C594">
        <v>2026</v>
      </c>
      <c r="D594">
        <v>1</v>
      </c>
      <c r="E594" s="2">
        <v>46044</v>
      </c>
      <c r="F594" s="97" t="s">
        <v>7</v>
      </c>
      <c r="G594" s="97" t="s">
        <v>8</v>
      </c>
      <c r="H594" s="97" t="s">
        <v>70</v>
      </c>
      <c r="I594" s="97" t="s">
        <v>79</v>
      </c>
      <c r="J594" s="97" t="s">
        <v>80</v>
      </c>
      <c r="K594" s="97" t="s">
        <v>73</v>
      </c>
      <c r="L594">
        <v>701000</v>
      </c>
      <c r="M594" s="97" t="s">
        <v>62</v>
      </c>
      <c r="N594" s="97" t="s">
        <v>33</v>
      </c>
      <c r="O594">
        <v>577</v>
      </c>
      <c r="P594">
        <v>2.6</v>
      </c>
      <c r="Q594">
        <v>1.5</v>
      </c>
      <c r="R594" s="97" t="s">
        <v>1205</v>
      </c>
      <c r="S594" s="97" t="s">
        <v>195</v>
      </c>
    </row>
    <row r="595" spans="1:19" x14ac:dyDescent="0.3">
      <c r="A595" s="97" t="s">
        <v>848</v>
      </c>
      <c r="B595" s="97" t="s">
        <v>23</v>
      </c>
      <c r="C595">
        <v>2026</v>
      </c>
      <c r="D595">
        <v>1</v>
      </c>
      <c r="E595" s="2">
        <v>46044</v>
      </c>
      <c r="F595" s="97" t="s">
        <v>7</v>
      </c>
      <c r="G595" s="97" t="s">
        <v>8</v>
      </c>
      <c r="H595" s="97" t="s">
        <v>70</v>
      </c>
      <c r="I595" s="97" t="s">
        <v>79</v>
      </c>
      <c r="J595" s="97" t="s">
        <v>80</v>
      </c>
      <c r="K595" s="97" t="s">
        <v>73</v>
      </c>
      <c r="L595">
        <v>701000</v>
      </c>
      <c r="M595" s="97" t="s">
        <v>62</v>
      </c>
      <c r="N595" s="97" t="s">
        <v>33</v>
      </c>
      <c r="O595">
        <v>2550</v>
      </c>
      <c r="P595">
        <v>2.6</v>
      </c>
      <c r="Q595">
        <v>6.63</v>
      </c>
      <c r="R595" s="97" t="s">
        <v>1202</v>
      </c>
      <c r="S595" s="97" t="s">
        <v>195</v>
      </c>
    </row>
    <row r="596" spans="1:19" x14ac:dyDescent="0.3">
      <c r="A596" s="97" t="s">
        <v>849</v>
      </c>
      <c r="B596" s="97" t="s">
        <v>23</v>
      </c>
      <c r="C596">
        <v>2026</v>
      </c>
      <c r="D596">
        <v>1</v>
      </c>
      <c r="E596" s="2">
        <v>46044</v>
      </c>
      <c r="F596" s="97" t="s">
        <v>7</v>
      </c>
      <c r="G596" s="97" t="s">
        <v>8</v>
      </c>
      <c r="H596" s="97" t="s">
        <v>70</v>
      </c>
      <c r="I596" s="97" t="s">
        <v>79</v>
      </c>
      <c r="J596" s="97" t="s">
        <v>80</v>
      </c>
      <c r="K596" s="97" t="s">
        <v>73</v>
      </c>
      <c r="L596">
        <v>701000</v>
      </c>
      <c r="M596" s="97" t="s">
        <v>62</v>
      </c>
      <c r="N596" s="97" t="s">
        <v>33</v>
      </c>
      <c r="O596">
        <v>2917</v>
      </c>
      <c r="P596">
        <v>2.6</v>
      </c>
      <c r="Q596">
        <v>7.58</v>
      </c>
      <c r="R596" s="97" t="s">
        <v>1201</v>
      </c>
      <c r="S596" s="97" t="s">
        <v>195</v>
      </c>
    </row>
    <row r="597" spans="1:19" x14ac:dyDescent="0.3">
      <c r="A597" s="97" t="s">
        <v>285</v>
      </c>
      <c r="B597" s="97" t="s">
        <v>23</v>
      </c>
      <c r="C597">
        <v>2026</v>
      </c>
      <c r="D597">
        <v>1</v>
      </c>
      <c r="E597" s="2">
        <v>46045</v>
      </c>
      <c r="F597" s="97" t="s">
        <v>7</v>
      </c>
      <c r="G597" s="97" t="s">
        <v>8</v>
      </c>
      <c r="H597" s="97" t="s">
        <v>74</v>
      </c>
      <c r="I597" s="97" t="s">
        <v>84</v>
      </c>
      <c r="J597" s="97" t="s">
        <v>85</v>
      </c>
      <c r="K597" s="97" t="s">
        <v>73</v>
      </c>
      <c r="L597">
        <v>701000</v>
      </c>
      <c r="M597" s="97" t="s">
        <v>62</v>
      </c>
      <c r="N597" s="97" t="s">
        <v>33</v>
      </c>
      <c r="O597">
        <v>8526</v>
      </c>
      <c r="P597">
        <v>0.95</v>
      </c>
      <c r="Q597">
        <v>8.1</v>
      </c>
      <c r="R597" s="97" t="s">
        <v>1197</v>
      </c>
      <c r="S597" s="97" t="s">
        <v>195</v>
      </c>
    </row>
    <row r="598" spans="1:19" x14ac:dyDescent="0.3">
      <c r="A598" s="97" t="s">
        <v>286</v>
      </c>
      <c r="B598" s="97" t="s">
        <v>23</v>
      </c>
      <c r="C598">
        <v>2026</v>
      </c>
      <c r="D598">
        <v>1</v>
      </c>
      <c r="E598" s="2">
        <v>46045</v>
      </c>
      <c r="F598" s="97" t="s">
        <v>7</v>
      </c>
      <c r="G598" s="97" t="s">
        <v>8</v>
      </c>
      <c r="H598" s="97" t="s">
        <v>74</v>
      </c>
      <c r="I598" s="97" t="s">
        <v>84</v>
      </c>
      <c r="J598" s="97" t="s">
        <v>85</v>
      </c>
      <c r="K598" s="97" t="s">
        <v>73</v>
      </c>
      <c r="L598">
        <v>701000</v>
      </c>
      <c r="M598" s="97" t="s">
        <v>62</v>
      </c>
      <c r="N598" s="97" t="s">
        <v>33</v>
      </c>
      <c r="O598">
        <v>3611</v>
      </c>
      <c r="P598">
        <v>0.95</v>
      </c>
      <c r="Q598">
        <v>3.43</v>
      </c>
      <c r="R598" s="97" t="s">
        <v>1200</v>
      </c>
      <c r="S598" s="97" t="s">
        <v>195</v>
      </c>
    </row>
    <row r="599" spans="1:19" x14ac:dyDescent="0.3">
      <c r="A599" s="97" t="s">
        <v>287</v>
      </c>
      <c r="B599" s="97" t="s">
        <v>23</v>
      </c>
      <c r="C599">
        <v>2026</v>
      </c>
      <c r="D599">
        <v>1</v>
      </c>
      <c r="E599" s="2">
        <v>46045</v>
      </c>
      <c r="F599" s="97" t="s">
        <v>7</v>
      </c>
      <c r="G599" s="97" t="s">
        <v>8</v>
      </c>
      <c r="H599" s="97" t="s">
        <v>74</v>
      </c>
      <c r="I599" s="97" t="s">
        <v>84</v>
      </c>
      <c r="J599" s="97" t="s">
        <v>85</v>
      </c>
      <c r="K599" s="97" t="s">
        <v>73</v>
      </c>
      <c r="L599">
        <v>701000</v>
      </c>
      <c r="M599" s="97" t="s">
        <v>62</v>
      </c>
      <c r="N599" s="97" t="s">
        <v>33</v>
      </c>
      <c r="O599">
        <v>807</v>
      </c>
      <c r="P599">
        <v>0.95</v>
      </c>
      <c r="Q599">
        <v>0.77</v>
      </c>
      <c r="R599" s="97" t="s">
        <v>1202</v>
      </c>
      <c r="S599" s="97" t="s">
        <v>195</v>
      </c>
    </row>
    <row r="600" spans="1:19" x14ac:dyDescent="0.3">
      <c r="A600" s="97" t="s">
        <v>288</v>
      </c>
      <c r="B600" s="97" t="s">
        <v>23</v>
      </c>
      <c r="C600">
        <v>2026</v>
      </c>
      <c r="D600">
        <v>1</v>
      </c>
      <c r="E600" s="2">
        <v>46045</v>
      </c>
      <c r="F600" s="97" t="s">
        <v>7</v>
      </c>
      <c r="G600" s="97" t="s">
        <v>8</v>
      </c>
      <c r="H600" s="97" t="s">
        <v>74</v>
      </c>
      <c r="I600" s="97" t="s">
        <v>84</v>
      </c>
      <c r="J600" s="97" t="s">
        <v>85</v>
      </c>
      <c r="K600" s="97" t="s">
        <v>73</v>
      </c>
      <c r="L600">
        <v>701000</v>
      </c>
      <c r="M600" s="97" t="s">
        <v>62</v>
      </c>
      <c r="N600" s="97" t="s">
        <v>33</v>
      </c>
      <c r="O600">
        <v>721</v>
      </c>
      <c r="P600">
        <v>0.96</v>
      </c>
      <c r="Q600">
        <v>0.69</v>
      </c>
      <c r="R600" s="97" t="s">
        <v>1198</v>
      </c>
      <c r="S600" s="97" t="s">
        <v>195</v>
      </c>
    </row>
    <row r="601" spans="1:19" x14ac:dyDescent="0.3">
      <c r="A601" s="97" t="s">
        <v>289</v>
      </c>
      <c r="B601" s="97" t="s">
        <v>23</v>
      </c>
      <c r="C601">
        <v>2026</v>
      </c>
      <c r="D601">
        <v>1</v>
      </c>
      <c r="E601" s="2">
        <v>46045</v>
      </c>
      <c r="F601" s="97" t="s">
        <v>7</v>
      </c>
      <c r="G601" s="97" t="s">
        <v>8</v>
      </c>
      <c r="H601" s="97" t="s">
        <v>74</v>
      </c>
      <c r="I601" s="97" t="s">
        <v>84</v>
      </c>
      <c r="J601" s="97" t="s">
        <v>85</v>
      </c>
      <c r="K601" s="97" t="s">
        <v>73</v>
      </c>
      <c r="L601">
        <v>701000</v>
      </c>
      <c r="M601" s="97" t="s">
        <v>62</v>
      </c>
      <c r="N601" s="97" t="s">
        <v>33</v>
      </c>
      <c r="O601">
        <v>2233</v>
      </c>
      <c r="P601">
        <v>0.94</v>
      </c>
      <c r="Q601">
        <v>2.11</v>
      </c>
      <c r="R601" s="97" t="s">
        <v>1205</v>
      </c>
      <c r="S601" s="97" t="s">
        <v>195</v>
      </c>
    </row>
    <row r="602" spans="1:19" x14ac:dyDescent="0.3">
      <c r="A602" s="97" t="s">
        <v>415</v>
      </c>
      <c r="B602" s="97" t="s">
        <v>23</v>
      </c>
      <c r="C602">
        <v>2026</v>
      </c>
      <c r="D602">
        <v>1</v>
      </c>
      <c r="E602" s="2">
        <v>46045</v>
      </c>
      <c r="F602" s="97" t="s">
        <v>7</v>
      </c>
      <c r="G602" s="97" t="s">
        <v>8</v>
      </c>
      <c r="H602" s="97" t="s">
        <v>74</v>
      </c>
      <c r="I602" s="97" t="s">
        <v>71</v>
      </c>
      <c r="J602" s="97" t="s">
        <v>72</v>
      </c>
      <c r="K602" s="97" t="s">
        <v>73</v>
      </c>
      <c r="L602">
        <v>701000</v>
      </c>
      <c r="M602" s="97" t="s">
        <v>62</v>
      </c>
      <c r="N602" s="97" t="s">
        <v>33</v>
      </c>
      <c r="O602">
        <v>3629</v>
      </c>
      <c r="P602">
        <v>1.05</v>
      </c>
      <c r="Q602">
        <v>3.81</v>
      </c>
      <c r="R602" s="97" t="s">
        <v>1200</v>
      </c>
      <c r="S602" s="97" t="s">
        <v>195</v>
      </c>
    </row>
    <row r="603" spans="1:19" x14ac:dyDescent="0.3">
      <c r="A603" s="97" t="s">
        <v>416</v>
      </c>
      <c r="B603" s="97" t="s">
        <v>23</v>
      </c>
      <c r="C603">
        <v>2026</v>
      </c>
      <c r="D603">
        <v>1</v>
      </c>
      <c r="E603" s="2">
        <v>46045</v>
      </c>
      <c r="F603" s="97" t="s">
        <v>7</v>
      </c>
      <c r="G603" s="97" t="s">
        <v>8</v>
      </c>
      <c r="H603" s="97" t="s">
        <v>74</v>
      </c>
      <c r="I603" s="97" t="s">
        <v>71</v>
      </c>
      <c r="J603" s="97" t="s">
        <v>72</v>
      </c>
      <c r="K603" s="97" t="s">
        <v>73</v>
      </c>
      <c r="L603">
        <v>701000</v>
      </c>
      <c r="M603" s="97" t="s">
        <v>62</v>
      </c>
      <c r="N603" s="97" t="s">
        <v>33</v>
      </c>
      <c r="O603">
        <v>1218</v>
      </c>
      <c r="P603">
        <v>1.05</v>
      </c>
      <c r="Q603">
        <v>1.28</v>
      </c>
      <c r="R603" s="97" t="s">
        <v>1198</v>
      </c>
      <c r="S603" s="97" t="s">
        <v>195</v>
      </c>
    </row>
    <row r="604" spans="1:19" x14ac:dyDescent="0.3">
      <c r="A604" s="97" t="s">
        <v>417</v>
      </c>
      <c r="B604" s="97" t="s">
        <v>23</v>
      </c>
      <c r="C604">
        <v>2026</v>
      </c>
      <c r="D604">
        <v>1</v>
      </c>
      <c r="E604" s="2">
        <v>46045</v>
      </c>
      <c r="F604" s="97" t="s">
        <v>7</v>
      </c>
      <c r="G604" s="97" t="s">
        <v>8</v>
      </c>
      <c r="H604" s="97" t="s">
        <v>74</v>
      </c>
      <c r="I604" s="97" t="s">
        <v>71</v>
      </c>
      <c r="J604" s="97" t="s">
        <v>72</v>
      </c>
      <c r="K604" s="97" t="s">
        <v>73</v>
      </c>
      <c r="L604">
        <v>701000</v>
      </c>
      <c r="M604" s="97" t="s">
        <v>62</v>
      </c>
      <c r="N604" s="97" t="s">
        <v>33</v>
      </c>
      <c r="O604">
        <v>1393</v>
      </c>
      <c r="P604">
        <v>1.05</v>
      </c>
      <c r="Q604">
        <v>1.46</v>
      </c>
      <c r="R604" s="97" t="s">
        <v>1203</v>
      </c>
      <c r="S604" s="97" t="s">
        <v>195</v>
      </c>
    </row>
    <row r="605" spans="1:19" x14ac:dyDescent="0.3">
      <c r="A605" s="97" t="s">
        <v>418</v>
      </c>
      <c r="B605" s="97" t="s">
        <v>23</v>
      </c>
      <c r="C605">
        <v>2026</v>
      </c>
      <c r="D605">
        <v>1</v>
      </c>
      <c r="E605" s="2">
        <v>46045</v>
      </c>
      <c r="F605" s="97" t="s">
        <v>7</v>
      </c>
      <c r="G605" s="97" t="s">
        <v>8</v>
      </c>
      <c r="H605" s="97" t="s">
        <v>74</v>
      </c>
      <c r="I605" s="97" t="s">
        <v>71</v>
      </c>
      <c r="J605" s="97" t="s">
        <v>72</v>
      </c>
      <c r="K605" s="97" t="s">
        <v>73</v>
      </c>
      <c r="L605">
        <v>701000</v>
      </c>
      <c r="M605" s="97" t="s">
        <v>62</v>
      </c>
      <c r="N605" s="97" t="s">
        <v>33</v>
      </c>
      <c r="O605">
        <v>639</v>
      </c>
      <c r="P605">
        <v>1.05</v>
      </c>
      <c r="Q605">
        <v>0.67</v>
      </c>
      <c r="R605" s="97" t="s">
        <v>1204</v>
      </c>
      <c r="S605" s="97" t="s">
        <v>195</v>
      </c>
    </row>
    <row r="606" spans="1:19" x14ac:dyDescent="0.3">
      <c r="A606" s="97" t="s">
        <v>419</v>
      </c>
      <c r="B606" s="97" t="s">
        <v>23</v>
      </c>
      <c r="C606">
        <v>2026</v>
      </c>
      <c r="D606">
        <v>1</v>
      </c>
      <c r="E606" s="2">
        <v>46045</v>
      </c>
      <c r="F606" s="97" t="s">
        <v>7</v>
      </c>
      <c r="G606" s="97" t="s">
        <v>8</v>
      </c>
      <c r="H606" s="97" t="s">
        <v>74</v>
      </c>
      <c r="I606" s="97" t="s">
        <v>71</v>
      </c>
      <c r="J606" s="97" t="s">
        <v>72</v>
      </c>
      <c r="K606" s="97" t="s">
        <v>73</v>
      </c>
      <c r="L606">
        <v>701000</v>
      </c>
      <c r="M606" s="97" t="s">
        <v>62</v>
      </c>
      <c r="N606" s="97" t="s">
        <v>33</v>
      </c>
      <c r="O606">
        <v>803</v>
      </c>
      <c r="P606">
        <v>1.06</v>
      </c>
      <c r="Q606">
        <v>0.85</v>
      </c>
      <c r="R606" s="97" t="s">
        <v>1205</v>
      </c>
      <c r="S606" s="97" t="s">
        <v>195</v>
      </c>
    </row>
    <row r="607" spans="1:19" x14ac:dyDescent="0.3">
      <c r="A607" s="97" t="s">
        <v>430</v>
      </c>
      <c r="B607" s="97" t="s">
        <v>23</v>
      </c>
      <c r="C607">
        <v>2026</v>
      </c>
      <c r="D607">
        <v>1</v>
      </c>
      <c r="E607" s="2">
        <v>46045</v>
      </c>
      <c r="F607" s="97" t="s">
        <v>7</v>
      </c>
      <c r="G607" s="97" t="s">
        <v>8</v>
      </c>
      <c r="H607" s="97" t="s">
        <v>74</v>
      </c>
      <c r="I607" s="97" t="s">
        <v>71</v>
      </c>
      <c r="J607" s="97" t="s">
        <v>72</v>
      </c>
      <c r="K607" s="97" t="s">
        <v>73</v>
      </c>
      <c r="L607">
        <v>701000</v>
      </c>
      <c r="M607" s="97" t="s">
        <v>62</v>
      </c>
      <c r="N607" s="97" t="s">
        <v>33</v>
      </c>
      <c r="O607">
        <v>1071</v>
      </c>
      <c r="P607">
        <v>1.05</v>
      </c>
      <c r="Q607">
        <v>1.1200000000000001</v>
      </c>
      <c r="R607" s="97" t="s">
        <v>1199</v>
      </c>
      <c r="S607" s="97" t="s">
        <v>195</v>
      </c>
    </row>
    <row r="608" spans="1:19" x14ac:dyDescent="0.3">
      <c r="A608" s="97" t="s">
        <v>431</v>
      </c>
      <c r="B608" s="97" t="s">
        <v>23</v>
      </c>
      <c r="C608">
        <v>2026</v>
      </c>
      <c r="D608">
        <v>1</v>
      </c>
      <c r="E608" s="2">
        <v>46045</v>
      </c>
      <c r="F608" s="97" t="s">
        <v>7</v>
      </c>
      <c r="G608" s="97" t="s">
        <v>8</v>
      </c>
      <c r="H608" s="97" t="s">
        <v>74</v>
      </c>
      <c r="I608" s="97" t="s">
        <v>71</v>
      </c>
      <c r="J608" s="97" t="s">
        <v>72</v>
      </c>
      <c r="K608" s="97" t="s">
        <v>73</v>
      </c>
      <c r="L608">
        <v>701000</v>
      </c>
      <c r="M608" s="97" t="s">
        <v>62</v>
      </c>
      <c r="N608" s="97" t="s">
        <v>33</v>
      </c>
      <c r="O608">
        <v>1991</v>
      </c>
      <c r="P608">
        <v>1.05</v>
      </c>
      <c r="Q608">
        <v>2.09</v>
      </c>
      <c r="R608" s="97" t="s">
        <v>1205</v>
      </c>
      <c r="S608" s="97" t="s">
        <v>195</v>
      </c>
    </row>
    <row r="609" spans="1:19" x14ac:dyDescent="0.3">
      <c r="A609" s="97" t="s">
        <v>432</v>
      </c>
      <c r="B609" s="97" t="s">
        <v>23</v>
      </c>
      <c r="C609">
        <v>2026</v>
      </c>
      <c r="D609">
        <v>1</v>
      </c>
      <c r="E609" s="2">
        <v>46045</v>
      </c>
      <c r="F609" s="97" t="s">
        <v>7</v>
      </c>
      <c r="G609" s="97" t="s">
        <v>8</v>
      </c>
      <c r="H609" s="97" t="s">
        <v>74</v>
      </c>
      <c r="I609" s="97" t="s">
        <v>71</v>
      </c>
      <c r="J609" s="97" t="s">
        <v>72</v>
      </c>
      <c r="K609" s="97" t="s">
        <v>73</v>
      </c>
      <c r="L609">
        <v>701000</v>
      </c>
      <c r="M609" s="97" t="s">
        <v>62</v>
      </c>
      <c r="N609" s="97" t="s">
        <v>33</v>
      </c>
      <c r="O609">
        <v>1557</v>
      </c>
      <c r="P609">
        <v>1.05</v>
      </c>
      <c r="Q609">
        <v>1.64</v>
      </c>
      <c r="R609" s="97" t="s">
        <v>1204</v>
      </c>
      <c r="S609" s="97" t="s">
        <v>195</v>
      </c>
    </row>
    <row r="610" spans="1:19" x14ac:dyDescent="0.3">
      <c r="A610" s="97" t="s">
        <v>433</v>
      </c>
      <c r="B610" s="97" t="s">
        <v>23</v>
      </c>
      <c r="C610">
        <v>2026</v>
      </c>
      <c r="D610">
        <v>1</v>
      </c>
      <c r="E610" s="2">
        <v>46045</v>
      </c>
      <c r="F610" s="97" t="s">
        <v>7</v>
      </c>
      <c r="G610" s="97" t="s">
        <v>8</v>
      </c>
      <c r="H610" s="97" t="s">
        <v>74</v>
      </c>
      <c r="I610" s="97" t="s">
        <v>71</v>
      </c>
      <c r="J610" s="97" t="s">
        <v>72</v>
      </c>
      <c r="K610" s="97" t="s">
        <v>73</v>
      </c>
      <c r="L610">
        <v>701000</v>
      </c>
      <c r="M610" s="97" t="s">
        <v>62</v>
      </c>
      <c r="N610" s="97" t="s">
        <v>33</v>
      </c>
      <c r="O610">
        <v>2866</v>
      </c>
      <c r="P610">
        <v>1.05</v>
      </c>
      <c r="Q610">
        <v>3.01</v>
      </c>
      <c r="R610" s="97" t="s">
        <v>1203</v>
      </c>
      <c r="S610" s="97" t="s">
        <v>195</v>
      </c>
    </row>
    <row r="611" spans="1:19" x14ac:dyDescent="0.3">
      <c r="A611" s="97" t="s">
        <v>434</v>
      </c>
      <c r="B611" s="97" t="s">
        <v>23</v>
      </c>
      <c r="C611">
        <v>2026</v>
      </c>
      <c r="D611">
        <v>1</v>
      </c>
      <c r="E611" s="2">
        <v>46045</v>
      </c>
      <c r="F611" s="97" t="s">
        <v>7</v>
      </c>
      <c r="G611" s="97" t="s">
        <v>8</v>
      </c>
      <c r="H611" s="97" t="s">
        <v>74</v>
      </c>
      <c r="I611" s="97" t="s">
        <v>71</v>
      </c>
      <c r="J611" s="97" t="s">
        <v>72</v>
      </c>
      <c r="K611" s="97" t="s">
        <v>73</v>
      </c>
      <c r="L611">
        <v>701000</v>
      </c>
      <c r="M611" s="97" t="s">
        <v>62</v>
      </c>
      <c r="N611" s="97" t="s">
        <v>33</v>
      </c>
      <c r="O611">
        <v>1846</v>
      </c>
      <c r="P611">
        <v>1.05</v>
      </c>
      <c r="Q611">
        <v>1.94</v>
      </c>
      <c r="R611" s="97" t="s">
        <v>1202</v>
      </c>
      <c r="S611" s="97" t="s">
        <v>195</v>
      </c>
    </row>
    <row r="612" spans="1:19" x14ac:dyDescent="0.3">
      <c r="A612" s="97" t="s">
        <v>510</v>
      </c>
      <c r="B612" s="97" t="s">
        <v>23</v>
      </c>
      <c r="C612">
        <v>2026</v>
      </c>
      <c r="D612">
        <v>1</v>
      </c>
      <c r="E612" s="2">
        <v>46045</v>
      </c>
      <c r="F612" s="97" t="s">
        <v>7</v>
      </c>
      <c r="G612" s="97" t="s">
        <v>8</v>
      </c>
      <c r="H612" s="97" t="s">
        <v>70</v>
      </c>
      <c r="I612" s="97" t="s">
        <v>71</v>
      </c>
      <c r="J612" s="97" t="s">
        <v>72</v>
      </c>
      <c r="K612" s="97" t="s">
        <v>73</v>
      </c>
      <c r="L612">
        <v>701000</v>
      </c>
      <c r="M612" s="97" t="s">
        <v>62</v>
      </c>
      <c r="N612" s="97" t="s">
        <v>33</v>
      </c>
      <c r="O612">
        <v>2266</v>
      </c>
      <c r="P612">
        <v>1.05</v>
      </c>
      <c r="Q612">
        <v>2.38</v>
      </c>
      <c r="R612" s="97" t="s">
        <v>1205</v>
      </c>
      <c r="S612" s="97" t="s">
        <v>195</v>
      </c>
    </row>
    <row r="613" spans="1:19" x14ac:dyDescent="0.3">
      <c r="A613" s="97" t="s">
        <v>511</v>
      </c>
      <c r="B613" s="97" t="s">
        <v>23</v>
      </c>
      <c r="C613">
        <v>2026</v>
      </c>
      <c r="D613">
        <v>1</v>
      </c>
      <c r="E613" s="2">
        <v>46045</v>
      </c>
      <c r="F613" s="97" t="s">
        <v>7</v>
      </c>
      <c r="G613" s="97" t="s">
        <v>8</v>
      </c>
      <c r="H613" s="97" t="s">
        <v>70</v>
      </c>
      <c r="I613" s="97" t="s">
        <v>71</v>
      </c>
      <c r="J613" s="97" t="s">
        <v>72</v>
      </c>
      <c r="K613" s="97" t="s">
        <v>73</v>
      </c>
      <c r="L613">
        <v>701000</v>
      </c>
      <c r="M613" s="97" t="s">
        <v>62</v>
      </c>
      <c r="N613" s="97" t="s">
        <v>33</v>
      </c>
      <c r="O613">
        <v>2184</v>
      </c>
      <c r="P613">
        <v>1.05</v>
      </c>
      <c r="Q613">
        <v>2.29</v>
      </c>
      <c r="R613" s="97" t="s">
        <v>1198</v>
      </c>
      <c r="S613" s="97" t="s">
        <v>195</v>
      </c>
    </row>
    <row r="614" spans="1:19" x14ac:dyDescent="0.3">
      <c r="A614" s="97" t="s">
        <v>512</v>
      </c>
      <c r="B614" s="97" t="s">
        <v>23</v>
      </c>
      <c r="C614">
        <v>2026</v>
      </c>
      <c r="D614">
        <v>1</v>
      </c>
      <c r="E614" s="2">
        <v>46045</v>
      </c>
      <c r="F614" s="97" t="s">
        <v>7</v>
      </c>
      <c r="G614" s="97" t="s">
        <v>8</v>
      </c>
      <c r="H614" s="97" t="s">
        <v>70</v>
      </c>
      <c r="I614" s="97" t="s">
        <v>71</v>
      </c>
      <c r="J614" s="97" t="s">
        <v>72</v>
      </c>
      <c r="K614" s="97" t="s">
        <v>73</v>
      </c>
      <c r="L614">
        <v>701000</v>
      </c>
      <c r="M614" s="97" t="s">
        <v>62</v>
      </c>
      <c r="N614" s="97" t="s">
        <v>33</v>
      </c>
      <c r="O614">
        <v>1772</v>
      </c>
      <c r="P614">
        <v>1.05</v>
      </c>
      <c r="Q614">
        <v>1.86</v>
      </c>
      <c r="R614" s="97" t="s">
        <v>1202</v>
      </c>
      <c r="S614" s="97" t="s">
        <v>195</v>
      </c>
    </row>
    <row r="615" spans="1:19" x14ac:dyDescent="0.3">
      <c r="A615" s="97" t="s">
        <v>513</v>
      </c>
      <c r="B615" s="97" t="s">
        <v>23</v>
      </c>
      <c r="C615">
        <v>2026</v>
      </c>
      <c r="D615">
        <v>1</v>
      </c>
      <c r="E615" s="2">
        <v>46045</v>
      </c>
      <c r="F615" s="97" t="s">
        <v>7</v>
      </c>
      <c r="G615" s="97" t="s">
        <v>8</v>
      </c>
      <c r="H615" s="97" t="s">
        <v>70</v>
      </c>
      <c r="I615" s="97" t="s">
        <v>71</v>
      </c>
      <c r="J615" s="97" t="s">
        <v>72</v>
      </c>
      <c r="K615" s="97" t="s">
        <v>73</v>
      </c>
      <c r="L615">
        <v>701000</v>
      </c>
      <c r="M615" s="97" t="s">
        <v>62</v>
      </c>
      <c r="N615" s="97" t="s">
        <v>33</v>
      </c>
      <c r="O615">
        <v>579</v>
      </c>
      <c r="P615">
        <v>1.05</v>
      </c>
      <c r="Q615">
        <v>0.61</v>
      </c>
      <c r="R615" s="97" t="s">
        <v>1201</v>
      </c>
      <c r="S615" s="97" t="s">
        <v>195</v>
      </c>
    </row>
    <row r="616" spans="1:19" x14ac:dyDescent="0.3">
      <c r="A616" s="97" t="s">
        <v>514</v>
      </c>
      <c r="B616" s="97" t="s">
        <v>23</v>
      </c>
      <c r="C616">
        <v>2026</v>
      </c>
      <c r="D616">
        <v>1</v>
      </c>
      <c r="E616" s="2">
        <v>46045</v>
      </c>
      <c r="F616" s="97" t="s">
        <v>7</v>
      </c>
      <c r="G616" s="97" t="s">
        <v>8</v>
      </c>
      <c r="H616" s="97" t="s">
        <v>70</v>
      </c>
      <c r="I616" s="97" t="s">
        <v>71</v>
      </c>
      <c r="J616" s="97" t="s">
        <v>72</v>
      </c>
      <c r="K616" s="97" t="s">
        <v>73</v>
      </c>
      <c r="L616">
        <v>701000</v>
      </c>
      <c r="M616" s="97" t="s">
        <v>62</v>
      </c>
      <c r="N616" s="97" t="s">
        <v>33</v>
      </c>
      <c r="O616">
        <v>840</v>
      </c>
      <c r="P616">
        <v>1.05</v>
      </c>
      <c r="Q616">
        <v>0.88</v>
      </c>
      <c r="R616" s="97" t="s">
        <v>1197</v>
      </c>
      <c r="S616" s="97" t="s">
        <v>195</v>
      </c>
    </row>
    <row r="617" spans="1:19" x14ac:dyDescent="0.3">
      <c r="A617" s="97" t="s">
        <v>760</v>
      </c>
      <c r="B617" s="97" t="s">
        <v>23</v>
      </c>
      <c r="C617">
        <v>2026</v>
      </c>
      <c r="D617">
        <v>1</v>
      </c>
      <c r="E617" s="2">
        <v>46045</v>
      </c>
      <c r="F617" s="97" t="s">
        <v>7</v>
      </c>
      <c r="G617" s="97" t="s">
        <v>8</v>
      </c>
      <c r="H617" s="97" t="s">
        <v>74</v>
      </c>
      <c r="I617" s="97" t="s">
        <v>77</v>
      </c>
      <c r="J617" s="97" t="s">
        <v>78</v>
      </c>
      <c r="K617" s="97" t="s">
        <v>73</v>
      </c>
      <c r="L617">
        <v>701000</v>
      </c>
      <c r="M617" s="97" t="s">
        <v>62</v>
      </c>
      <c r="N617" s="97" t="s">
        <v>33</v>
      </c>
      <c r="O617">
        <v>2814</v>
      </c>
      <c r="P617">
        <v>1.8</v>
      </c>
      <c r="Q617">
        <v>5.0599999999999996</v>
      </c>
      <c r="R617" s="97" t="s">
        <v>1198</v>
      </c>
      <c r="S617" s="97" t="s">
        <v>195</v>
      </c>
    </row>
    <row r="618" spans="1:19" x14ac:dyDescent="0.3">
      <c r="A618" s="97" t="s">
        <v>761</v>
      </c>
      <c r="B618" s="97" t="s">
        <v>23</v>
      </c>
      <c r="C618">
        <v>2026</v>
      </c>
      <c r="D618">
        <v>1</v>
      </c>
      <c r="E618" s="2">
        <v>46045</v>
      </c>
      <c r="F618" s="97" t="s">
        <v>7</v>
      </c>
      <c r="G618" s="97" t="s">
        <v>8</v>
      </c>
      <c r="H618" s="97" t="s">
        <v>74</v>
      </c>
      <c r="I618" s="97" t="s">
        <v>77</v>
      </c>
      <c r="J618" s="97" t="s">
        <v>78</v>
      </c>
      <c r="K618" s="97" t="s">
        <v>73</v>
      </c>
      <c r="L618">
        <v>701000</v>
      </c>
      <c r="M618" s="97" t="s">
        <v>62</v>
      </c>
      <c r="N618" s="97" t="s">
        <v>33</v>
      </c>
      <c r="O618">
        <v>639</v>
      </c>
      <c r="P618">
        <v>1.8</v>
      </c>
      <c r="Q618">
        <v>1.1499999999999999</v>
      </c>
      <c r="R618" s="97" t="s">
        <v>1204</v>
      </c>
      <c r="S618" s="97" t="s">
        <v>195</v>
      </c>
    </row>
    <row r="619" spans="1:19" x14ac:dyDescent="0.3">
      <c r="A619" s="97" t="s">
        <v>762</v>
      </c>
      <c r="B619" s="97" t="s">
        <v>23</v>
      </c>
      <c r="C619">
        <v>2026</v>
      </c>
      <c r="D619">
        <v>1</v>
      </c>
      <c r="E619" s="2">
        <v>46045</v>
      </c>
      <c r="F619" s="97" t="s">
        <v>7</v>
      </c>
      <c r="G619" s="97" t="s">
        <v>8</v>
      </c>
      <c r="H619" s="97" t="s">
        <v>74</v>
      </c>
      <c r="I619" s="97" t="s">
        <v>77</v>
      </c>
      <c r="J619" s="97" t="s">
        <v>78</v>
      </c>
      <c r="K619" s="97" t="s">
        <v>73</v>
      </c>
      <c r="L619">
        <v>701000</v>
      </c>
      <c r="M619" s="97" t="s">
        <v>62</v>
      </c>
      <c r="N619" s="97" t="s">
        <v>33</v>
      </c>
      <c r="O619">
        <v>2086</v>
      </c>
      <c r="P619">
        <v>1.8</v>
      </c>
      <c r="Q619">
        <v>3.75</v>
      </c>
      <c r="R619" s="97" t="s">
        <v>1197</v>
      </c>
      <c r="S619" s="97" t="s">
        <v>195</v>
      </c>
    </row>
    <row r="620" spans="1:19" x14ac:dyDescent="0.3">
      <c r="A620" s="97" t="s">
        <v>763</v>
      </c>
      <c r="B620" s="97" t="s">
        <v>23</v>
      </c>
      <c r="C620">
        <v>2026</v>
      </c>
      <c r="D620">
        <v>1</v>
      </c>
      <c r="E620" s="2">
        <v>46045</v>
      </c>
      <c r="F620" s="97" t="s">
        <v>7</v>
      </c>
      <c r="G620" s="97" t="s">
        <v>8</v>
      </c>
      <c r="H620" s="97" t="s">
        <v>74</v>
      </c>
      <c r="I620" s="97" t="s">
        <v>77</v>
      </c>
      <c r="J620" s="97" t="s">
        <v>78</v>
      </c>
      <c r="K620" s="97" t="s">
        <v>73</v>
      </c>
      <c r="L620">
        <v>701000</v>
      </c>
      <c r="M620" s="97" t="s">
        <v>62</v>
      </c>
      <c r="N620" s="97" t="s">
        <v>33</v>
      </c>
      <c r="O620">
        <v>419</v>
      </c>
      <c r="P620">
        <v>1.79</v>
      </c>
      <c r="Q620">
        <v>0.75</v>
      </c>
      <c r="R620" s="97" t="s">
        <v>1201</v>
      </c>
      <c r="S620" s="97" t="s">
        <v>195</v>
      </c>
    </row>
    <row r="621" spans="1:19" x14ac:dyDescent="0.3">
      <c r="A621" s="97" t="s">
        <v>764</v>
      </c>
      <c r="B621" s="97" t="s">
        <v>23</v>
      </c>
      <c r="C621">
        <v>2026</v>
      </c>
      <c r="D621">
        <v>1</v>
      </c>
      <c r="E621" s="2">
        <v>46045</v>
      </c>
      <c r="F621" s="97" t="s">
        <v>7</v>
      </c>
      <c r="G621" s="97" t="s">
        <v>8</v>
      </c>
      <c r="H621" s="97" t="s">
        <v>74</v>
      </c>
      <c r="I621" s="97" t="s">
        <v>77</v>
      </c>
      <c r="J621" s="97" t="s">
        <v>78</v>
      </c>
      <c r="K621" s="97" t="s">
        <v>73</v>
      </c>
      <c r="L621">
        <v>701000</v>
      </c>
      <c r="M621" s="97" t="s">
        <v>62</v>
      </c>
      <c r="N621" s="97" t="s">
        <v>33</v>
      </c>
      <c r="O621">
        <v>2710</v>
      </c>
      <c r="P621">
        <v>1.8</v>
      </c>
      <c r="Q621">
        <v>4.8899999999999997</v>
      </c>
      <c r="R621" s="97" t="s">
        <v>1205</v>
      </c>
      <c r="S621" s="97" t="s">
        <v>195</v>
      </c>
    </row>
    <row r="622" spans="1:19" x14ac:dyDescent="0.3">
      <c r="A622" s="97" t="s">
        <v>920</v>
      </c>
      <c r="B622" s="97" t="s">
        <v>23</v>
      </c>
      <c r="C622">
        <v>2026</v>
      </c>
      <c r="D622">
        <v>1</v>
      </c>
      <c r="E622" s="2">
        <v>46045</v>
      </c>
      <c r="F622" s="97" t="s">
        <v>7</v>
      </c>
      <c r="G622" s="97" t="s">
        <v>8</v>
      </c>
      <c r="H622" s="97" t="s">
        <v>74</v>
      </c>
      <c r="I622" s="97" t="s">
        <v>82</v>
      </c>
      <c r="J622" s="97" t="s">
        <v>83</v>
      </c>
      <c r="K622" s="97" t="s">
        <v>73</v>
      </c>
      <c r="L622">
        <v>701000</v>
      </c>
      <c r="M622" s="97" t="s">
        <v>62</v>
      </c>
      <c r="N622" s="97" t="s">
        <v>33</v>
      </c>
      <c r="O622">
        <v>150</v>
      </c>
      <c r="P622">
        <v>18.53</v>
      </c>
      <c r="Q622">
        <v>2.78</v>
      </c>
      <c r="R622" s="97" t="s">
        <v>1204</v>
      </c>
      <c r="S622" s="97" t="s">
        <v>195</v>
      </c>
    </row>
    <row r="623" spans="1:19" x14ac:dyDescent="0.3">
      <c r="A623" s="97" t="s">
        <v>921</v>
      </c>
      <c r="B623" s="97" t="s">
        <v>23</v>
      </c>
      <c r="C623">
        <v>2026</v>
      </c>
      <c r="D623">
        <v>1</v>
      </c>
      <c r="E623" s="2">
        <v>46045</v>
      </c>
      <c r="F623" s="97" t="s">
        <v>7</v>
      </c>
      <c r="G623" s="97" t="s">
        <v>8</v>
      </c>
      <c r="H623" s="97" t="s">
        <v>74</v>
      </c>
      <c r="I623" s="97" t="s">
        <v>82</v>
      </c>
      <c r="J623" s="97" t="s">
        <v>83</v>
      </c>
      <c r="K623" s="97" t="s">
        <v>73</v>
      </c>
      <c r="L623">
        <v>701000</v>
      </c>
      <c r="M623" s="97" t="s">
        <v>62</v>
      </c>
      <c r="N623" s="97" t="s">
        <v>33</v>
      </c>
      <c r="O623">
        <v>55</v>
      </c>
      <c r="P623">
        <v>18.55</v>
      </c>
      <c r="Q623">
        <v>1.02</v>
      </c>
      <c r="R623" s="97" t="s">
        <v>1198</v>
      </c>
      <c r="S623" s="97" t="s">
        <v>195</v>
      </c>
    </row>
    <row r="624" spans="1:19" x14ac:dyDescent="0.3">
      <c r="A624" s="97" t="s">
        <v>922</v>
      </c>
      <c r="B624" s="97" t="s">
        <v>23</v>
      </c>
      <c r="C624">
        <v>2026</v>
      </c>
      <c r="D624">
        <v>1</v>
      </c>
      <c r="E624" s="2">
        <v>46045</v>
      </c>
      <c r="F624" s="97" t="s">
        <v>7</v>
      </c>
      <c r="G624" s="97" t="s">
        <v>8</v>
      </c>
      <c r="H624" s="97" t="s">
        <v>74</v>
      </c>
      <c r="I624" s="97" t="s">
        <v>82</v>
      </c>
      <c r="J624" s="97" t="s">
        <v>83</v>
      </c>
      <c r="K624" s="97" t="s">
        <v>73</v>
      </c>
      <c r="L624">
        <v>701000</v>
      </c>
      <c r="M624" s="97" t="s">
        <v>62</v>
      </c>
      <c r="N624" s="97" t="s">
        <v>33</v>
      </c>
      <c r="O624">
        <v>139</v>
      </c>
      <c r="P624">
        <v>18.489999999999998</v>
      </c>
      <c r="Q624">
        <v>2.57</v>
      </c>
      <c r="R624" s="97" t="s">
        <v>1200</v>
      </c>
      <c r="S624" s="97" t="s">
        <v>195</v>
      </c>
    </row>
    <row r="625" spans="1:19" x14ac:dyDescent="0.3">
      <c r="A625" s="97" t="s">
        <v>923</v>
      </c>
      <c r="B625" s="97" t="s">
        <v>23</v>
      </c>
      <c r="C625">
        <v>2026</v>
      </c>
      <c r="D625">
        <v>1</v>
      </c>
      <c r="E625" s="2">
        <v>46045</v>
      </c>
      <c r="F625" s="97" t="s">
        <v>7</v>
      </c>
      <c r="G625" s="97" t="s">
        <v>8</v>
      </c>
      <c r="H625" s="97" t="s">
        <v>74</v>
      </c>
      <c r="I625" s="97" t="s">
        <v>82</v>
      </c>
      <c r="J625" s="97" t="s">
        <v>83</v>
      </c>
      <c r="K625" s="97" t="s">
        <v>73</v>
      </c>
      <c r="L625">
        <v>701000</v>
      </c>
      <c r="M625" s="97" t="s">
        <v>62</v>
      </c>
      <c r="N625" s="97" t="s">
        <v>33</v>
      </c>
      <c r="O625">
        <v>292</v>
      </c>
      <c r="P625">
        <v>18.53</v>
      </c>
      <c r="Q625">
        <v>5.41</v>
      </c>
      <c r="R625" s="97" t="s">
        <v>1201</v>
      </c>
      <c r="S625" s="97" t="s">
        <v>195</v>
      </c>
    </row>
    <row r="626" spans="1:19" x14ac:dyDescent="0.3">
      <c r="A626" s="97" t="s">
        <v>924</v>
      </c>
      <c r="B626" s="97" t="s">
        <v>23</v>
      </c>
      <c r="C626">
        <v>2026</v>
      </c>
      <c r="D626">
        <v>1</v>
      </c>
      <c r="E626" s="2">
        <v>46045</v>
      </c>
      <c r="F626" s="97" t="s">
        <v>7</v>
      </c>
      <c r="G626" s="97" t="s">
        <v>8</v>
      </c>
      <c r="H626" s="97" t="s">
        <v>74</v>
      </c>
      <c r="I626" s="97" t="s">
        <v>82</v>
      </c>
      <c r="J626" s="97" t="s">
        <v>83</v>
      </c>
      <c r="K626" s="97" t="s">
        <v>73</v>
      </c>
      <c r="L626">
        <v>701000</v>
      </c>
      <c r="M626" s="97" t="s">
        <v>62</v>
      </c>
      <c r="N626" s="97" t="s">
        <v>33</v>
      </c>
      <c r="O626">
        <v>190</v>
      </c>
      <c r="P626">
        <v>18.47</v>
      </c>
      <c r="Q626">
        <v>3.51</v>
      </c>
      <c r="R626" s="97" t="s">
        <v>1203</v>
      </c>
      <c r="S626" s="97" t="s">
        <v>195</v>
      </c>
    </row>
    <row r="627" spans="1:19" x14ac:dyDescent="0.3">
      <c r="A627" s="97" t="s">
        <v>194</v>
      </c>
      <c r="B627" s="97" t="s">
        <v>23</v>
      </c>
      <c r="C627">
        <v>2026</v>
      </c>
      <c r="D627">
        <v>1</v>
      </c>
      <c r="E627" s="2">
        <v>46046</v>
      </c>
      <c r="F627" s="97" t="s">
        <v>7</v>
      </c>
      <c r="G627" s="97" t="s">
        <v>8</v>
      </c>
      <c r="H627" s="97" t="s">
        <v>70</v>
      </c>
      <c r="I627" s="97" t="s">
        <v>84</v>
      </c>
      <c r="J627" s="97" t="s">
        <v>85</v>
      </c>
      <c r="K627" s="97" t="s">
        <v>73</v>
      </c>
      <c r="L627">
        <v>701000</v>
      </c>
      <c r="M627" s="97" t="s">
        <v>62</v>
      </c>
      <c r="N627" s="97" t="s">
        <v>33</v>
      </c>
      <c r="O627">
        <v>2575</v>
      </c>
      <c r="P627">
        <v>0.95</v>
      </c>
      <c r="Q627">
        <v>2.4500000000000002</v>
      </c>
      <c r="R627" s="97" t="s">
        <v>1204</v>
      </c>
      <c r="S627" s="97" t="s">
        <v>195</v>
      </c>
    </row>
    <row r="628" spans="1:19" x14ac:dyDescent="0.3">
      <c r="A628" s="97" t="s">
        <v>196</v>
      </c>
      <c r="B628" s="97" t="s">
        <v>23</v>
      </c>
      <c r="C628">
        <v>2026</v>
      </c>
      <c r="D628">
        <v>1</v>
      </c>
      <c r="E628" s="2">
        <v>46046</v>
      </c>
      <c r="F628" s="97" t="s">
        <v>7</v>
      </c>
      <c r="G628" s="97" t="s">
        <v>8</v>
      </c>
      <c r="H628" s="97" t="s">
        <v>70</v>
      </c>
      <c r="I628" s="97" t="s">
        <v>84</v>
      </c>
      <c r="J628" s="97" t="s">
        <v>85</v>
      </c>
      <c r="K628" s="97" t="s">
        <v>73</v>
      </c>
      <c r="L628">
        <v>701000</v>
      </c>
      <c r="M628" s="97" t="s">
        <v>62</v>
      </c>
      <c r="N628" s="97" t="s">
        <v>33</v>
      </c>
      <c r="O628">
        <v>3488</v>
      </c>
      <c r="P628">
        <v>0.95</v>
      </c>
      <c r="Q628">
        <v>3.31</v>
      </c>
      <c r="R628" s="97" t="s">
        <v>1198</v>
      </c>
      <c r="S628" s="97" t="s">
        <v>195</v>
      </c>
    </row>
    <row r="629" spans="1:19" x14ac:dyDescent="0.3">
      <c r="A629" s="97" t="s">
        <v>197</v>
      </c>
      <c r="B629" s="97" t="s">
        <v>23</v>
      </c>
      <c r="C629">
        <v>2026</v>
      </c>
      <c r="D629">
        <v>1</v>
      </c>
      <c r="E629" s="2">
        <v>46046</v>
      </c>
      <c r="F629" s="97" t="s">
        <v>7</v>
      </c>
      <c r="G629" s="97" t="s">
        <v>8</v>
      </c>
      <c r="H629" s="97" t="s">
        <v>70</v>
      </c>
      <c r="I629" s="97" t="s">
        <v>84</v>
      </c>
      <c r="J629" s="97" t="s">
        <v>85</v>
      </c>
      <c r="K629" s="97" t="s">
        <v>73</v>
      </c>
      <c r="L629">
        <v>701000</v>
      </c>
      <c r="M629" s="97" t="s">
        <v>62</v>
      </c>
      <c r="N629" s="97" t="s">
        <v>33</v>
      </c>
      <c r="O629">
        <v>3566</v>
      </c>
      <c r="P629">
        <v>0.95</v>
      </c>
      <c r="Q629">
        <v>3.39</v>
      </c>
      <c r="R629" s="97" t="s">
        <v>1200</v>
      </c>
      <c r="S629" s="97" t="s">
        <v>195</v>
      </c>
    </row>
    <row r="630" spans="1:19" x14ac:dyDescent="0.3">
      <c r="A630" s="97" t="s">
        <v>198</v>
      </c>
      <c r="B630" s="97" t="s">
        <v>23</v>
      </c>
      <c r="C630">
        <v>2026</v>
      </c>
      <c r="D630">
        <v>1</v>
      </c>
      <c r="E630" s="2">
        <v>46046</v>
      </c>
      <c r="F630" s="97" t="s">
        <v>7</v>
      </c>
      <c r="G630" s="97" t="s">
        <v>8</v>
      </c>
      <c r="H630" s="97" t="s">
        <v>70</v>
      </c>
      <c r="I630" s="97" t="s">
        <v>84</v>
      </c>
      <c r="J630" s="97" t="s">
        <v>85</v>
      </c>
      <c r="K630" s="97" t="s">
        <v>73</v>
      </c>
      <c r="L630">
        <v>701000</v>
      </c>
      <c r="M630" s="97" t="s">
        <v>62</v>
      </c>
      <c r="N630" s="97" t="s">
        <v>33</v>
      </c>
      <c r="O630">
        <v>1816</v>
      </c>
      <c r="P630">
        <v>0.95</v>
      </c>
      <c r="Q630">
        <v>1.73</v>
      </c>
      <c r="R630" s="97" t="s">
        <v>1199</v>
      </c>
      <c r="S630" s="97" t="s">
        <v>195</v>
      </c>
    </row>
    <row r="631" spans="1:19" x14ac:dyDescent="0.3">
      <c r="A631" s="97" t="s">
        <v>199</v>
      </c>
      <c r="B631" s="97" t="s">
        <v>23</v>
      </c>
      <c r="C631">
        <v>2026</v>
      </c>
      <c r="D631">
        <v>1</v>
      </c>
      <c r="E631" s="2">
        <v>46046</v>
      </c>
      <c r="F631" s="97" t="s">
        <v>7</v>
      </c>
      <c r="G631" s="97" t="s">
        <v>8</v>
      </c>
      <c r="H631" s="97" t="s">
        <v>70</v>
      </c>
      <c r="I631" s="97" t="s">
        <v>84</v>
      </c>
      <c r="J631" s="97" t="s">
        <v>85</v>
      </c>
      <c r="K631" s="97" t="s">
        <v>73</v>
      </c>
      <c r="L631">
        <v>701000</v>
      </c>
      <c r="M631" s="97" t="s">
        <v>62</v>
      </c>
      <c r="N631" s="97" t="s">
        <v>33</v>
      </c>
      <c r="O631">
        <v>413</v>
      </c>
      <c r="P631">
        <v>0.94</v>
      </c>
      <c r="Q631">
        <v>0.39</v>
      </c>
      <c r="R631" s="97" t="s">
        <v>1203</v>
      </c>
      <c r="S631" s="97" t="s">
        <v>195</v>
      </c>
    </row>
    <row r="632" spans="1:19" x14ac:dyDescent="0.3">
      <c r="A632" s="97" t="s">
        <v>240</v>
      </c>
      <c r="B632" s="97" t="s">
        <v>23</v>
      </c>
      <c r="C632">
        <v>2026</v>
      </c>
      <c r="D632">
        <v>1</v>
      </c>
      <c r="E632" s="2">
        <v>46046</v>
      </c>
      <c r="F632" s="97" t="s">
        <v>7</v>
      </c>
      <c r="G632" s="97" t="s">
        <v>8</v>
      </c>
      <c r="H632" s="97" t="s">
        <v>70</v>
      </c>
      <c r="I632" s="97" t="s">
        <v>84</v>
      </c>
      <c r="J632" s="97" t="s">
        <v>85</v>
      </c>
      <c r="K632" s="97" t="s">
        <v>73</v>
      </c>
      <c r="L632">
        <v>701000</v>
      </c>
      <c r="M632" s="97" t="s">
        <v>62</v>
      </c>
      <c r="N632" s="97" t="s">
        <v>33</v>
      </c>
      <c r="O632">
        <v>876</v>
      </c>
      <c r="P632">
        <v>0.95</v>
      </c>
      <c r="Q632">
        <v>0.83</v>
      </c>
      <c r="R632" s="97" t="s">
        <v>1198</v>
      </c>
      <c r="S632" s="97" t="s">
        <v>195</v>
      </c>
    </row>
    <row r="633" spans="1:19" x14ac:dyDescent="0.3">
      <c r="A633" s="97" t="s">
        <v>241</v>
      </c>
      <c r="B633" s="97" t="s">
        <v>23</v>
      </c>
      <c r="C633">
        <v>2026</v>
      </c>
      <c r="D633">
        <v>1</v>
      </c>
      <c r="E633" s="2">
        <v>46046</v>
      </c>
      <c r="F633" s="97" t="s">
        <v>7</v>
      </c>
      <c r="G633" s="97" t="s">
        <v>8</v>
      </c>
      <c r="H633" s="97" t="s">
        <v>70</v>
      </c>
      <c r="I633" s="97" t="s">
        <v>84</v>
      </c>
      <c r="J633" s="97" t="s">
        <v>85</v>
      </c>
      <c r="K633" s="97" t="s">
        <v>73</v>
      </c>
      <c r="L633">
        <v>701000</v>
      </c>
      <c r="M633" s="97" t="s">
        <v>62</v>
      </c>
      <c r="N633" s="97" t="s">
        <v>33</v>
      </c>
      <c r="O633">
        <v>4594</v>
      </c>
      <c r="P633">
        <v>0.95</v>
      </c>
      <c r="Q633">
        <v>4.37</v>
      </c>
      <c r="R633" s="97" t="s">
        <v>1204</v>
      </c>
      <c r="S633" s="97" t="s">
        <v>195</v>
      </c>
    </row>
    <row r="634" spans="1:19" x14ac:dyDescent="0.3">
      <c r="A634" s="97" t="s">
        <v>242</v>
      </c>
      <c r="B634" s="97" t="s">
        <v>23</v>
      </c>
      <c r="C634">
        <v>2026</v>
      </c>
      <c r="D634">
        <v>1</v>
      </c>
      <c r="E634" s="2">
        <v>46046</v>
      </c>
      <c r="F634" s="97" t="s">
        <v>7</v>
      </c>
      <c r="G634" s="97" t="s">
        <v>8</v>
      </c>
      <c r="H634" s="97" t="s">
        <v>70</v>
      </c>
      <c r="I634" s="97" t="s">
        <v>84</v>
      </c>
      <c r="J634" s="97" t="s">
        <v>85</v>
      </c>
      <c r="K634" s="97" t="s">
        <v>73</v>
      </c>
      <c r="L634">
        <v>701000</v>
      </c>
      <c r="M634" s="97" t="s">
        <v>62</v>
      </c>
      <c r="N634" s="97" t="s">
        <v>33</v>
      </c>
      <c r="O634">
        <v>1610</v>
      </c>
      <c r="P634">
        <v>0.95</v>
      </c>
      <c r="Q634">
        <v>1.53</v>
      </c>
      <c r="R634" s="97" t="s">
        <v>1199</v>
      </c>
      <c r="S634" s="97" t="s">
        <v>195</v>
      </c>
    </row>
    <row r="635" spans="1:19" x14ac:dyDescent="0.3">
      <c r="A635" s="97" t="s">
        <v>243</v>
      </c>
      <c r="B635" s="97" t="s">
        <v>23</v>
      </c>
      <c r="C635">
        <v>2026</v>
      </c>
      <c r="D635">
        <v>1</v>
      </c>
      <c r="E635" s="2">
        <v>46046</v>
      </c>
      <c r="F635" s="97" t="s">
        <v>7</v>
      </c>
      <c r="G635" s="97" t="s">
        <v>8</v>
      </c>
      <c r="H635" s="97" t="s">
        <v>70</v>
      </c>
      <c r="I635" s="97" t="s">
        <v>84</v>
      </c>
      <c r="J635" s="97" t="s">
        <v>85</v>
      </c>
      <c r="K635" s="97" t="s">
        <v>73</v>
      </c>
      <c r="L635">
        <v>701000</v>
      </c>
      <c r="M635" s="97" t="s">
        <v>62</v>
      </c>
      <c r="N635" s="97" t="s">
        <v>33</v>
      </c>
      <c r="O635">
        <v>4501</v>
      </c>
      <c r="P635">
        <v>0.95</v>
      </c>
      <c r="Q635">
        <v>4.28</v>
      </c>
      <c r="R635" s="97" t="s">
        <v>1197</v>
      </c>
      <c r="S635" s="97" t="s">
        <v>195</v>
      </c>
    </row>
    <row r="636" spans="1:19" x14ac:dyDescent="0.3">
      <c r="A636" s="97" t="s">
        <v>244</v>
      </c>
      <c r="B636" s="97" t="s">
        <v>23</v>
      </c>
      <c r="C636">
        <v>2026</v>
      </c>
      <c r="D636">
        <v>1</v>
      </c>
      <c r="E636" s="2">
        <v>46046</v>
      </c>
      <c r="F636" s="97" t="s">
        <v>7</v>
      </c>
      <c r="G636" s="97" t="s">
        <v>8</v>
      </c>
      <c r="H636" s="97" t="s">
        <v>70</v>
      </c>
      <c r="I636" s="97" t="s">
        <v>84</v>
      </c>
      <c r="J636" s="97" t="s">
        <v>85</v>
      </c>
      <c r="K636" s="97" t="s">
        <v>73</v>
      </c>
      <c r="L636">
        <v>701000</v>
      </c>
      <c r="M636" s="97" t="s">
        <v>62</v>
      </c>
      <c r="N636" s="97" t="s">
        <v>33</v>
      </c>
      <c r="O636">
        <v>3730</v>
      </c>
      <c r="P636">
        <v>0.95</v>
      </c>
      <c r="Q636">
        <v>3.54</v>
      </c>
      <c r="R636" s="97" t="s">
        <v>1205</v>
      </c>
      <c r="S636" s="97" t="s">
        <v>195</v>
      </c>
    </row>
    <row r="637" spans="1:19" x14ac:dyDescent="0.3">
      <c r="A637" s="97" t="s">
        <v>310</v>
      </c>
      <c r="B637" s="97" t="s">
        <v>23</v>
      </c>
      <c r="C637">
        <v>2026</v>
      </c>
      <c r="D637">
        <v>1</v>
      </c>
      <c r="E637" s="2">
        <v>46046</v>
      </c>
      <c r="F637" s="97" t="s">
        <v>7</v>
      </c>
      <c r="G637" s="97" t="s">
        <v>8</v>
      </c>
      <c r="H637" s="97" t="s">
        <v>70</v>
      </c>
      <c r="I637" s="97" t="s">
        <v>84</v>
      </c>
      <c r="J637" s="97" t="s">
        <v>85</v>
      </c>
      <c r="K637" s="97" t="s">
        <v>73</v>
      </c>
      <c r="L637">
        <v>701000</v>
      </c>
      <c r="M637" s="97" t="s">
        <v>62</v>
      </c>
      <c r="N637" s="97" t="s">
        <v>33</v>
      </c>
      <c r="O637">
        <v>1824</v>
      </c>
      <c r="P637">
        <v>0.95</v>
      </c>
      <c r="Q637">
        <v>1.73</v>
      </c>
      <c r="R637" s="97" t="s">
        <v>1197</v>
      </c>
      <c r="S637" s="97" t="s">
        <v>195</v>
      </c>
    </row>
    <row r="638" spans="1:19" x14ac:dyDescent="0.3">
      <c r="A638" s="97" t="s">
        <v>311</v>
      </c>
      <c r="B638" s="97" t="s">
        <v>23</v>
      </c>
      <c r="C638">
        <v>2026</v>
      </c>
      <c r="D638">
        <v>1</v>
      </c>
      <c r="E638" s="2">
        <v>46046</v>
      </c>
      <c r="F638" s="97" t="s">
        <v>7</v>
      </c>
      <c r="G638" s="97" t="s">
        <v>8</v>
      </c>
      <c r="H638" s="97" t="s">
        <v>70</v>
      </c>
      <c r="I638" s="97" t="s">
        <v>84</v>
      </c>
      <c r="J638" s="97" t="s">
        <v>85</v>
      </c>
      <c r="K638" s="97" t="s">
        <v>73</v>
      </c>
      <c r="L638">
        <v>701000</v>
      </c>
      <c r="M638" s="97" t="s">
        <v>62</v>
      </c>
      <c r="N638" s="97" t="s">
        <v>33</v>
      </c>
      <c r="O638">
        <v>3780</v>
      </c>
      <c r="P638">
        <v>0.95</v>
      </c>
      <c r="Q638">
        <v>3.59</v>
      </c>
      <c r="R638" s="97" t="s">
        <v>1200</v>
      </c>
      <c r="S638" s="97" t="s">
        <v>195</v>
      </c>
    </row>
    <row r="639" spans="1:19" x14ac:dyDescent="0.3">
      <c r="A639" s="97" t="s">
        <v>312</v>
      </c>
      <c r="B639" s="97" t="s">
        <v>23</v>
      </c>
      <c r="C639">
        <v>2026</v>
      </c>
      <c r="D639">
        <v>1</v>
      </c>
      <c r="E639" s="2">
        <v>46046</v>
      </c>
      <c r="F639" s="97" t="s">
        <v>7</v>
      </c>
      <c r="G639" s="97" t="s">
        <v>8</v>
      </c>
      <c r="H639" s="97" t="s">
        <v>70</v>
      </c>
      <c r="I639" s="97" t="s">
        <v>84</v>
      </c>
      <c r="J639" s="97" t="s">
        <v>85</v>
      </c>
      <c r="K639" s="97" t="s">
        <v>73</v>
      </c>
      <c r="L639">
        <v>701000</v>
      </c>
      <c r="M639" s="97" t="s">
        <v>62</v>
      </c>
      <c r="N639" s="97" t="s">
        <v>33</v>
      </c>
      <c r="O639">
        <v>1038</v>
      </c>
      <c r="P639">
        <v>0.95</v>
      </c>
      <c r="Q639">
        <v>0.99</v>
      </c>
      <c r="R639" s="97" t="s">
        <v>1201</v>
      </c>
      <c r="S639" s="97" t="s">
        <v>195</v>
      </c>
    </row>
    <row r="640" spans="1:19" x14ac:dyDescent="0.3">
      <c r="A640" s="97" t="s">
        <v>313</v>
      </c>
      <c r="B640" s="97" t="s">
        <v>23</v>
      </c>
      <c r="C640">
        <v>2026</v>
      </c>
      <c r="D640">
        <v>1</v>
      </c>
      <c r="E640" s="2">
        <v>46046</v>
      </c>
      <c r="F640" s="97" t="s">
        <v>7</v>
      </c>
      <c r="G640" s="97" t="s">
        <v>8</v>
      </c>
      <c r="H640" s="97" t="s">
        <v>70</v>
      </c>
      <c r="I640" s="97" t="s">
        <v>84</v>
      </c>
      <c r="J640" s="97" t="s">
        <v>85</v>
      </c>
      <c r="K640" s="97" t="s">
        <v>73</v>
      </c>
      <c r="L640">
        <v>701000</v>
      </c>
      <c r="M640" s="97" t="s">
        <v>62</v>
      </c>
      <c r="N640" s="97" t="s">
        <v>33</v>
      </c>
      <c r="O640">
        <v>1448</v>
      </c>
      <c r="P640">
        <v>0.95</v>
      </c>
      <c r="Q640">
        <v>1.38</v>
      </c>
      <c r="R640" s="97" t="s">
        <v>1205</v>
      </c>
      <c r="S640" s="97" t="s">
        <v>195</v>
      </c>
    </row>
    <row r="641" spans="1:19" x14ac:dyDescent="0.3">
      <c r="A641" s="97" t="s">
        <v>314</v>
      </c>
      <c r="B641" s="97" t="s">
        <v>23</v>
      </c>
      <c r="C641">
        <v>2026</v>
      </c>
      <c r="D641">
        <v>1</v>
      </c>
      <c r="E641" s="2">
        <v>46046</v>
      </c>
      <c r="F641" s="97" t="s">
        <v>7</v>
      </c>
      <c r="G641" s="97" t="s">
        <v>8</v>
      </c>
      <c r="H641" s="97" t="s">
        <v>70</v>
      </c>
      <c r="I641" s="97" t="s">
        <v>84</v>
      </c>
      <c r="J641" s="97" t="s">
        <v>85</v>
      </c>
      <c r="K641" s="97" t="s">
        <v>73</v>
      </c>
      <c r="L641">
        <v>701000</v>
      </c>
      <c r="M641" s="97" t="s">
        <v>62</v>
      </c>
      <c r="N641" s="97" t="s">
        <v>33</v>
      </c>
      <c r="O641">
        <v>3908</v>
      </c>
      <c r="P641">
        <v>0.95</v>
      </c>
      <c r="Q641">
        <v>3.71</v>
      </c>
      <c r="R641" s="97" t="s">
        <v>1198</v>
      </c>
      <c r="S641" s="97" t="s">
        <v>195</v>
      </c>
    </row>
    <row r="642" spans="1:19" x14ac:dyDescent="0.3">
      <c r="A642" s="97" t="s">
        <v>665</v>
      </c>
      <c r="B642" s="97" t="s">
        <v>23</v>
      </c>
      <c r="C642">
        <v>2026</v>
      </c>
      <c r="D642">
        <v>1</v>
      </c>
      <c r="E642" s="2">
        <v>46046</v>
      </c>
      <c r="F642" s="97" t="s">
        <v>7</v>
      </c>
      <c r="G642" s="97" t="s">
        <v>8</v>
      </c>
      <c r="H642" s="97" t="s">
        <v>74</v>
      </c>
      <c r="I642" s="97" t="s">
        <v>75</v>
      </c>
      <c r="J642" s="97" t="s">
        <v>76</v>
      </c>
      <c r="K642" s="97" t="s">
        <v>73</v>
      </c>
      <c r="L642">
        <v>701000</v>
      </c>
      <c r="M642" s="97" t="s">
        <v>62</v>
      </c>
      <c r="N642" s="97" t="s">
        <v>33</v>
      </c>
      <c r="O642">
        <v>654</v>
      </c>
      <c r="P642">
        <v>1.41</v>
      </c>
      <c r="Q642">
        <v>0.92</v>
      </c>
      <c r="R642" s="97" t="s">
        <v>1198</v>
      </c>
      <c r="S642" s="97" t="s">
        <v>195</v>
      </c>
    </row>
    <row r="643" spans="1:19" x14ac:dyDescent="0.3">
      <c r="A643" s="97" t="s">
        <v>666</v>
      </c>
      <c r="B643" s="97" t="s">
        <v>23</v>
      </c>
      <c r="C643">
        <v>2026</v>
      </c>
      <c r="D643">
        <v>1</v>
      </c>
      <c r="E643" s="2">
        <v>46046</v>
      </c>
      <c r="F643" s="97" t="s">
        <v>7</v>
      </c>
      <c r="G643" s="97" t="s">
        <v>8</v>
      </c>
      <c r="H643" s="97" t="s">
        <v>74</v>
      </c>
      <c r="I643" s="97" t="s">
        <v>75</v>
      </c>
      <c r="J643" s="97" t="s">
        <v>76</v>
      </c>
      <c r="K643" s="97" t="s">
        <v>73</v>
      </c>
      <c r="L643">
        <v>701000</v>
      </c>
      <c r="M643" s="97" t="s">
        <v>62</v>
      </c>
      <c r="N643" s="97" t="s">
        <v>33</v>
      </c>
      <c r="O643">
        <v>1669</v>
      </c>
      <c r="P643">
        <v>1.4</v>
      </c>
      <c r="Q643">
        <v>2.34</v>
      </c>
      <c r="R643" s="97" t="s">
        <v>1199</v>
      </c>
      <c r="S643" s="97" t="s">
        <v>195</v>
      </c>
    </row>
    <row r="644" spans="1:19" x14ac:dyDescent="0.3">
      <c r="A644" s="97" t="s">
        <v>667</v>
      </c>
      <c r="B644" s="97" t="s">
        <v>23</v>
      </c>
      <c r="C644">
        <v>2026</v>
      </c>
      <c r="D644">
        <v>1</v>
      </c>
      <c r="E644" s="2">
        <v>46046</v>
      </c>
      <c r="F644" s="97" t="s">
        <v>7</v>
      </c>
      <c r="G644" s="97" t="s">
        <v>8</v>
      </c>
      <c r="H644" s="97" t="s">
        <v>74</v>
      </c>
      <c r="I644" s="97" t="s">
        <v>75</v>
      </c>
      <c r="J644" s="97" t="s">
        <v>76</v>
      </c>
      <c r="K644" s="97" t="s">
        <v>73</v>
      </c>
      <c r="L644">
        <v>701000</v>
      </c>
      <c r="M644" s="97" t="s">
        <v>62</v>
      </c>
      <c r="N644" s="97" t="s">
        <v>33</v>
      </c>
      <c r="O644">
        <v>497</v>
      </c>
      <c r="P644">
        <v>1.41</v>
      </c>
      <c r="Q644">
        <v>0.7</v>
      </c>
      <c r="R644" s="97" t="s">
        <v>1204</v>
      </c>
      <c r="S644" s="97" t="s">
        <v>195</v>
      </c>
    </row>
    <row r="645" spans="1:19" x14ac:dyDescent="0.3">
      <c r="A645" s="97" t="s">
        <v>668</v>
      </c>
      <c r="B645" s="97" t="s">
        <v>23</v>
      </c>
      <c r="C645">
        <v>2026</v>
      </c>
      <c r="D645">
        <v>1</v>
      </c>
      <c r="E645" s="2">
        <v>46046</v>
      </c>
      <c r="F645" s="97" t="s">
        <v>7</v>
      </c>
      <c r="G645" s="97" t="s">
        <v>8</v>
      </c>
      <c r="H645" s="97" t="s">
        <v>74</v>
      </c>
      <c r="I645" s="97" t="s">
        <v>75</v>
      </c>
      <c r="J645" s="97" t="s">
        <v>76</v>
      </c>
      <c r="K645" s="97" t="s">
        <v>73</v>
      </c>
      <c r="L645">
        <v>701000</v>
      </c>
      <c r="M645" s="97" t="s">
        <v>62</v>
      </c>
      <c r="N645" s="97" t="s">
        <v>33</v>
      </c>
      <c r="O645">
        <v>2467</v>
      </c>
      <c r="P645">
        <v>1.4</v>
      </c>
      <c r="Q645">
        <v>3.45</v>
      </c>
      <c r="R645" s="97" t="s">
        <v>1205</v>
      </c>
      <c r="S645" s="97" t="s">
        <v>195</v>
      </c>
    </row>
    <row r="646" spans="1:19" x14ac:dyDescent="0.3">
      <c r="A646" s="97" t="s">
        <v>669</v>
      </c>
      <c r="B646" s="97" t="s">
        <v>23</v>
      </c>
      <c r="C646">
        <v>2026</v>
      </c>
      <c r="D646">
        <v>1</v>
      </c>
      <c r="E646" s="2">
        <v>46046</v>
      </c>
      <c r="F646" s="97" t="s">
        <v>7</v>
      </c>
      <c r="G646" s="97" t="s">
        <v>8</v>
      </c>
      <c r="H646" s="97" t="s">
        <v>74</v>
      </c>
      <c r="I646" s="97" t="s">
        <v>75</v>
      </c>
      <c r="J646" s="97" t="s">
        <v>76</v>
      </c>
      <c r="K646" s="97" t="s">
        <v>73</v>
      </c>
      <c r="L646">
        <v>701000</v>
      </c>
      <c r="M646" s="97" t="s">
        <v>62</v>
      </c>
      <c r="N646" s="97" t="s">
        <v>33</v>
      </c>
      <c r="O646">
        <v>905</v>
      </c>
      <c r="P646">
        <v>1.39</v>
      </c>
      <c r="Q646">
        <v>1.26</v>
      </c>
      <c r="R646" s="97" t="s">
        <v>1200</v>
      </c>
      <c r="S646" s="97" t="s">
        <v>195</v>
      </c>
    </row>
    <row r="647" spans="1:19" x14ac:dyDescent="0.3">
      <c r="A647" s="97" t="s">
        <v>780</v>
      </c>
      <c r="B647" s="97" t="s">
        <v>23</v>
      </c>
      <c r="C647">
        <v>2026</v>
      </c>
      <c r="D647">
        <v>1</v>
      </c>
      <c r="E647" s="2">
        <v>46046</v>
      </c>
      <c r="F647" s="97" t="s">
        <v>7</v>
      </c>
      <c r="G647" s="97" t="s">
        <v>8</v>
      </c>
      <c r="H647" s="97" t="s">
        <v>70</v>
      </c>
      <c r="I647" s="97" t="s">
        <v>79</v>
      </c>
      <c r="J647" s="97" t="s">
        <v>80</v>
      </c>
      <c r="K647" s="97" t="s">
        <v>73</v>
      </c>
      <c r="L647">
        <v>701000</v>
      </c>
      <c r="M647" s="97" t="s">
        <v>62</v>
      </c>
      <c r="N647" s="97" t="s">
        <v>33</v>
      </c>
      <c r="O647">
        <v>1248</v>
      </c>
      <c r="P647">
        <v>2.6</v>
      </c>
      <c r="Q647">
        <v>3.24</v>
      </c>
      <c r="R647" s="97" t="s">
        <v>1197</v>
      </c>
      <c r="S647" s="97" t="s">
        <v>195</v>
      </c>
    </row>
    <row r="648" spans="1:19" x14ac:dyDescent="0.3">
      <c r="A648" s="97" t="s">
        <v>781</v>
      </c>
      <c r="B648" s="97" t="s">
        <v>23</v>
      </c>
      <c r="C648">
        <v>2026</v>
      </c>
      <c r="D648">
        <v>1</v>
      </c>
      <c r="E648" s="2">
        <v>46046</v>
      </c>
      <c r="F648" s="97" t="s">
        <v>7</v>
      </c>
      <c r="G648" s="97" t="s">
        <v>8</v>
      </c>
      <c r="H648" s="97" t="s">
        <v>70</v>
      </c>
      <c r="I648" s="97" t="s">
        <v>79</v>
      </c>
      <c r="J648" s="97" t="s">
        <v>80</v>
      </c>
      <c r="K648" s="97" t="s">
        <v>73</v>
      </c>
      <c r="L648">
        <v>701000</v>
      </c>
      <c r="M648" s="97" t="s">
        <v>62</v>
      </c>
      <c r="N648" s="97" t="s">
        <v>33</v>
      </c>
      <c r="O648">
        <v>521</v>
      </c>
      <c r="P648">
        <v>2.61</v>
      </c>
      <c r="Q648">
        <v>1.36</v>
      </c>
      <c r="R648" s="97" t="s">
        <v>1205</v>
      </c>
      <c r="S648" s="97" t="s">
        <v>195</v>
      </c>
    </row>
    <row r="649" spans="1:19" x14ac:dyDescent="0.3">
      <c r="A649" s="97" t="s">
        <v>782</v>
      </c>
      <c r="B649" s="97" t="s">
        <v>23</v>
      </c>
      <c r="C649">
        <v>2026</v>
      </c>
      <c r="D649">
        <v>1</v>
      </c>
      <c r="E649" s="2">
        <v>46046</v>
      </c>
      <c r="F649" s="97" t="s">
        <v>7</v>
      </c>
      <c r="G649" s="97" t="s">
        <v>8</v>
      </c>
      <c r="H649" s="97" t="s">
        <v>70</v>
      </c>
      <c r="I649" s="97" t="s">
        <v>79</v>
      </c>
      <c r="J649" s="97" t="s">
        <v>80</v>
      </c>
      <c r="K649" s="97" t="s">
        <v>73</v>
      </c>
      <c r="L649">
        <v>701000</v>
      </c>
      <c r="M649" s="97" t="s">
        <v>62</v>
      </c>
      <c r="N649" s="97" t="s">
        <v>33</v>
      </c>
      <c r="O649">
        <v>2009</v>
      </c>
      <c r="P649">
        <v>2.6</v>
      </c>
      <c r="Q649">
        <v>5.22</v>
      </c>
      <c r="R649" s="97" t="s">
        <v>1202</v>
      </c>
      <c r="S649" s="97" t="s">
        <v>195</v>
      </c>
    </row>
    <row r="650" spans="1:19" x14ac:dyDescent="0.3">
      <c r="A650" s="97" t="s">
        <v>783</v>
      </c>
      <c r="B650" s="97" t="s">
        <v>23</v>
      </c>
      <c r="C650">
        <v>2026</v>
      </c>
      <c r="D650">
        <v>1</v>
      </c>
      <c r="E650" s="2">
        <v>46046</v>
      </c>
      <c r="F650" s="97" t="s">
        <v>7</v>
      </c>
      <c r="G650" s="97" t="s">
        <v>8</v>
      </c>
      <c r="H650" s="97" t="s">
        <v>70</v>
      </c>
      <c r="I650" s="97" t="s">
        <v>79</v>
      </c>
      <c r="J650" s="97" t="s">
        <v>80</v>
      </c>
      <c r="K650" s="97" t="s">
        <v>73</v>
      </c>
      <c r="L650">
        <v>701000</v>
      </c>
      <c r="M650" s="97" t="s">
        <v>62</v>
      </c>
      <c r="N650" s="97" t="s">
        <v>33</v>
      </c>
      <c r="O650">
        <v>2176</v>
      </c>
      <c r="P650">
        <v>2.6</v>
      </c>
      <c r="Q650">
        <v>5.66</v>
      </c>
      <c r="R650" s="97" t="s">
        <v>1198</v>
      </c>
      <c r="S650" s="97" t="s">
        <v>195</v>
      </c>
    </row>
    <row r="651" spans="1:19" x14ac:dyDescent="0.3">
      <c r="A651" s="97" t="s">
        <v>784</v>
      </c>
      <c r="B651" s="97" t="s">
        <v>23</v>
      </c>
      <c r="C651">
        <v>2026</v>
      </c>
      <c r="D651">
        <v>1</v>
      </c>
      <c r="E651" s="2">
        <v>46046</v>
      </c>
      <c r="F651" s="97" t="s">
        <v>7</v>
      </c>
      <c r="G651" s="97" t="s">
        <v>8</v>
      </c>
      <c r="H651" s="97" t="s">
        <v>70</v>
      </c>
      <c r="I651" s="97" t="s">
        <v>79</v>
      </c>
      <c r="J651" s="97" t="s">
        <v>80</v>
      </c>
      <c r="K651" s="97" t="s">
        <v>73</v>
      </c>
      <c r="L651">
        <v>701000</v>
      </c>
      <c r="M651" s="97" t="s">
        <v>62</v>
      </c>
      <c r="N651" s="97" t="s">
        <v>33</v>
      </c>
      <c r="O651">
        <v>1362</v>
      </c>
      <c r="P651">
        <v>2.6</v>
      </c>
      <c r="Q651">
        <v>3.54</v>
      </c>
      <c r="R651" s="97" t="s">
        <v>1204</v>
      </c>
      <c r="S651" s="97" t="s">
        <v>195</v>
      </c>
    </row>
    <row r="652" spans="1:19" x14ac:dyDescent="0.3">
      <c r="A652" s="97" t="s">
        <v>790</v>
      </c>
      <c r="B652" s="97" t="s">
        <v>23</v>
      </c>
      <c r="C652">
        <v>2026</v>
      </c>
      <c r="D652">
        <v>1</v>
      </c>
      <c r="E652" s="2">
        <v>46046</v>
      </c>
      <c r="F652" s="97" t="s">
        <v>7</v>
      </c>
      <c r="G652" s="97" t="s">
        <v>8</v>
      </c>
      <c r="H652" s="97" t="s">
        <v>74</v>
      </c>
      <c r="I652" s="97" t="s">
        <v>79</v>
      </c>
      <c r="J652" s="97" t="s">
        <v>80</v>
      </c>
      <c r="K652" s="97" t="s">
        <v>73</v>
      </c>
      <c r="L652">
        <v>701000</v>
      </c>
      <c r="M652" s="97" t="s">
        <v>62</v>
      </c>
      <c r="N652" s="97" t="s">
        <v>33</v>
      </c>
      <c r="O652">
        <v>834</v>
      </c>
      <c r="P652">
        <v>2.6</v>
      </c>
      <c r="Q652">
        <v>2.17</v>
      </c>
      <c r="R652" s="97" t="s">
        <v>1205</v>
      </c>
      <c r="S652" s="97" t="s">
        <v>195</v>
      </c>
    </row>
    <row r="653" spans="1:19" x14ac:dyDescent="0.3">
      <c r="A653" s="97" t="s">
        <v>791</v>
      </c>
      <c r="B653" s="97" t="s">
        <v>23</v>
      </c>
      <c r="C653">
        <v>2026</v>
      </c>
      <c r="D653">
        <v>1</v>
      </c>
      <c r="E653" s="2">
        <v>46046</v>
      </c>
      <c r="F653" s="97" t="s">
        <v>7</v>
      </c>
      <c r="G653" s="97" t="s">
        <v>8</v>
      </c>
      <c r="H653" s="97" t="s">
        <v>74</v>
      </c>
      <c r="I653" s="97" t="s">
        <v>79</v>
      </c>
      <c r="J653" s="97" t="s">
        <v>80</v>
      </c>
      <c r="K653" s="97" t="s">
        <v>73</v>
      </c>
      <c r="L653">
        <v>701000</v>
      </c>
      <c r="M653" s="97" t="s">
        <v>62</v>
      </c>
      <c r="N653" s="97" t="s">
        <v>33</v>
      </c>
      <c r="O653">
        <v>686</v>
      </c>
      <c r="P653">
        <v>2.59</v>
      </c>
      <c r="Q653">
        <v>1.78</v>
      </c>
      <c r="R653" s="97" t="s">
        <v>1200</v>
      </c>
      <c r="S653" s="97" t="s">
        <v>195</v>
      </c>
    </row>
    <row r="654" spans="1:19" x14ac:dyDescent="0.3">
      <c r="A654" s="97" t="s">
        <v>792</v>
      </c>
      <c r="B654" s="97" t="s">
        <v>23</v>
      </c>
      <c r="C654">
        <v>2026</v>
      </c>
      <c r="D654">
        <v>1</v>
      </c>
      <c r="E654" s="2">
        <v>46046</v>
      </c>
      <c r="F654" s="97" t="s">
        <v>7</v>
      </c>
      <c r="G654" s="97" t="s">
        <v>8</v>
      </c>
      <c r="H654" s="97" t="s">
        <v>74</v>
      </c>
      <c r="I654" s="97" t="s">
        <v>79</v>
      </c>
      <c r="J654" s="97" t="s">
        <v>80</v>
      </c>
      <c r="K654" s="97" t="s">
        <v>73</v>
      </c>
      <c r="L654">
        <v>701000</v>
      </c>
      <c r="M654" s="97" t="s">
        <v>62</v>
      </c>
      <c r="N654" s="97" t="s">
        <v>33</v>
      </c>
      <c r="O654">
        <v>867</v>
      </c>
      <c r="P654">
        <v>2.6</v>
      </c>
      <c r="Q654">
        <v>2.25</v>
      </c>
      <c r="R654" s="97" t="s">
        <v>1202</v>
      </c>
      <c r="S654" s="97" t="s">
        <v>195</v>
      </c>
    </row>
    <row r="655" spans="1:19" x14ac:dyDescent="0.3">
      <c r="A655" s="97" t="s">
        <v>793</v>
      </c>
      <c r="B655" s="97" t="s">
        <v>23</v>
      </c>
      <c r="C655">
        <v>2026</v>
      </c>
      <c r="D655">
        <v>1</v>
      </c>
      <c r="E655" s="2">
        <v>46046</v>
      </c>
      <c r="F655" s="97" t="s">
        <v>7</v>
      </c>
      <c r="G655" s="97" t="s">
        <v>8</v>
      </c>
      <c r="H655" s="97" t="s">
        <v>74</v>
      </c>
      <c r="I655" s="97" t="s">
        <v>79</v>
      </c>
      <c r="J655" s="97" t="s">
        <v>80</v>
      </c>
      <c r="K655" s="97" t="s">
        <v>73</v>
      </c>
      <c r="L655">
        <v>701000</v>
      </c>
      <c r="M655" s="97" t="s">
        <v>62</v>
      </c>
      <c r="N655" s="97" t="s">
        <v>33</v>
      </c>
      <c r="O655">
        <v>3464</v>
      </c>
      <c r="P655">
        <v>2.6</v>
      </c>
      <c r="Q655">
        <v>9</v>
      </c>
      <c r="R655" s="97" t="s">
        <v>1199</v>
      </c>
      <c r="S655" s="97" t="s">
        <v>195</v>
      </c>
    </row>
    <row r="656" spans="1:19" x14ac:dyDescent="0.3">
      <c r="A656" s="97" t="s">
        <v>794</v>
      </c>
      <c r="B656" s="97" t="s">
        <v>23</v>
      </c>
      <c r="C656">
        <v>2026</v>
      </c>
      <c r="D656">
        <v>1</v>
      </c>
      <c r="E656" s="2">
        <v>46046</v>
      </c>
      <c r="F656" s="97" t="s">
        <v>7</v>
      </c>
      <c r="G656" s="97" t="s">
        <v>8</v>
      </c>
      <c r="H656" s="97" t="s">
        <v>74</v>
      </c>
      <c r="I656" s="97" t="s">
        <v>79</v>
      </c>
      <c r="J656" s="97" t="s">
        <v>80</v>
      </c>
      <c r="K656" s="97" t="s">
        <v>73</v>
      </c>
      <c r="L656">
        <v>701000</v>
      </c>
      <c r="M656" s="97" t="s">
        <v>62</v>
      </c>
      <c r="N656" s="97" t="s">
        <v>33</v>
      </c>
      <c r="O656">
        <v>965</v>
      </c>
      <c r="P656">
        <v>2.61</v>
      </c>
      <c r="Q656">
        <v>2.52</v>
      </c>
      <c r="R656" s="97" t="s">
        <v>1204</v>
      </c>
      <c r="S656" s="97" t="s">
        <v>195</v>
      </c>
    </row>
    <row r="657" spans="1:19" x14ac:dyDescent="0.3">
      <c r="A657" s="97" t="s">
        <v>960</v>
      </c>
      <c r="B657" s="97" t="s">
        <v>23</v>
      </c>
      <c r="C657">
        <v>2026</v>
      </c>
      <c r="D657">
        <v>1</v>
      </c>
      <c r="E657" s="2">
        <v>46046</v>
      </c>
      <c r="F657" s="97" t="s">
        <v>7</v>
      </c>
      <c r="G657" s="97" t="s">
        <v>8</v>
      </c>
      <c r="H657" s="97" t="s">
        <v>70</v>
      </c>
      <c r="I657" s="97" t="s">
        <v>82</v>
      </c>
      <c r="J657" s="97" t="s">
        <v>83</v>
      </c>
      <c r="K657" s="97" t="s">
        <v>73</v>
      </c>
      <c r="L657">
        <v>701000</v>
      </c>
      <c r="M657" s="97" t="s">
        <v>62</v>
      </c>
      <c r="N657" s="97" t="s">
        <v>33</v>
      </c>
      <c r="O657">
        <v>223</v>
      </c>
      <c r="P657">
        <v>18.48</v>
      </c>
      <c r="Q657">
        <v>4.12</v>
      </c>
      <c r="R657" s="97" t="s">
        <v>1203</v>
      </c>
      <c r="S657" s="97" t="s">
        <v>195</v>
      </c>
    </row>
    <row r="658" spans="1:19" x14ac:dyDescent="0.3">
      <c r="A658" s="97" t="s">
        <v>961</v>
      </c>
      <c r="B658" s="97" t="s">
        <v>23</v>
      </c>
      <c r="C658">
        <v>2026</v>
      </c>
      <c r="D658">
        <v>1</v>
      </c>
      <c r="E658" s="2">
        <v>46046</v>
      </c>
      <c r="F658" s="97" t="s">
        <v>7</v>
      </c>
      <c r="G658" s="97" t="s">
        <v>8</v>
      </c>
      <c r="H658" s="97" t="s">
        <v>70</v>
      </c>
      <c r="I658" s="97" t="s">
        <v>82</v>
      </c>
      <c r="J658" s="97" t="s">
        <v>83</v>
      </c>
      <c r="K658" s="97" t="s">
        <v>73</v>
      </c>
      <c r="L658">
        <v>701000</v>
      </c>
      <c r="M658" s="97" t="s">
        <v>62</v>
      </c>
      <c r="N658" s="97" t="s">
        <v>33</v>
      </c>
      <c r="O658">
        <v>292</v>
      </c>
      <c r="P658">
        <v>18.489999999999998</v>
      </c>
      <c r="Q658">
        <v>5.4</v>
      </c>
      <c r="R658" s="97" t="s">
        <v>1205</v>
      </c>
      <c r="S658" s="97" t="s">
        <v>195</v>
      </c>
    </row>
    <row r="659" spans="1:19" x14ac:dyDescent="0.3">
      <c r="A659" s="97" t="s">
        <v>962</v>
      </c>
      <c r="B659" s="97" t="s">
        <v>23</v>
      </c>
      <c r="C659">
        <v>2026</v>
      </c>
      <c r="D659">
        <v>1</v>
      </c>
      <c r="E659" s="2">
        <v>46046</v>
      </c>
      <c r="F659" s="97" t="s">
        <v>7</v>
      </c>
      <c r="G659" s="97" t="s">
        <v>8</v>
      </c>
      <c r="H659" s="97" t="s">
        <v>70</v>
      </c>
      <c r="I659" s="97" t="s">
        <v>82</v>
      </c>
      <c r="J659" s="97" t="s">
        <v>83</v>
      </c>
      <c r="K659" s="97" t="s">
        <v>73</v>
      </c>
      <c r="L659">
        <v>701000</v>
      </c>
      <c r="M659" s="97" t="s">
        <v>62</v>
      </c>
      <c r="N659" s="97" t="s">
        <v>33</v>
      </c>
      <c r="O659">
        <v>111</v>
      </c>
      <c r="P659">
        <v>18.559999999999999</v>
      </c>
      <c r="Q659">
        <v>2.06</v>
      </c>
      <c r="R659" s="97" t="s">
        <v>1200</v>
      </c>
      <c r="S659" s="97" t="s">
        <v>195</v>
      </c>
    </row>
    <row r="660" spans="1:19" x14ac:dyDescent="0.3">
      <c r="A660" s="97" t="s">
        <v>963</v>
      </c>
      <c r="B660" s="97" t="s">
        <v>23</v>
      </c>
      <c r="C660">
        <v>2026</v>
      </c>
      <c r="D660">
        <v>1</v>
      </c>
      <c r="E660" s="2">
        <v>46046</v>
      </c>
      <c r="F660" s="97" t="s">
        <v>7</v>
      </c>
      <c r="G660" s="97" t="s">
        <v>8</v>
      </c>
      <c r="H660" s="97" t="s">
        <v>70</v>
      </c>
      <c r="I660" s="97" t="s">
        <v>82</v>
      </c>
      <c r="J660" s="97" t="s">
        <v>83</v>
      </c>
      <c r="K660" s="97" t="s">
        <v>73</v>
      </c>
      <c r="L660">
        <v>701000</v>
      </c>
      <c r="M660" s="97" t="s">
        <v>62</v>
      </c>
      <c r="N660" s="97" t="s">
        <v>33</v>
      </c>
      <c r="O660">
        <v>60</v>
      </c>
      <c r="P660">
        <v>18.670000000000002</v>
      </c>
      <c r="Q660">
        <v>1.1200000000000001</v>
      </c>
      <c r="R660" s="97" t="s">
        <v>1199</v>
      </c>
      <c r="S660" s="97" t="s">
        <v>195</v>
      </c>
    </row>
    <row r="661" spans="1:19" x14ac:dyDescent="0.3">
      <c r="A661" s="97" t="s">
        <v>964</v>
      </c>
      <c r="B661" s="97" t="s">
        <v>23</v>
      </c>
      <c r="C661">
        <v>2026</v>
      </c>
      <c r="D661">
        <v>1</v>
      </c>
      <c r="E661" s="2">
        <v>46046</v>
      </c>
      <c r="F661" s="97" t="s">
        <v>7</v>
      </c>
      <c r="G661" s="97" t="s">
        <v>8</v>
      </c>
      <c r="H661" s="97" t="s">
        <v>70</v>
      </c>
      <c r="I661" s="97" t="s">
        <v>82</v>
      </c>
      <c r="J661" s="97" t="s">
        <v>83</v>
      </c>
      <c r="K661" s="97" t="s">
        <v>73</v>
      </c>
      <c r="L661">
        <v>701000</v>
      </c>
      <c r="M661" s="97" t="s">
        <v>62</v>
      </c>
      <c r="N661" s="97" t="s">
        <v>33</v>
      </c>
      <c r="O661">
        <v>90</v>
      </c>
      <c r="P661">
        <v>18.329999999999998</v>
      </c>
      <c r="Q661">
        <v>1.65</v>
      </c>
      <c r="R661" s="97" t="s">
        <v>1197</v>
      </c>
      <c r="S661" s="97" t="s">
        <v>195</v>
      </c>
    </row>
    <row r="662" spans="1:19" x14ac:dyDescent="0.3">
      <c r="A662" s="97" t="s">
        <v>230</v>
      </c>
      <c r="B662" s="97" t="s">
        <v>23</v>
      </c>
      <c r="C662">
        <v>2026</v>
      </c>
      <c r="D662">
        <v>1</v>
      </c>
      <c r="E662" s="2">
        <v>46047</v>
      </c>
      <c r="F662" s="97" t="s">
        <v>7</v>
      </c>
      <c r="G662" s="97" t="s">
        <v>8</v>
      </c>
      <c r="H662" s="97" t="s">
        <v>70</v>
      </c>
      <c r="I662" s="97" t="s">
        <v>84</v>
      </c>
      <c r="J662" s="97" t="s">
        <v>85</v>
      </c>
      <c r="K662" s="97" t="s">
        <v>73</v>
      </c>
      <c r="L662">
        <v>701000</v>
      </c>
      <c r="M662" s="97" t="s">
        <v>62</v>
      </c>
      <c r="N662" s="97" t="s">
        <v>33</v>
      </c>
      <c r="O662">
        <v>2133</v>
      </c>
      <c r="P662">
        <v>0.95</v>
      </c>
      <c r="Q662">
        <v>2.0299999999999998</v>
      </c>
      <c r="R662" s="97" t="s">
        <v>1198</v>
      </c>
      <c r="S662" s="97" t="s">
        <v>195</v>
      </c>
    </row>
    <row r="663" spans="1:19" x14ac:dyDescent="0.3">
      <c r="A663" s="97" t="s">
        <v>231</v>
      </c>
      <c r="B663" s="97" t="s">
        <v>23</v>
      </c>
      <c r="C663">
        <v>2026</v>
      </c>
      <c r="D663">
        <v>1</v>
      </c>
      <c r="E663" s="2">
        <v>46047</v>
      </c>
      <c r="F663" s="97" t="s">
        <v>7</v>
      </c>
      <c r="G663" s="97" t="s">
        <v>8</v>
      </c>
      <c r="H663" s="97" t="s">
        <v>70</v>
      </c>
      <c r="I663" s="97" t="s">
        <v>84</v>
      </c>
      <c r="J663" s="97" t="s">
        <v>85</v>
      </c>
      <c r="K663" s="97" t="s">
        <v>73</v>
      </c>
      <c r="L663">
        <v>701000</v>
      </c>
      <c r="M663" s="97" t="s">
        <v>62</v>
      </c>
      <c r="N663" s="97" t="s">
        <v>33</v>
      </c>
      <c r="O663">
        <v>2630</v>
      </c>
      <c r="P663">
        <v>0.95</v>
      </c>
      <c r="Q663">
        <v>2.5</v>
      </c>
      <c r="R663" s="97" t="s">
        <v>1204</v>
      </c>
      <c r="S663" s="97" t="s">
        <v>195</v>
      </c>
    </row>
    <row r="664" spans="1:19" x14ac:dyDescent="0.3">
      <c r="A664" s="97" t="s">
        <v>232</v>
      </c>
      <c r="B664" s="97" t="s">
        <v>23</v>
      </c>
      <c r="C664">
        <v>2026</v>
      </c>
      <c r="D664">
        <v>1</v>
      </c>
      <c r="E664" s="2">
        <v>46047</v>
      </c>
      <c r="F664" s="97" t="s">
        <v>7</v>
      </c>
      <c r="G664" s="97" t="s">
        <v>8</v>
      </c>
      <c r="H664" s="97" t="s">
        <v>70</v>
      </c>
      <c r="I664" s="97" t="s">
        <v>84</v>
      </c>
      <c r="J664" s="97" t="s">
        <v>85</v>
      </c>
      <c r="K664" s="97" t="s">
        <v>73</v>
      </c>
      <c r="L664">
        <v>701000</v>
      </c>
      <c r="M664" s="97" t="s">
        <v>62</v>
      </c>
      <c r="N664" s="97" t="s">
        <v>33</v>
      </c>
      <c r="O664">
        <v>2472</v>
      </c>
      <c r="P664">
        <v>0.95</v>
      </c>
      <c r="Q664">
        <v>2.35</v>
      </c>
      <c r="R664" s="97" t="s">
        <v>1202</v>
      </c>
      <c r="S664" s="97" t="s">
        <v>195</v>
      </c>
    </row>
    <row r="665" spans="1:19" x14ac:dyDescent="0.3">
      <c r="A665" s="97" t="s">
        <v>233</v>
      </c>
      <c r="B665" s="97" t="s">
        <v>23</v>
      </c>
      <c r="C665">
        <v>2026</v>
      </c>
      <c r="D665">
        <v>1</v>
      </c>
      <c r="E665" s="2">
        <v>46047</v>
      </c>
      <c r="F665" s="97" t="s">
        <v>7</v>
      </c>
      <c r="G665" s="97" t="s">
        <v>8</v>
      </c>
      <c r="H665" s="97" t="s">
        <v>70</v>
      </c>
      <c r="I665" s="97" t="s">
        <v>84</v>
      </c>
      <c r="J665" s="97" t="s">
        <v>85</v>
      </c>
      <c r="K665" s="97" t="s">
        <v>73</v>
      </c>
      <c r="L665">
        <v>701000</v>
      </c>
      <c r="M665" s="97" t="s">
        <v>62</v>
      </c>
      <c r="N665" s="97" t="s">
        <v>33</v>
      </c>
      <c r="O665">
        <v>4494</v>
      </c>
      <c r="P665">
        <v>0.95</v>
      </c>
      <c r="Q665">
        <v>4.2699999999999996</v>
      </c>
      <c r="R665" s="97" t="s">
        <v>1199</v>
      </c>
      <c r="S665" s="97" t="s">
        <v>195</v>
      </c>
    </row>
    <row r="666" spans="1:19" x14ac:dyDescent="0.3">
      <c r="A666" s="97" t="s">
        <v>234</v>
      </c>
      <c r="B666" s="97" t="s">
        <v>23</v>
      </c>
      <c r="C666">
        <v>2026</v>
      </c>
      <c r="D666">
        <v>1</v>
      </c>
      <c r="E666" s="2">
        <v>46047</v>
      </c>
      <c r="F666" s="97" t="s">
        <v>7</v>
      </c>
      <c r="G666" s="97" t="s">
        <v>8</v>
      </c>
      <c r="H666" s="97" t="s">
        <v>70</v>
      </c>
      <c r="I666" s="97" t="s">
        <v>84</v>
      </c>
      <c r="J666" s="97" t="s">
        <v>85</v>
      </c>
      <c r="K666" s="97" t="s">
        <v>73</v>
      </c>
      <c r="L666">
        <v>701000</v>
      </c>
      <c r="M666" s="97" t="s">
        <v>62</v>
      </c>
      <c r="N666" s="97" t="s">
        <v>33</v>
      </c>
      <c r="O666">
        <v>645</v>
      </c>
      <c r="P666">
        <v>0.95</v>
      </c>
      <c r="Q666">
        <v>0.61</v>
      </c>
      <c r="R666" s="97" t="s">
        <v>1197</v>
      </c>
      <c r="S666" s="97" t="s">
        <v>195</v>
      </c>
    </row>
    <row r="667" spans="1:19" x14ac:dyDescent="0.3">
      <c r="A667" s="97" t="s">
        <v>290</v>
      </c>
      <c r="B667" s="97" t="s">
        <v>23</v>
      </c>
      <c r="C667">
        <v>2026</v>
      </c>
      <c r="D667">
        <v>1</v>
      </c>
      <c r="E667" s="2">
        <v>46047</v>
      </c>
      <c r="F667" s="97" t="s">
        <v>7</v>
      </c>
      <c r="G667" s="97" t="s">
        <v>8</v>
      </c>
      <c r="H667" s="97" t="s">
        <v>74</v>
      </c>
      <c r="I667" s="97" t="s">
        <v>84</v>
      </c>
      <c r="J667" s="97" t="s">
        <v>85</v>
      </c>
      <c r="K667" s="97" t="s">
        <v>73</v>
      </c>
      <c r="L667">
        <v>701000</v>
      </c>
      <c r="M667" s="97" t="s">
        <v>62</v>
      </c>
      <c r="N667" s="97" t="s">
        <v>33</v>
      </c>
      <c r="O667">
        <v>1623</v>
      </c>
      <c r="P667">
        <v>0.95</v>
      </c>
      <c r="Q667">
        <v>1.54</v>
      </c>
      <c r="R667" s="97" t="s">
        <v>1198</v>
      </c>
      <c r="S667" s="97" t="s">
        <v>195</v>
      </c>
    </row>
    <row r="668" spans="1:19" x14ac:dyDescent="0.3">
      <c r="A668" s="97" t="s">
        <v>291</v>
      </c>
      <c r="B668" s="97" t="s">
        <v>23</v>
      </c>
      <c r="C668">
        <v>2026</v>
      </c>
      <c r="D668">
        <v>1</v>
      </c>
      <c r="E668" s="2">
        <v>46047</v>
      </c>
      <c r="F668" s="97" t="s">
        <v>7</v>
      </c>
      <c r="G668" s="97" t="s">
        <v>8</v>
      </c>
      <c r="H668" s="97" t="s">
        <v>74</v>
      </c>
      <c r="I668" s="97" t="s">
        <v>84</v>
      </c>
      <c r="J668" s="97" t="s">
        <v>85</v>
      </c>
      <c r="K668" s="97" t="s">
        <v>73</v>
      </c>
      <c r="L668">
        <v>701000</v>
      </c>
      <c r="M668" s="97" t="s">
        <v>62</v>
      </c>
      <c r="N668" s="97" t="s">
        <v>33</v>
      </c>
      <c r="O668">
        <v>5530</v>
      </c>
      <c r="P668">
        <v>0.95</v>
      </c>
      <c r="Q668">
        <v>5.25</v>
      </c>
      <c r="R668" s="97" t="s">
        <v>1199</v>
      </c>
      <c r="S668" s="97" t="s">
        <v>195</v>
      </c>
    </row>
    <row r="669" spans="1:19" x14ac:dyDescent="0.3">
      <c r="A669" s="97" t="s">
        <v>292</v>
      </c>
      <c r="B669" s="97" t="s">
        <v>23</v>
      </c>
      <c r="C669">
        <v>2026</v>
      </c>
      <c r="D669">
        <v>1</v>
      </c>
      <c r="E669" s="2">
        <v>46047</v>
      </c>
      <c r="F669" s="97" t="s">
        <v>7</v>
      </c>
      <c r="G669" s="97" t="s">
        <v>8</v>
      </c>
      <c r="H669" s="97" t="s">
        <v>74</v>
      </c>
      <c r="I669" s="97" t="s">
        <v>84</v>
      </c>
      <c r="J669" s="97" t="s">
        <v>85</v>
      </c>
      <c r="K669" s="97" t="s">
        <v>73</v>
      </c>
      <c r="L669">
        <v>701000</v>
      </c>
      <c r="M669" s="97" t="s">
        <v>62</v>
      </c>
      <c r="N669" s="97" t="s">
        <v>33</v>
      </c>
      <c r="O669">
        <v>3598</v>
      </c>
      <c r="P669">
        <v>0.95</v>
      </c>
      <c r="Q669">
        <v>3.42</v>
      </c>
      <c r="R669" s="97" t="s">
        <v>1197</v>
      </c>
      <c r="S669" s="97" t="s">
        <v>195</v>
      </c>
    </row>
    <row r="670" spans="1:19" x14ac:dyDescent="0.3">
      <c r="A670" s="97" t="s">
        <v>293</v>
      </c>
      <c r="B670" s="97" t="s">
        <v>23</v>
      </c>
      <c r="C670">
        <v>2026</v>
      </c>
      <c r="D670">
        <v>1</v>
      </c>
      <c r="E670" s="2">
        <v>46047</v>
      </c>
      <c r="F670" s="97" t="s">
        <v>7</v>
      </c>
      <c r="G670" s="97" t="s">
        <v>8</v>
      </c>
      <c r="H670" s="97" t="s">
        <v>74</v>
      </c>
      <c r="I670" s="97" t="s">
        <v>84</v>
      </c>
      <c r="J670" s="97" t="s">
        <v>85</v>
      </c>
      <c r="K670" s="97" t="s">
        <v>73</v>
      </c>
      <c r="L670">
        <v>701000</v>
      </c>
      <c r="M670" s="97" t="s">
        <v>62</v>
      </c>
      <c r="N670" s="97" t="s">
        <v>33</v>
      </c>
      <c r="O670">
        <v>3342</v>
      </c>
      <c r="P670">
        <v>0.95</v>
      </c>
      <c r="Q670">
        <v>3.17</v>
      </c>
      <c r="R670" s="97" t="s">
        <v>1201</v>
      </c>
      <c r="S670" s="97" t="s">
        <v>195</v>
      </c>
    </row>
    <row r="671" spans="1:19" x14ac:dyDescent="0.3">
      <c r="A671" s="97" t="s">
        <v>294</v>
      </c>
      <c r="B671" s="97" t="s">
        <v>23</v>
      </c>
      <c r="C671">
        <v>2026</v>
      </c>
      <c r="D671">
        <v>1</v>
      </c>
      <c r="E671" s="2">
        <v>46047</v>
      </c>
      <c r="F671" s="97" t="s">
        <v>7</v>
      </c>
      <c r="G671" s="97" t="s">
        <v>8</v>
      </c>
      <c r="H671" s="97" t="s">
        <v>74</v>
      </c>
      <c r="I671" s="97" t="s">
        <v>84</v>
      </c>
      <c r="J671" s="97" t="s">
        <v>85</v>
      </c>
      <c r="K671" s="97" t="s">
        <v>73</v>
      </c>
      <c r="L671">
        <v>701000</v>
      </c>
      <c r="M671" s="97" t="s">
        <v>62</v>
      </c>
      <c r="N671" s="97" t="s">
        <v>33</v>
      </c>
      <c r="O671">
        <v>1396</v>
      </c>
      <c r="P671">
        <v>0.95</v>
      </c>
      <c r="Q671">
        <v>1.33</v>
      </c>
      <c r="R671" s="97" t="s">
        <v>1200</v>
      </c>
      <c r="S671" s="97" t="s">
        <v>195</v>
      </c>
    </row>
    <row r="672" spans="1:19" x14ac:dyDescent="0.3">
      <c r="A672" s="97" t="s">
        <v>365</v>
      </c>
      <c r="B672" s="97" t="s">
        <v>23</v>
      </c>
      <c r="C672">
        <v>2026</v>
      </c>
      <c r="D672">
        <v>1</v>
      </c>
      <c r="E672" s="2">
        <v>46047</v>
      </c>
      <c r="F672" s="97" t="s">
        <v>7</v>
      </c>
      <c r="G672" s="97" t="s">
        <v>8</v>
      </c>
      <c r="H672" s="97" t="s">
        <v>74</v>
      </c>
      <c r="I672" s="97" t="s">
        <v>71</v>
      </c>
      <c r="J672" s="97" t="s">
        <v>72</v>
      </c>
      <c r="K672" s="97" t="s">
        <v>73</v>
      </c>
      <c r="L672">
        <v>701000</v>
      </c>
      <c r="M672" s="97" t="s">
        <v>62</v>
      </c>
      <c r="N672" s="97" t="s">
        <v>33</v>
      </c>
      <c r="O672">
        <v>2139</v>
      </c>
      <c r="P672">
        <v>1.05</v>
      </c>
      <c r="Q672">
        <v>2.2400000000000002</v>
      </c>
      <c r="R672" s="97" t="s">
        <v>1205</v>
      </c>
      <c r="S672" s="97" t="s">
        <v>195</v>
      </c>
    </row>
    <row r="673" spans="1:19" x14ac:dyDescent="0.3">
      <c r="A673" s="97" t="s">
        <v>366</v>
      </c>
      <c r="B673" s="97" t="s">
        <v>23</v>
      </c>
      <c r="C673">
        <v>2026</v>
      </c>
      <c r="D673">
        <v>1</v>
      </c>
      <c r="E673" s="2">
        <v>46047</v>
      </c>
      <c r="F673" s="97" t="s">
        <v>7</v>
      </c>
      <c r="G673" s="97" t="s">
        <v>8</v>
      </c>
      <c r="H673" s="97" t="s">
        <v>74</v>
      </c>
      <c r="I673" s="97" t="s">
        <v>71</v>
      </c>
      <c r="J673" s="97" t="s">
        <v>72</v>
      </c>
      <c r="K673" s="97" t="s">
        <v>73</v>
      </c>
      <c r="L673">
        <v>701000</v>
      </c>
      <c r="M673" s="97" t="s">
        <v>62</v>
      </c>
      <c r="N673" s="97" t="s">
        <v>33</v>
      </c>
      <c r="O673">
        <v>2829</v>
      </c>
      <c r="P673">
        <v>1.05</v>
      </c>
      <c r="Q673">
        <v>2.97</v>
      </c>
      <c r="R673" s="97" t="s">
        <v>1201</v>
      </c>
      <c r="S673" s="97" t="s">
        <v>195</v>
      </c>
    </row>
    <row r="674" spans="1:19" x14ac:dyDescent="0.3">
      <c r="A674" s="97" t="s">
        <v>367</v>
      </c>
      <c r="B674" s="97" t="s">
        <v>23</v>
      </c>
      <c r="C674">
        <v>2026</v>
      </c>
      <c r="D674">
        <v>1</v>
      </c>
      <c r="E674" s="2">
        <v>46047</v>
      </c>
      <c r="F674" s="97" t="s">
        <v>7</v>
      </c>
      <c r="G674" s="97" t="s">
        <v>8</v>
      </c>
      <c r="H674" s="97" t="s">
        <v>74</v>
      </c>
      <c r="I674" s="97" t="s">
        <v>71</v>
      </c>
      <c r="J674" s="97" t="s">
        <v>72</v>
      </c>
      <c r="K674" s="97" t="s">
        <v>73</v>
      </c>
      <c r="L674">
        <v>701000</v>
      </c>
      <c r="M674" s="97" t="s">
        <v>62</v>
      </c>
      <c r="N674" s="97" t="s">
        <v>33</v>
      </c>
      <c r="O674">
        <v>606</v>
      </c>
      <c r="P674">
        <v>1.06</v>
      </c>
      <c r="Q674">
        <v>0.64</v>
      </c>
      <c r="R674" s="97" t="s">
        <v>1197</v>
      </c>
      <c r="S674" s="97" t="s">
        <v>195</v>
      </c>
    </row>
    <row r="675" spans="1:19" x14ac:dyDescent="0.3">
      <c r="A675" s="97" t="s">
        <v>368</v>
      </c>
      <c r="B675" s="97" t="s">
        <v>23</v>
      </c>
      <c r="C675">
        <v>2026</v>
      </c>
      <c r="D675">
        <v>1</v>
      </c>
      <c r="E675" s="2">
        <v>46047</v>
      </c>
      <c r="F675" s="97" t="s">
        <v>7</v>
      </c>
      <c r="G675" s="97" t="s">
        <v>8</v>
      </c>
      <c r="H675" s="97" t="s">
        <v>74</v>
      </c>
      <c r="I675" s="97" t="s">
        <v>71</v>
      </c>
      <c r="J675" s="97" t="s">
        <v>72</v>
      </c>
      <c r="K675" s="97" t="s">
        <v>73</v>
      </c>
      <c r="L675">
        <v>701000</v>
      </c>
      <c r="M675" s="97" t="s">
        <v>62</v>
      </c>
      <c r="N675" s="97" t="s">
        <v>33</v>
      </c>
      <c r="O675">
        <v>1059</v>
      </c>
      <c r="P675">
        <v>1.05</v>
      </c>
      <c r="Q675">
        <v>1.1100000000000001</v>
      </c>
      <c r="R675" s="97" t="s">
        <v>1199</v>
      </c>
      <c r="S675" s="97" t="s">
        <v>195</v>
      </c>
    </row>
    <row r="676" spans="1:19" x14ac:dyDescent="0.3">
      <c r="A676" s="97" t="s">
        <v>369</v>
      </c>
      <c r="B676" s="97" t="s">
        <v>23</v>
      </c>
      <c r="C676">
        <v>2026</v>
      </c>
      <c r="D676">
        <v>1</v>
      </c>
      <c r="E676" s="2">
        <v>46047</v>
      </c>
      <c r="F676" s="97" t="s">
        <v>7</v>
      </c>
      <c r="G676" s="97" t="s">
        <v>8</v>
      </c>
      <c r="H676" s="97" t="s">
        <v>74</v>
      </c>
      <c r="I676" s="97" t="s">
        <v>71</v>
      </c>
      <c r="J676" s="97" t="s">
        <v>72</v>
      </c>
      <c r="K676" s="97" t="s">
        <v>73</v>
      </c>
      <c r="L676">
        <v>701000</v>
      </c>
      <c r="M676" s="97" t="s">
        <v>62</v>
      </c>
      <c r="N676" s="97" t="s">
        <v>33</v>
      </c>
      <c r="O676">
        <v>2446</v>
      </c>
      <c r="P676">
        <v>1.05</v>
      </c>
      <c r="Q676">
        <v>2.57</v>
      </c>
      <c r="R676" s="97" t="s">
        <v>1203</v>
      </c>
      <c r="S676" s="97" t="s">
        <v>195</v>
      </c>
    </row>
    <row r="677" spans="1:19" x14ac:dyDescent="0.3">
      <c r="A677" s="97" t="s">
        <v>440</v>
      </c>
      <c r="B677" s="97" t="s">
        <v>23</v>
      </c>
      <c r="C677">
        <v>2026</v>
      </c>
      <c r="D677">
        <v>1</v>
      </c>
      <c r="E677" s="2">
        <v>46047</v>
      </c>
      <c r="F677" s="97" t="s">
        <v>7</v>
      </c>
      <c r="G677" s="97" t="s">
        <v>8</v>
      </c>
      <c r="H677" s="97" t="s">
        <v>70</v>
      </c>
      <c r="I677" s="97" t="s">
        <v>71</v>
      </c>
      <c r="J677" s="97" t="s">
        <v>72</v>
      </c>
      <c r="K677" s="97" t="s">
        <v>73</v>
      </c>
      <c r="L677">
        <v>701000</v>
      </c>
      <c r="M677" s="97" t="s">
        <v>62</v>
      </c>
      <c r="N677" s="97" t="s">
        <v>33</v>
      </c>
      <c r="O677">
        <v>2214</v>
      </c>
      <c r="P677">
        <v>1.05</v>
      </c>
      <c r="Q677">
        <v>2.3199999999999998</v>
      </c>
      <c r="R677" s="97" t="s">
        <v>1201</v>
      </c>
      <c r="S677" s="97" t="s">
        <v>195</v>
      </c>
    </row>
    <row r="678" spans="1:19" x14ac:dyDescent="0.3">
      <c r="A678" s="97" t="s">
        <v>441</v>
      </c>
      <c r="B678" s="97" t="s">
        <v>23</v>
      </c>
      <c r="C678">
        <v>2026</v>
      </c>
      <c r="D678">
        <v>1</v>
      </c>
      <c r="E678" s="2">
        <v>46047</v>
      </c>
      <c r="F678" s="97" t="s">
        <v>7</v>
      </c>
      <c r="G678" s="97" t="s">
        <v>8</v>
      </c>
      <c r="H678" s="97" t="s">
        <v>70</v>
      </c>
      <c r="I678" s="97" t="s">
        <v>71</v>
      </c>
      <c r="J678" s="97" t="s">
        <v>72</v>
      </c>
      <c r="K678" s="97" t="s">
        <v>73</v>
      </c>
      <c r="L678">
        <v>701000</v>
      </c>
      <c r="M678" s="97" t="s">
        <v>62</v>
      </c>
      <c r="N678" s="97" t="s">
        <v>33</v>
      </c>
      <c r="O678">
        <v>2001</v>
      </c>
      <c r="P678">
        <v>1.05</v>
      </c>
      <c r="Q678">
        <v>2.1</v>
      </c>
      <c r="R678" s="97" t="s">
        <v>1204</v>
      </c>
      <c r="S678" s="97" t="s">
        <v>195</v>
      </c>
    </row>
    <row r="679" spans="1:19" x14ac:dyDescent="0.3">
      <c r="A679" s="97" t="s">
        <v>442</v>
      </c>
      <c r="B679" s="97" t="s">
        <v>23</v>
      </c>
      <c r="C679">
        <v>2026</v>
      </c>
      <c r="D679">
        <v>1</v>
      </c>
      <c r="E679" s="2">
        <v>46047</v>
      </c>
      <c r="F679" s="97" t="s">
        <v>7</v>
      </c>
      <c r="G679" s="97" t="s">
        <v>8</v>
      </c>
      <c r="H679" s="97" t="s">
        <v>70</v>
      </c>
      <c r="I679" s="97" t="s">
        <v>71</v>
      </c>
      <c r="J679" s="97" t="s">
        <v>72</v>
      </c>
      <c r="K679" s="97" t="s">
        <v>73</v>
      </c>
      <c r="L679">
        <v>701000</v>
      </c>
      <c r="M679" s="97" t="s">
        <v>62</v>
      </c>
      <c r="N679" s="97" t="s">
        <v>33</v>
      </c>
      <c r="O679">
        <v>470</v>
      </c>
      <c r="P679">
        <v>1.04</v>
      </c>
      <c r="Q679">
        <v>0.49</v>
      </c>
      <c r="R679" s="97" t="s">
        <v>1198</v>
      </c>
      <c r="S679" s="97" t="s">
        <v>195</v>
      </c>
    </row>
    <row r="680" spans="1:19" x14ac:dyDescent="0.3">
      <c r="A680" s="97" t="s">
        <v>443</v>
      </c>
      <c r="B680" s="97" t="s">
        <v>23</v>
      </c>
      <c r="C680">
        <v>2026</v>
      </c>
      <c r="D680">
        <v>1</v>
      </c>
      <c r="E680" s="2">
        <v>46047</v>
      </c>
      <c r="F680" s="97" t="s">
        <v>7</v>
      </c>
      <c r="G680" s="97" t="s">
        <v>8</v>
      </c>
      <c r="H680" s="97" t="s">
        <v>70</v>
      </c>
      <c r="I680" s="97" t="s">
        <v>71</v>
      </c>
      <c r="J680" s="97" t="s">
        <v>72</v>
      </c>
      <c r="K680" s="97" t="s">
        <v>73</v>
      </c>
      <c r="L680">
        <v>701000</v>
      </c>
      <c r="M680" s="97" t="s">
        <v>62</v>
      </c>
      <c r="N680" s="97" t="s">
        <v>33</v>
      </c>
      <c r="O680">
        <v>1536</v>
      </c>
      <c r="P680">
        <v>1.05</v>
      </c>
      <c r="Q680">
        <v>1.61</v>
      </c>
      <c r="R680" s="97" t="s">
        <v>1197</v>
      </c>
      <c r="S680" s="97" t="s">
        <v>195</v>
      </c>
    </row>
    <row r="681" spans="1:19" x14ac:dyDescent="0.3">
      <c r="A681" s="97" t="s">
        <v>444</v>
      </c>
      <c r="B681" s="97" t="s">
        <v>23</v>
      </c>
      <c r="C681">
        <v>2026</v>
      </c>
      <c r="D681">
        <v>1</v>
      </c>
      <c r="E681" s="2">
        <v>46047</v>
      </c>
      <c r="F681" s="97" t="s">
        <v>7</v>
      </c>
      <c r="G681" s="97" t="s">
        <v>8</v>
      </c>
      <c r="H681" s="97" t="s">
        <v>70</v>
      </c>
      <c r="I681" s="97" t="s">
        <v>71</v>
      </c>
      <c r="J681" s="97" t="s">
        <v>72</v>
      </c>
      <c r="K681" s="97" t="s">
        <v>73</v>
      </c>
      <c r="L681">
        <v>701000</v>
      </c>
      <c r="M681" s="97" t="s">
        <v>62</v>
      </c>
      <c r="N681" s="97" t="s">
        <v>33</v>
      </c>
      <c r="O681">
        <v>1830</v>
      </c>
      <c r="P681">
        <v>1.05</v>
      </c>
      <c r="Q681">
        <v>1.93</v>
      </c>
      <c r="R681" s="97" t="s">
        <v>1203</v>
      </c>
      <c r="S681" s="97" t="s">
        <v>195</v>
      </c>
    </row>
    <row r="682" spans="1:19" x14ac:dyDescent="0.3">
      <c r="A682" s="97" t="s">
        <v>580</v>
      </c>
      <c r="B682" s="97" t="s">
        <v>23</v>
      </c>
      <c r="C682">
        <v>2026</v>
      </c>
      <c r="D682">
        <v>1</v>
      </c>
      <c r="E682" s="2">
        <v>46047</v>
      </c>
      <c r="F682" s="97" t="s">
        <v>7</v>
      </c>
      <c r="G682" s="97" t="s">
        <v>8</v>
      </c>
      <c r="H682" s="97" t="s">
        <v>74</v>
      </c>
      <c r="I682" s="97" t="s">
        <v>75</v>
      </c>
      <c r="J682" s="97" t="s">
        <v>76</v>
      </c>
      <c r="K682" s="97" t="s">
        <v>73</v>
      </c>
      <c r="L682">
        <v>701000</v>
      </c>
      <c r="M682" s="97" t="s">
        <v>62</v>
      </c>
      <c r="N682" s="97" t="s">
        <v>33</v>
      </c>
      <c r="O682">
        <v>476</v>
      </c>
      <c r="P682">
        <v>1.41</v>
      </c>
      <c r="Q682">
        <v>0.67</v>
      </c>
      <c r="R682" s="97" t="s">
        <v>1197</v>
      </c>
      <c r="S682" s="97" t="s">
        <v>195</v>
      </c>
    </row>
    <row r="683" spans="1:19" x14ac:dyDescent="0.3">
      <c r="A683" s="97" t="s">
        <v>581</v>
      </c>
      <c r="B683" s="97" t="s">
        <v>23</v>
      </c>
      <c r="C683">
        <v>2026</v>
      </c>
      <c r="D683">
        <v>1</v>
      </c>
      <c r="E683" s="2">
        <v>46047</v>
      </c>
      <c r="F683" s="97" t="s">
        <v>7</v>
      </c>
      <c r="G683" s="97" t="s">
        <v>8</v>
      </c>
      <c r="H683" s="97" t="s">
        <v>74</v>
      </c>
      <c r="I683" s="97" t="s">
        <v>75</v>
      </c>
      <c r="J683" s="97" t="s">
        <v>76</v>
      </c>
      <c r="K683" s="97" t="s">
        <v>73</v>
      </c>
      <c r="L683">
        <v>701000</v>
      </c>
      <c r="M683" s="97" t="s">
        <v>62</v>
      </c>
      <c r="N683" s="97" t="s">
        <v>33</v>
      </c>
      <c r="O683">
        <v>2121</v>
      </c>
      <c r="P683">
        <v>1.4</v>
      </c>
      <c r="Q683">
        <v>2.97</v>
      </c>
      <c r="R683" s="97" t="s">
        <v>1202</v>
      </c>
      <c r="S683" s="97" t="s">
        <v>195</v>
      </c>
    </row>
    <row r="684" spans="1:19" x14ac:dyDescent="0.3">
      <c r="A684" s="97" t="s">
        <v>582</v>
      </c>
      <c r="B684" s="97" t="s">
        <v>23</v>
      </c>
      <c r="C684">
        <v>2026</v>
      </c>
      <c r="D684">
        <v>1</v>
      </c>
      <c r="E684" s="2">
        <v>46047</v>
      </c>
      <c r="F684" s="97" t="s">
        <v>7</v>
      </c>
      <c r="G684" s="97" t="s">
        <v>8</v>
      </c>
      <c r="H684" s="97" t="s">
        <v>74</v>
      </c>
      <c r="I684" s="97" t="s">
        <v>75</v>
      </c>
      <c r="J684" s="97" t="s">
        <v>76</v>
      </c>
      <c r="K684" s="97" t="s">
        <v>73</v>
      </c>
      <c r="L684">
        <v>701000</v>
      </c>
      <c r="M684" s="97" t="s">
        <v>62</v>
      </c>
      <c r="N684" s="97" t="s">
        <v>33</v>
      </c>
      <c r="O684">
        <v>1541</v>
      </c>
      <c r="P684">
        <v>1.4</v>
      </c>
      <c r="Q684">
        <v>2.16</v>
      </c>
      <c r="R684" s="97" t="s">
        <v>1201</v>
      </c>
      <c r="S684" s="97" t="s">
        <v>195</v>
      </c>
    </row>
    <row r="685" spans="1:19" x14ac:dyDescent="0.3">
      <c r="A685" s="97" t="s">
        <v>583</v>
      </c>
      <c r="B685" s="97" t="s">
        <v>23</v>
      </c>
      <c r="C685">
        <v>2026</v>
      </c>
      <c r="D685">
        <v>1</v>
      </c>
      <c r="E685" s="2">
        <v>46047</v>
      </c>
      <c r="F685" s="97" t="s">
        <v>7</v>
      </c>
      <c r="G685" s="97" t="s">
        <v>8</v>
      </c>
      <c r="H685" s="97" t="s">
        <v>74</v>
      </c>
      <c r="I685" s="97" t="s">
        <v>75</v>
      </c>
      <c r="J685" s="97" t="s">
        <v>76</v>
      </c>
      <c r="K685" s="97" t="s">
        <v>73</v>
      </c>
      <c r="L685">
        <v>701000</v>
      </c>
      <c r="M685" s="97" t="s">
        <v>62</v>
      </c>
      <c r="N685" s="97" t="s">
        <v>33</v>
      </c>
      <c r="O685">
        <v>627</v>
      </c>
      <c r="P685">
        <v>1.4</v>
      </c>
      <c r="Q685">
        <v>0.88</v>
      </c>
      <c r="R685" s="97" t="s">
        <v>1204</v>
      </c>
      <c r="S685" s="97" t="s">
        <v>195</v>
      </c>
    </row>
    <row r="686" spans="1:19" x14ac:dyDescent="0.3">
      <c r="A686" s="97" t="s">
        <v>584</v>
      </c>
      <c r="B686" s="97" t="s">
        <v>23</v>
      </c>
      <c r="C686">
        <v>2026</v>
      </c>
      <c r="D686">
        <v>1</v>
      </c>
      <c r="E686" s="2">
        <v>46047</v>
      </c>
      <c r="F686" s="97" t="s">
        <v>7</v>
      </c>
      <c r="G686" s="97" t="s">
        <v>8</v>
      </c>
      <c r="H686" s="97" t="s">
        <v>74</v>
      </c>
      <c r="I686" s="97" t="s">
        <v>75</v>
      </c>
      <c r="J686" s="97" t="s">
        <v>76</v>
      </c>
      <c r="K686" s="97" t="s">
        <v>73</v>
      </c>
      <c r="L686">
        <v>701000</v>
      </c>
      <c r="M686" s="97" t="s">
        <v>62</v>
      </c>
      <c r="N686" s="97" t="s">
        <v>33</v>
      </c>
      <c r="O686">
        <v>1043</v>
      </c>
      <c r="P686">
        <v>1.39</v>
      </c>
      <c r="Q686">
        <v>1.45</v>
      </c>
      <c r="R686" s="97" t="s">
        <v>1203</v>
      </c>
      <c r="S686" s="97" t="s">
        <v>195</v>
      </c>
    </row>
    <row r="687" spans="1:19" x14ac:dyDescent="0.3">
      <c r="A687" s="97" t="s">
        <v>655</v>
      </c>
      <c r="B687" s="97" t="s">
        <v>23</v>
      </c>
      <c r="C687">
        <v>2026</v>
      </c>
      <c r="D687">
        <v>1</v>
      </c>
      <c r="E687" s="2">
        <v>46047</v>
      </c>
      <c r="F687" s="97" t="s">
        <v>7</v>
      </c>
      <c r="G687" s="97" t="s">
        <v>8</v>
      </c>
      <c r="H687" s="97" t="s">
        <v>74</v>
      </c>
      <c r="I687" s="97" t="s">
        <v>75</v>
      </c>
      <c r="J687" s="97" t="s">
        <v>76</v>
      </c>
      <c r="K687" s="97" t="s">
        <v>73</v>
      </c>
      <c r="L687">
        <v>701000</v>
      </c>
      <c r="M687" s="97" t="s">
        <v>62</v>
      </c>
      <c r="N687" s="97" t="s">
        <v>33</v>
      </c>
      <c r="O687">
        <v>2210</v>
      </c>
      <c r="P687">
        <v>1.4</v>
      </c>
      <c r="Q687">
        <v>3.1</v>
      </c>
      <c r="R687" s="97" t="s">
        <v>1202</v>
      </c>
      <c r="S687" s="97" t="s">
        <v>195</v>
      </c>
    </row>
    <row r="688" spans="1:19" x14ac:dyDescent="0.3">
      <c r="A688" s="97" t="s">
        <v>656</v>
      </c>
      <c r="B688" s="97" t="s">
        <v>23</v>
      </c>
      <c r="C688">
        <v>2026</v>
      </c>
      <c r="D688">
        <v>1</v>
      </c>
      <c r="E688" s="2">
        <v>46047</v>
      </c>
      <c r="F688" s="97" t="s">
        <v>7</v>
      </c>
      <c r="G688" s="97" t="s">
        <v>8</v>
      </c>
      <c r="H688" s="97" t="s">
        <v>74</v>
      </c>
      <c r="I688" s="97" t="s">
        <v>75</v>
      </c>
      <c r="J688" s="97" t="s">
        <v>76</v>
      </c>
      <c r="K688" s="97" t="s">
        <v>73</v>
      </c>
      <c r="L688">
        <v>701000</v>
      </c>
      <c r="M688" s="97" t="s">
        <v>62</v>
      </c>
      <c r="N688" s="97" t="s">
        <v>33</v>
      </c>
      <c r="O688">
        <v>1047</v>
      </c>
      <c r="P688">
        <v>1.4</v>
      </c>
      <c r="Q688">
        <v>1.47</v>
      </c>
      <c r="R688" s="97" t="s">
        <v>1198</v>
      </c>
      <c r="S688" s="97" t="s">
        <v>195</v>
      </c>
    </row>
    <row r="689" spans="1:19" x14ac:dyDescent="0.3">
      <c r="A689" s="97" t="s">
        <v>657</v>
      </c>
      <c r="B689" s="97" t="s">
        <v>23</v>
      </c>
      <c r="C689">
        <v>2026</v>
      </c>
      <c r="D689">
        <v>1</v>
      </c>
      <c r="E689" s="2">
        <v>46047</v>
      </c>
      <c r="F689" s="97" t="s">
        <v>7</v>
      </c>
      <c r="G689" s="97" t="s">
        <v>8</v>
      </c>
      <c r="H689" s="97" t="s">
        <v>74</v>
      </c>
      <c r="I689" s="97" t="s">
        <v>75</v>
      </c>
      <c r="J689" s="97" t="s">
        <v>76</v>
      </c>
      <c r="K689" s="97" t="s">
        <v>73</v>
      </c>
      <c r="L689">
        <v>701000</v>
      </c>
      <c r="M689" s="97" t="s">
        <v>62</v>
      </c>
      <c r="N689" s="97" t="s">
        <v>33</v>
      </c>
      <c r="O689">
        <v>1675</v>
      </c>
      <c r="P689">
        <v>1.4</v>
      </c>
      <c r="Q689">
        <v>2.35</v>
      </c>
      <c r="R689" s="97" t="s">
        <v>1197</v>
      </c>
      <c r="S689" s="97" t="s">
        <v>195</v>
      </c>
    </row>
    <row r="690" spans="1:19" x14ac:dyDescent="0.3">
      <c r="A690" s="97" t="s">
        <v>658</v>
      </c>
      <c r="B690" s="97" t="s">
        <v>23</v>
      </c>
      <c r="C690">
        <v>2026</v>
      </c>
      <c r="D690">
        <v>1</v>
      </c>
      <c r="E690" s="2">
        <v>46047</v>
      </c>
      <c r="F690" s="97" t="s">
        <v>7</v>
      </c>
      <c r="G690" s="97" t="s">
        <v>8</v>
      </c>
      <c r="H690" s="97" t="s">
        <v>74</v>
      </c>
      <c r="I690" s="97" t="s">
        <v>75</v>
      </c>
      <c r="J690" s="97" t="s">
        <v>76</v>
      </c>
      <c r="K690" s="97" t="s">
        <v>73</v>
      </c>
      <c r="L690">
        <v>701000</v>
      </c>
      <c r="M690" s="97" t="s">
        <v>62</v>
      </c>
      <c r="N690" s="97" t="s">
        <v>33</v>
      </c>
      <c r="O690">
        <v>48</v>
      </c>
      <c r="P690">
        <v>1.46</v>
      </c>
      <c r="Q690">
        <v>7.0000000000000007E-2</v>
      </c>
      <c r="R690" s="97" t="s">
        <v>1204</v>
      </c>
      <c r="S690" s="97" t="s">
        <v>195</v>
      </c>
    </row>
    <row r="691" spans="1:19" x14ac:dyDescent="0.3">
      <c r="A691" s="97" t="s">
        <v>659</v>
      </c>
      <c r="B691" s="97" t="s">
        <v>23</v>
      </c>
      <c r="C691">
        <v>2026</v>
      </c>
      <c r="D691">
        <v>1</v>
      </c>
      <c r="E691" s="2">
        <v>46047</v>
      </c>
      <c r="F691" s="97" t="s">
        <v>7</v>
      </c>
      <c r="G691" s="97" t="s">
        <v>8</v>
      </c>
      <c r="H691" s="97" t="s">
        <v>74</v>
      </c>
      <c r="I691" s="97" t="s">
        <v>75</v>
      </c>
      <c r="J691" s="97" t="s">
        <v>76</v>
      </c>
      <c r="K691" s="97" t="s">
        <v>73</v>
      </c>
      <c r="L691">
        <v>701000</v>
      </c>
      <c r="M691" s="97" t="s">
        <v>62</v>
      </c>
      <c r="N691" s="97" t="s">
        <v>33</v>
      </c>
      <c r="O691">
        <v>1795</v>
      </c>
      <c r="P691">
        <v>1.39</v>
      </c>
      <c r="Q691">
        <v>2.5</v>
      </c>
      <c r="R691" s="97" t="s">
        <v>1201</v>
      </c>
      <c r="S691" s="97" t="s">
        <v>195</v>
      </c>
    </row>
    <row r="692" spans="1:19" x14ac:dyDescent="0.3">
      <c r="A692" s="97" t="s">
        <v>700</v>
      </c>
      <c r="B692" s="97" t="s">
        <v>23</v>
      </c>
      <c r="C692">
        <v>2026</v>
      </c>
      <c r="D692">
        <v>1</v>
      </c>
      <c r="E692" s="2">
        <v>46047</v>
      </c>
      <c r="F692" s="97" t="s">
        <v>7</v>
      </c>
      <c r="G692" s="97" t="s">
        <v>8</v>
      </c>
      <c r="H692" s="97" t="s">
        <v>70</v>
      </c>
      <c r="I692" s="97" t="s">
        <v>77</v>
      </c>
      <c r="J692" s="97" t="s">
        <v>78</v>
      </c>
      <c r="K692" s="97" t="s">
        <v>73</v>
      </c>
      <c r="L692">
        <v>701000</v>
      </c>
      <c r="M692" s="97" t="s">
        <v>62</v>
      </c>
      <c r="N692" s="97" t="s">
        <v>33</v>
      </c>
      <c r="O692">
        <v>610</v>
      </c>
      <c r="P692">
        <v>1.8</v>
      </c>
      <c r="Q692">
        <v>1.1000000000000001</v>
      </c>
      <c r="R692" s="97" t="s">
        <v>1200</v>
      </c>
      <c r="S692" s="97" t="s">
        <v>195</v>
      </c>
    </row>
    <row r="693" spans="1:19" x14ac:dyDescent="0.3">
      <c r="A693" s="97" t="s">
        <v>701</v>
      </c>
      <c r="B693" s="97" t="s">
        <v>23</v>
      </c>
      <c r="C693">
        <v>2026</v>
      </c>
      <c r="D693">
        <v>1</v>
      </c>
      <c r="E693" s="2">
        <v>46047</v>
      </c>
      <c r="F693" s="97" t="s">
        <v>7</v>
      </c>
      <c r="G693" s="97" t="s">
        <v>8</v>
      </c>
      <c r="H693" s="97" t="s">
        <v>70</v>
      </c>
      <c r="I693" s="97" t="s">
        <v>77</v>
      </c>
      <c r="J693" s="97" t="s">
        <v>78</v>
      </c>
      <c r="K693" s="97" t="s">
        <v>73</v>
      </c>
      <c r="L693">
        <v>701000</v>
      </c>
      <c r="M693" s="97" t="s">
        <v>62</v>
      </c>
      <c r="N693" s="97" t="s">
        <v>33</v>
      </c>
      <c r="O693">
        <v>820</v>
      </c>
      <c r="P693">
        <v>1.8</v>
      </c>
      <c r="Q693">
        <v>1.48</v>
      </c>
      <c r="R693" s="97" t="s">
        <v>1197</v>
      </c>
      <c r="S693" s="97" t="s">
        <v>195</v>
      </c>
    </row>
    <row r="694" spans="1:19" x14ac:dyDescent="0.3">
      <c r="A694" s="97" t="s">
        <v>702</v>
      </c>
      <c r="B694" s="97" t="s">
        <v>23</v>
      </c>
      <c r="C694">
        <v>2026</v>
      </c>
      <c r="D694">
        <v>1</v>
      </c>
      <c r="E694" s="2">
        <v>46047</v>
      </c>
      <c r="F694" s="97" t="s">
        <v>7</v>
      </c>
      <c r="G694" s="97" t="s">
        <v>8</v>
      </c>
      <c r="H694" s="97" t="s">
        <v>70</v>
      </c>
      <c r="I694" s="97" t="s">
        <v>77</v>
      </c>
      <c r="J694" s="97" t="s">
        <v>78</v>
      </c>
      <c r="K694" s="97" t="s">
        <v>73</v>
      </c>
      <c r="L694">
        <v>701000</v>
      </c>
      <c r="M694" s="97" t="s">
        <v>62</v>
      </c>
      <c r="N694" s="97" t="s">
        <v>33</v>
      </c>
      <c r="O694">
        <v>529</v>
      </c>
      <c r="P694">
        <v>1.8</v>
      </c>
      <c r="Q694">
        <v>0.95</v>
      </c>
      <c r="R694" s="97" t="s">
        <v>1203</v>
      </c>
      <c r="S694" s="97" t="s">
        <v>195</v>
      </c>
    </row>
    <row r="695" spans="1:19" x14ac:dyDescent="0.3">
      <c r="A695" s="97" t="s">
        <v>703</v>
      </c>
      <c r="B695" s="97" t="s">
        <v>23</v>
      </c>
      <c r="C695">
        <v>2026</v>
      </c>
      <c r="D695">
        <v>1</v>
      </c>
      <c r="E695" s="2">
        <v>46047</v>
      </c>
      <c r="F695" s="97" t="s">
        <v>7</v>
      </c>
      <c r="G695" s="97" t="s">
        <v>8</v>
      </c>
      <c r="H695" s="97" t="s">
        <v>70</v>
      </c>
      <c r="I695" s="97" t="s">
        <v>77</v>
      </c>
      <c r="J695" s="97" t="s">
        <v>78</v>
      </c>
      <c r="K695" s="97" t="s">
        <v>73</v>
      </c>
      <c r="L695">
        <v>701000</v>
      </c>
      <c r="M695" s="97" t="s">
        <v>62</v>
      </c>
      <c r="N695" s="97" t="s">
        <v>33</v>
      </c>
      <c r="O695">
        <v>1679</v>
      </c>
      <c r="P695">
        <v>1.8</v>
      </c>
      <c r="Q695">
        <v>3.02</v>
      </c>
      <c r="R695" s="97" t="s">
        <v>1202</v>
      </c>
      <c r="S695" s="97" t="s">
        <v>195</v>
      </c>
    </row>
    <row r="696" spans="1:19" x14ac:dyDescent="0.3">
      <c r="A696" s="97" t="s">
        <v>704</v>
      </c>
      <c r="B696" s="97" t="s">
        <v>23</v>
      </c>
      <c r="C696">
        <v>2026</v>
      </c>
      <c r="D696">
        <v>1</v>
      </c>
      <c r="E696" s="2">
        <v>46047</v>
      </c>
      <c r="F696" s="97" t="s">
        <v>7</v>
      </c>
      <c r="G696" s="97" t="s">
        <v>8</v>
      </c>
      <c r="H696" s="97" t="s">
        <v>70</v>
      </c>
      <c r="I696" s="97" t="s">
        <v>77</v>
      </c>
      <c r="J696" s="97" t="s">
        <v>78</v>
      </c>
      <c r="K696" s="97" t="s">
        <v>73</v>
      </c>
      <c r="L696">
        <v>701000</v>
      </c>
      <c r="M696" s="97" t="s">
        <v>62</v>
      </c>
      <c r="N696" s="97" t="s">
        <v>33</v>
      </c>
      <c r="O696">
        <v>2858</v>
      </c>
      <c r="P696">
        <v>1.8</v>
      </c>
      <c r="Q696">
        <v>5.14</v>
      </c>
      <c r="R696" s="97" t="s">
        <v>1199</v>
      </c>
      <c r="S696" s="97" t="s">
        <v>195</v>
      </c>
    </row>
    <row r="697" spans="1:19" x14ac:dyDescent="0.3">
      <c r="A697" s="97" t="s">
        <v>730</v>
      </c>
      <c r="B697" s="97" t="s">
        <v>23</v>
      </c>
      <c r="C697">
        <v>2026</v>
      </c>
      <c r="D697">
        <v>1</v>
      </c>
      <c r="E697" s="2">
        <v>46047</v>
      </c>
      <c r="F697" s="97" t="s">
        <v>7</v>
      </c>
      <c r="G697" s="97" t="s">
        <v>8</v>
      </c>
      <c r="H697" s="97" t="s">
        <v>70</v>
      </c>
      <c r="I697" s="97" t="s">
        <v>77</v>
      </c>
      <c r="J697" s="97" t="s">
        <v>78</v>
      </c>
      <c r="K697" s="97" t="s">
        <v>73</v>
      </c>
      <c r="L697">
        <v>701000</v>
      </c>
      <c r="M697" s="97" t="s">
        <v>62</v>
      </c>
      <c r="N697" s="97" t="s">
        <v>33</v>
      </c>
      <c r="O697">
        <v>359</v>
      </c>
      <c r="P697">
        <v>1.81</v>
      </c>
      <c r="Q697">
        <v>0.65</v>
      </c>
      <c r="R697" s="97" t="s">
        <v>1205</v>
      </c>
      <c r="S697" s="97" t="s">
        <v>195</v>
      </c>
    </row>
    <row r="698" spans="1:19" x14ac:dyDescent="0.3">
      <c r="A698" s="97" t="s">
        <v>731</v>
      </c>
      <c r="B698" s="97" t="s">
        <v>23</v>
      </c>
      <c r="C698">
        <v>2026</v>
      </c>
      <c r="D698">
        <v>1</v>
      </c>
      <c r="E698" s="2">
        <v>46047</v>
      </c>
      <c r="F698" s="97" t="s">
        <v>7</v>
      </c>
      <c r="G698" s="97" t="s">
        <v>8</v>
      </c>
      <c r="H698" s="97" t="s">
        <v>70</v>
      </c>
      <c r="I698" s="97" t="s">
        <v>77</v>
      </c>
      <c r="J698" s="97" t="s">
        <v>78</v>
      </c>
      <c r="K698" s="97" t="s">
        <v>73</v>
      </c>
      <c r="L698">
        <v>701000</v>
      </c>
      <c r="M698" s="97" t="s">
        <v>62</v>
      </c>
      <c r="N698" s="97" t="s">
        <v>33</v>
      </c>
      <c r="O698">
        <v>1391</v>
      </c>
      <c r="P698">
        <v>1.8</v>
      </c>
      <c r="Q698">
        <v>2.5</v>
      </c>
      <c r="R698" s="97" t="s">
        <v>1198</v>
      </c>
      <c r="S698" s="97" t="s">
        <v>195</v>
      </c>
    </row>
    <row r="699" spans="1:19" x14ac:dyDescent="0.3">
      <c r="A699" s="97" t="s">
        <v>732</v>
      </c>
      <c r="B699" s="97" t="s">
        <v>23</v>
      </c>
      <c r="C699">
        <v>2026</v>
      </c>
      <c r="D699">
        <v>1</v>
      </c>
      <c r="E699" s="2">
        <v>46047</v>
      </c>
      <c r="F699" s="97" t="s">
        <v>7</v>
      </c>
      <c r="G699" s="97" t="s">
        <v>8</v>
      </c>
      <c r="H699" s="97" t="s">
        <v>70</v>
      </c>
      <c r="I699" s="97" t="s">
        <v>77</v>
      </c>
      <c r="J699" s="97" t="s">
        <v>78</v>
      </c>
      <c r="K699" s="97" t="s">
        <v>73</v>
      </c>
      <c r="L699">
        <v>701000</v>
      </c>
      <c r="M699" s="97" t="s">
        <v>62</v>
      </c>
      <c r="N699" s="97" t="s">
        <v>33</v>
      </c>
      <c r="O699">
        <v>2462</v>
      </c>
      <c r="P699">
        <v>1.8</v>
      </c>
      <c r="Q699">
        <v>4.43</v>
      </c>
      <c r="R699" s="97" t="s">
        <v>1197</v>
      </c>
      <c r="S699" s="97" t="s">
        <v>195</v>
      </c>
    </row>
    <row r="700" spans="1:19" x14ac:dyDescent="0.3">
      <c r="A700" s="97" t="s">
        <v>733</v>
      </c>
      <c r="B700" s="97" t="s">
        <v>23</v>
      </c>
      <c r="C700">
        <v>2026</v>
      </c>
      <c r="D700">
        <v>1</v>
      </c>
      <c r="E700" s="2">
        <v>46047</v>
      </c>
      <c r="F700" s="97" t="s">
        <v>7</v>
      </c>
      <c r="G700" s="97" t="s">
        <v>8</v>
      </c>
      <c r="H700" s="97" t="s">
        <v>70</v>
      </c>
      <c r="I700" s="97" t="s">
        <v>77</v>
      </c>
      <c r="J700" s="97" t="s">
        <v>78</v>
      </c>
      <c r="K700" s="97" t="s">
        <v>73</v>
      </c>
      <c r="L700">
        <v>701000</v>
      </c>
      <c r="M700" s="97" t="s">
        <v>62</v>
      </c>
      <c r="N700" s="97" t="s">
        <v>33</v>
      </c>
      <c r="O700">
        <v>766</v>
      </c>
      <c r="P700">
        <v>1.8</v>
      </c>
      <c r="Q700">
        <v>1.38</v>
      </c>
      <c r="R700" s="97" t="s">
        <v>1203</v>
      </c>
      <c r="S700" s="97" t="s">
        <v>195</v>
      </c>
    </row>
    <row r="701" spans="1:19" x14ac:dyDescent="0.3">
      <c r="A701" s="97" t="s">
        <v>734</v>
      </c>
      <c r="B701" s="97" t="s">
        <v>23</v>
      </c>
      <c r="C701">
        <v>2026</v>
      </c>
      <c r="D701">
        <v>1</v>
      </c>
      <c r="E701" s="2">
        <v>46047</v>
      </c>
      <c r="F701" s="97" t="s">
        <v>7</v>
      </c>
      <c r="G701" s="97" t="s">
        <v>8</v>
      </c>
      <c r="H701" s="97" t="s">
        <v>70</v>
      </c>
      <c r="I701" s="97" t="s">
        <v>77</v>
      </c>
      <c r="J701" s="97" t="s">
        <v>78</v>
      </c>
      <c r="K701" s="97" t="s">
        <v>73</v>
      </c>
      <c r="L701">
        <v>701000</v>
      </c>
      <c r="M701" s="97" t="s">
        <v>62</v>
      </c>
      <c r="N701" s="97" t="s">
        <v>33</v>
      </c>
      <c r="O701">
        <v>1658</v>
      </c>
      <c r="P701">
        <v>1.8</v>
      </c>
      <c r="Q701">
        <v>2.98</v>
      </c>
      <c r="R701" s="97" t="s">
        <v>1201</v>
      </c>
      <c r="S701" s="97" t="s">
        <v>195</v>
      </c>
    </row>
    <row r="702" spans="1:19" x14ac:dyDescent="0.3">
      <c r="A702" s="97" t="s">
        <v>775</v>
      </c>
      <c r="B702" s="97" t="s">
        <v>23</v>
      </c>
      <c r="C702">
        <v>2026</v>
      </c>
      <c r="D702">
        <v>1</v>
      </c>
      <c r="E702" s="2">
        <v>46047</v>
      </c>
      <c r="F702" s="97" t="s">
        <v>7</v>
      </c>
      <c r="G702" s="97" t="s">
        <v>8</v>
      </c>
      <c r="H702" s="97" t="s">
        <v>74</v>
      </c>
      <c r="I702" s="97" t="s">
        <v>79</v>
      </c>
      <c r="J702" s="97" t="s">
        <v>80</v>
      </c>
      <c r="K702" s="97" t="s">
        <v>73</v>
      </c>
      <c r="L702">
        <v>706000</v>
      </c>
      <c r="M702" s="97" t="s">
        <v>63</v>
      </c>
      <c r="N702" s="97" t="s">
        <v>33</v>
      </c>
      <c r="O702">
        <v>1484</v>
      </c>
      <c r="P702">
        <v>2.6</v>
      </c>
      <c r="Q702">
        <v>3.86</v>
      </c>
      <c r="R702" s="97" t="s">
        <v>1201</v>
      </c>
      <c r="S702" s="97" t="s">
        <v>195</v>
      </c>
    </row>
    <row r="703" spans="1:19" x14ac:dyDescent="0.3">
      <c r="A703" s="97" t="s">
        <v>776</v>
      </c>
      <c r="B703" s="97" t="s">
        <v>23</v>
      </c>
      <c r="C703">
        <v>2026</v>
      </c>
      <c r="D703">
        <v>1</v>
      </c>
      <c r="E703" s="2">
        <v>46047</v>
      </c>
      <c r="F703" s="97" t="s">
        <v>7</v>
      </c>
      <c r="G703" s="97" t="s">
        <v>8</v>
      </c>
      <c r="H703" s="97" t="s">
        <v>74</v>
      </c>
      <c r="I703" s="97" t="s">
        <v>79</v>
      </c>
      <c r="J703" s="97" t="s">
        <v>80</v>
      </c>
      <c r="K703" s="97" t="s">
        <v>73</v>
      </c>
      <c r="L703">
        <v>706000</v>
      </c>
      <c r="M703" s="97" t="s">
        <v>63</v>
      </c>
      <c r="N703" s="97" t="s">
        <v>33</v>
      </c>
      <c r="O703">
        <v>3589</v>
      </c>
      <c r="P703">
        <v>2.6</v>
      </c>
      <c r="Q703">
        <v>9.33</v>
      </c>
      <c r="R703" s="97" t="s">
        <v>1203</v>
      </c>
      <c r="S703" s="97" t="s">
        <v>195</v>
      </c>
    </row>
    <row r="704" spans="1:19" x14ac:dyDescent="0.3">
      <c r="A704" s="97" t="s">
        <v>777</v>
      </c>
      <c r="B704" s="97" t="s">
        <v>23</v>
      </c>
      <c r="C704">
        <v>2026</v>
      </c>
      <c r="D704">
        <v>1</v>
      </c>
      <c r="E704" s="2">
        <v>46047</v>
      </c>
      <c r="F704" s="97" t="s">
        <v>7</v>
      </c>
      <c r="G704" s="97" t="s">
        <v>8</v>
      </c>
      <c r="H704" s="97" t="s">
        <v>74</v>
      </c>
      <c r="I704" s="97" t="s">
        <v>79</v>
      </c>
      <c r="J704" s="97" t="s">
        <v>80</v>
      </c>
      <c r="K704" s="97" t="s">
        <v>73</v>
      </c>
      <c r="L704">
        <v>706000</v>
      </c>
      <c r="M704" s="97" t="s">
        <v>63</v>
      </c>
      <c r="N704" s="97" t="s">
        <v>33</v>
      </c>
      <c r="O704">
        <v>1198</v>
      </c>
      <c r="P704">
        <v>2.6</v>
      </c>
      <c r="Q704">
        <v>3.12</v>
      </c>
      <c r="R704" s="97" t="s">
        <v>1205</v>
      </c>
      <c r="S704" s="97" t="s">
        <v>195</v>
      </c>
    </row>
    <row r="705" spans="1:19" x14ac:dyDescent="0.3">
      <c r="A705" s="97" t="s">
        <v>778</v>
      </c>
      <c r="B705" s="97" t="s">
        <v>23</v>
      </c>
      <c r="C705">
        <v>2026</v>
      </c>
      <c r="D705">
        <v>1</v>
      </c>
      <c r="E705" s="2">
        <v>46047</v>
      </c>
      <c r="F705" s="97" t="s">
        <v>7</v>
      </c>
      <c r="G705" s="97" t="s">
        <v>8</v>
      </c>
      <c r="H705" s="97" t="s">
        <v>74</v>
      </c>
      <c r="I705" s="97" t="s">
        <v>79</v>
      </c>
      <c r="J705" s="97" t="s">
        <v>80</v>
      </c>
      <c r="K705" s="97" t="s">
        <v>73</v>
      </c>
      <c r="L705">
        <v>706000</v>
      </c>
      <c r="M705" s="97" t="s">
        <v>63</v>
      </c>
      <c r="N705" s="97" t="s">
        <v>33</v>
      </c>
      <c r="O705">
        <v>755</v>
      </c>
      <c r="P705">
        <v>2.6</v>
      </c>
      <c r="Q705">
        <v>1.96</v>
      </c>
      <c r="R705" s="97" t="s">
        <v>1202</v>
      </c>
      <c r="S705" s="97" t="s">
        <v>195</v>
      </c>
    </row>
    <row r="706" spans="1:19" x14ac:dyDescent="0.3">
      <c r="A706" s="97" t="s">
        <v>779</v>
      </c>
      <c r="B706" s="97" t="s">
        <v>23</v>
      </c>
      <c r="C706">
        <v>2026</v>
      </c>
      <c r="D706">
        <v>1</v>
      </c>
      <c r="E706" s="2">
        <v>46047</v>
      </c>
      <c r="F706" s="97" t="s">
        <v>7</v>
      </c>
      <c r="G706" s="97" t="s">
        <v>8</v>
      </c>
      <c r="H706" s="97" t="s">
        <v>74</v>
      </c>
      <c r="I706" s="97" t="s">
        <v>79</v>
      </c>
      <c r="J706" s="97" t="s">
        <v>80</v>
      </c>
      <c r="K706" s="97" t="s">
        <v>73</v>
      </c>
      <c r="L706">
        <v>706000</v>
      </c>
      <c r="M706" s="97" t="s">
        <v>63</v>
      </c>
      <c r="N706" s="97" t="s">
        <v>33</v>
      </c>
      <c r="O706">
        <v>1282</v>
      </c>
      <c r="P706">
        <v>2.6</v>
      </c>
      <c r="Q706">
        <v>3.33</v>
      </c>
      <c r="R706" s="97" t="s">
        <v>1199</v>
      </c>
      <c r="S706" s="97" t="s">
        <v>195</v>
      </c>
    </row>
    <row r="707" spans="1:19" x14ac:dyDescent="0.3">
      <c r="A707" s="97" t="s">
        <v>815</v>
      </c>
      <c r="B707" s="97" t="s">
        <v>23</v>
      </c>
      <c r="C707">
        <v>2026</v>
      </c>
      <c r="D707">
        <v>1</v>
      </c>
      <c r="E707" s="2">
        <v>46047</v>
      </c>
      <c r="F707" s="97" t="s">
        <v>7</v>
      </c>
      <c r="G707" s="97" t="s">
        <v>8</v>
      </c>
      <c r="H707" s="97" t="s">
        <v>74</v>
      </c>
      <c r="I707" s="97" t="s">
        <v>79</v>
      </c>
      <c r="J707" s="97" t="s">
        <v>80</v>
      </c>
      <c r="K707" s="97" t="s">
        <v>73</v>
      </c>
      <c r="L707">
        <v>701000</v>
      </c>
      <c r="M707" s="97" t="s">
        <v>62</v>
      </c>
      <c r="N707" s="97" t="s">
        <v>33</v>
      </c>
      <c r="O707">
        <v>2401</v>
      </c>
      <c r="P707">
        <v>2.6</v>
      </c>
      <c r="Q707">
        <v>6.24</v>
      </c>
      <c r="R707" s="97" t="s">
        <v>1200</v>
      </c>
      <c r="S707" s="97" t="s">
        <v>195</v>
      </c>
    </row>
    <row r="708" spans="1:19" x14ac:dyDescent="0.3">
      <c r="A708" s="97" t="s">
        <v>816</v>
      </c>
      <c r="B708" s="97" t="s">
        <v>23</v>
      </c>
      <c r="C708">
        <v>2026</v>
      </c>
      <c r="D708">
        <v>1</v>
      </c>
      <c r="E708" s="2">
        <v>46047</v>
      </c>
      <c r="F708" s="97" t="s">
        <v>7</v>
      </c>
      <c r="G708" s="97" t="s">
        <v>8</v>
      </c>
      <c r="H708" s="97" t="s">
        <v>74</v>
      </c>
      <c r="I708" s="97" t="s">
        <v>79</v>
      </c>
      <c r="J708" s="97" t="s">
        <v>80</v>
      </c>
      <c r="K708" s="97" t="s">
        <v>73</v>
      </c>
      <c r="L708">
        <v>701000</v>
      </c>
      <c r="M708" s="97" t="s">
        <v>62</v>
      </c>
      <c r="N708" s="97" t="s">
        <v>33</v>
      </c>
      <c r="O708">
        <v>1201</v>
      </c>
      <c r="P708">
        <v>2.6</v>
      </c>
      <c r="Q708">
        <v>3.12</v>
      </c>
      <c r="R708" s="97" t="s">
        <v>1203</v>
      </c>
      <c r="S708" s="97" t="s">
        <v>195</v>
      </c>
    </row>
    <row r="709" spans="1:19" x14ac:dyDescent="0.3">
      <c r="A709" s="97" t="s">
        <v>817</v>
      </c>
      <c r="B709" s="97" t="s">
        <v>23</v>
      </c>
      <c r="C709">
        <v>2026</v>
      </c>
      <c r="D709">
        <v>1</v>
      </c>
      <c r="E709" s="2">
        <v>46047</v>
      </c>
      <c r="F709" s="97" t="s">
        <v>7</v>
      </c>
      <c r="G709" s="97" t="s">
        <v>8</v>
      </c>
      <c r="H709" s="97" t="s">
        <v>74</v>
      </c>
      <c r="I709" s="97" t="s">
        <v>79</v>
      </c>
      <c r="J709" s="97" t="s">
        <v>80</v>
      </c>
      <c r="K709" s="97" t="s">
        <v>73</v>
      </c>
      <c r="L709">
        <v>701000</v>
      </c>
      <c r="M709" s="97" t="s">
        <v>62</v>
      </c>
      <c r="N709" s="97" t="s">
        <v>33</v>
      </c>
      <c r="O709">
        <v>1823</v>
      </c>
      <c r="P709">
        <v>2.6</v>
      </c>
      <c r="Q709">
        <v>4.74</v>
      </c>
      <c r="R709" s="97" t="s">
        <v>1197</v>
      </c>
      <c r="S709" s="97" t="s">
        <v>195</v>
      </c>
    </row>
    <row r="710" spans="1:19" x14ac:dyDescent="0.3">
      <c r="A710" s="97" t="s">
        <v>818</v>
      </c>
      <c r="B710" s="97" t="s">
        <v>23</v>
      </c>
      <c r="C710">
        <v>2026</v>
      </c>
      <c r="D710">
        <v>1</v>
      </c>
      <c r="E710" s="2">
        <v>46047</v>
      </c>
      <c r="F710" s="97" t="s">
        <v>7</v>
      </c>
      <c r="G710" s="97" t="s">
        <v>8</v>
      </c>
      <c r="H710" s="97" t="s">
        <v>74</v>
      </c>
      <c r="I710" s="97" t="s">
        <v>79</v>
      </c>
      <c r="J710" s="97" t="s">
        <v>80</v>
      </c>
      <c r="K710" s="97" t="s">
        <v>73</v>
      </c>
      <c r="L710">
        <v>701000</v>
      </c>
      <c r="M710" s="97" t="s">
        <v>62</v>
      </c>
      <c r="N710" s="97" t="s">
        <v>33</v>
      </c>
      <c r="O710">
        <v>792</v>
      </c>
      <c r="P710">
        <v>2.6</v>
      </c>
      <c r="Q710">
        <v>2.06</v>
      </c>
      <c r="R710" s="97" t="s">
        <v>1199</v>
      </c>
      <c r="S710" s="97" t="s">
        <v>195</v>
      </c>
    </row>
    <row r="711" spans="1:19" x14ac:dyDescent="0.3">
      <c r="A711" s="97" t="s">
        <v>819</v>
      </c>
      <c r="B711" s="97" t="s">
        <v>23</v>
      </c>
      <c r="C711">
        <v>2026</v>
      </c>
      <c r="D711">
        <v>1</v>
      </c>
      <c r="E711" s="2">
        <v>46047</v>
      </c>
      <c r="F711" s="97" t="s">
        <v>7</v>
      </c>
      <c r="G711" s="97" t="s">
        <v>8</v>
      </c>
      <c r="H711" s="97" t="s">
        <v>74</v>
      </c>
      <c r="I711" s="97" t="s">
        <v>79</v>
      </c>
      <c r="J711" s="97" t="s">
        <v>80</v>
      </c>
      <c r="K711" s="97" t="s">
        <v>73</v>
      </c>
      <c r="L711">
        <v>701000</v>
      </c>
      <c r="M711" s="97" t="s">
        <v>62</v>
      </c>
      <c r="N711" s="97" t="s">
        <v>33</v>
      </c>
      <c r="O711">
        <v>1877</v>
      </c>
      <c r="P711">
        <v>2.6</v>
      </c>
      <c r="Q711">
        <v>4.88</v>
      </c>
      <c r="R711" s="97" t="s">
        <v>1204</v>
      </c>
      <c r="S711" s="97" t="s">
        <v>195</v>
      </c>
    </row>
    <row r="712" spans="1:19" x14ac:dyDescent="0.3">
      <c r="A712" s="97" t="s">
        <v>855</v>
      </c>
      <c r="B712" s="97" t="s">
        <v>23</v>
      </c>
      <c r="C712">
        <v>2026</v>
      </c>
      <c r="D712">
        <v>1</v>
      </c>
      <c r="E712" s="2">
        <v>46047</v>
      </c>
      <c r="F712" s="97" t="s">
        <v>7</v>
      </c>
      <c r="G712" s="97" t="s">
        <v>8</v>
      </c>
      <c r="H712" s="97" t="s">
        <v>70</v>
      </c>
      <c r="I712" s="97" t="s">
        <v>79</v>
      </c>
      <c r="J712" s="97" t="s">
        <v>80</v>
      </c>
      <c r="K712" s="97" t="s">
        <v>73</v>
      </c>
      <c r="L712">
        <v>701000</v>
      </c>
      <c r="M712" s="97" t="s">
        <v>62</v>
      </c>
      <c r="N712" s="97" t="s">
        <v>33</v>
      </c>
      <c r="O712">
        <v>699</v>
      </c>
      <c r="P712">
        <v>2.6</v>
      </c>
      <c r="Q712">
        <v>1.82</v>
      </c>
      <c r="R712" s="97" t="s">
        <v>1198</v>
      </c>
      <c r="S712" s="97" t="s">
        <v>195</v>
      </c>
    </row>
    <row r="713" spans="1:19" x14ac:dyDescent="0.3">
      <c r="A713" s="97" t="s">
        <v>856</v>
      </c>
      <c r="B713" s="97" t="s">
        <v>23</v>
      </c>
      <c r="C713">
        <v>2026</v>
      </c>
      <c r="D713">
        <v>1</v>
      </c>
      <c r="E713" s="2">
        <v>46047</v>
      </c>
      <c r="F713" s="97" t="s">
        <v>7</v>
      </c>
      <c r="G713" s="97" t="s">
        <v>8</v>
      </c>
      <c r="H713" s="97" t="s">
        <v>70</v>
      </c>
      <c r="I713" s="97" t="s">
        <v>79</v>
      </c>
      <c r="J713" s="97" t="s">
        <v>80</v>
      </c>
      <c r="K713" s="97" t="s">
        <v>73</v>
      </c>
      <c r="L713">
        <v>701000</v>
      </c>
      <c r="M713" s="97" t="s">
        <v>62</v>
      </c>
      <c r="N713" s="97" t="s">
        <v>33</v>
      </c>
      <c r="O713">
        <v>2545</v>
      </c>
      <c r="P713">
        <v>2.6</v>
      </c>
      <c r="Q713">
        <v>6.62</v>
      </c>
      <c r="R713" s="97" t="s">
        <v>1201</v>
      </c>
      <c r="S713" s="97" t="s">
        <v>195</v>
      </c>
    </row>
    <row r="714" spans="1:19" x14ac:dyDescent="0.3">
      <c r="A714" s="97" t="s">
        <v>857</v>
      </c>
      <c r="B714" s="97" t="s">
        <v>23</v>
      </c>
      <c r="C714">
        <v>2026</v>
      </c>
      <c r="D714">
        <v>1</v>
      </c>
      <c r="E714" s="2">
        <v>46047</v>
      </c>
      <c r="F714" s="97" t="s">
        <v>7</v>
      </c>
      <c r="G714" s="97" t="s">
        <v>8</v>
      </c>
      <c r="H714" s="97" t="s">
        <v>70</v>
      </c>
      <c r="I714" s="97" t="s">
        <v>79</v>
      </c>
      <c r="J714" s="97" t="s">
        <v>80</v>
      </c>
      <c r="K714" s="97" t="s">
        <v>73</v>
      </c>
      <c r="L714">
        <v>701000</v>
      </c>
      <c r="M714" s="97" t="s">
        <v>62</v>
      </c>
      <c r="N714" s="97" t="s">
        <v>33</v>
      </c>
      <c r="O714">
        <v>594</v>
      </c>
      <c r="P714">
        <v>2.59</v>
      </c>
      <c r="Q714">
        <v>1.54</v>
      </c>
      <c r="R714" s="97" t="s">
        <v>1205</v>
      </c>
      <c r="S714" s="97" t="s">
        <v>195</v>
      </c>
    </row>
    <row r="715" spans="1:19" x14ac:dyDescent="0.3">
      <c r="A715" s="97" t="s">
        <v>858</v>
      </c>
      <c r="B715" s="97" t="s">
        <v>23</v>
      </c>
      <c r="C715">
        <v>2026</v>
      </c>
      <c r="D715">
        <v>1</v>
      </c>
      <c r="E715" s="2">
        <v>46047</v>
      </c>
      <c r="F715" s="97" t="s">
        <v>7</v>
      </c>
      <c r="G715" s="97" t="s">
        <v>8</v>
      </c>
      <c r="H715" s="97" t="s">
        <v>70</v>
      </c>
      <c r="I715" s="97" t="s">
        <v>79</v>
      </c>
      <c r="J715" s="97" t="s">
        <v>80</v>
      </c>
      <c r="K715" s="97" t="s">
        <v>73</v>
      </c>
      <c r="L715">
        <v>701000</v>
      </c>
      <c r="M715" s="97" t="s">
        <v>62</v>
      </c>
      <c r="N715" s="97" t="s">
        <v>33</v>
      </c>
      <c r="O715">
        <v>1877</v>
      </c>
      <c r="P715">
        <v>2.6</v>
      </c>
      <c r="Q715">
        <v>4.88</v>
      </c>
      <c r="R715" s="97" t="s">
        <v>1200</v>
      </c>
      <c r="S715" s="97" t="s">
        <v>195</v>
      </c>
    </row>
    <row r="716" spans="1:19" x14ac:dyDescent="0.3">
      <c r="A716" s="97" t="s">
        <v>859</v>
      </c>
      <c r="B716" s="97" t="s">
        <v>23</v>
      </c>
      <c r="C716">
        <v>2026</v>
      </c>
      <c r="D716">
        <v>1</v>
      </c>
      <c r="E716" s="2">
        <v>46047</v>
      </c>
      <c r="F716" s="97" t="s">
        <v>7</v>
      </c>
      <c r="G716" s="97" t="s">
        <v>8</v>
      </c>
      <c r="H716" s="97" t="s">
        <v>70</v>
      </c>
      <c r="I716" s="97" t="s">
        <v>79</v>
      </c>
      <c r="J716" s="97" t="s">
        <v>80</v>
      </c>
      <c r="K716" s="97" t="s">
        <v>73</v>
      </c>
      <c r="L716">
        <v>701000</v>
      </c>
      <c r="M716" s="97" t="s">
        <v>62</v>
      </c>
      <c r="N716" s="97" t="s">
        <v>33</v>
      </c>
      <c r="O716">
        <v>1370</v>
      </c>
      <c r="P716">
        <v>2.6</v>
      </c>
      <c r="Q716">
        <v>3.56</v>
      </c>
      <c r="R716" s="97" t="s">
        <v>1204</v>
      </c>
      <c r="S716" s="97" t="s">
        <v>195</v>
      </c>
    </row>
    <row r="717" spans="1:19" x14ac:dyDescent="0.3">
      <c r="A717" s="97" t="s">
        <v>980</v>
      </c>
      <c r="B717" s="97" t="s">
        <v>23</v>
      </c>
      <c r="C717">
        <v>2026</v>
      </c>
      <c r="D717">
        <v>1</v>
      </c>
      <c r="E717" s="2">
        <v>46047</v>
      </c>
      <c r="F717" s="97" t="s">
        <v>7</v>
      </c>
      <c r="G717" s="97" t="s">
        <v>8</v>
      </c>
      <c r="H717" s="97" t="s">
        <v>74</v>
      </c>
      <c r="I717" s="97" t="s">
        <v>82</v>
      </c>
      <c r="J717" s="97" t="s">
        <v>83</v>
      </c>
      <c r="K717" s="97" t="s">
        <v>73</v>
      </c>
      <c r="L717">
        <v>701000</v>
      </c>
      <c r="M717" s="97" t="s">
        <v>62</v>
      </c>
      <c r="N717" s="97" t="s">
        <v>33</v>
      </c>
      <c r="O717">
        <v>202</v>
      </c>
      <c r="P717">
        <v>18.510000000000002</v>
      </c>
      <c r="Q717">
        <v>3.74</v>
      </c>
      <c r="R717" s="97" t="s">
        <v>1201</v>
      </c>
      <c r="S717" s="97" t="s">
        <v>195</v>
      </c>
    </row>
    <row r="718" spans="1:19" x14ac:dyDescent="0.3">
      <c r="A718" s="97" t="s">
        <v>981</v>
      </c>
      <c r="B718" s="97" t="s">
        <v>23</v>
      </c>
      <c r="C718">
        <v>2026</v>
      </c>
      <c r="D718">
        <v>1</v>
      </c>
      <c r="E718" s="2">
        <v>46047</v>
      </c>
      <c r="F718" s="97" t="s">
        <v>7</v>
      </c>
      <c r="G718" s="97" t="s">
        <v>8</v>
      </c>
      <c r="H718" s="97" t="s">
        <v>74</v>
      </c>
      <c r="I718" s="97" t="s">
        <v>82</v>
      </c>
      <c r="J718" s="97" t="s">
        <v>83</v>
      </c>
      <c r="K718" s="97" t="s">
        <v>73</v>
      </c>
      <c r="L718">
        <v>701000</v>
      </c>
      <c r="M718" s="97" t="s">
        <v>62</v>
      </c>
      <c r="N718" s="97" t="s">
        <v>33</v>
      </c>
      <c r="O718">
        <v>101</v>
      </c>
      <c r="P718">
        <v>18.420000000000002</v>
      </c>
      <c r="Q718">
        <v>1.86</v>
      </c>
      <c r="R718" s="97" t="s">
        <v>1200</v>
      </c>
      <c r="S718" s="97" t="s">
        <v>195</v>
      </c>
    </row>
    <row r="719" spans="1:19" x14ac:dyDescent="0.3">
      <c r="A719" s="97" t="s">
        <v>982</v>
      </c>
      <c r="B719" s="97" t="s">
        <v>23</v>
      </c>
      <c r="C719">
        <v>2026</v>
      </c>
      <c r="D719">
        <v>1</v>
      </c>
      <c r="E719" s="2">
        <v>46047</v>
      </c>
      <c r="F719" s="97" t="s">
        <v>7</v>
      </c>
      <c r="G719" s="97" t="s">
        <v>8</v>
      </c>
      <c r="H719" s="97" t="s">
        <v>74</v>
      </c>
      <c r="I719" s="97" t="s">
        <v>82</v>
      </c>
      <c r="J719" s="97" t="s">
        <v>83</v>
      </c>
      <c r="K719" s="97" t="s">
        <v>73</v>
      </c>
      <c r="L719">
        <v>701000</v>
      </c>
      <c r="M719" s="97" t="s">
        <v>62</v>
      </c>
      <c r="N719" s="97" t="s">
        <v>33</v>
      </c>
      <c r="O719">
        <v>171</v>
      </c>
      <c r="P719">
        <v>18.54</v>
      </c>
      <c r="Q719">
        <v>3.17</v>
      </c>
      <c r="R719" s="97" t="s">
        <v>1204</v>
      </c>
      <c r="S719" s="97" t="s">
        <v>195</v>
      </c>
    </row>
    <row r="720" spans="1:19" x14ac:dyDescent="0.3">
      <c r="A720" s="97" t="s">
        <v>983</v>
      </c>
      <c r="B720" s="97" t="s">
        <v>23</v>
      </c>
      <c r="C720">
        <v>2026</v>
      </c>
      <c r="D720">
        <v>1</v>
      </c>
      <c r="E720" s="2">
        <v>46047</v>
      </c>
      <c r="F720" s="97" t="s">
        <v>7</v>
      </c>
      <c r="G720" s="97" t="s">
        <v>8</v>
      </c>
      <c r="H720" s="97" t="s">
        <v>74</v>
      </c>
      <c r="I720" s="97" t="s">
        <v>82</v>
      </c>
      <c r="J720" s="97" t="s">
        <v>83</v>
      </c>
      <c r="K720" s="97" t="s">
        <v>73</v>
      </c>
      <c r="L720">
        <v>701000</v>
      </c>
      <c r="M720" s="97" t="s">
        <v>62</v>
      </c>
      <c r="N720" s="97" t="s">
        <v>33</v>
      </c>
      <c r="O720">
        <v>91</v>
      </c>
      <c r="P720">
        <v>18.46</v>
      </c>
      <c r="Q720">
        <v>1.68</v>
      </c>
      <c r="R720" s="97" t="s">
        <v>1203</v>
      </c>
      <c r="S720" s="97" t="s">
        <v>195</v>
      </c>
    </row>
    <row r="721" spans="1:19" x14ac:dyDescent="0.3">
      <c r="A721" s="97" t="s">
        <v>984</v>
      </c>
      <c r="B721" s="97" t="s">
        <v>23</v>
      </c>
      <c r="C721">
        <v>2026</v>
      </c>
      <c r="D721">
        <v>1</v>
      </c>
      <c r="E721" s="2">
        <v>46047</v>
      </c>
      <c r="F721" s="97" t="s">
        <v>7</v>
      </c>
      <c r="G721" s="97" t="s">
        <v>8</v>
      </c>
      <c r="H721" s="97" t="s">
        <v>74</v>
      </c>
      <c r="I721" s="97" t="s">
        <v>82</v>
      </c>
      <c r="J721" s="97" t="s">
        <v>83</v>
      </c>
      <c r="K721" s="97" t="s">
        <v>73</v>
      </c>
      <c r="L721">
        <v>701000</v>
      </c>
      <c r="M721" s="97" t="s">
        <v>62</v>
      </c>
      <c r="N721" s="97" t="s">
        <v>33</v>
      </c>
      <c r="O721">
        <v>316</v>
      </c>
      <c r="P721">
        <v>18.54</v>
      </c>
      <c r="Q721">
        <v>5.86</v>
      </c>
      <c r="R721" s="97" t="s">
        <v>1198</v>
      </c>
      <c r="S721" s="97" t="s">
        <v>195</v>
      </c>
    </row>
    <row r="722" spans="1:19" x14ac:dyDescent="0.3">
      <c r="A722" s="97" t="s">
        <v>370</v>
      </c>
      <c r="B722" s="97" t="s">
        <v>23</v>
      </c>
      <c r="C722">
        <v>2026</v>
      </c>
      <c r="D722">
        <v>1</v>
      </c>
      <c r="E722" s="2">
        <v>46048</v>
      </c>
      <c r="F722" s="97" t="s">
        <v>7</v>
      </c>
      <c r="G722" s="97" t="s">
        <v>8</v>
      </c>
      <c r="H722" s="97" t="s">
        <v>70</v>
      </c>
      <c r="I722" s="97" t="s">
        <v>71</v>
      </c>
      <c r="J722" s="97" t="s">
        <v>72</v>
      </c>
      <c r="K722" s="97" t="s">
        <v>73</v>
      </c>
      <c r="L722">
        <v>701000</v>
      </c>
      <c r="M722" s="97" t="s">
        <v>62</v>
      </c>
      <c r="N722" s="97" t="s">
        <v>33</v>
      </c>
      <c r="O722">
        <v>1258</v>
      </c>
      <c r="P722">
        <v>1.05</v>
      </c>
      <c r="Q722">
        <v>1.32</v>
      </c>
      <c r="R722" s="97" t="s">
        <v>1202</v>
      </c>
      <c r="S722" s="97" t="s">
        <v>195</v>
      </c>
    </row>
    <row r="723" spans="1:19" x14ac:dyDescent="0.3">
      <c r="A723" s="97" t="s">
        <v>371</v>
      </c>
      <c r="B723" s="97" t="s">
        <v>23</v>
      </c>
      <c r="C723">
        <v>2026</v>
      </c>
      <c r="D723">
        <v>1</v>
      </c>
      <c r="E723" s="2">
        <v>46048</v>
      </c>
      <c r="F723" s="97" t="s">
        <v>7</v>
      </c>
      <c r="G723" s="97" t="s">
        <v>8</v>
      </c>
      <c r="H723" s="97" t="s">
        <v>70</v>
      </c>
      <c r="I723" s="97" t="s">
        <v>71</v>
      </c>
      <c r="J723" s="97" t="s">
        <v>72</v>
      </c>
      <c r="K723" s="97" t="s">
        <v>73</v>
      </c>
      <c r="L723">
        <v>701000</v>
      </c>
      <c r="M723" s="97" t="s">
        <v>62</v>
      </c>
      <c r="N723" s="97" t="s">
        <v>33</v>
      </c>
      <c r="O723">
        <v>2498</v>
      </c>
      <c r="P723">
        <v>1.05</v>
      </c>
      <c r="Q723">
        <v>2.62</v>
      </c>
      <c r="R723" s="97" t="s">
        <v>1198</v>
      </c>
      <c r="S723" s="97" t="s">
        <v>195</v>
      </c>
    </row>
    <row r="724" spans="1:19" x14ac:dyDescent="0.3">
      <c r="A724" s="97" t="s">
        <v>372</v>
      </c>
      <c r="B724" s="97" t="s">
        <v>23</v>
      </c>
      <c r="C724">
        <v>2026</v>
      </c>
      <c r="D724">
        <v>1</v>
      </c>
      <c r="E724" s="2">
        <v>46048</v>
      </c>
      <c r="F724" s="97" t="s">
        <v>7</v>
      </c>
      <c r="G724" s="97" t="s">
        <v>8</v>
      </c>
      <c r="H724" s="97" t="s">
        <v>70</v>
      </c>
      <c r="I724" s="97" t="s">
        <v>71</v>
      </c>
      <c r="J724" s="97" t="s">
        <v>72</v>
      </c>
      <c r="K724" s="97" t="s">
        <v>73</v>
      </c>
      <c r="L724">
        <v>701000</v>
      </c>
      <c r="M724" s="97" t="s">
        <v>62</v>
      </c>
      <c r="N724" s="97" t="s">
        <v>33</v>
      </c>
      <c r="O724">
        <v>1204</v>
      </c>
      <c r="P724">
        <v>1.05</v>
      </c>
      <c r="Q724">
        <v>1.27</v>
      </c>
      <c r="R724" s="97" t="s">
        <v>1199</v>
      </c>
      <c r="S724" s="97" t="s">
        <v>195</v>
      </c>
    </row>
    <row r="725" spans="1:19" x14ac:dyDescent="0.3">
      <c r="A725" s="97" t="s">
        <v>373</v>
      </c>
      <c r="B725" s="97" t="s">
        <v>23</v>
      </c>
      <c r="C725">
        <v>2026</v>
      </c>
      <c r="D725">
        <v>1</v>
      </c>
      <c r="E725" s="2">
        <v>46048</v>
      </c>
      <c r="F725" s="97" t="s">
        <v>7</v>
      </c>
      <c r="G725" s="97" t="s">
        <v>8</v>
      </c>
      <c r="H725" s="97" t="s">
        <v>70</v>
      </c>
      <c r="I725" s="97" t="s">
        <v>71</v>
      </c>
      <c r="J725" s="97" t="s">
        <v>72</v>
      </c>
      <c r="K725" s="97" t="s">
        <v>73</v>
      </c>
      <c r="L725">
        <v>701000</v>
      </c>
      <c r="M725" s="97" t="s">
        <v>62</v>
      </c>
      <c r="N725" s="97" t="s">
        <v>33</v>
      </c>
      <c r="O725">
        <v>1411</v>
      </c>
      <c r="P725">
        <v>1.05</v>
      </c>
      <c r="Q725">
        <v>1.48</v>
      </c>
      <c r="R725" s="97" t="s">
        <v>1204</v>
      </c>
      <c r="S725" s="97" t="s">
        <v>195</v>
      </c>
    </row>
    <row r="726" spans="1:19" x14ac:dyDescent="0.3">
      <c r="A726" s="97" t="s">
        <v>374</v>
      </c>
      <c r="B726" s="97" t="s">
        <v>23</v>
      </c>
      <c r="C726">
        <v>2026</v>
      </c>
      <c r="D726">
        <v>1</v>
      </c>
      <c r="E726" s="2">
        <v>46048</v>
      </c>
      <c r="F726" s="97" t="s">
        <v>7</v>
      </c>
      <c r="G726" s="97" t="s">
        <v>8</v>
      </c>
      <c r="H726" s="97" t="s">
        <v>70</v>
      </c>
      <c r="I726" s="97" t="s">
        <v>71</v>
      </c>
      <c r="J726" s="97" t="s">
        <v>72</v>
      </c>
      <c r="K726" s="97" t="s">
        <v>73</v>
      </c>
      <c r="L726">
        <v>701000</v>
      </c>
      <c r="M726" s="97" t="s">
        <v>62</v>
      </c>
      <c r="N726" s="97" t="s">
        <v>33</v>
      </c>
      <c r="O726">
        <v>1273</v>
      </c>
      <c r="P726">
        <v>1.05</v>
      </c>
      <c r="Q726">
        <v>1.34</v>
      </c>
      <c r="R726" s="97" t="s">
        <v>1200</v>
      </c>
      <c r="S726" s="97" t="s">
        <v>195</v>
      </c>
    </row>
    <row r="727" spans="1:19" x14ac:dyDescent="0.3">
      <c r="A727" s="97" t="s">
        <v>455</v>
      </c>
      <c r="B727" s="97" t="s">
        <v>23</v>
      </c>
      <c r="C727">
        <v>2026</v>
      </c>
      <c r="D727">
        <v>1</v>
      </c>
      <c r="E727" s="2">
        <v>46048</v>
      </c>
      <c r="F727" s="97" t="s">
        <v>7</v>
      </c>
      <c r="G727" s="97" t="s">
        <v>8</v>
      </c>
      <c r="H727" s="97" t="s">
        <v>70</v>
      </c>
      <c r="I727" s="97" t="s">
        <v>71</v>
      </c>
      <c r="J727" s="97" t="s">
        <v>72</v>
      </c>
      <c r="K727" s="97" t="s">
        <v>73</v>
      </c>
      <c r="L727">
        <v>701000</v>
      </c>
      <c r="M727" s="97" t="s">
        <v>62</v>
      </c>
      <c r="N727" s="97" t="s">
        <v>33</v>
      </c>
      <c r="O727">
        <v>1198</v>
      </c>
      <c r="P727">
        <v>1.05</v>
      </c>
      <c r="Q727">
        <v>1.26</v>
      </c>
      <c r="R727" s="97" t="s">
        <v>1202</v>
      </c>
      <c r="S727" s="97" t="s">
        <v>195</v>
      </c>
    </row>
    <row r="728" spans="1:19" x14ac:dyDescent="0.3">
      <c r="A728" s="97" t="s">
        <v>456</v>
      </c>
      <c r="B728" s="97" t="s">
        <v>23</v>
      </c>
      <c r="C728">
        <v>2026</v>
      </c>
      <c r="D728">
        <v>1</v>
      </c>
      <c r="E728" s="2">
        <v>46048</v>
      </c>
      <c r="F728" s="97" t="s">
        <v>7</v>
      </c>
      <c r="G728" s="97" t="s">
        <v>8</v>
      </c>
      <c r="H728" s="97" t="s">
        <v>70</v>
      </c>
      <c r="I728" s="97" t="s">
        <v>71</v>
      </c>
      <c r="J728" s="97" t="s">
        <v>72</v>
      </c>
      <c r="K728" s="97" t="s">
        <v>73</v>
      </c>
      <c r="L728">
        <v>701000</v>
      </c>
      <c r="M728" s="97" t="s">
        <v>62</v>
      </c>
      <c r="N728" s="97" t="s">
        <v>33</v>
      </c>
      <c r="O728">
        <v>535</v>
      </c>
      <c r="P728">
        <v>1.05</v>
      </c>
      <c r="Q728">
        <v>0.56000000000000005</v>
      </c>
      <c r="R728" s="97" t="s">
        <v>1200</v>
      </c>
      <c r="S728" s="97" t="s">
        <v>195</v>
      </c>
    </row>
    <row r="729" spans="1:19" x14ac:dyDescent="0.3">
      <c r="A729" s="97" t="s">
        <v>457</v>
      </c>
      <c r="B729" s="97" t="s">
        <v>23</v>
      </c>
      <c r="C729">
        <v>2026</v>
      </c>
      <c r="D729">
        <v>1</v>
      </c>
      <c r="E729" s="2">
        <v>46048</v>
      </c>
      <c r="F729" s="97" t="s">
        <v>7</v>
      </c>
      <c r="G729" s="97" t="s">
        <v>8</v>
      </c>
      <c r="H729" s="97" t="s">
        <v>70</v>
      </c>
      <c r="I729" s="97" t="s">
        <v>71</v>
      </c>
      <c r="J729" s="97" t="s">
        <v>72</v>
      </c>
      <c r="K729" s="97" t="s">
        <v>73</v>
      </c>
      <c r="L729">
        <v>701000</v>
      </c>
      <c r="M729" s="97" t="s">
        <v>62</v>
      </c>
      <c r="N729" s="97" t="s">
        <v>33</v>
      </c>
      <c r="O729">
        <v>5691</v>
      </c>
      <c r="P729">
        <v>1.05</v>
      </c>
      <c r="Q729">
        <v>5.97</v>
      </c>
      <c r="R729" s="97" t="s">
        <v>1203</v>
      </c>
      <c r="S729" s="97" t="s">
        <v>195</v>
      </c>
    </row>
    <row r="730" spans="1:19" x14ac:dyDescent="0.3">
      <c r="A730" s="97" t="s">
        <v>458</v>
      </c>
      <c r="B730" s="97" t="s">
        <v>23</v>
      </c>
      <c r="C730">
        <v>2026</v>
      </c>
      <c r="D730">
        <v>1</v>
      </c>
      <c r="E730" s="2">
        <v>46048</v>
      </c>
      <c r="F730" s="97" t="s">
        <v>7</v>
      </c>
      <c r="G730" s="97" t="s">
        <v>8</v>
      </c>
      <c r="H730" s="97" t="s">
        <v>70</v>
      </c>
      <c r="I730" s="97" t="s">
        <v>71</v>
      </c>
      <c r="J730" s="97" t="s">
        <v>72</v>
      </c>
      <c r="K730" s="97" t="s">
        <v>73</v>
      </c>
      <c r="L730">
        <v>701000</v>
      </c>
      <c r="M730" s="97" t="s">
        <v>62</v>
      </c>
      <c r="N730" s="97" t="s">
        <v>33</v>
      </c>
      <c r="O730">
        <v>384</v>
      </c>
      <c r="P730">
        <v>1.04</v>
      </c>
      <c r="Q730">
        <v>0.4</v>
      </c>
      <c r="R730" s="97" t="s">
        <v>1201</v>
      </c>
      <c r="S730" s="97" t="s">
        <v>195</v>
      </c>
    </row>
    <row r="731" spans="1:19" x14ac:dyDescent="0.3">
      <c r="A731" s="97" t="s">
        <v>459</v>
      </c>
      <c r="B731" s="97" t="s">
        <v>23</v>
      </c>
      <c r="C731">
        <v>2026</v>
      </c>
      <c r="D731">
        <v>1</v>
      </c>
      <c r="E731" s="2">
        <v>46048</v>
      </c>
      <c r="F731" s="97" t="s">
        <v>7</v>
      </c>
      <c r="G731" s="97" t="s">
        <v>8</v>
      </c>
      <c r="H731" s="97" t="s">
        <v>70</v>
      </c>
      <c r="I731" s="97" t="s">
        <v>71</v>
      </c>
      <c r="J731" s="97" t="s">
        <v>72</v>
      </c>
      <c r="K731" s="97" t="s">
        <v>73</v>
      </c>
      <c r="L731">
        <v>701000</v>
      </c>
      <c r="M731" s="97" t="s">
        <v>62</v>
      </c>
      <c r="N731" s="97" t="s">
        <v>33</v>
      </c>
      <c r="O731">
        <v>1214</v>
      </c>
      <c r="P731">
        <v>1.05</v>
      </c>
      <c r="Q731">
        <v>1.28</v>
      </c>
      <c r="R731" s="97" t="s">
        <v>1205</v>
      </c>
      <c r="S731" s="97" t="s">
        <v>195</v>
      </c>
    </row>
    <row r="732" spans="1:19" x14ac:dyDescent="0.3">
      <c r="A732" s="97" t="s">
        <v>590</v>
      </c>
      <c r="B732" s="97" t="s">
        <v>23</v>
      </c>
      <c r="C732">
        <v>2026</v>
      </c>
      <c r="D732">
        <v>1</v>
      </c>
      <c r="E732" s="2">
        <v>46048</v>
      </c>
      <c r="F732" s="97" t="s">
        <v>7</v>
      </c>
      <c r="G732" s="97" t="s">
        <v>8</v>
      </c>
      <c r="H732" s="97" t="s">
        <v>74</v>
      </c>
      <c r="I732" s="97" t="s">
        <v>75</v>
      </c>
      <c r="J732" s="97" t="s">
        <v>76</v>
      </c>
      <c r="K732" s="97" t="s">
        <v>73</v>
      </c>
      <c r="L732">
        <v>701000</v>
      </c>
      <c r="M732" s="97" t="s">
        <v>62</v>
      </c>
      <c r="N732" s="97" t="s">
        <v>33</v>
      </c>
      <c r="O732">
        <v>1825</v>
      </c>
      <c r="P732">
        <v>1.4</v>
      </c>
      <c r="Q732">
        <v>2.56</v>
      </c>
      <c r="R732" s="97" t="s">
        <v>1201</v>
      </c>
      <c r="S732" s="97" t="s">
        <v>195</v>
      </c>
    </row>
    <row r="733" spans="1:19" x14ac:dyDescent="0.3">
      <c r="A733" s="97" t="s">
        <v>591</v>
      </c>
      <c r="B733" s="97" t="s">
        <v>23</v>
      </c>
      <c r="C733">
        <v>2026</v>
      </c>
      <c r="D733">
        <v>1</v>
      </c>
      <c r="E733" s="2">
        <v>46048</v>
      </c>
      <c r="F733" s="97" t="s">
        <v>7</v>
      </c>
      <c r="G733" s="97" t="s">
        <v>8</v>
      </c>
      <c r="H733" s="97" t="s">
        <v>74</v>
      </c>
      <c r="I733" s="97" t="s">
        <v>75</v>
      </c>
      <c r="J733" s="97" t="s">
        <v>76</v>
      </c>
      <c r="K733" s="97" t="s">
        <v>73</v>
      </c>
      <c r="L733">
        <v>701000</v>
      </c>
      <c r="M733" s="97" t="s">
        <v>62</v>
      </c>
      <c r="N733" s="97" t="s">
        <v>33</v>
      </c>
      <c r="O733">
        <v>2230</v>
      </c>
      <c r="P733">
        <v>1.4</v>
      </c>
      <c r="Q733">
        <v>3.12</v>
      </c>
      <c r="R733" s="97" t="s">
        <v>1199</v>
      </c>
      <c r="S733" s="97" t="s">
        <v>195</v>
      </c>
    </row>
    <row r="734" spans="1:19" x14ac:dyDescent="0.3">
      <c r="A734" s="97" t="s">
        <v>592</v>
      </c>
      <c r="B734" s="97" t="s">
        <v>23</v>
      </c>
      <c r="C734">
        <v>2026</v>
      </c>
      <c r="D734">
        <v>1</v>
      </c>
      <c r="E734" s="2">
        <v>46048</v>
      </c>
      <c r="F734" s="97" t="s">
        <v>7</v>
      </c>
      <c r="G734" s="97" t="s">
        <v>8</v>
      </c>
      <c r="H734" s="97" t="s">
        <v>74</v>
      </c>
      <c r="I734" s="97" t="s">
        <v>75</v>
      </c>
      <c r="J734" s="97" t="s">
        <v>76</v>
      </c>
      <c r="K734" s="97" t="s">
        <v>73</v>
      </c>
      <c r="L734">
        <v>701000</v>
      </c>
      <c r="M734" s="97" t="s">
        <v>62</v>
      </c>
      <c r="N734" s="97" t="s">
        <v>33</v>
      </c>
      <c r="O734">
        <v>1011</v>
      </c>
      <c r="P734">
        <v>1.4</v>
      </c>
      <c r="Q734">
        <v>1.42</v>
      </c>
      <c r="R734" s="97" t="s">
        <v>1202</v>
      </c>
      <c r="S734" s="97" t="s">
        <v>195</v>
      </c>
    </row>
    <row r="735" spans="1:19" x14ac:dyDescent="0.3">
      <c r="A735" s="97" t="s">
        <v>593</v>
      </c>
      <c r="B735" s="97" t="s">
        <v>23</v>
      </c>
      <c r="C735">
        <v>2026</v>
      </c>
      <c r="D735">
        <v>1</v>
      </c>
      <c r="E735" s="2">
        <v>46048</v>
      </c>
      <c r="F735" s="97" t="s">
        <v>7</v>
      </c>
      <c r="G735" s="97" t="s">
        <v>8</v>
      </c>
      <c r="H735" s="97" t="s">
        <v>74</v>
      </c>
      <c r="I735" s="97" t="s">
        <v>75</v>
      </c>
      <c r="J735" s="97" t="s">
        <v>76</v>
      </c>
      <c r="K735" s="97" t="s">
        <v>73</v>
      </c>
      <c r="L735">
        <v>701000</v>
      </c>
      <c r="M735" s="97" t="s">
        <v>62</v>
      </c>
      <c r="N735" s="97" t="s">
        <v>33</v>
      </c>
      <c r="O735">
        <v>1008</v>
      </c>
      <c r="P735">
        <v>1.4</v>
      </c>
      <c r="Q735">
        <v>1.41</v>
      </c>
      <c r="R735" s="97" t="s">
        <v>1197</v>
      </c>
      <c r="S735" s="97" t="s">
        <v>195</v>
      </c>
    </row>
    <row r="736" spans="1:19" x14ac:dyDescent="0.3">
      <c r="A736" s="97" t="s">
        <v>594</v>
      </c>
      <c r="B736" s="97" t="s">
        <v>23</v>
      </c>
      <c r="C736">
        <v>2026</v>
      </c>
      <c r="D736">
        <v>1</v>
      </c>
      <c r="E736" s="2">
        <v>46048</v>
      </c>
      <c r="F736" s="97" t="s">
        <v>7</v>
      </c>
      <c r="G736" s="97" t="s">
        <v>8</v>
      </c>
      <c r="H736" s="97" t="s">
        <v>74</v>
      </c>
      <c r="I736" s="97" t="s">
        <v>75</v>
      </c>
      <c r="J736" s="97" t="s">
        <v>76</v>
      </c>
      <c r="K736" s="97" t="s">
        <v>73</v>
      </c>
      <c r="L736">
        <v>701000</v>
      </c>
      <c r="M736" s="97" t="s">
        <v>62</v>
      </c>
      <c r="N736" s="97" t="s">
        <v>33</v>
      </c>
      <c r="O736">
        <v>445</v>
      </c>
      <c r="P736">
        <v>1.39</v>
      </c>
      <c r="Q736">
        <v>0.62</v>
      </c>
      <c r="R736" s="97" t="s">
        <v>1204</v>
      </c>
      <c r="S736" s="97" t="s">
        <v>195</v>
      </c>
    </row>
    <row r="737" spans="1:19" x14ac:dyDescent="0.3">
      <c r="A737" s="97" t="s">
        <v>650</v>
      </c>
      <c r="B737" s="97" t="s">
        <v>23</v>
      </c>
      <c r="C737">
        <v>2026</v>
      </c>
      <c r="D737">
        <v>1</v>
      </c>
      <c r="E737" s="2">
        <v>46048</v>
      </c>
      <c r="F737" s="97" t="s">
        <v>7</v>
      </c>
      <c r="G737" s="97" t="s">
        <v>8</v>
      </c>
      <c r="H737" s="97" t="s">
        <v>74</v>
      </c>
      <c r="I737" s="97" t="s">
        <v>75</v>
      </c>
      <c r="J737" s="97" t="s">
        <v>76</v>
      </c>
      <c r="K737" s="97" t="s">
        <v>73</v>
      </c>
      <c r="L737">
        <v>701000</v>
      </c>
      <c r="M737" s="97" t="s">
        <v>62</v>
      </c>
      <c r="N737" s="97" t="s">
        <v>33</v>
      </c>
      <c r="O737">
        <v>1837</v>
      </c>
      <c r="P737">
        <v>1.4</v>
      </c>
      <c r="Q737">
        <v>2.57</v>
      </c>
      <c r="R737" s="97" t="s">
        <v>1204</v>
      </c>
      <c r="S737" s="97" t="s">
        <v>195</v>
      </c>
    </row>
    <row r="738" spans="1:19" x14ac:dyDescent="0.3">
      <c r="A738" s="97" t="s">
        <v>651</v>
      </c>
      <c r="B738" s="97" t="s">
        <v>23</v>
      </c>
      <c r="C738">
        <v>2026</v>
      </c>
      <c r="D738">
        <v>1</v>
      </c>
      <c r="E738" s="2">
        <v>46048</v>
      </c>
      <c r="F738" s="97" t="s">
        <v>7</v>
      </c>
      <c r="G738" s="97" t="s">
        <v>8</v>
      </c>
      <c r="H738" s="97" t="s">
        <v>74</v>
      </c>
      <c r="I738" s="97" t="s">
        <v>75</v>
      </c>
      <c r="J738" s="97" t="s">
        <v>76</v>
      </c>
      <c r="K738" s="97" t="s">
        <v>73</v>
      </c>
      <c r="L738">
        <v>701000</v>
      </c>
      <c r="M738" s="97" t="s">
        <v>62</v>
      </c>
      <c r="N738" s="97" t="s">
        <v>33</v>
      </c>
      <c r="O738">
        <v>1842</v>
      </c>
      <c r="P738">
        <v>1.4</v>
      </c>
      <c r="Q738">
        <v>2.58</v>
      </c>
      <c r="R738" s="97" t="s">
        <v>1197</v>
      </c>
      <c r="S738" s="97" t="s">
        <v>195</v>
      </c>
    </row>
    <row r="739" spans="1:19" x14ac:dyDescent="0.3">
      <c r="A739" s="97" t="s">
        <v>652</v>
      </c>
      <c r="B739" s="97" t="s">
        <v>23</v>
      </c>
      <c r="C739">
        <v>2026</v>
      </c>
      <c r="D739">
        <v>1</v>
      </c>
      <c r="E739" s="2">
        <v>46048</v>
      </c>
      <c r="F739" s="97" t="s">
        <v>7</v>
      </c>
      <c r="G739" s="97" t="s">
        <v>8</v>
      </c>
      <c r="H739" s="97" t="s">
        <v>74</v>
      </c>
      <c r="I739" s="97" t="s">
        <v>75</v>
      </c>
      <c r="J739" s="97" t="s">
        <v>76</v>
      </c>
      <c r="K739" s="97" t="s">
        <v>73</v>
      </c>
      <c r="L739">
        <v>701000</v>
      </c>
      <c r="M739" s="97" t="s">
        <v>62</v>
      </c>
      <c r="N739" s="97" t="s">
        <v>33</v>
      </c>
      <c r="O739">
        <v>690</v>
      </c>
      <c r="P739">
        <v>1.41</v>
      </c>
      <c r="Q739">
        <v>0.97</v>
      </c>
      <c r="R739" s="97" t="s">
        <v>1200</v>
      </c>
      <c r="S739" s="97" t="s">
        <v>195</v>
      </c>
    </row>
    <row r="740" spans="1:19" x14ac:dyDescent="0.3">
      <c r="A740" s="97" t="s">
        <v>653</v>
      </c>
      <c r="B740" s="97" t="s">
        <v>23</v>
      </c>
      <c r="C740">
        <v>2026</v>
      </c>
      <c r="D740">
        <v>1</v>
      </c>
      <c r="E740" s="2">
        <v>46048</v>
      </c>
      <c r="F740" s="97" t="s">
        <v>7</v>
      </c>
      <c r="G740" s="97" t="s">
        <v>8</v>
      </c>
      <c r="H740" s="97" t="s">
        <v>74</v>
      </c>
      <c r="I740" s="97" t="s">
        <v>75</v>
      </c>
      <c r="J740" s="97" t="s">
        <v>76</v>
      </c>
      <c r="K740" s="97" t="s">
        <v>73</v>
      </c>
      <c r="L740">
        <v>701000</v>
      </c>
      <c r="M740" s="97" t="s">
        <v>62</v>
      </c>
      <c r="N740" s="97" t="s">
        <v>33</v>
      </c>
      <c r="O740">
        <v>1321</v>
      </c>
      <c r="P740">
        <v>1.4</v>
      </c>
      <c r="Q740">
        <v>1.85</v>
      </c>
      <c r="R740" s="97" t="s">
        <v>1199</v>
      </c>
      <c r="S740" s="97" t="s">
        <v>195</v>
      </c>
    </row>
    <row r="741" spans="1:19" x14ac:dyDescent="0.3">
      <c r="A741" s="97" t="s">
        <v>654</v>
      </c>
      <c r="B741" s="97" t="s">
        <v>23</v>
      </c>
      <c r="C741">
        <v>2026</v>
      </c>
      <c r="D741">
        <v>1</v>
      </c>
      <c r="E741" s="2">
        <v>46048</v>
      </c>
      <c r="F741" s="97" t="s">
        <v>7</v>
      </c>
      <c r="G741" s="97" t="s">
        <v>8</v>
      </c>
      <c r="H741" s="97" t="s">
        <v>74</v>
      </c>
      <c r="I741" s="97" t="s">
        <v>75</v>
      </c>
      <c r="J741" s="97" t="s">
        <v>76</v>
      </c>
      <c r="K741" s="97" t="s">
        <v>73</v>
      </c>
      <c r="L741">
        <v>701000</v>
      </c>
      <c r="M741" s="97" t="s">
        <v>62</v>
      </c>
      <c r="N741" s="97" t="s">
        <v>33</v>
      </c>
      <c r="O741">
        <v>575</v>
      </c>
      <c r="P741">
        <v>1.39</v>
      </c>
      <c r="Q741">
        <v>0.8</v>
      </c>
      <c r="R741" s="97" t="s">
        <v>1205</v>
      </c>
      <c r="S741" s="97" t="s">
        <v>195</v>
      </c>
    </row>
    <row r="742" spans="1:19" x14ac:dyDescent="0.3">
      <c r="A742" s="97" t="s">
        <v>995</v>
      </c>
      <c r="B742" s="97" t="s">
        <v>23</v>
      </c>
      <c r="C742">
        <v>2026</v>
      </c>
      <c r="D742">
        <v>1</v>
      </c>
      <c r="E742" s="2">
        <v>46048</v>
      </c>
      <c r="F742" s="97" t="s">
        <v>7</v>
      </c>
      <c r="G742" s="97" t="s">
        <v>8</v>
      </c>
      <c r="H742" s="97" t="s">
        <v>70</v>
      </c>
      <c r="I742" s="97" t="s">
        <v>82</v>
      </c>
      <c r="J742" s="97" t="s">
        <v>83</v>
      </c>
      <c r="K742" s="97" t="s">
        <v>73</v>
      </c>
      <c r="L742">
        <v>701000</v>
      </c>
      <c r="M742" s="97" t="s">
        <v>62</v>
      </c>
      <c r="N742" s="97" t="s">
        <v>33</v>
      </c>
      <c r="O742">
        <v>110</v>
      </c>
      <c r="P742">
        <v>18.45</v>
      </c>
      <c r="Q742">
        <v>2.0299999999999998</v>
      </c>
      <c r="R742" s="97" t="s">
        <v>1198</v>
      </c>
      <c r="S742" s="97" t="s">
        <v>195</v>
      </c>
    </row>
    <row r="743" spans="1:19" x14ac:dyDescent="0.3">
      <c r="A743" s="97" t="s">
        <v>996</v>
      </c>
      <c r="B743" s="97" t="s">
        <v>23</v>
      </c>
      <c r="C743">
        <v>2026</v>
      </c>
      <c r="D743">
        <v>1</v>
      </c>
      <c r="E743" s="2">
        <v>46048</v>
      </c>
      <c r="F743" s="97" t="s">
        <v>7</v>
      </c>
      <c r="G743" s="97" t="s">
        <v>8</v>
      </c>
      <c r="H743" s="97" t="s">
        <v>70</v>
      </c>
      <c r="I743" s="97" t="s">
        <v>82</v>
      </c>
      <c r="J743" s="97" t="s">
        <v>83</v>
      </c>
      <c r="K743" s="97" t="s">
        <v>73</v>
      </c>
      <c r="L743">
        <v>701000</v>
      </c>
      <c r="M743" s="97" t="s">
        <v>62</v>
      </c>
      <c r="N743" s="97" t="s">
        <v>33</v>
      </c>
      <c r="O743">
        <v>132</v>
      </c>
      <c r="P743">
        <v>18.41</v>
      </c>
      <c r="Q743">
        <v>2.4300000000000002</v>
      </c>
      <c r="R743" s="97" t="s">
        <v>1203</v>
      </c>
      <c r="S743" s="97" t="s">
        <v>195</v>
      </c>
    </row>
    <row r="744" spans="1:19" x14ac:dyDescent="0.3">
      <c r="A744" s="97" t="s">
        <v>997</v>
      </c>
      <c r="B744" s="97" t="s">
        <v>23</v>
      </c>
      <c r="C744">
        <v>2026</v>
      </c>
      <c r="D744">
        <v>1</v>
      </c>
      <c r="E744" s="2">
        <v>46048</v>
      </c>
      <c r="F744" s="97" t="s">
        <v>7</v>
      </c>
      <c r="G744" s="97" t="s">
        <v>8</v>
      </c>
      <c r="H744" s="97" t="s">
        <v>70</v>
      </c>
      <c r="I744" s="97" t="s">
        <v>82</v>
      </c>
      <c r="J744" s="97" t="s">
        <v>83</v>
      </c>
      <c r="K744" s="97" t="s">
        <v>73</v>
      </c>
      <c r="L744">
        <v>701000</v>
      </c>
      <c r="M744" s="97" t="s">
        <v>62</v>
      </c>
      <c r="N744" s="97" t="s">
        <v>33</v>
      </c>
      <c r="O744">
        <v>130</v>
      </c>
      <c r="P744">
        <v>18.54</v>
      </c>
      <c r="Q744">
        <v>2.41</v>
      </c>
      <c r="R744" s="97" t="s">
        <v>1200</v>
      </c>
      <c r="S744" s="97" t="s">
        <v>195</v>
      </c>
    </row>
    <row r="745" spans="1:19" x14ac:dyDescent="0.3">
      <c r="A745" s="97" t="s">
        <v>998</v>
      </c>
      <c r="B745" s="97" t="s">
        <v>23</v>
      </c>
      <c r="C745">
        <v>2026</v>
      </c>
      <c r="D745">
        <v>1</v>
      </c>
      <c r="E745" s="2">
        <v>46048</v>
      </c>
      <c r="F745" s="97" t="s">
        <v>7</v>
      </c>
      <c r="G745" s="97" t="s">
        <v>8</v>
      </c>
      <c r="H745" s="97" t="s">
        <v>70</v>
      </c>
      <c r="I745" s="97" t="s">
        <v>82</v>
      </c>
      <c r="J745" s="97" t="s">
        <v>83</v>
      </c>
      <c r="K745" s="97" t="s">
        <v>73</v>
      </c>
      <c r="L745">
        <v>701000</v>
      </c>
      <c r="M745" s="97" t="s">
        <v>62</v>
      </c>
      <c r="N745" s="97" t="s">
        <v>33</v>
      </c>
      <c r="O745">
        <v>156</v>
      </c>
      <c r="P745">
        <v>18.46</v>
      </c>
      <c r="Q745">
        <v>2.88</v>
      </c>
      <c r="R745" s="97" t="s">
        <v>1204</v>
      </c>
      <c r="S745" s="97" t="s">
        <v>195</v>
      </c>
    </row>
    <row r="746" spans="1:19" x14ac:dyDescent="0.3">
      <c r="A746" s="97" t="s">
        <v>999</v>
      </c>
      <c r="B746" s="97" t="s">
        <v>23</v>
      </c>
      <c r="C746">
        <v>2026</v>
      </c>
      <c r="D746">
        <v>1</v>
      </c>
      <c r="E746" s="2">
        <v>46048</v>
      </c>
      <c r="F746" s="97" t="s">
        <v>7</v>
      </c>
      <c r="G746" s="97" t="s">
        <v>8</v>
      </c>
      <c r="H746" s="97" t="s">
        <v>70</v>
      </c>
      <c r="I746" s="97" t="s">
        <v>82</v>
      </c>
      <c r="J746" s="97" t="s">
        <v>83</v>
      </c>
      <c r="K746" s="97" t="s">
        <v>73</v>
      </c>
      <c r="L746">
        <v>701000</v>
      </c>
      <c r="M746" s="97" t="s">
        <v>62</v>
      </c>
      <c r="N746" s="97" t="s">
        <v>33</v>
      </c>
      <c r="O746">
        <v>185</v>
      </c>
      <c r="P746">
        <v>18.59</v>
      </c>
      <c r="Q746">
        <v>3.44</v>
      </c>
      <c r="R746" s="97" t="s">
        <v>1202</v>
      </c>
      <c r="S746" s="97" t="s">
        <v>195</v>
      </c>
    </row>
    <row r="747" spans="1:19" x14ac:dyDescent="0.3">
      <c r="A747" s="97" t="s">
        <v>395</v>
      </c>
      <c r="B747" s="97" t="s">
        <v>23</v>
      </c>
      <c r="C747">
        <v>2026</v>
      </c>
      <c r="D747">
        <v>1</v>
      </c>
      <c r="E747" s="2">
        <v>46049</v>
      </c>
      <c r="F747" s="97" t="s">
        <v>7</v>
      </c>
      <c r="G747" s="97" t="s">
        <v>8</v>
      </c>
      <c r="H747" s="97" t="s">
        <v>70</v>
      </c>
      <c r="I747" s="97" t="s">
        <v>71</v>
      </c>
      <c r="J747" s="97" t="s">
        <v>72</v>
      </c>
      <c r="K747" s="97" t="s">
        <v>73</v>
      </c>
      <c r="L747">
        <v>701000</v>
      </c>
      <c r="M747" s="97" t="s">
        <v>62</v>
      </c>
      <c r="N747" s="97" t="s">
        <v>33</v>
      </c>
      <c r="O747">
        <v>1158</v>
      </c>
      <c r="P747">
        <v>1.05</v>
      </c>
      <c r="Q747">
        <v>1.22</v>
      </c>
      <c r="R747" s="97" t="s">
        <v>1203</v>
      </c>
      <c r="S747" s="97" t="s">
        <v>195</v>
      </c>
    </row>
    <row r="748" spans="1:19" x14ac:dyDescent="0.3">
      <c r="A748" s="97" t="s">
        <v>396</v>
      </c>
      <c r="B748" s="97" t="s">
        <v>23</v>
      </c>
      <c r="C748">
        <v>2026</v>
      </c>
      <c r="D748">
        <v>1</v>
      </c>
      <c r="E748" s="2">
        <v>46049</v>
      </c>
      <c r="F748" s="97" t="s">
        <v>7</v>
      </c>
      <c r="G748" s="97" t="s">
        <v>8</v>
      </c>
      <c r="H748" s="97" t="s">
        <v>70</v>
      </c>
      <c r="I748" s="97" t="s">
        <v>71</v>
      </c>
      <c r="J748" s="97" t="s">
        <v>72</v>
      </c>
      <c r="K748" s="97" t="s">
        <v>73</v>
      </c>
      <c r="L748">
        <v>701000</v>
      </c>
      <c r="M748" s="97" t="s">
        <v>62</v>
      </c>
      <c r="N748" s="97" t="s">
        <v>33</v>
      </c>
      <c r="O748">
        <v>1243</v>
      </c>
      <c r="P748">
        <v>1.05</v>
      </c>
      <c r="Q748">
        <v>1.31</v>
      </c>
      <c r="R748" s="97" t="s">
        <v>1204</v>
      </c>
      <c r="S748" s="97" t="s">
        <v>195</v>
      </c>
    </row>
    <row r="749" spans="1:19" x14ac:dyDescent="0.3">
      <c r="A749" s="97" t="s">
        <v>397</v>
      </c>
      <c r="B749" s="97" t="s">
        <v>23</v>
      </c>
      <c r="C749">
        <v>2026</v>
      </c>
      <c r="D749">
        <v>1</v>
      </c>
      <c r="E749" s="2">
        <v>46049</v>
      </c>
      <c r="F749" s="97" t="s">
        <v>7</v>
      </c>
      <c r="G749" s="97" t="s">
        <v>8</v>
      </c>
      <c r="H749" s="97" t="s">
        <v>70</v>
      </c>
      <c r="I749" s="97" t="s">
        <v>71</v>
      </c>
      <c r="J749" s="97" t="s">
        <v>72</v>
      </c>
      <c r="K749" s="97" t="s">
        <v>73</v>
      </c>
      <c r="L749">
        <v>701000</v>
      </c>
      <c r="M749" s="97" t="s">
        <v>62</v>
      </c>
      <c r="N749" s="97" t="s">
        <v>33</v>
      </c>
      <c r="O749">
        <v>1778</v>
      </c>
      <c r="P749">
        <v>1.05</v>
      </c>
      <c r="Q749">
        <v>1.87</v>
      </c>
      <c r="R749" s="97" t="s">
        <v>1202</v>
      </c>
      <c r="S749" s="97" t="s">
        <v>195</v>
      </c>
    </row>
    <row r="750" spans="1:19" x14ac:dyDescent="0.3">
      <c r="A750" s="97" t="s">
        <v>398</v>
      </c>
      <c r="B750" s="97" t="s">
        <v>23</v>
      </c>
      <c r="C750">
        <v>2026</v>
      </c>
      <c r="D750">
        <v>1</v>
      </c>
      <c r="E750" s="2">
        <v>46049</v>
      </c>
      <c r="F750" s="97" t="s">
        <v>7</v>
      </c>
      <c r="G750" s="97" t="s">
        <v>8</v>
      </c>
      <c r="H750" s="97" t="s">
        <v>70</v>
      </c>
      <c r="I750" s="97" t="s">
        <v>71</v>
      </c>
      <c r="J750" s="97" t="s">
        <v>72</v>
      </c>
      <c r="K750" s="97" t="s">
        <v>73</v>
      </c>
      <c r="L750">
        <v>701000</v>
      </c>
      <c r="M750" s="97" t="s">
        <v>62</v>
      </c>
      <c r="N750" s="97" t="s">
        <v>33</v>
      </c>
      <c r="O750">
        <v>2771</v>
      </c>
      <c r="P750">
        <v>1.05</v>
      </c>
      <c r="Q750">
        <v>2.91</v>
      </c>
      <c r="R750" s="97" t="s">
        <v>1205</v>
      </c>
      <c r="S750" s="97" t="s">
        <v>195</v>
      </c>
    </row>
    <row r="751" spans="1:19" x14ac:dyDescent="0.3">
      <c r="A751" s="97" t="s">
        <v>399</v>
      </c>
      <c r="B751" s="97" t="s">
        <v>23</v>
      </c>
      <c r="C751">
        <v>2026</v>
      </c>
      <c r="D751">
        <v>1</v>
      </c>
      <c r="E751" s="2">
        <v>46049</v>
      </c>
      <c r="F751" s="97" t="s">
        <v>7</v>
      </c>
      <c r="G751" s="97" t="s">
        <v>8</v>
      </c>
      <c r="H751" s="97" t="s">
        <v>70</v>
      </c>
      <c r="I751" s="97" t="s">
        <v>71</v>
      </c>
      <c r="J751" s="97" t="s">
        <v>72</v>
      </c>
      <c r="K751" s="97" t="s">
        <v>73</v>
      </c>
      <c r="L751">
        <v>701000</v>
      </c>
      <c r="M751" s="97" t="s">
        <v>62</v>
      </c>
      <c r="N751" s="97" t="s">
        <v>33</v>
      </c>
      <c r="O751">
        <v>2326</v>
      </c>
      <c r="P751">
        <v>1.04</v>
      </c>
      <c r="Q751">
        <v>2.4300000000000002</v>
      </c>
      <c r="R751" s="97" t="s">
        <v>1200</v>
      </c>
      <c r="S751" s="97" t="s">
        <v>195</v>
      </c>
    </row>
    <row r="752" spans="1:19" x14ac:dyDescent="0.3">
      <c r="A752" s="97" t="s">
        <v>535</v>
      </c>
      <c r="B752" s="97" t="s">
        <v>23</v>
      </c>
      <c r="C752">
        <v>2026</v>
      </c>
      <c r="D752">
        <v>1</v>
      </c>
      <c r="E752" s="2">
        <v>46049</v>
      </c>
      <c r="F752" s="97" t="s">
        <v>7</v>
      </c>
      <c r="G752" s="97" t="s">
        <v>8</v>
      </c>
      <c r="H752" s="97" t="s">
        <v>70</v>
      </c>
      <c r="I752" s="97" t="s">
        <v>75</v>
      </c>
      <c r="J752" s="97" t="s">
        <v>76</v>
      </c>
      <c r="K752" s="97" t="s">
        <v>73</v>
      </c>
      <c r="L752">
        <v>701000</v>
      </c>
      <c r="M752" s="97" t="s">
        <v>62</v>
      </c>
      <c r="N752" s="97" t="s">
        <v>33</v>
      </c>
      <c r="O752">
        <v>1697</v>
      </c>
      <c r="P752">
        <v>1.4</v>
      </c>
      <c r="Q752">
        <v>2.38</v>
      </c>
      <c r="R752" s="97" t="s">
        <v>1201</v>
      </c>
      <c r="S752" s="97" t="s">
        <v>195</v>
      </c>
    </row>
    <row r="753" spans="1:19" x14ac:dyDescent="0.3">
      <c r="A753" s="97" t="s">
        <v>536</v>
      </c>
      <c r="B753" s="97" t="s">
        <v>23</v>
      </c>
      <c r="C753">
        <v>2026</v>
      </c>
      <c r="D753">
        <v>1</v>
      </c>
      <c r="E753" s="2">
        <v>46049</v>
      </c>
      <c r="F753" s="97" t="s">
        <v>7</v>
      </c>
      <c r="G753" s="97" t="s">
        <v>8</v>
      </c>
      <c r="H753" s="97" t="s">
        <v>70</v>
      </c>
      <c r="I753" s="97" t="s">
        <v>75</v>
      </c>
      <c r="J753" s="97" t="s">
        <v>76</v>
      </c>
      <c r="K753" s="97" t="s">
        <v>73</v>
      </c>
      <c r="L753">
        <v>701000</v>
      </c>
      <c r="M753" s="97" t="s">
        <v>62</v>
      </c>
      <c r="N753" s="97" t="s">
        <v>33</v>
      </c>
      <c r="O753">
        <v>908</v>
      </c>
      <c r="P753">
        <v>1.4</v>
      </c>
      <c r="Q753">
        <v>1.27</v>
      </c>
      <c r="R753" s="97" t="s">
        <v>1200</v>
      </c>
      <c r="S753" s="97" t="s">
        <v>195</v>
      </c>
    </row>
    <row r="754" spans="1:19" x14ac:dyDescent="0.3">
      <c r="A754" s="97" t="s">
        <v>537</v>
      </c>
      <c r="B754" s="97" t="s">
        <v>23</v>
      </c>
      <c r="C754">
        <v>2026</v>
      </c>
      <c r="D754">
        <v>1</v>
      </c>
      <c r="E754" s="2">
        <v>46049</v>
      </c>
      <c r="F754" s="97" t="s">
        <v>7</v>
      </c>
      <c r="G754" s="97" t="s">
        <v>8</v>
      </c>
      <c r="H754" s="97" t="s">
        <v>70</v>
      </c>
      <c r="I754" s="97" t="s">
        <v>75</v>
      </c>
      <c r="J754" s="97" t="s">
        <v>76</v>
      </c>
      <c r="K754" s="97" t="s">
        <v>73</v>
      </c>
      <c r="L754">
        <v>701000</v>
      </c>
      <c r="M754" s="97" t="s">
        <v>62</v>
      </c>
      <c r="N754" s="97" t="s">
        <v>33</v>
      </c>
      <c r="O754">
        <v>1138</v>
      </c>
      <c r="P754">
        <v>1.4</v>
      </c>
      <c r="Q754">
        <v>1.59</v>
      </c>
      <c r="R754" s="97" t="s">
        <v>1199</v>
      </c>
      <c r="S754" s="97" t="s">
        <v>195</v>
      </c>
    </row>
    <row r="755" spans="1:19" x14ac:dyDescent="0.3">
      <c r="A755" s="97" t="s">
        <v>538</v>
      </c>
      <c r="B755" s="97" t="s">
        <v>23</v>
      </c>
      <c r="C755">
        <v>2026</v>
      </c>
      <c r="D755">
        <v>1</v>
      </c>
      <c r="E755" s="2">
        <v>46049</v>
      </c>
      <c r="F755" s="97" t="s">
        <v>7</v>
      </c>
      <c r="G755" s="97" t="s">
        <v>8</v>
      </c>
      <c r="H755" s="97" t="s">
        <v>70</v>
      </c>
      <c r="I755" s="97" t="s">
        <v>75</v>
      </c>
      <c r="J755" s="97" t="s">
        <v>76</v>
      </c>
      <c r="K755" s="97" t="s">
        <v>73</v>
      </c>
      <c r="L755">
        <v>701000</v>
      </c>
      <c r="M755" s="97" t="s">
        <v>62</v>
      </c>
      <c r="N755" s="97" t="s">
        <v>33</v>
      </c>
      <c r="O755">
        <v>2481</v>
      </c>
      <c r="P755">
        <v>1.4</v>
      </c>
      <c r="Q755">
        <v>3.47</v>
      </c>
      <c r="R755" s="97" t="s">
        <v>1197</v>
      </c>
      <c r="S755" s="97" t="s">
        <v>195</v>
      </c>
    </row>
    <row r="756" spans="1:19" x14ac:dyDescent="0.3">
      <c r="A756" s="97" t="s">
        <v>539</v>
      </c>
      <c r="B756" s="97" t="s">
        <v>23</v>
      </c>
      <c r="C756">
        <v>2026</v>
      </c>
      <c r="D756">
        <v>1</v>
      </c>
      <c r="E756" s="2">
        <v>46049</v>
      </c>
      <c r="F756" s="97" t="s">
        <v>7</v>
      </c>
      <c r="G756" s="97" t="s">
        <v>8</v>
      </c>
      <c r="H756" s="97" t="s">
        <v>70</v>
      </c>
      <c r="I756" s="97" t="s">
        <v>75</v>
      </c>
      <c r="J756" s="97" t="s">
        <v>76</v>
      </c>
      <c r="K756" s="97" t="s">
        <v>73</v>
      </c>
      <c r="L756">
        <v>701000</v>
      </c>
      <c r="M756" s="97" t="s">
        <v>62</v>
      </c>
      <c r="N756" s="97" t="s">
        <v>33</v>
      </c>
      <c r="O756">
        <v>560</v>
      </c>
      <c r="P756">
        <v>1.41</v>
      </c>
      <c r="Q756">
        <v>0.79</v>
      </c>
      <c r="R756" s="97" t="s">
        <v>1198</v>
      </c>
      <c r="S756" s="97" t="s">
        <v>195</v>
      </c>
    </row>
    <row r="757" spans="1:19" x14ac:dyDescent="0.3">
      <c r="A757" s="97" t="s">
        <v>825</v>
      </c>
      <c r="B757" s="97" t="s">
        <v>23</v>
      </c>
      <c r="C757">
        <v>2026</v>
      </c>
      <c r="D757">
        <v>1</v>
      </c>
      <c r="E757" s="2">
        <v>46049</v>
      </c>
      <c r="F757" s="97" t="s">
        <v>7</v>
      </c>
      <c r="G757" s="97" t="s">
        <v>8</v>
      </c>
      <c r="H757" s="97" t="s">
        <v>70</v>
      </c>
      <c r="I757" s="97" t="s">
        <v>79</v>
      </c>
      <c r="J757" s="97" t="s">
        <v>80</v>
      </c>
      <c r="K757" s="97" t="s">
        <v>73</v>
      </c>
      <c r="L757">
        <v>701000</v>
      </c>
      <c r="M757" s="97" t="s">
        <v>62</v>
      </c>
      <c r="N757" s="97" t="s">
        <v>33</v>
      </c>
      <c r="O757">
        <v>480</v>
      </c>
      <c r="P757">
        <v>2.6</v>
      </c>
      <c r="Q757">
        <v>1.25</v>
      </c>
      <c r="R757" s="97" t="s">
        <v>1197</v>
      </c>
      <c r="S757" s="97" t="s">
        <v>195</v>
      </c>
    </row>
    <row r="758" spans="1:19" x14ac:dyDescent="0.3">
      <c r="A758" s="97" t="s">
        <v>826</v>
      </c>
      <c r="B758" s="97" t="s">
        <v>23</v>
      </c>
      <c r="C758">
        <v>2026</v>
      </c>
      <c r="D758">
        <v>1</v>
      </c>
      <c r="E758" s="2">
        <v>46049</v>
      </c>
      <c r="F758" s="97" t="s">
        <v>7</v>
      </c>
      <c r="G758" s="97" t="s">
        <v>8</v>
      </c>
      <c r="H758" s="97" t="s">
        <v>70</v>
      </c>
      <c r="I758" s="97" t="s">
        <v>79</v>
      </c>
      <c r="J758" s="97" t="s">
        <v>80</v>
      </c>
      <c r="K758" s="97" t="s">
        <v>73</v>
      </c>
      <c r="L758">
        <v>701000</v>
      </c>
      <c r="M758" s="97" t="s">
        <v>62</v>
      </c>
      <c r="N758" s="97" t="s">
        <v>33</v>
      </c>
      <c r="O758">
        <v>1278</v>
      </c>
      <c r="P758">
        <v>2.6</v>
      </c>
      <c r="Q758">
        <v>3.32</v>
      </c>
      <c r="R758" s="97" t="s">
        <v>1204</v>
      </c>
      <c r="S758" s="97" t="s">
        <v>195</v>
      </c>
    </row>
    <row r="759" spans="1:19" x14ac:dyDescent="0.3">
      <c r="A759" s="97" t="s">
        <v>827</v>
      </c>
      <c r="B759" s="97" t="s">
        <v>23</v>
      </c>
      <c r="C759">
        <v>2026</v>
      </c>
      <c r="D759">
        <v>1</v>
      </c>
      <c r="E759" s="2">
        <v>46049</v>
      </c>
      <c r="F759" s="97" t="s">
        <v>7</v>
      </c>
      <c r="G759" s="97" t="s">
        <v>8</v>
      </c>
      <c r="H759" s="97" t="s">
        <v>70</v>
      </c>
      <c r="I759" s="97" t="s">
        <v>79</v>
      </c>
      <c r="J759" s="97" t="s">
        <v>80</v>
      </c>
      <c r="K759" s="97" t="s">
        <v>73</v>
      </c>
      <c r="L759">
        <v>701000</v>
      </c>
      <c r="M759" s="97" t="s">
        <v>62</v>
      </c>
      <c r="N759" s="97" t="s">
        <v>33</v>
      </c>
      <c r="O759">
        <v>2964</v>
      </c>
      <c r="P759">
        <v>2.6</v>
      </c>
      <c r="Q759">
        <v>7.71</v>
      </c>
      <c r="R759" s="97" t="s">
        <v>1203</v>
      </c>
      <c r="S759" s="97" t="s">
        <v>195</v>
      </c>
    </row>
    <row r="760" spans="1:19" x14ac:dyDescent="0.3">
      <c r="A760" s="97" t="s">
        <v>828</v>
      </c>
      <c r="B760" s="97" t="s">
        <v>23</v>
      </c>
      <c r="C760">
        <v>2026</v>
      </c>
      <c r="D760">
        <v>1</v>
      </c>
      <c r="E760" s="2">
        <v>46049</v>
      </c>
      <c r="F760" s="97" t="s">
        <v>7</v>
      </c>
      <c r="G760" s="97" t="s">
        <v>8</v>
      </c>
      <c r="H760" s="97" t="s">
        <v>70</v>
      </c>
      <c r="I760" s="97" t="s">
        <v>79</v>
      </c>
      <c r="J760" s="97" t="s">
        <v>80</v>
      </c>
      <c r="K760" s="97" t="s">
        <v>73</v>
      </c>
      <c r="L760">
        <v>701000</v>
      </c>
      <c r="M760" s="97" t="s">
        <v>62</v>
      </c>
      <c r="N760" s="97" t="s">
        <v>33</v>
      </c>
      <c r="O760">
        <v>1654</v>
      </c>
      <c r="P760">
        <v>2.6</v>
      </c>
      <c r="Q760">
        <v>4.3</v>
      </c>
      <c r="R760" s="97" t="s">
        <v>1199</v>
      </c>
      <c r="S760" s="97" t="s">
        <v>195</v>
      </c>
    </row>
    <row r="761" spans="1:19" x14ac:dyDescent="0.3">
      <c r="A761" s="97" t="s">
        <v>829</v>
      </c>
      <c r="B761" s="97" t="s">
        <v>23</v>
      </c>
      <c r="C761">
        <v>2026</v>
      </c>
      <c r="D761">
        <v>1</v>
      </c>
      <c r="E761" s="2">
        <v>46049</v>
      </c>
      <c r="F761" s="97" t="s">
        <v>7</v>
      </c>
      <c r="G761" s="97" t="s">
        <v>8</v>
      </c>
      <c r="H761" s="97" t="s">
        <v>70</v>
      </c>
      <c r="I761" s="97" t="s">
        <v>79</v>
      </c>
      <c r="J761" s="97" t="s">
        <v>80</v>
      </c>
      <c r="K761" s="97" t="s">
        <v>73</v>
      </c>
      <c r="L761">
        <v>701000</v>
      </c>
      <c r="M761" s="97" t="s">
        <v>62</v>
      </c>
      <c r="N761" s="97" t="s">
        <v>33</v>
      </c>
      <c r="O761">
        <v>1766</v>
      </c>
      <c r="P761">
        <v>2.6</v>
      </c>
      <c r="Q761">
        <v>4.59</v>
      </c>
      <c r="R761" s="97" t="s">
        <v>1198</v>
      </c>
      <c r="S761" s="97" t="s">
        <v>195</v>
      </c>
    </row>
    <row r="762" spans="1:19" x14ac:dyDescent="0.3">
      <c r="A762" s="97" t="s">
        <v>945</v>
      </c>
      <c r="B762" s="97" t="s">
        <v>23</v>
      </c>
      <c r="C762">
        <v>2026</v>
      </c>
      <c r="D762">
        <v>1</v>
      </c>
      <c r="E762" s="2">
        <v>46049</v>
      </c>
      <c r="F762" s="97" t="s">
        <v>7</v>
      </c>
      <c r="G762" s="97" t="s">
        <v>8</v>
      </c>
      <c r="H762" s="97" t="s">
        <v>70</v>
      </c>
      <c r="I762" s="97" t="s">
        <v>82</v>
      </c>
      <c r="J762" s="97" t="s">
        <v>83</v>
      </c>
      <c r="K762" s="97" t="s">
        <v>73</v>
      </c>
      <c r="L762">
        <v>701000</v>
      </c>
      <c r="M762" s="97" t="s">
        <v>62</v>
      </c>
      <c r="N762" s="97" t="s">
        <v>33</v>
      </c>
      <c r="O762">
        <v>101</v>
      </c>
      <c r="P762">
        <v>18.420000000000002</v>
      </c>
      <c r="Q762">
        <v>1.86</v>
      </c>
      <c r="R762" s="97" t="s">
        <v>1203</v>
      </c>
      <c r="S762" s="97" t="s">
        <v>195</v>
      </c>
    </row>
    <row r="763" spans="1:19" x14ac:dyDescent="0.3">
      <c r="A763" s="97" t="s">
        <v>946</v>
      </c>
      <c r="B763" s="97" t="s">
        <v>23</v>
      </c>
      <c r="C763">
        <v>2026</v>
      </c>
      <c r="D763">
        <v>1</v>
      </c>
      <c r="E763" s="2">
        <v>46049</v>
      </c>
      <c r="F763" s="97" t="s">
        <v>7</v>
      </c>
      <c r="G763" s="97" t="s">
        <v>8</v>
      </c>
      <c r="H763" s="97" t="s">
        <v>70</v>
      </c>
      <c r="I763" s="97" t="s">
        <v>82</v>
      </c>
      <c r="J763" s="97" t="s">
        <v>83</v>
      </c>
      <c r="K763" s="97" t="s">
        <v>73</v>
      </c>
      <c r="L763">
        <v>701000</v>
      </c>
      <c r="M763" s="97" t="s">
        <v>62</v>
      </c>
      <c r="N763" s="97" t="s">
        <v>33</v>
      </c>
      <c r="O763">
        <v>193</v>
      </c>
      <c r="P763">
        <v>18.45</v>
      </c>
      <c r="Q763">
        <v>3.56</v>
      </c>
      <c r="R763" s="97" t="s">
        <v>1197</v>
      </c>
      <c r="S763" s="97" t="s">
        <v>195</v>
      </c>
    </row>
    <row r="764" spans="1:19" x14ac:dyDescent="0.3">
      <c r="A764" s="97" t="s">
        <v>947</v>
      </c>
      <c r="B764" s="97" t="s">
        <v>23</v>
      </c>
      <c r="C764">
        <v>2026</v>
      </c>
      <c r="D764">
        <v>1</v>
      </c>
      <c r="E764" s="2">
        <v>46049</v>
      </c>
      <c r="F764" s="97" t="s">
        <v>7</v>
      </c>
      <c r="G764" s="97" t="s">
        <v>8</v>
      </c>
      <c r="H764" s="97" t="s">
        <v>70</v>
      </c>
      <c r="I764" s="97" t="s">
        <v>82</v>
      </c>
      <c r="J764" s="97" t="s">
        <v>83</v>
      </c>
      <c r="K764" s="97" t="s">
        <v>73</v>
      </c>
      <c r="L764">
        <v>701000</v>
      </c>
      <c r="M764" s="97" t="s">
        <v>62</v>
      </c>
      <c r="N764" s="97" t="s">
        <v>33</v>
      </c>
      <c r="O764">
        <v>215</v>
      </c>
      <c r="P764">
        <v>18.510000000000002</v>
      </c>
      <c r="Q764">
        <v>3.98</v>
      </c>
      <c r="R764" s="97" t="s">
        <v>1200</v>
      </c>
      <c r="S764" s="97" t="s">
        <v>195</v>
      </c>
    </row>
    <row r="765" spans="1:19" x14ac:dyDescent="0.3">
      <c r="A765" s="97" t="s">
        <v>948</v>
      </c>
      <c r="B765" s="97" t="s">
        <v>23</v>
      </c>
      <c r="C765">
        <v>2026</v>
      </c>
      <c r="D765">
        <v>1</v>
      </c>
      <c r="E765" s="2">
        <v>46049</v>
      </c>
      <c r="F765" s="97" t="s">
        <v>7</v>
      </c>
      <c r="G765" s="97" t="s">
        <v>8</v>
      </c>
      <c r="H765" s="97" t="s">
        <v>70</v>
      </c>
      <c r="I765" s="97" t="s">
        <v>82</v>
      </c>
      <c r="J765" s="97" t="s">
        <v>83</v>
      </c>
      <c r="K765" s="97" t="s">
        <v>73</v>
      </c>
      <c r="L765">
        <v>701000</v>
      </c>
      <c r="M765" s="97" t="s">
        <v>62</v>
      </c>
      <c r="N765" s="97" t="s">
        <v>33</v>
      </c>
      <c r="O765">
        <v>131</v>
      </c>
      <c r="P765">
        <v>18.47</v>
      </c>
      <c r="Q765">
        <v>2.42</v>
      </c>
      <c r="R765" s="97" t="s">
        <v>1202</v>
      </c>
      <c r="S765" s="97" t="s">
        <v>195</v>
      </c>
    </row>
    <row r="766" spans="1:19" x14ac:dyDescent="0.3">
      <c r="A766" s="97" t="s">
        <v>949</v>
      </c>
      <c r="B766" s="97" t="s">
        <v>23</v>
      </c>
      <c r="C766">
        <v>2026</v>
      </c>
      <c r="D766">
        <v>1</v>
      </c>
      <c r="E766" s="2">
        <v>46049</v>
      </c>
      <c r="F766" s="97" t="s">
        <v>7</v>
      </c>
      <c r="G766" s="97" t="s">
        <v>8</v>
      </c>
      <c r="H766" s="97" t="s">
        <v>70</v>
      </c>
      <c r="I766" s="97" t="s">
        <v>82</v>
      </c>
      <c r="J766" s="97" t="s">
        <v>83</v>
      </c>
      <c r="K766" s="97" t="s">
        <v>73</v>
      </c>
      <c r="L766">
        <v>701000</v>
      </c>
      <c r="M766" s="97" t="s">
        <v>62</v>
      </c>
      <c r="N766" s="97" t="s">
        <v>33</v>
      </c>
      <c r="O766">
        <v>124</v>
      </c>
      <c r="P766">
        <v>18.63</v>
      </c>
      <c r="Q766">
        <v>2.31</v>
      </c>
      <c r="R766" s="97" t="s">
        <v>1201</v>
      </c>
      <c r="S766" s="97" t="s">
        <v>195</v>
      </c>
    </row>
    <row r="767" spans="1:19" x14ac:dyDescent="0.3">
      <c r="A767" s="97" t="s">
        <v>220</v>
      </c>
      <c r="B767" s="97" t="s">
        <v>23</v>
      </c>
      <c r="C767">
        <v>2026</v>
      </c>
      <c r="D767">
        <v>1</v>
      </c>
      <c r="E767" s="2">
        <v>46050</v>
      </c>
      <c r="F767" s="97" t="s">
        <v>7</v>
      </c>
      <c r="G767" s="97" t="s">
        <v>8</v>
      </c>
      <c r="H767" s="97" t="s">
        <v>74</v>
      </c>
      <c r="I767" s="97" t="s">
        <v>84</v>
      </c>
      <c r="J767" s="97" t="s">
        <v>85</v>
      </c>
      <c r="K767" s="97" t="s">
        <v>73</v>
      </c>
      <c r="L767">
        <v>701000</v>
      </c>
      <c r="M767" s="97" t="s">
        <v>62</v>
      </c>
      <c r="N767" s="97" t="s">
        <v>33</v>
      </c>
      <c r="O767">
        <v>5349</v>
      </c>
      <c r="P767">
        <v>0.95</v>
      </c>
      <c r="Q767">
        <v>5.08</v>
      </c>
      <c r="R767" s="97" t="s">
        <v>1202</v>
      </c>
      <c r="S767" s="97" t="s">
        <v>195</v>
      </c>
    </row>
    <row r="768" spans="1:19" x14ac:dyDescent="0.3">
      <c r="A768" s="97" t="s">
        <v>221</v>
      </c>
      <c r="B768" s="97" t="s">
        <v>23</v>
      </c>
      <c r="C768">
        <v>2026</v>
      </c>
      <c r="D768">
        <v>1</v>
      </c>
      <c r="E768" s="2">
        <v>46050</v>
      </c>
      <c r="F768" s="97" t="s">
        <v>7</v>
      </c>
      <c r="G768" s="97" t="s">
        <v>8</v>
      </c>
      <c r="H768" s="97" t="s">
        <v>74</v>
      </c>
      <c r="I768" s="97" t="s">
        <v>84</v>
      </c>
      <c r="J768" s="97" t="s">
        <v>85</v>
      </c>
      <c r="K768" s="97" t="s">
        <v>73</v>
      </c>
      <c r="L768">
        <v>701000</v>
      </c>
      <c r="M768" s="97" t="s">
        <v>62</v>
      </c>
      <c r="N768" s="97" t="s">
        <v>33</v>
      </c>
      <c r="O768">
        <v>1930</v>
      </c>
      <c r="P768">
        <v>0.95</v>
      </c>
      <c r="Q768">
        <v>1.83</v>
      </c>
      <c r="R768" s="97" t="s">
        <v>1205</v>
      </c>
      <c r="S768" s="97" t="s">
        <v>195</v>
      </c>
    </row>
    <row r="769" spans="1:19" x14ac:dyDescent="0.3">
      <c r="A769" s="97" t="s">
        <v>222</v>
      </c>
      <c r="B769" s="97" t="s">
        <v>23</v>
      </c>
      <c r="C769">
        <v>2026</v>
      </c>
      <c r="D769">
        <v>1</v>
      </c>
      <c r="E769" s="2">
        <v>46050</v>
      </c>
      <c r="F769" s="97" t="s">
        <v>7</v>
      </c>
      <c r="G769" s="97" t="s">
        <v>8</v>
      </c>
      <c r="H769" s="97" t="s">
        <v>74</v>
      </c>
      <c r="I769" s="97" t="s">
        <v>84</v>
      </c>
      <c r="J769" s="97" t="s">
        <v>85</v>
      </c>
      <c r="K769" s="97" t="s">
        <v>73</v>
      </c>
      <c r="L769">
        <v>701000</v>
      </c>
      <c r="M769" s="97" t="s">
        <v>62</v>
      </c>
      <c r="N769" s="97" t="s">
        <v>33</v>
      </c>
      <c r="O769">
        <v>2174</v>
      </c>
      <c r="P769">
        <v>0.95</v>
      </c>
      <c r="Q769">
        <v>2.06</v>
      </c>
      <c r="R769" s="97" t="s">
        <v>1198</v>
      </c>
      <c r="S769" s="97" t="s">
        <v>195</v>
      </c>
    </row>
    <row r="770" spans="1:19" x14ac:dyDescent="0.3">
      <c r="A770" s="97" t="s">
        <v>223</v>
      </c>
      <c r="B770" s="97" t="s">
        <v>23</v>
      </c>
      <c r="C770">
        <v>2026</v>
      </c>
      <c r="D770">
        <v>1</v>
      </c>
      <c r="E770" s="2">
        <v>46050</v>
      </c>
      <c r="F770" s="97" t="s">
        <v>7</v>
      </c>
      <c r="G770" s="97" t="s">
        <v>8</v>
      </c>
      <c r="H770" s="97" t="s">
        <v>74</v>
      </c>
      <c r="I770" s="97" t="s">
        <v>84</v>
      </c>
      <c r="J770" s="97" t="s">
        <v>85</v>
      </c>
      <c r="K770" s="97" t="s">
        <v>73</v>
      </c>
      <c r="L770">
        <v>701000</v>
      </c>
      <c r="M770" s="97" t="s">
        <v>62</v>
      </c>
      <c r="N770" s="97" t="s">
        <v>33</v>
      </c>
      <c r="O770">
        <v>955</v>
      </c>
      <c r="P770">
        <v>0.95</v>
      </c>
      <c r="Q770">
        <v>0.91</v>
      </c>
      <c r="R770" s="97" t="s">
        <v>1199</v>
      </c>
      <c r="S770" s="97" t="s">
        <v>195</v>
      </c>
    </row>
    <row r="771" spans="1:19" x14ac:dyDescent="0.3">
      <c r="A771" s="97" t="s">
        <v>224</v>
      </c>
      <c r="B771" s="97" t="s">
        <v>23</v>
      </c>
      <c r="C771">
        <v>2026</v>
      </c>
      <c r="D771">
        <v>1</v>
      </c>
      <c r="E771" s="2">
        <v>46050</v>
      </c>
      <c r="F771" s="97" t="s">
        <v>7</v>
      </c>
      <c r="G771" s="97" t="s">
        <v>8</v>
      </c>
      <c r="H771" s="97" t="s">
        <v>74</v>
      </c>
      <c r="I771" s="97" t="s">
        <v>84</v>
      </c>
      <c r="J771" s="97" t="s">
        <v>85</v>
      </c>
      <c r="K771" s="97" t="s">
        <v>73</v>
      </c>
      <c r="L771">
        <v>701000</v>
      </c>
      <c r="M771" s="97" t="s">
        <v>62</v>
      </c>
      <c r="N771" s="97" t="s">
        <v>33</v>
      </c>
      <c r="O771">
        <v>2278</v>
      </c>
      <c r="P771">
        <v>0.95</v>
      </c>
      <c r="Q771">
        <v>2.17</v>
      </c>
      <c r="R771" s="97" t="s">
        <v>1200</v>
      </c>
      <c r="S771" s="97" t="s">
        <v>195</v>
      </c>
    </row>
    <row r="772" spans="1:19" x14ac:dyDescent="0.3">
      <c r="A772" s="97" t="s">
        <v>260</v>
      </c>
      <c r="B772" s="97" t="s">
        <v>23</v>
      </c>
      <c r="C772">
        <v>2026</v>
      </c>
      <c r="D772">
        <v>1</v>
      </c>
      <c r="E772" s="2">
        <v>46050</v>
      </c>
      <c r="F772" s="97" t="s">
        <v>7</v>
      </c>
      <c r="G772" s="97" t="s">
        <v>8</v>
      </c>
      <c r="H772" s="97" t="s">
        <v>74</v>
      </c>
      <c r="I772" s="97" t="s">
        <v>84</v>
      </c>
      <c r="J772" s="97" t="s">
        <v>85</v>
      </c>
      <c r="K772" s="97" t="s">
        <v>73</v>
      </c>
      <c r="L772">
        <v>701000</v>
      </c>
      <c r="M772" s="97" t="s">
        <v>62</v>
      </c>
      <c r="N772" s="97" t="s">
        <v>33</v>
      </c>
      <c r="O772">
        <v>3510</v>
      </c>
      <c r="P772">
        <v>0.95</v>
      </c>
      <c r="Q772">
        <v>3.34</v>
      </c>
      <c r="R772" s="97" t="s">
        <v>1197</v>
      </c>
      <c r="S772" s="97" t="s">
        <v>195</v>
      </c>
    </row>
    <row r="773" spans="1:19" x14ac:dyDescent="0.3">
      <c r="A773" s="97" t="s">
        <v>261</v>
      </c>
      <c r="B773" s="97" t="s">
        <v>23</v>
      </c>
      <c r="C773">
        <v>2026</v>
      </c>
      <c r="D773">
        <v>1</v>
      </c>
      <c r="E773" s="2">
        <v>46050</v>
      </c>
      <c r="F773" s="97" t="s">
        <v>7</v>
      </c>
      <c r="G773" s="97" t="s">
        <v>8</v>
      </c>
      <c r="H773" s="97" t="s">
        <v>74</v>
      </c>
      <c r="I773" s="97" t="s">
        <v>84</v>
      </c>
      <c r="J773" s="97" t="s">
        <v>85</v>
      </c>
      <c r="K773" s="97" t="s">
        <v>73</v>
      </c>
      <c r="L773">
        <v>701000</v>
      </c>
      <c r="M773" s="97" t="s">
        <v>62</v>
      </c>
      <c r="N773" s="97" t="s">
        <v>33</v>
      </c>
      <c r="O773">
        <v>1993</v>
      </c>
      <c r="P773">
        <v>0.95</v>
      </c>
      <c r="Q773">
        <v>1.89</v>
      </c>
      <c r="R773" s="97" t="s">
        <v>1202</v>
      </c>
      <c r="S773" s="97" t="s">
        <v>195</v>
      </c>
    </row>
    <row r="774" spans="1:19" x14ac:dyDescent="0.3">
      <c r="A774" s="97" t="s">
        <v>262</v>
      </c>
      <c r="B774" s="97" t="s">
        <v>23</v>
      </c>
      <c r="C774">
        <v>2026</v>
      </c>
      <c r="D774">
        <v>1</v>
      </c>
      <c r="E774" s="2">
        <v>46050</v>
      </c>
      <c r="F774" s="97" t="s">
        <v>7</v>
      </c>
      <c r="G774" s="97" t="s">
        <v>8</v>
      </c>
      <c r="H774" s="97" t="s">
        <v>74</v>
      </c>
      <c r="I774" s="97" t="s">
        <v>84</v>
      </c>
      <c r="J774" s="97" t="s">
        <v>85</v>
      </c>
      <c r="K774" s="97" t="s">
        <v>73</v>
      </c>
      <c r="L774">
        <v>701000</v>
      </c>
      <c r="M774" s="97" t="s">
        <v>62</v>
      </c>
      <c r="N774" s="97" t="s">
        <v>33</v>
      </c>
      <c r="O774">
        <v>2310</v>
      </c>
      <c r="P774">
        <v>0.95</v>
      </c>
      <c r="Q774">
        <v>2.19</v>
      </c>
      <c r="R774" s="97" t="s">
        <v>1204</v>
      </c>
      <c r="S774" s="97" t="s">
        <v>195</v>
      </c>
    </row>
    <row r="775" spans="1:19" x14ac:dyDescent="0.3">
      <c r="A775" s="97" t="s">
        <v>263</v>
      </c>
      <c r="B775" s="97" t="s">
        <v>23</v>
      </c>
      <c r="C775">
        <v>2026</v>
      </c>
      <c r="D775">
        <v>1</v>
      </c>
      <c r="E775" s="2">
        <v>46050</v>
      </c>
      <c r="F775" s="97" t="s">
        <v>7</v>
      </c>
      <c r="G775" s="97" t="s">
        <v>8</v>
      </c>
      <c r="H775" s="97" t="s">
        <v>74</v>
      </c>
      <c r="I775" s="97" t="s">
        <v>84</v>
      </c>
      <c r="J775" s="97" t="s">
        <v>85</v>
      </c>
      <c r="K775" s="97" t="s">
        <v>73</v>
      </c>
      <c r="L775">
        <v>701000</v>
      </c>
      <c r="M775" s="97" t="s">
        <v>62</v>
      </c>
      <c r="N775" s="97" t="s">
        <v>33</v>
      </c>
      <c r="O775">
        <v>6094</v>
      </c>
      <c r="P775">
        <v>0.95</v>
      </c>
      <c r="Q775">
        <v>5.79</v>
      </c>
      <c r="R775" s="97" t="s">
        <v>1205</v>
      </c>
      <c r="S775" s="97" t="s">
        <v>195</v>
      </c>
    </row>
    <row r="776" spans="1:19" x14ac:dyDescent="0.3">
      <c r="A776" s="97" t="s">
        <v>264</v>
      </c>
      <c r="B776" s="97" t="s">
        <v>23</v>
      </c>
      <c r="C776">
        <v>2026</v>
      </c>
      <c r="D776">
        <v>1</v>
      </c>
      <c r="E776" s="2">
        <v>46050</v>
      </c>
      <c r="F776" s="97" t="s">
        <v>7</v>
      </c>
      <c r="G776" s="97" t="s">
        <v>8</v>
      </c>
      <c r="H776" s="97" t="s">
        <v>74</v>
      </c>
      <c r="I776" s="97" t="s">
        <v>84</v>
      </c>
      <c r="J776" s="97" t="s">
        <v>85</v>
      </c>
      <c r="K776" s="97" t="s">
        <v>73</v>
      </c>
      <c r="L776">
        <v>701000</v>
      </c>
      <c r="M776" s="97" t="s">
        <v>62</v>
      </c>
      <c r="N776" s="97" t="s">
        <v>33</v>
      </c>
      <c r="O776">
        <v>2288</v>
      </c>
      <c r="P776">
        <v>0.95</v>
      </c>
      <c r="Q776">
        <v>2.1800000000000002</v>
      </c>
      <c r="R776" s="97" t="s">
        <v>1203</v>
      </c>
      <c r="S776" s="97" t="s">
        <v>195</v>
      </c>
    </row>
    <row r="777" spans="1:19" x14ac:dyDescent="0.3">
      <c r="A777" s="97" t="s">
        <v>375</v>
      </c>
      <c r="B777" s="97" t="s">
        <v>23</v>
      </c>
      <c r="C777">
        <v>2026</v>
      </c>
      <c r="D777">
        <v>1</v>
      </c>
      <c r="E777" s="2">
        <v>46050</v>
      </c>
      <c r="F777" s="97" t="s">
        <v>7</v>
      </c>
      <c r="G777" s="97" t="s">
        <v>8</v>
      </c>
      <c r="H777" s="97" t="s">
        <v>74</v>
      </c>
      <c r="I777" s="97" t="s">
        <v>71</v>
      </c>
      <c r="J777" s="97" t="s">
        <v>72</v>
      </c>
      <c r="K777" s="97" t="s">
        <v>73</v>
      </c>
      <c r="L777">
        <v>701000</v>
      </c>
      <c r="M777" s="97" t="s">
        <v>62</v>
      </c>
      <c r="N777" s="97" t="s">
        <v>33</v>
      </c>
      <c r="O777">
        <v>1827</v>
      </c>
      <c r="P777">
        <v>1.05</v>
      </c>
      <c r="Q777">
        <v>1.92</v>
      </c>
      <c r="R777" s="97" t="s">
        <v>1199</v>
      </c>
      <c r="S777" s="97" t="s">
        <v>195</v>
      </c>
    </row>
    <row r="778" spans="1:19" x14ac:dyDescent="0.3">
      <c r="A778" s="97" t="s">
        <v>376</v>
      </c>
      <c r="B778" s="97" t="s">
        <v>23</v>
      </c>
      <c r="C778">
        <v>2026</v>
      </c>
      <c r="D778">
        <v>1</v>
      </c>
      <c r="E778" s="2">
        <v>46050</v>
      </c>
      <c r="F778" s="97" t="s">
        <v>7</v>
      </c>
      <c r="G778" s="97" t="s">
        <v>8</v>
      </c>
      <c r="H778" s="97" t="s">
        <v>74</v>
      </c>
      <c r="I778" s="97" t="s">
        <v>71</v>
      </c>
      <c r="J778" s="97" t="s">
        <v>72</v>
      </c>
      <c r="K778" s="97" t="s">
        <v>73</v>
      </c>
      <c r="L778">
        <v>701000</v>
      </c>
      <c r="M778" s="97" t="s">
        <v>62</v>
      </c>
      <c r="N778" s="97" t="s">
        <v>33</v>
      </c>
      <c r="O778">
        <v>554</v>
      </c>
      <c r="P778">
        <v>1.05</v>
      </c>
      <c r="Q778">
        <v>0.57999999999999996</v>
      </c>
      <c r="R778" s="97" t="s">
        <v>1205</v>
      </c>
      <c r="S778" s="97" t="s">
        <v>195</v>
      </c>
    </row>
    <row r="779" spans="1:19" x14ac:dyDescent="0.3">
      <c r="A779" s="97" t="s">
        <v>377</v>
      </c>
      <c r="B779" s="97" t="s">
        <v>23</v>
      </c>
      <c r="C779">
        <v>2026</v>
      </c>
      <c r="D779">
        <v>1</v>
      </c>
      <c r="E779" s="2">
        <v>46050</v>
      </c>
      <c r="F779" s="97" t="s">
        <v>7</v>
      </c>
      <c r="G779" s="97" t="s">
        <v>8</v>
      </c>
      <c r="H779" s="97" t="s">
        <v>74</v>
      </c>
      <c r="I779" s="97" t="s">
        <v>71</v>
      </c>
      <c r="J779" s="97" t="s">
        <v>72</v>
      </c>
      <c r="K779" s="97" t="s">
        <v>73</v>
      </c>
      <c r="L779">
        <v>701000</v>
      </c>
      <c r="M779" s="97" t="s">
        <v>62</v>
      </c>
      <c r="N779" s="97" t="s">
        <v>33</v>
      </c>
      <c r="O779">
        <v>794</v>
      </c>
      <c r="P779">
        <v>1.05</v>
      </c>
      <c r="Q779">
        <v>0.83</v>
      </c>
      <c r="R779" s="97" t="s">
        <v>1202</v>
      </c>
      <c r="S779" s="97" t="s">
        <v>195</v>
      </c>
    </row>
    <row r="780" spans="1:19" x14ac:dyDescent="0.3">
      <c r="A780" s="97" t="s">
        <v>378</v>
      </c>
      <c r="B780" s="97" t="s">
        <v>23</v>
      </c>
      <c r="C780">
        <v>2026</v>
      </c>
      <c r="D780">
        <v>1</v>
      </c>
      <c r="E780" s="2">
        <v>46050</v>
      </c>
      <c r="F780" s="97" t="s">
        <v>7</v>
      </c>
      <c r="G780" s="97" t="s">
        <v>8</v>
      </c>
      <c r="H780" s="97" t="s">
        <v>74</v>
      </c>
      <c r="I780" s="97" t="s">
        <v>71</v>
      </c>
      <c r="J780" s="97" t="s">
        <v>72</v>
      </c>
      <c r="K780" s="97" t="s">
        <v>73</v>
      </c>
      <c r="L780">
        <v>701000</v>
      </c>
      <c r="M780" s="97" t="s">
        <v>62</v>
      </c>
      <c r="N780" s="97" t="s">
        <v>33</v>
      </c>
      <c r="O780">
        <v>3443</v>
      </c>
      <c r="P780">
        <v>1.05</v>
      </c>
      <c r="Q780">
        <v>3.61</v>
      </c>
      <c r="R780" s="97" t="s">
        <v>1200</v>
      </c>
      <c r="S780" s="97" t="s">
        <v>195</v>
      </c>
    </row>
    <row r="781" spans="1:19" x14ac:dyDescent="0.3">
      <c r="A781" s="97" t="s">
        <v>379</v>
      </c>
      <c r="B781" s="97" t="s">
        <v>23</v>
      </c>
      <c r="C781">
        <v>2026</v>
      </c>
      <c r="D781">
        <v>1</v>
      </c>
      <c r="E781" s="2">
        <v>46050</v>
      </c>
      <c r="F781" s="97" t="s">
        <v>7</v>
      </c>
      <c r="G781" s="97" t="s">
        <v>8</v>
      </c>
      <c r="H781" s="97" t="s">
        <v>74</v>
      </c>
      <c r="I781" s="97" t="s">
        <v>71</v>
      </c>
      <c r="J781" s="97" t="s">
        <v>72</v>
      </c>
      <c r="K781" s="97" t="s">
        <v>73</v>
      </c>
      <c r="L781">
        <v>701000</v>
      </c>
      <c r="M781" s="97" t="s">
        <v>62</v>
      </c>
      <c r="N781" s="97" t="s">
        <v>33</v>
      </c>
      <c r="O781">
        <v>1119</v>
      </c>
      <c r="P781">
        <v>1.05</v>
      </c>
      <c r="Q781">
        <v>1.18</v>
      </c>
      <c r="R781" s="97" t="s">
        <v>1204</v>
      </c>
      <c r="S781" s="97" t="s">
        <v>195</v>
      </c>
    </row>
    <row r="782" spans="1:19" x14ac:dyDescent="0.3">
      <c r="A782" s="97" t="s">
        <v>470</v>
      </c>
      <c r="B782" s="97" t="s">
        <v>23</v>
      </c>
      <c r="C782">
        <v>2026</v>
      </c>
      <c r="D782">
        <v>1</v>
      </c>
      <c r="E782" s="2">
        <v>46050</v>
      </c>
      <c r="F782" s="97" t="s">
        <v>7</v>
      </c>
      <c r="G782" s="97" t="s">
        <v>8</v>
      </c>
      <c r="H782" s="97" t="s">
        <v>70</v>
      </c>
      <c r="I782" s="97" t="s">
        <v>71</v>
      </c>
      <c r="J782" s="97" t="s">
        <v>72</v>
      </c>
      <c r="K782" s="97" t="s">
        <v>73</v>
      </c>
      <c r="L782">
        <v>701000</v>
      </c>
      <c r="M782" s="97" t="s">
        <v>62</v>
      </c>
      <c r="N782" s="97" t="s">
        <v>33</v>
      </c>
      <c r="O782">
        <v>2475</v>
      </c>
      <c r="P782">
        <v>1.05</v>
      </c>
      <c r="Q782">
        <v>2.6</v>
      </c>
      <c r="R782" s="97" t="s">
        <v>1203</v>
      </c>
      <c r="S782" s="97" t="s">
        <v>195</v>
      </c>
    </row>
    <row r="783" spans="1:19" x14ac:dyDescent="0.3">
      <c r="A783" s="97" t="s">
        <v>471</v>
      </c>
      <c r="B783" s="97" t="s">
        <v>23</v>
      </c>
      <c r="C783">
        <v>2026</v>
      </c>
      <c r="D783">
        <v>1</v>
      </c>
      <c r="E783" s="2">
        <v>46050</v>
      </c>
      <c r="F783" s="97" t="s">
        <v>7</v>
      </c>
      <c r="G783" s="97" t="s">
        <v>8</v>
      </c>
      <c r="H783" s="97" t="s">
        <v>70</v>
      </c>
      <c r="I783" s="97" t="s">
        <v>71</v>
      </c>
      <c r="J783" s="97" t="s">
        <v>72</v>
      </c>
      <c r="K783" s="97" t="s">
        <v>73</v>
      </c>
      <c r="L783">
        <v>701000</v>
      </c>
      <c r="M783" s="97" t="s">
        <v>62</v>
      </c>
      <c r="N783" s="97" t="s">
        <v>33</v>
      </c>
      <c r="O783">
        <v>2378</v>
      </c>
      <c r="P783">
        <v>1.05</v>
      </c>
      <c r="Q783">
        <v>2.5</v>
      </c>
      <c r="R783" s="97" t="s">
        <v>1201</v>
      </c>
      <c r="S783" s="97" t="s">
        <v>195</v>
      </c>
    </row>
    <row r="784" spans="1:19" x14ac:dyDescent="0.3">
      <c r="A784" s="97" t="s">
        <v>472</v>
      </c>
      <c r="B784" s="97" t="s">
        <v>23</v>
      </c>
      <c r="C784">
        <v>2026</v>
      </c>
      <c r="D784">
        <v>1</v>
      </c>
      <c r="E784" s="2">
        <v>46050</v>
      </c>
      <c r="F784" s="97" t="s">
        <v>7</v>
      </c>
      <c r="G784" s="97" t="s">
        <v>8</v>
      </c>
      <c r="H784" s="97" t="s">
        <v>70</v>
      </c>
      <c r="I784" s="97" t="s">
        <v>71</v>
      </c>
      <c r="J784" s="97" t="s">
        <v>72</v>
      </c>
      <c r="K784" s="97" t="s">
        <v>73</v>
      </c>
      <c r="L784">
        <v>701000</v>
      </c>
      <c r="M784" s="97" t="s">
        <v>62</v>
      </c>
      <c r="N784" s="97" t="s">
        <v>33</v>
      </c>
      <c r="O784">
        <v>895</v>
      </c>
      <c r="P784">
        <v>1.05</v>
      </c>
      <c r="Q784">
        <v>0.94</v>
      </c>
      <c r="R784" s="97" t="s">
        <v>1202</v>
      </c>
      <c r="S784" s="97" t="s">
        <v>195</v>
      </c>
    </row>
    <row r="785" spans="1:19" x14ac:dyDescent="0.3">
      <c r="A785" s="97" t="s">
        <v>473</v>
      </c>
      <c r="B785" s="97" t="s">
        <v>23</v>
      </c>
      <c r="C785">
        <v>2026</v>
      </c>
      <c r="D785">
        <v>1</v>
      </c>
      <c r="E785" s="2">
        <v>46050</v>
      </c>
      <c r="F785" s="97" t="s">
        <v>7</v>
      </c>
      <c r="G785" s="97" t="s">
        <v>8</v>
      </c>
      <c r="H785" s="97" t="s">
        <v>70</v>
      </c>
      <c r="I785" s="97" t="s">
        <v>71</v>
      </c>
      <c r="J785" s="97" t="s">
        <v>72</v>
      </c>
      <c r="K785" s="97" t="s">
        <v>73</v>
      </c>
      <c r="L785">
        <v>701000</v>
      </c>
      <c r="M785" s="97" t="s">
        <v>62</v>
      </c>
      <c r="N785" s="97" t="s">
        <v>33</v>
      </c>
      <c r="O785">
        <v>1010</v>
      </c>
      <c r="P785">
        <v>1.05</v>
      </c>
      <c r="Q785">
        <v>1.06</v>
      </c>
      <c r="R785" s="97" t="s">
        <v>1199</v>
      </c>
      <c r="S785" s="97" t="s">
        <v>195</v>
      </c>
    </row>
    <row r="786" spans="1:19" x14ac:dyDescent="0.3">
      <c r="A786" s="97" t="s">
        <v>474</v>
      </c>
      <c r="B786" s="97" t="s">
        <v>23</v>
      </c>
      <c r="C786">
        <v>2026</v>
      </c>
      <c r="D786">
        <v>1</v>
      </c>
      <c r="E786" s="2">
        <v>46050</v>
      </c>
      <c r="F786" s="97" t="s">
        <v>7</v>
      </c>
      <c r="G786" s="97" t="s">
        <v>8</v>
      </c>
      <c r="H786" s="97" t="s">
        <v>70</v>
      </c>
      <c r="I786" s="97" t="s">
        <v>71</v>
      </c>
      <c r="J786" s="97" t="s">
        <v>72</v>
      </c>
      <c r="K786" s="97" t="s">
        <v>73</v>
      </c>
      <c r="L786">
        <v>701000</v>
      </c>
      <c r="M786" s="97" t="s">
        <v>62</v>
      </c>
      <c r="N786" s="97" t="s">
        <v>33</v>
      </c>
      <c r="O786">
        <v>1528</v>
      </c>
      <c r="P786">
        <v>1.05</v>
      </c>
      <c r="Q786">
        <v>1.6</v>
      </c>
      <c r="R786" s="97" t="s">
        <v>1197</v>
      </c>
      <c r="S786" s="97" t="s">
        <v>195</v>
      </c>
    </row>
    <row r="787" spans="1:19" x14ac:dyDescent="0.3">
      <c r="A787" s="97" t="s">
        <v>670</v>
      </c>
      <c r="B787" s="97" t="s">
        <v>23</v>
      </c>
      <c r="C787">
        <v>2026</v>
      </c>
      <c r="D787">
        <v>1</v>
      </c>
      <c r="E787" s="2">
        <v>46050</v>
      </c>
      <c r="F787" s="97" t="s">
        <v>7</v>
      </c>
      <c r="G787" s="97" t="s">
        <v>8</v>
      </c>
      <c r="H787" s="97" t="s">
        <v>74</v>
      </c>
      <c r="I787" s="97" t="s">
        <v>75</v>
      </c>
      <c r="J787" s="97" t="s">
        <v>76</v>
      </c>
      <c r="K787" s="97" t="s">
        <v>73</v>
      </c>
      <c r="L787">
        <v>709000</v>
      </c>
      <c r="M787" s="97" t="s">
        <v>86</v>
      </c>
      <c r="N787" s="97" t="s">
        <v>33</v>
      </c>
      <c r="O787">
        <v>0</v>
      </c>
      <c r="P787">
        <v>-1770</v>
      </c>
      <c r="Q787">
        <v>-1.77</v>
      </c>
      <c r="R787" s="97" t="s">
        <v>1200</v>
      </c>
      <c r="S787" s="97" t="s">
        <v>195</v>
      </c>
    </row>
    <row r="788" spans="1:19" x14ac:dyDescent="0.3">
      <c r="A788" s="97" t="s">
        <v>671</v>
      </c>
      <c r="B788" s="97" t="s">
        <v>23</v>
      </c>
      <c r="C788">
        <v>2026</v>
      </c>
      <c r="D788">
        <v>1</v>
      </c>
      <c r="E788" s="2">
        <v>46050</v>
      </c>
      <c r="F788" s="97" t="s">
        <v>7</v>
      </c>
      <c r="G788" s="97" t="s">
        <v>8</v>
      </c>
      <c r="H788" s="97" t="s">
        <v>74</v>
      </c>
      <c r="I788" s="97" t="s">
        <v>75</v>
      </c>
      <c r="J788" s="97" t="s">
        <v>76</v>
      </c>
      <c r="K788" s="97" t="s">
        <v>73</v>
      </c>
      <c r="L788">
        <v>709000</v>
      </c>
      <c r="M788" s="97" t="s">
        <v>86</v>
      </c>
      <c r="N788" s="97" t="s">
        <v>33</v>
      </c>
      <c r="O788">
        <v>0</v>
      </c>
      <c r="P788">
        <v>-510</v>
      </c>
      <c r="Q788">
        <v>-0.51</v>
      </c>
      <c r="R788" s="97" t="s">
        <v>1205</v>
      </c>
      <c r="S788" s="97" t="s">
        <v>195</v>
      </c>
    </row>
    <row r="789" spans="1:19" x14ac:dyDescent="0.3">
      <c r="A789" s="97" t="s">
        <v>672</v>
      </c>
      <c r="B789" s="97" t="s">
        <v>23</v>
      </c>
      <c r="C789">
        <v>2026</v>
      </c>
      <c r="D789">
        <v>1</v>
      </c>
      <c r="E789" s="2">
        <v>46050</v>
      </c>
      <c r="F789" s="97" t="s">
        <v>7</v>
      </c>
      <c r="G789" s="97" t="s">
        <v>8</v>
      </c>
      <c r="H789" s="97" t="s">
        <v>74</v>
      </c>
      <c r="I789" s="97" t="s">
        <v>75</v>
      </c>
      <c r="J789" s="97" t="s">
        <v>76</v>
      </c>
      <c r="K789" s="97" t="s">
        <v>73</v>
      </c>
      <c r="L789">
        <v>709000</v>
      </c>
      <c r="M789" s="97" t="s">
        <v>86</v>
      </c>
      <c r="N789" s="97" t="s">
        <v>33</v>
      </c>
      <c r="O789">
        <v>0</v>
      </c>
      <c r="P789">
        <v>-120</v>
      </c>
      <c r="Q789">
        <v>-0.12</v>
      </c>
      <c r="R789" s="97" t="s">
        <v>1202</v>
      </c>
      <c r="S789" s="97" t="s">
        <v>195</v>
      </c>
    </row>
    <row r="790" spans="1:19" x14ac:dyDescent="0.3">
      <c r="A790" s="97" t="s">
        <v>673</v>
      </c>
      <c r="B790" s="97" t="s">
        <v>23</v>
      </c>
      <c r="C790">
        <v>2026</v>
      </c>
      <c r="D790">
        <v>1</v>
      </c>
      <c r="E790" s="2">
        <v>46050</v>
      </c>
      <c r="F790" s="97" t="s">
        <v>7</v>
      </c>
      <c r="G790" s="97" t="s">
        <v>8</v>
      </c>
      <c r="H790" s="97" t="s">
        <v>74</v>
      </c>
      <c r="I790" s="97" t="s">
        <v>75</v>
      </c>
      <c r="J790" s="97" t="s">
        <v>76</v>
      </c>
      <c r="K790" s="97" t="s">
        <v>73</v>
      </c>
      <c r="L790">
        <v>709000</v>
      </c>
      <c r="M790" s="97" t="s">
        <v>86</v>
      </c>
      <c r="N790" s="97" t="s">
        <v>33</v>
      </c>
      <c r="O790">
        <v>0</v>
      </c>
      <c r="P790">
        <v>-1240</v>
      </c>
      <c r="Q790">
        <v>-1.24</v>
      </c>
      <c r="R790" s="97" t="s">
        <v>1197</v>
      </c>
      <c r="S790" s="97" t="s">
        <v>195</v>
      </c>
    </row>
    <row r="791" spans="1:19" x14ac:dyDescent="0.3">
      <c r="A791" s="97" t="s">
        <v>674</v>
      </c>
      <c r="B791" s="97" t="s">
        <v>23</v>
      </c>
      <c r="C791">
        <v>2026</v>
      </c>
      <c r="D791">
        <v>1</v>
      </c>
      <c r="E791" s="2">
        <v>46050</v>
      </c>
      <c r="F791" s="97" t="s">
        <v>7</v>
      </c>
      <c r="G791" s="97" t="s">
        <v>8</v>
      </c>
      <c r="H791" s="97" t="s">
        <v>74</v>
      </c>
      <c r="I791" s="97" t="s">
        <v>75</v>
      </c>
      <c r="J791" s="97" t="s">
        <v>76</v>
      </c>
      <c r="K791" s="97" t="s">
        <v>73</v>
      </c>
      <c r="L791">
        <v>709000</v>
      </c>
      <c r="M791" s="97" t="s">
        <v>86</v>
      </c>
      <c r="N791" s="97" t="s">
        <v>33</v>
      </c>
      <c r="O791">
        <v>0</v>
      </c>
      <c r="P791">
        <v>-500</v>
      </c>
      <c r="Q791">
        <v>-0.5</v>
      </c>
      <c r="R791" s="97" t="s">
        <v>1199</v>
      </c>
      <c r="S791" s="97" t="s">
        <v>195</v>
      </c>
    </row>
    <row r="792" spans="1:19" x14ac:dyDescent="0.3">
      <c r="A792" s="97" t="s">
        <v>750</v>
      </c>
      <c r="B792" s="97" t="s">
        <v>23</v>
      </c>
      <c r="C792">
        <v>2026</v>
      </c>
      <c r="D792">
        <v>1</v>
      </c>
      <c r="E792" s="2">
        <v>46050</v>
      </c>
      <c r="F792" s="97" t="s">
        <v>7</v>
      </c>
      <c r="G792" s="97" t="s">
        <v>8</v>
      </c>
      <c r="H792" s="97" t="s">
        <v>70</v>
      </c>
      <c r="I792" s="97" t="s">
        <v>77</v>
      </c>
      <c r="J792" s="97" t="s">
        <v>78</v>
      </c>
      <c r="K792" s="97" t="s">
        <v>73</v>
      </c>
      <c r="L792">
        <v>701000</v>
      </c>
      <c r="M792" s="97" t="s">
        <v>62</v>
      </c>
      <c r="N792" s="97" t="s">
        <v>33</v>
      </c>
      <c r="O792">
        <v>2522</v>
      </c>
      <c r="P792">
        <v>1.8</v>
      </c>
      <c r="Q792">
        <v>4.54</v>
      </c>
      <c r="R792" s="97" t="s">
        <v>1204</v>
      </c>
      <c r="S792" s="97" t="s">
        <v>195</v>
      </c>
    </row>
    <row r="793" spans="1:19" x14ac:dyDescent="0.3">
      <c r="A793" s="97" t="s">
        <v>751</v>
      </c>
      <c r="B793" s="97" t="s">
        <v>23</v>
      </c>
      <c r="C793">
        <v>2026</v>
      </c>
      <c r="D793">
        <v>1</v>
      </c>
      <c r="E793" s="2">
        <v>46050</v>
      </c>
      <c r="F793" s="97" t="s">
        <v>7</v>
      </c>
      <c r="G793" s="97" t="s">
        <v>8</v>
      </c>
      <c r="H793" s="97" t="s">
        <v>70</v>
      </c>
      <c r="I793" s="97" t="s">
        <v>77</v>
      </c>
      <c r="J793" s="97" t="s">
        <v>78</v>
      </c>
      <c r="K793" s="97" t="s">
        <v>73</v>
      </c>
      <c r="L793">
        <v>701000</v>
      </c>
      <c r="M793" s="97" t="s">
        <v>62</v>
      </c>
      <c r="N793" s="97" t="s">
        <v>33</v>
      </c>
      <c r="O793">
        <v>1245</v>
      </c>
      <c r="P793">
        <v>1.8</v>
      </c>
      <c r="Q793">
        <v>2.2400000000000002</v>
      </c>
      <c r="R793" s="97" t="s">
        <v>1203</v>
      </c>
      <c r="S793" s="97" t="s">
        <v>195</v>
      </c>
    </row>
    <row r="794" spans="1:19" x14ac:dyDescent="0.3">
      <c r="A794" s="97" t="s">
        <v>752</v>
      </c>
      <c r="B794" s="97" t="s">
        <v>23</v>
      </c>
      <c r="C794">
        <v>2026</v>
      </c>
      <c r="D794">
        <v>1</v>
      </c>
      <c r="E794" s="2">
        <v>46050</v>
      </c>
      <c r="F794" s="97" t="s">
        <v>7</v>
      </c>
      <c r="G794" s="97" t="s">
        <v>8</v>
      </c>
      <c r="H794" s="97" t="s">
        <v>70</v>
      </c>
      <c r="I794" s="97" t="s">
        <v>77</v>
      </c>
      <c r="J794" s="97" t="s">
        <v>78</v>
      </c>
      <c r="K794" s="97" t="s">
        <v>73</v>
      </c>
      <c r="L794">
        <v>701000</v>
      </c>
      <c r="M794" s="97" t="s">
        <v>62</v>
      </c>
      <c r="N794" s="97" t="s">
        <v>33</v>
      </c>
      <c r="O794">
        <v>899</v>
      </c>
      <c r="P794">
        <v>1.8</v>
      </c>
      <c r="Q794">
        <v>1.62</v>
      </c>
      <c r="R794" s="97" t="s">
        <v>1202</v>
      </c>
      <c r="S794" s="97" t="s">
        <v>195</v>
      </c>
    </row>
    <row r="795" spans="1:19" x14ac:dyDescent="0.3">
      <c r="A795" s="97" t="s">
        <v>753</v>
      </c>
      <c r="B795" s="97" t="s">
        <v>23</v>
      </c>
      <c r="C795">
        <v>2026</v>
      </c>
      <c r="D795">
        <v>1</v>
      </c>
      <c r="E795" s="2">
        <v>46050</v>
      </c>
      <c r="F795" s="97" t="s">
        <v>7</v>
      </c>
      <c r="G795" s="97" t="s">
        <v>8</v>
      </c>
      <c r="H795" s="97" t="s">
        <v>70</v>
      </c>
      <c r="I795" s="97" t="s">
        <v>77</v>
      </c>
      <c r="J795" s="97" t="s">
        <v>78</v>
      </c>
      <c r="K795" s="97" t="s">
        <v>73</v>
      </c>
      <c r="L795">
        <v>701000</v>
      </c>
      <c r="M795" s="97" t="s">
        <v>62</v>
      </c>
      <c r="N795" s="97" t="s">
        <v>33</v>
      </c>
      <c r="O795">
        <v>1976</v>
      </c>
      <c r="P795">
        <v>1.8</v>
      </c>
      <c r="Q795">
        <v>3.56</v>
      </c>
      <c r="R795" s="97" t="s">
        <v>1201</v>
      </c>
      <c r="S795" s="97" t="s">
        <v>195</v>
      </c>
    </row>
    <row r="796" spans="1:19" x14ac:dyDescent="0.3">
      <c r="A796" s="97" t="s">
        <v>754</v>
      </c>
      <c r="B796" s="97" t="s">
        <v>23</v>
      </c>
      <c r="C796">
        <v>2026</v>
      </c>
      <c r="D796">
        <v>1</v>
      </c>
      <c r="E796" s="2">
        <v>46050</v>
      </c>
      <c r="F796" s="97" t="s">
        <v>7</v>
      </c>
      <c r="G796" s="97" t="s">
        <v>8</v>
      </c>
      <c r="H796" s="97" t="s">
        <v>70</v>
      </c>
      <c r="I796" s="97" t="s">
        <v>77</v>
      </c>
      <c r="J796" s="97" t="s">
        <v>78</v>
      </c>
      <c r="K796" s="97" t="s">
        <v>73</v>
      </c>
      <c r="L796">
        <v>701000</v>
      </c>
      <c r="M796" s="97" t="s">
        <v>62</v>
      </c>
      <c r="N796" s="97" t="s">
        <v>33</v>
      </c>
      <c r="O796">
        <v>1912</v>
      </c>
      <c r="P796">
        <v>1.8</v>
      </c>
      <c r="Q796">
        <v>3.44</v>
      </c>
      <c r="R796" s="97" t="s">
        <v>1197</v>
      </c>
      <c r="S796" s="97" t="s">
        <v>195</v>
      </c>
    </row>
    <row r="797" spans="1:19" x14ac:dyDescent="0.3">
      <c r="A797" s="97" t="s">
        <v>770</v>
      </c>
      <c r="B797" s="97" t="s">
        <v>23</v>
      </c>
      <c r="C797">
        <v>2026</v>
      </c>
      <c r="D797">
        <v>1</v>
      </c>
      <c r="E797" s="2">
        <v>46050</v>
      </c>
      <c r="F797" s="97" t="s">
        <v>7</v>
      </c>
      <c r="G797" s="97" t="s">
        <v>8</v>
      </c>
      <c r="H797" s="97" t="s">
        <v>70</v>
      </c>
      <c r="I797" s="97" t="s">
        <v>77</v>
      </c>
      <c r="J797" s="97" t="s">
        <v>78</v>
      </c>
      <c r="K797" s="97" t="s">
        <v>73</v>
      </c>
      <c r="L797">
        <v>709000</v>
      </c>
      <c r="M797" s="97" t="s">
        <v>86</v>
      </c>
      <c r="N797" s="97" t="s">
        <v>33</v>
      </c>
      <c r="O797">
        <v>0</v>
      </c>
      <c r="P797">
        <v>-170</v>
      </c>
      <c r="Q797">
        <v>-0.17</v>
      </c>
      <c r="R797" s="97" t="s">
        <v>1205</v>
      </c>
      <c r="S797" s="97" t="s">
        <v>195</v>
      </c>
    </row>
    <row r="798" spans="1:19" x14ac:dyDescent="0.3">
      <c r="A798" s="97" t="s">
        <v>771</v>
      </c>
      <c r="B798" s="97" t="s">
        <v>23</v>
      </c>
      <c r="C798">
        <v>2026</v>
      </c>
      <c r="D798">
        <v>1</v>
      </c>
      <c r="E798" s="2">
        <v>46050</v>
      </c>
      <c r="F798" s="97" t="s">
        <v>7</v>
      </c>
      <c r="G798" s="97" t="s">
        <v>8</v>
      </c>
      <c r="H798" s="97" t="s">
        <v>70</v>
      </c>
      <c r="I798" s="97" t="s">
        <v>77</v>
      </c>
      <c r="J798" s="97" t="s">
        <v>78</v>
      </c>
      <c r="K798" s="97" t="s">
        <v>73</v>
      </c>
      <c r="L798">
        <v>709000</v>
      </c>
      <c r="M798" s="97" t="s">
        <v>86</v>
      </c>
      <c r="N798" s="97" t="s">
        <v>33</v>
      </c>
      <c r="O798">
        <v>0</v>
      </c>
      <c r="P798">
        <v>-580</v>
      </c>
      <c r="Q798">
        <v>-0.57999999999999996</v>
      </c>
      <c r="R798" s="97" t="s">
        <v>1204</v>
      </c>
      <c r="S798" s="97" t="s">
        <v>195</v>
      </c>
    </row>
    <row r="799" spans="1:19" x14ac:dyDescent="0.3">
      <c r="A799" s="97" t="s">
        <v>772</v>
      </c>
      <c r="B799" s="97" t="s">
        <v>23</v>
      </c>
      <c r="C799">
        <v>2026</v>
      </c>
      <c r="D799">
        <v>1</v>
      </c>
      <c r="E799" s="2">
        <v>46050</v>
      </c>
      <c r="F799" s="97" t="s">
        <v>7</v>
      </c>
      <c r="G799" s="97" t="s">
        <v>8</v>
      </c>
      <c r="H799" s="97" t="s">
        <v>70</v>
      </c>
      <c r="I799" s="97" t="s">
        <v>77</v>
      </c>
      <c r="J799" s="97" t="s">
        <v>78</v>
      </c>
      <c r="K799" s="97" t="s">
        <v>73</v>
      </c>
      <c r="L799">
        <v>709000</v>
      </c>
      <c r="M799" s="97" t="s">
        <v>86</v>
      </c>
      <c r="N799" s="97" t="s">
        <v>33</v>
      </c>
      <c r="O799">
        <v>0</v>
      </c>
      <c r="P799">
        <v>-770</v>
      </c>
      <c r="Q799">
        <v>-0.77</v>
      </c>
      <c r="R799" s="97" t="s">
        <v>1202</v>
      </c>
      <c r="S799" s="97" t="s">
        <v>195</v>
      </c>
    </row>
    <row r="800" spans="1:19" x14ac:dyDescent="0.3">
      <c r="A800" s="97" t="s">
        <v>773</v>
      </c>
      <c r="B800" s="97" t="s">
        <v>23</v>
      </c>
      <c r="C800">
        <v>2026</v>
      </c>
      <c r="D800">
        <v>1</v>
      </c>
      <c r="E800" s="2">
        <v>46050</v>
      </c>
      <c r="F800" s="97" t="s">
        <v>7</v>
      </c>
      <c r="G800" s="97" t="s">
        <v>8</v>
      </c>
      <c r="H800" s="97" t="s">
        <v>70</v>
      </c>
      <c r="I800" s="97" t="s">
        <v>77</v>
      </c>
      <c r="J800" s="97" t="s">
        <v>78</v>
      </c>
      <c r="K800" s="97" t="s">
        <v>73</v>
      </c>
      <c r="L800">
        <v>709000</v>
      </c>
      <c r="M800" s="97" t="s">
        <v>86</v>
      </c>
      <c r="N800" s="97" t="s">
        <v>33</v>
      </c>
      <c r="O800">
        <v>0</v>
      </c>
      <c r="P800">
        <v>-2520</v>
      </c>
      <c r="Q800">
        <v>-2.52</v>
      </c>
      <c r="R800" s="97" t="s">
        <v>1199</v>
      </c>
      <c r="S800" s="97" t="s">
        <v>195</v>
      </c>
    </row>
    <row r="801" spans="1:19" x14ac:dyDescent="0.3">
      <c r="A801" s="97" t="s">
        <v>774</v>
      </c>
      <c r="B801" s="97" t="s">
        <v>23</v>
      </c>
      <c r="C801">
        <v>2026</v>
      </c>
      <c r="D801">
        <v>1</v>
      </c>
      <c r="E801" s="2">
        <v>46050</v>
      </c>
      <c r="F801" s="97" t="s">
        <v>7</v>
      </c>
      <c r="G801" s="97" t="s">
        <v>8</v>
      </c>
      <c r="H801" s="97" t="s">
        <v>70</v>
      </c>
      <c r="I801" s="97" t="s">
        <v>77</v>
      </c>
      <c r="J801" s="97" t="s">
        <v>78</v>
      </c>
      <c r="K801" s="97" t="s">
        <v>73</v>
      </c>
      <c r="L801">
        <v>709000</v>
      </c>
      <c r="M801" s="97" t="s">
        <v>86</v>
      </c>
      <c r="N801" s="97" t="s">
        <v>33</v>
      </c>
      <c r="O801">
        <v>0</v>
      </c>
      <c r="P801">
        <v>-1200</v>
      </c>
      <c r="Q801">
        <v>-1.2</v>
      </c>
      <c r="R801" s="97" t="s">
        <v>1200</v>
      </c>
      <c r="S801" s="97" t="s">
        <v>195</v>
      </c>
    </row>
    <row r="802" spans="1:19" x14ac:dyDescent="0.3">
      <c r="A802" s="97" t="s">
        <v>805</v>
      </c>
      <c r="B802" s="97" t="s">
        <v>23</v>
      </c>
      <c r="C802">
        <v>2026</v>
      </c>
      <c r="D802">
        <v>1</v>
      </c>
      <c r="E802" s="2">
        <v>46050</v>
      </c>
      <c r="F802" s="97" t="s">
        <v>7</v>
      </c>
      <c r="G802" s="97" t="s">
        <v>8</v>
      </c>
      <c r="H802" s="97" t="s">
        <v>74</v>
      </c>
      <c r="I802" s="97" t="s">
        <v>79</v>
      </c>
      <c r="J802" s="97" t="s">
        <v>80</v>
      </c>
      <c r="K802" s="97" t="s">
        <v>73</v>
      </c>
      <c r="L802">
        <v>701000</v>
      </c>
      <c r="M802" s="97" t="s">
        <v>62</v>
      </c>
      <c r="N802" s="97" t="s">
        <v>33</v>
      </c>
      <c r="O802">
        <v>977</v>
      </c>
      <c r="P802">
        <v>2.6</v>
      </c>
      <c r="Q802">
        <v>2.54</v>
      </c>
      <c r="R802" s="97" t="s">
        <v>1197</v>
      </c>
      <c r="S802" s="97" t="s">
        <v>195</v>
      </c>
    </row>
    <row r="803" spans="1:19" x14ac:dyDescent="0.3">
      <c r="A803" s="97" t="s">
        <v>806</v>
      </c>
      <c r="B803" s="97" t="s">
        <v>23</v>
      </c>
      <c r="C803">
        <v>2026</v>
      </c>
      <c r="D803">
        <v>1</v>
      </c>
      <c r="E803" s="2">
        <v>46050</v>
      </c>
      <c r="F803" s="97" t="s">
        <v>7</v>
      </c>
      <c r="G803" s="97" t="s">
        <v>8</v>
      </c>
      <c r="H803" s="97" t="s">
        <v>74</v>
      </c>
      <c r="I803" s="97" t="s">
        <v>79</v>
      </c>
      <c r="J803" s="97" t="s">
        <v>80</v>
      </c>
      <c r="K803" s="97" t="s">
        <v>73</v>
      </c>
      <c r="L803">
        <v>701000</v>
      </c>
      <c r="M803" s="97" t="s">
        <v>62</v>
      </c>
      <c r="N803" s="97" t="s">
        <v>33</v>
      </c>
      <c r="O803">
        <v>2423</v>
      </c>
      <c r="P803">
        <v>2.6</v>
      </c>
      <c r="Q803">
        <v>6.3</v>
      </c>
      <c r="R803" s="97" t="s">
        <v>1201</v>
      </c>
      <c r="S803" s="97" t="s">
        <v>195</v>
      </c>
    </row>
    <row r="804" spans="1:19" x14ac:dyDescent="0.3">
      <c r="A804" s="97" t="s">
        <v>807</v>
      </c>
      <c r="B804" s="97" t="s">
        <v>23</v>
      </c>
      <c r="C804">
        <v>2026</v>
      </c>
      <c r="D804">
        <v>1</v>
      </c>
      <c r="E804" s="2">
        <v>46050</v>
      </c>
      <c r="F804" s="97" t="s">
        <v>7</v>
      </c>
      <c r="G804" s="97" t="s">
        <v>8</v>
      </c>
      <c r="H804" s="97" t="s">
        <v>74</v>
      </c>
      <c r="I804" s="97" t="s">
        <v>79</v>
      </c>
      <c r="J804" s="97" t="s">
        <v>80</v>
      </c>
      <c r="K804" s="97" t="s">
        <v>73</v>
      </c>
      <c r="L804">
        <v>701000</v>
      </c>
      <c r="M804" s="97" t="s">
        <v>62</v>
      </c>
      <c r="N804" s="97" t="s">
        <v>33</v>
      </c>
      <c r="O804">
        <v>1349</v>
      </c>
      <c r="P804">
        <v>2.6</v>
      </c>
      <c r="Q804">
        <v>3.51</v>
      </c>
      <c r="R804" s="97" t="s">
        <v>1205</v>
      </c>
      <c r="S804" s="97" t="s">
        <v>195</v>
      </c>
    </row>
    <row r="805" spans="1:19" x14ac:dyDescent="0.3">
      <c r="A805" s="97" t="s">
        <v>808</v>
      </c>
      <c r="B805" s="97" t="s">
        <v>23</v>
      </c>
      <c r="C805">
        <v>2026</v>
      </c>
      <c r="D805">
        <v>1</v>
      </c>
      <c r="E805" s="2">
        <v>46050</v>
      </c>
      <c r="F805" s="97" t="s">
        <v>7</v>
      </c>
      <c r="G805" s="97" t="s">
        <v>8</v>
      </c>
      <c r="H805" s="97" t="s">
        <v>74</v>
      </c>
      <c r="I805" s="97" t="s">
        <v>79</v>
      </c>
      <c r="J805" s="97" t="s">
        <v>80</v>
      </c>
      <c r="K805" s="97" t="s">
        <v>73</v>
      </c>
      <c r="L805">
        <v>701000</v>
      </c>
      <c r="M805" s="97" t="s">
        <v>62</v>
      </c>
      <c r="N805" s="97" t="s">
        <v>33</v>
      </c>
      <c r="O805">
        <v>1804</v>
      </c>
      <c r="P805">
        <v>2.6</v>
      </c>
      <c r="Q805">
        <v>4.6900000000000004</v>
      </c>
      <c r="R805" s="97" t="s">
        <v>1199</v>
      </c>
      <c r="S805" s="97" t="s">
        <v>195</v>
      </c>
    </row>
    <row r="806" spans="1:19" x14ac:dyDescent="0.3">
      <c r="A806" s="97" t="s">
        <v>809</v>
      </c>
      <c r="B806" s="97" t="s">
        <v>23</v>
      </c>
      <c r="C806">
        <v>2026</v>
      </c>
      <c r="D806">
        <v>1</v>
      </c>
      <c r="E806" s="2">
        <v>46050</v>
      </c>
      <c r="F806" s="97" t="s">
        <v>7</v>
      </c>
      <c r="G806" s="97" t="s">
        <v>8</v>
      </c>
      <c r="H806" s="97" t="s">
        <v>74</v>
      </c>
      <c r="I806" s="97" t="s">
        <v>79</v>
      </c>
      <c r="J806" s="97" t="s">
        <v>80</v>
      </c>
      <c r="K806" s="97" t="s">
        <v>73</v>
      </c>
      <c r="L806">
        <v>701000</v>
      </c>
      <c r="M806" s="97" t="s">
        <v>62</v>
      </c>
      <c r="N806" s="97" t="s">
        <v>33</v>
      </c>
      <c r="O806">
        <v>1321</v>
      </c>
      <c r="P806">
        <v>2.6</v>
      </c>
      <c r="Q806">
        <v>3.43</v>
      </c>
      <c r="R806" s="97" t="s">
        <v>1200</v>
      </c>
      <c r="S806" s="97" t="s">
        <v>195</v>
      </c>
    </row>
    <row r="807" spans="1:19" x14ac:dyDescent="0.3">
      <c r="A807" s="97" t="s">
        <v>860</v>
      </c>
      <c r="B807" s="97" t="s">
        <v>23</v>
      </c>
      <c r="C807">
        <v>2026</v>
      </c>
      <c r="D807">
        <v>1</v>
      </c>
      <c r="E807" s="2">
        <v>46050</v>
      </c>
      <c r="F807" s="97" t="s">
        <v>7</v>
      </c>
      <c r="G807" s="97" t="s">
        <v>8</v>
      </c>
      <c r="H807" s="97" t="s">
        <v>74</v>
      </c>
      <c r="I807" s="97" t="s">
        <v>79</v>
      </c>
      <c r="J807" s="97" t="s">
        <v>80</v>
      </c>
      <c r="K807" s="97" t="s">
        <v>73</v>
      </c>
      <c r="L807">
        <v>701000</v>
      </c>
      <c r="M807" s="97" t="s">
        <v>62</v>
      </c>
      <c r="N807" s="97" t="s">
        <v>33</v>
      </c>
      <c r="O807">
        <v>756</v>
      </c>
      <c r="P807">
        <v>2.61</v>
      </c>
      <c r="Q807">
        <v>1.97</v>
      </c>
      <c r="R807" s="97" t="s">
        <v>1201</v>
      </c>
      <c r="S807" s="97" t="s">
        <v>195</v>
      </c>
    </row>
    <row r="808" spans="1:19" x14ac:dyDescent="0.3">
      <c r="A808" s="97" t="s">
        <v>861</v>
      </c>
      <c r="B808" s="97" t="s">
        <v>23</v>
      </c>
      <c r="C808">
        <v>2026</v>
      </c>
      <c r="D808">
        <v>1</v>
      </c>
      <c r="E808" s="2">
        <v>46050</v>
      </c>
      <c r="F808" s="97" t="s">
        <v>7</v>
      </c>
      <c r="G808" s="97" t="s">
        <v>8</v>
      </c>
      <c r="H808" s="97" t="s">
        <v>74</v>
      </c>
      <c r="I808" s="97" t="s">
        <v>79</v>
      </c>
      <c r="J808" s="97" t="s">
        <v>80</v>
      </c>
      <c r="K808" s="97" t="s">
        <v>73</v>
      </c>
      <c r="L808">
        <v>701000</v>
      </c>
      <c r="M808" s="97" t="s">
        <v>62</v>
      </c>
      <c r="N808" s="97" t="s">
        <v>33</v>
      </c>
      <c r="O808">
        <v>293</v>
      </c>
      <c r="P808">
        <v>2.59</v>
      </c>
      <c r="Q808">
        <v>0.76</v>
      </c>
      <c r="R808" s="97" t="s">
        <v>1204</v>
      </c>
      <c r="S808" s="97" t="s">
        <v>195</v>
      </c>
    </row>
    <row r="809" spans="1:19" x14ac:dyDescent="0.3">
      <c r="A809" s="97" t="s">
        <v>862</v>
      </c>
      <c r="B809" s="97" t="s">
        <v>23</v>
      </c>
      <c r="C809">
        <v>2026</v>
      </c>
      <c r="D809">
        <v>1</v>
      </c>
      <c r="E809" s="2">
        <v>46050</v>
      </c>
      <c r="F809" s="97" t="s">
        <v>7</v>
      </c>
      <c r="G809" s="97" t="s">
        <v>8</v>
      </c>
      <c r="H809" s="97" t="s">
        <v>74</v>
      </c>
      <c r="I809" s="97" t="s">
        <v>79</v>
      </c>
      <c r="J809" s="97" t="s">
        <v>80</v>
      </c>
      <c r="K809" s="97" t="s">
        <v>73</v>
      </c>
      <c r="L809">
        <v>701000</v>
      </c>
      <c r="M809" s="97" t="s">
        <v>62</v>
      </c>
      <c r="N809" s="97" t="s">
        <v>33</v>
      </c>
      <c r="O809">
        <v>1377</v>
      </c>
      <c r="P809">
        <v>2.6</v>
      </c>
      <c r="Q809">
        <v>3.58</v>
      </c>
      <c r="R809" s="97" t="s">
        <v>1199</v>
      </c>
      <c r="S809" s="97" t="s">
        <v>195</v>
      </c>
    </row>
    <row r="810" spans="1:19" x14ac:dyDescent="0.3">
      <c r="A810" s="97" t="s">
        <v>863</v>
      </c>
      <c r="B810" s="97" t="s">
        <v>23</v>
      </c>
      <c r="C810">
        <v>2026</v>
      </c>
      <c r="D810">
        <v>1</v>
      </c>
      <c r="E810" s="2">
        <v>46050</v>
      </c>
      <c r="F810" s="97" t="s">
        <v>7</v>
      </c>
      <c r="G810" s="97" t="s">
        <v>8</v>
      </c>
      <c r="H810" s="97" t="s">
        <v>74</v>
      </c>
      <c r="I810" s="97" t="s">
        <v>79</v>
      </c>
      <c r="J810" s="97" t="s">
        <v>80</v>
      </c>
      <c r="K810" s="97" t="s">
        <v>73</v>
      </c>
      <c r="L810">
        <v>701000</v>
      </c>
      <c r="M810" s="97" t="s">
        <v>62</v>
      </c>
      <c r="N810" s="97" t="s">
        <v>33</v>
      </c>
      <c r="O810">
        <v>2792</v>
      </c>
      <c r="P810">
        <v>2.6</v>
      </c>
      <c r="Q810">
        <v>7.26</v>
      </c>
      <c r="R810" s="97" t="s">
        <v>1205</v>
      </c>
      <c r="S810" s="97" t="s">
        <v>195</v>
      </c>
    </row>
    <row r="811" spans="1:19" x14ac:dyDescent="0.3">
      <c r="A811" s="97" t="s">
        <v>864</v>
      </c>
      <c r="B811" s="97" t="s">
        <v>23</v>
      </c>
      <c r="C811">
        <v>2026</v>
      </c>
      <c r="D811">
        <v>1</v>
      </c>
      <c r="E811" s="2">
        <v>46050</v>
      </c>
      <c r="F811" s="97" t="s">
        <v>7</v>
      </c>
      <c r="G811" s="97" t="s">
        <v>8</v>
      </c>
      <c r="H811" s="97" t="s">
        <v>74</v>
      </c>
      <c r="I811" s="97" t="s">
        <v>79</v>
      </c>
      <c r="J811" s="97" t="s">
        <v>80</v>
      </c>
      <c r="K811" s="97" t="s">
        <v>73</v>
      </c>
      <c r="L811">
        <v>701000</v>
      </c>
      <c r="M811" s="97" t="s">
        <v>62</v>
      </c>
      <c r="N811" s="97" t="s">
        <v>33</v>
      </c>
      <c r="O811">
        <v>1463</v>
      </c>
      <c r="P811">
        <v>2.6</v>
      </c>
      <c r="Q811">
        <v>3.8</v>
      </c>
      <c r="R811" s="97" t="s">
        <v>1198</v>
      </c>
      <c r="S811" s="97" t="s">
        <v>195</v>
      </c>
    </row>
    <row r="812" spans="1:19" x14ac:dyDescent="0.3">
      <c r="A812" s="97" t="s">
        <v>1145</v>
      </c>
      <c r="B812" s="97" t="s">
        <v>23</v>
      </c>
      <c r="C812">
        <v>2026</v>
      </c>
      <c r="D812">
        <v>2</v>
      </c>
      <c r="E812" s="2">
        <v>46054</v>
      </c>
      <c r="F812" s="97" t="s">
        <v>7</v>
      </c>
      <c r="G812" s="97" t="s">
        <v>8</v>
      </c>
      <c r="H812" s="97" t="s">
        <v>70</v>
      </c>
      <c r="I812" s="97" t="s">
        <v>71</v>
      </c>
      <c r="J812" s="97" t="s">
        <v>72</v>
      </c>
      <c r="K812" s="97" t="s">
        <v>73</v>
      </c>
      <c r="L812">
        <v>701000</v>
      </c>
      <c r="M812" s="97" t="s">
        <v>62</v>
      </c>
      <c r="N812" s="97" t="s">
        <v>33</v>
      </c>
      <c r="O812">
        <v>3857</v>
      </c>
      <c r="P812">
        <v>1.05</v>
      </c>
      <c r="Q812">
        <v>4.05</v>
      </c>
      <c r="R812" s="97" t="s">
        <v>1203</v>
      </c>
      <c r="S812" s="97" t="s">
        <v>195</v>
      </c>
    </row>
    <row r="813" spans="1:19" x14ac:dyDescent="0.3">
      <c r="A813" s="97" t="s">
        <v>1146</v>
      </c>
      <c r="B813" s="97" t="s">
        <v>23</v>
      </c>
      <c r="C813">
        <v>2026</v>
      </c>
      <c r="D813">
        <v>2</v>
      </c>
      <c r="E813" s="2">
        <v>46054</v>
      </c>
      <c r="F813" s="97" t="s">
        <v>7</v>
      </c>
      <c r="G813" s="97" t="s">
        <v>8</v>
      </c>
      <c r="H813" s="97" t="s">
        <v>70</v>
      </c>
      <c r="I813" s="97" t="s">
        <v>71</v>
      </c>
      <c r="J813" s="97" t="s">
        <v>72</v>
      </c>
      <c r="K813" s="97" t="s">
        <v>73</v>
      </c>
      <c r="L813">
        <v>701000</v>
      </c>
      <c r="M813" s="97" t="s">
        <v>62</v>
      </c>
      <c r="N813" s="97" t="s">
        <v>33</v>
      </c>
      <c r="O813">
        <v>4294</v>
      </c>
      <c r="P813">
        <v>1.05</v>
      </c>
      <c r="Q813">
        <v>4.51</v>
      </c>
      <c r="R813" s="97" t="s">
        <v>1204</v>
      </c>
      <c r="S813" s="97" t="s">
        <v>195</v>
      </c>
    </row>
    <row r="814" spans="1:19" x14ac:dyDescent="0.3">
      <c r="A814" s="97" t="s">
        <v>1147</v>
      </c>
      <c r="B814" s="97" t="s">
        <v>23</v>
      </c>
      <c r="C814">
        <v>2026</v>
      </c>
      <c r="D814">
        <v>2</v>
      </c>
      <c r="E814" s="2">
        <v>46054</v>
      </c>
      <c r="F814" s="97" t="s">
        <v>7</v>
      </c>
      <c r="G814" s="97" t="s">
        <v>8</v>
      </c>
      <c r="H814" s="97" t="s">
        <v>70</v>
      </c>
      <c r="I814" s="97" t="s">
        <v>71</v>
      </c>
      <c r="J814" s="97" t="s">
        <v>72</v>
      </c>
      <c r="K814" s="97" t="s">
        <v>73</v>
      </c>
      <c r="L814">
        <v>701000</v>
      </c>
      <c r="M814" s="97" t="s">
        <v>62</v>
      </c>
      <c r="N814" s="97" t="s">
        <v>33</v>
      </c>
      <c r="O814">
        <v>643</v>
      </c>
      <c r="P814">
        <v>1.04</v>
      </c>
      <c r="Q814">
        <v>0.67</v>
      </c>
      <c r="R814" s="97" t="s">
        <v>1201</v>
      </c>
      <c r="S814" s="97" t="s">
        <v>195</v>
      </c>
    </row>
    <row r="815" spans="1:19" x14ac:dyDescent="0.3">
      <c r="A815" s="97" t="s">
        <v>1148</v>
      </c>
      <c r="B815" s="97" t="s">
        <v>23</v>
      </c>
      <c r="C815">
        <v>2026</v>
      </c>
      <c r="D815">
        <v>2</v>
      </c>
      <c r="E815" s="2">
        <v>46054</v>
      </c>
      <c r="F815" s="97" t="s">
        <v>7</v>
      </c>
      <c r="G815" s="97" t="s">
        <v>8</v>
      </c>
      <c r="H815" s="97" t="s">
        <v>70</v>
      </c>
      <c r="I815" s="97" t="s">
        <v>71</v>
      </c>
      <c r="J815" s="97" t="s">
        <v>72</v>
      </c>
      <c r="K815" s="97" t="s">
        <v>73</v>
      </c>
      <c r="L815">
        <v>701000</v>
      </c>
      <c r="M815" s="97" t="s">
        <v>62</v>
      </c>
      <c r="N815" s="97" t="s">
        <v>33</v>
      </c>
      <c r="O815">
        <v>1386</v>
      </c>
      <c r="P815">
        <v>1.05</v>
      </c>
      <c r="Q815">
        <v>1.46</v>
      </c>
      <c r="R815" s="97" t="s">
        <v>1199</v>
      </c>
      <c r="S815" s="97" t="s">
        <v>195</v>
      </c>
    </row>
    <row r="816" spans="1:19" x14ac:dyDescent="0.3">
      <c r="A816" s="97" t="s">
        <v>1149</v>
      </c>
      <c r="B816" s="97" t="s">
        <v>23</v>
      </c>
      <c r="C816">
        <v>2026</v>
      </c>
      <c r="D816">
        <v>2</v>
      </c>
      <c r="E816" s="2">
        <v>46054</v>
      </c>
      <c r="F816" s="97" t="s">
        <v>7</v>
      </c>
      <c r="G816" s="97" t="s">
        <v>8</v>
      </c>
      <c r="H816" s="97" t="s">
        <v>70</v>
      </c>
      <c r="I816" s="97" t="s">
        <v>71</v>
      </c>
      <c r="J816" s="97" t="s">
        <v>72</v>
      </c>
      <c r="K816" s="97" t="s">
        <v>73</v>
      </c>
      <c r="L816">
        <v>701000</v>
      </c>
      <c r="M816" s="97" t="s">
        <v>62</v>
      </c>
      <c r="N816" s="97" t="s">
        <v>33</v>
      </c>
      <c r="O816">
        <v>6584</v>
      </c>
      <c r="P816">
        <v>1.05</v>
      </c>
      <c r="Q816">
        <v>6.91</v>
      </c>
      <c r="R816" s="97" t="s">
        <v>1202</v>
      </c>
      <c r="S816" s="97" t="s">
        <v>195</v>
      </c>
    </row>
    <row r="817" spans="1:19" x14ac:dyDescent="0.3">
      <c r="A817" s="97" t="s">
        <v>1190</v>
      </c>
      <c r="B817" s="97" t="s">
        <v>23</v>
      </c>
      <c r="C817">
        <v>2026</v>
      </c>
      <c r="D817">
        <v>2</v>
      </c>
      <c r="E817" s="2">
        <v>46054</v>
      </c>
      <c r="F817" s="97" t="s">
        <v>7</v>
      </c>
      <c r="G817" s="97" t="s">
        <v>8</v>
      </c>
      <c r="H817" s="97" t="s">
        <v>70</v>
      </c>
      <c r="I817" s="97" t="s">
        <v>71</v>
      </c>
      <c r="J817" s="97" t="s">
        <v>72</v>
      </c>
      <c r="K817" s="97" t="s">
        <v>73</v>
      </c>
      <c r="L817">
        <v>701000</v>
      </c>
      <c r="M817" s="97" t="s">
        <v>62</v>
      </c>
      <c r="N817" s="97" t="s">
        <v>33</v>
      </c>
      <c r="O817">
        <v>6312</v>
      </c>
      <c r="P817">
        <v>1.05</v>
      </c>
      <c r="Q817">
        <v>6.63</v>
      </c>
      <c r="R817" s="97" t="s">
        <v>1205</v>
      </c>
      <c r="S817" s="97" t="s">
        <v>195</v>
      </c>
    </row>
    <row r="818" spans="1:19" x14ac:dyDescent="0.3">
      <c r="A818" s="97" t="s">
        <v>1191</v>
      </c>
      <c r="B818" s="97" t="s">
        <v>23</v>
      </c>
      <c r="C818">
        <v>2026</v>
      </c>
      <c r="D818">
        <v>2</v>
      </c>
      <c r="E818" s="2">
        <v>46054</v>
      </c>
      <c r="F818" s="97" t="s">
        <v>7</v>
      </c>
      <c r="G818" s="97" t="s">
        <v>8</v>
      </c>
      <c r="H818" s="97" t="s">
        <v>70</v>
      </c>
      <c r="I818" s="97" t="s">
        <v>71</v>
      </c>
      <c r="J818" s="97" t="s">
        <v>72</v>
      </c>
      <c r="K818" s="97" t="s">
        <v>73</v>
      </c>
      <c r="L818">
        <v>701000</v>
      </c>
      <c r="M818" s="97" t="s">
        <v>62</v>
      </c>
      <c r="N818" s="97" t="s">
        <v>33</v>
      </c>
      <c r="O818">
        <v>2158</v>
      </c>
      <c r="P818">
        <v>1.05</v>
      </c>
      <c r="Q818">
        <v>2.27</v>
      </c>
      <c r="R818" s="97" t="s">
        <v>1203</v>
      </c>
      <c r="S818" s="97" t="s">
        <v>195</v>
      </c>
    </row>
    <row r="819" spans="1:19" x14ac:dyDescent="0.3">
      <c r="A819" s="97" t="s">
        <v>1192</v>
      </c>
      <c r="B819" s="97" t="s">
        <v>23</v>
      </c>
      <c r="C819">
        <v>2026</v>
      </c>
      <c r="D819">
        <v>2</v>
      </c>
      <c r="E819" s="2">
        <v>46054</v>
      </c>
      <c r="F819" s="97" t="s">
        <v>7</v>
      </c>
      <c r="G819" s="97" t="s">
        <v>8</v>
      </c>
      <c r="H819" s="97" t="s">
        <v>70</v>
      </c>
      <c r="I819" s="97" t="s">
        <v>71</v>
      </c>
      <c r="J819" s="97" t="s">
        <v>72</v>
      </c>
      <c r="K819" s="97" t="s">
        <v>73</v>
      </c>
      <c r="L819">
        <v>701000</v>
      </c>
      <c r="M819" s="97" t="s">
        <v>62</v>
      </c>
      <c r="N819" s="97" t="s">
        <v>33</v>
      </c>
      <c r="O819">
        <v>716</v>
      </c>
      <c r="P819">
        <v>1.05</v>
      </c>
      <c r="Q819">
        <v>0.75</v>
      </c>
      <c r="R819" s="97" t="s">
        <v>1201</v>
      </c>
      <c r="S819" s="97" t="s">
        <v>195</v>
      </c>
    </row>
    <row r="820" spans="1:19" x14ac:dyDescent="0.3">
      <c r="A820" s="97" t="s">
        <v>1193</v>
      </c>
      <c r="B820" s="97" t="s">
        <v>23</v>
      </c>
      <c r="C820">
        <v>2026</v>
      </c>
      <c r="D820">
        <v>2</v>
      </c>
      <c r="E820" s="2">
        <v>46054</v>
      </c>
      <c r="F820" s="97" t="s">
        <v>7</v>
      </c>
      <c r="G820" s="97" t="s">
        <v>8</v>
      </c>
      <c r="H820" s="97" t="s">
        <v>70</v>
      </c>
      <c r="I820" s="97" t="s">
        <v>71</v>
      </c>
      <c r="J820" s="97" t="s">
        <v>72</v>
      </c>
      <c r="K820" s="97" t="s">
        <v>73</v>
      </c>
      <c r="L820">
        <v>701000</v>
      </c>
      <c r="M820" s="97" t="s">
        <v>62</v>
      </c>
      <c r="N820" s="97" t="s">
        <v>33</v>
      </c>
      <c r="O820">
        <v>783</v>
      </c>
      <c r="P820">
        <v>1.05</v>
      </c>
      <c r="Q820">
        <v>0.82</v>
      </c>
      <c r="R820" s="97" t="s">
        <v>1202</v>
      </c>
      <c r="S820" s="97" t="s">
        <v>195</v>
      </c>
    </row>
    <row r="821" spans="1:19" x14ac:dyDescent="0.3">
      <c r="A821" s="97" t="s">
        <v>1194</v>
      </c>
      <c r="B821" s="97" t="s">
        <v>23</v>
      </c>
      <c r="C821">
        <v>2026</v>
      </c>
      <c r="D821">
        <v>2</v>
      </c>
      <c r="E821" s="2">
        <v>46054</v>
      </c>
      <c r="F821" s="97" t="s">
        <v>7</v>
      </c>
      <c r="G821" s="97" t="s">
        <v>8</v>
      </c>
      <c r="H821" s="97" t="s">
        <v>70</v>
      </c>
      <c r="I821" s="97" t="s">
        <v>71</v>
      </c>
      <c r="J821" s="97" t="s">
        <v>72</v>
      </c>
      <c r="K821" s="97" t="s">
        <v>73</v>
      </c>
      <c r="L821">
        <v>701000</v>
      </c>
      <c r="M821" s="97" t="s">
        <v>62</v>
      </c>
      <c r="N821" s="97" t="s">
        <v>33</v>
      </c>
      <c r="O821">
        <v>7499</v>
      </c>
      <c r="P821">
        <v>1.05</v>
      </c>
      <c r="Q821">
        <v>7.87</v>
      </c>
      <c r="R821" s="97" t="s">
        <v>1197</v>
      </c>
      <c r="S821" s="97" t="s">
        <v>195</v>
      </c>
    </row>
    <row r="822" spans="1:19" x14ac:dyDescent="0.3">
      <c r="A822" s="97" t="s">
        <v>1005</v>
      </c>
      <c r="B822" s="97" t="s">
        <v>23</v>
      </c>
      <c r="C822">
        <v>2026</v>
      </c>
      <c r="D822">
        <v>2</v>
      </c>
      <c r="E822" s="2">
        <v>46055</v>
      </c>
      <c r="F822" s="97" t="s">
        <v>7</v>
      </c>
      <c r="G822" s="97" t="s">
        <v>8</v>
      </c>
      <c r="H822" s="97" t="s">
        <v>74</v>
      </c>
      <c r="I822" s="97" t="s">
        <v>84</v>
      </c>
      <c r="J822" s="97" t="s">
        <v>85</v>
      </c>
      <c r="K822" s="97" t="s">
        <v>73</v>
      </c>
      <c r="L822">
        <v>701000</v>
      </c>
      <c r="M822" s="97" t="s">
        <v>62</v>
      </c>
      <c r="N822" s="97" t="s">
        <v>33</v>
      </c>
      <c r="O822">
        <v>3837</v>
      </c>
      <c r="P822">
        <v>0.95</v>
      </c>
      <c r="Q822">
        <v>3.65</v>
      </c>
      <c r="R822" s="97" t="s">
        <v>1204</v>
      </c>
      <c r="S822" s="97" t="s">
        <v>195</v>
      </c>
    </row>
    <row r="823" spans="1:19" x14ac:dyDescent="0.3">
      <c r="A823" s="97" t="s">
        <v>1006</v>
      </c>
      <c r="B823" s="97" t="s">
        <v>23</v>
      </c>
      <c r="C823">
        <v>2026</v>
      </c>
      <c r="D823">
        <v>2</v>
      </c>
      <c r="E823" s="2">
        <v>46055</v>
      </c>
      <c r="F823" s="97" t="s">
        <v>7</v>
      </c>
      <c r="G823" s="97" t="s">
        <v>8</v>
      </c>
      <c r="H823" s="97" t="s">
        <v>74</v>
      </c>
      <c r="I823" s="97" t="s">
        <v>84</v>
      </c>
      <c r="J823" s="97" t="s">
        <v>85</v>
      </c>
      <c r="K823" s="97" t="s">
        <v>73</v>
      </c>
      <c r="L823">
        <v>701000</v>
      </c>
      <c r="M823" s="97" t="s">
        <v>62</v>
      </c>
      <c r="N823" s="97" t="s">
        <v>33</v>
      </c>
      <c r="O823">
        <v>8127</v>
      </c>
      <c r="P823">
        <v>0.95</v>
      </c>
      <c r="Q823">
        <v>7.72</v>
      </c>
      <c r="R823" s="97" t="s">
        <v>1198</v>
      </c>
      <c r="S823" s="97" t="s">
        <v>195</v>
      </c>
    </row>
    <row r="824" spans="1:19" x14ac:dyDescent="0.3">
      <c r="A824" s="97" t="s">
        <v>1007</v>
      </c>
      <c r="B824" s="97" t="s">
        <v>23</v>
      </c>
      <c r="C824">
        <v>2026</v>
      </c>
      <c r="D824">
        <v>2</v>
      </c>
      <c r="E824" s="2">
        <v>46055</v>
      </c>
      <c r="F824" s="97" t="s">
        <v>7</v>
      </c>
      <c r="G824" s="97" t="s">
        <v>8</v>
      </c>
      <c r="H824" s="97" t="s">
        <v>74</v>
      </c>
      <c r="I824" s="97" t="s">
        <v>84</v>
      </c>
      <c r="J824" s="97" t="s">
        <v>85</v>
      </c>
      <c r="K824" s="97" t="s">
        <v>73</v>
      </c>
      <c r="L824">
        <v>701000</v>
      </c>
      <c r="M824" s="97" t="s">
        <v>62</v>
      </c>
      <c r="N824" s="97" t="s">
        <v>33</v>
      </c>
      <c r="O824">
        <v>2966</v>
      </c>
      <c r="P824">
        <v>0.95</v>
      </c>
      <c r="Q824">
        <v>2.82</v>
      </c>
      <c r="R824" s="97" t="s">
        <v>1202</v>
      </c>
      <c r="S824" s="97" t="s">
        <v>195</v>
      </c>
    </row>
    <row r="825" spans="1:19" x14ac:dyDescent="0.3">
      <c r="A825" s="97" t="s">
        <v>1008</v>
      </c>
      <c r="B825" s="97" t="s">
        <v>23</v>
      </c>
      <c r="C825">
        <v>2026</v>
      </c>
      <c r="D825">
        <v>2</v>
      </c>
      <c r="E825" s="2">
        <v>46055</v>
      </c>
      <c r="F825" s="97" t="s">
        <v>7</v>
      </c>
      <c r="G825" s="97" t="s">
        <v>8</v>
      </c>
      <c r="H825" s="97" t="s">
        <v>74</v>
      </c>
      <c r="I825" s="97" t="s">
        <v>84</v>
      </c>
      <c r="J825" s="97" t="s">
        <v>85</v>
      </c>
      <c r="K825" s="97" t="s">
        <v>73</v>
      </c>
      <c r="L825">
        <v>701000</v>
      </c>
      <c r="M825" s="97" t="s">
        <v>62</v>
      </c>
      <c r="N825" s="97" t="s">
        <v>33</v>
      </c>
      <c r="O825">
        <v>4026</v>
      </c>
      <c r="P825">
        <v>0.95</v>
      </c>
      <c r="Q825">
        <v>3.83</v>
      </c>
      <c r="R825" s="97" t="s">
        <v>1197</v>
      </c>
      <c r="S825" s="97" t="s">
        <v>195</v>
      </c>
    </row>
    <row r="826" spans="1:19" x14ac:dyDescent="0.3">
      <c r="A826" s="97" t="s">
        <v>1009</v>
      </c>
      <c r="B826" s="97" t="s">
        <v>23</v>
      </c>
      <c r="C826">
        <v>2026</v>
      </c>
      <c r="D826">
        <v>2</v>
      </c>
      <c r="E826" s="2">
        <v>46055</v>
      </c>
      <c r="F826" s="97" t="s">
        <v>7</v>
      </c>
      <c r="G826" s="97" t="s">
        <v>8</v>
      </c>
      <c r="H826" s="97" t="s">
        <v>74</v>
      </c>
      <c r="I826" s="97" t="s">
        <v>84</v>
      </c>
      <c r="J826" s="97" t="s">
        <v>85</v>
      </c>
      <c r="K826" s="97" t="s">
        <v>73</v>
      </c>
      <c r="L826">
        <v>701000</v>
      </c>
      <c r="M826" s="97" t="s">
        <v>62</v>
      </c>
      <c r="N826" s="97" t="s">
        <v>33</v>
      </c>
      <c r="O826">
        <v>2957</v>
      </c>
      <c r="P826">
        <v>0.95</v>
      </c>
      <c r="Q826">
        <v>2.8</v>
      </c>
      <c r="R826" s="97" t="s">
        <v>1201</v>
      </c>
      <c r="S826" s="97" t="s">
        <v>195</v>
      </c>
    </row>
    <row r="827" spans="1:19" x14ac:dyDescent="0.3">
      <c r="A827" s="97" t="s">
        <v>1035</v>
      </c>
      <c r="B827" s="97" t="s">
        <v>23</v>
      </c>
      <c r="C827">
        <v>2026</v>
      </c>
      <c r="D827">
        <v>2</v>
      </c>
      <c r="E827" s="2">
        <v>46055</v>
      </c>
      <c r="F827" s="97" t="s">
        <v>7</v>
      </c>
      <c r="G827" s="97" t="s">
        <v>8</v>
      </c>
      <c r="H827" s="97" t="s">
        <v>70</v>
      </c>
      <c r="I827" s="97" t="s">
        <v>84</v>
      </c>
      <c r="J827" s="97" t="s">
        <v>85</v>
      </c>
      <c r="K827" s="97" t="s">
        <v>73</v>
      </c>
      <c r="L827">
        <v>701000</v>
      </c>
      <c r="M827" s="97" t="s">
        <v>62</v>
      </c>
      <c r="N827" s="97" t="s">
        <v>33</v>
      </c>
      <c r="O827">
        <v>4303</v>
      </c>
      <c r="P827">
        <v>0.95</v>
      </c>
      <c r="Q827">
        <v>4.09</v>
      </c>
      <c r="R827" s="97" t="s">
        <v>1202</v>
      </c>
      <c r="S827" s="97" t="s">
        <v>195</v>
      </c>
    </row>
    <row r="828" spans="1:19" x14ac:dyDescent="0.3">
      <c r="A828" s="97" t="s">
        <v>1036</v>
      </c>
      <c r="B828" s="97" t="s">
        <v>23</v>
      </c>
      <c r="C828">
        <v>2026</v>
      </c>
      <c r="D828">
        <v>2</v>
      </c>
      <c r="E828" s="2">
        <v>46055</v>
      </c>
      <c r="F828" s="97" t="s">
        <v>7</v>
      </c>
      <c r="G828" s="97" t="s">
        <v>8</v>
      </c>
      <c r="H828" s="97" t="s">
        <v>70</v>
      </c>
      <c r="I828" s="97" t="s">
        <v>84</v>
      </c>
      <c r="J828" s="97" t="s">
        <v>85</v>
      </c>
      <c r="K828" s="97" t="s">
        <v>73</v>
      </c>
      <c r="L828">
        <v>701000</v>
      </c>
      <c r="M828" s="97" t="s">
        <v>62</v>
      </c>
      <c r="N828" s="97" t="s">
        <v>33</v>
      </c>
      <c r="O828">
        <v>5000</v>
      </c>
      <c r="P828">
        <v>0.95</v>
      </c>
      <c r="Q828">
        <v>4.75</v>
      </c>
      <c r="R828" s="97" t="s">
        <v>1198</v>
      </c>
      <c r="S828" s="97" t="s">
        <v>195</v>
      </c>
    </row>
    <row r="829" spans="1:19" x14ac:dyDescent="0.3">
      <c r="A829" s="97" t="s">
        <v>1037</v>
      </c>
      <c r="B829" s="97" t="s">
        <v>23</v>
      </c>
      <c r="C829">
        <v>2026</v>
      </c>
      <c r="D829">
        <v>2</v>
      </c>
      <c r="E829" s="2">
        <v>46055</v>
      </c>
      <c r="F829" s="97" t="s">
        <v>7</v>
      </c>
      <c r="G829" s="97" t="s">
        <v>8</v>
      </c>
      <c r="H829" s="97" t="s">
        <v>70</v>
      </c>
      <c r="I829" s="97" t="s">
        <v>84</v>
      </c>
      <c r="J829" s="97" t="s">
        <v>85</v>
      </c>
      <c r="K829" s="97" t="s">
        <v>73</v>
      </c>
      <c r="L829">
        <v>701000</v>
      </c>
      <c r="M829" s="97" t="s">
        <v>62</v>
      </c>
      <c r="N829" s="97" t="s">
        <v>33</v>
      </c>
      <c r="O829">
        <v>3103</v>
      </c>
      <c r="P829">
        <v>0.95</v>
      </c>
      <c r="Q829">
        <v>2.95</v>
      </c>
      <c r="R829" s="97" t="s">
        <v>1197</v>
      </c>
      <c r="S829" s="97" t="s">
        <v>195</v>
      </c>
    </row>
    <row r="830" spans="1:19" x14ac:dyDescent="0.3">
      <c r="A830" s="97" t="s">
        <v>1038</v>
      </c>
      <c r="B830" s="97" t="s">
        <v>23</v>
      </c>
      <c r="C830">
        <v>2026</v>
      </c>
      <c r="D830">
        <v>2</v>
      </c>
      <c r="E830" s="2">
        <v>46055</v>
      </c>
      <c r="F830" s="97" t="s">
        <v>7</v>
      </c>
      <c r="G830" s="97" t="s">
        <v>8</v>
      </c>
      <c r="H830" s="97" t="s">
        <v>70</v>
      </c>
      <c r="I830" s="97" t="s">
        <v>84</v>
      </c>
      <c r="J830" s="97" t="s">
        <v>85</v>
      </c>
      <c r="K830" s="97" t="s">
        <v>73</v>
      </c>
      <c r="L830">
        <v>701000</v>
      </c>
      <c r="M830" s="97" t="s">
        <v>62</v>
      </c>
      <c r="N830" s="97" t="s">
        <v>33</v>
      </c>
      <c r="O830">
        <v>2940</v>
      </c>
      <c r="P830">
        <v>0.95</v>
      </c>
      <c r="Q830">
        <v>2.79</v>
      </c>
      <c r="R830" s="97" t="s">
        <v>1204</v>
      </c>
      <c r="S830" s="97" t="s">
        <v>195</v>
      </c>
    </row>
    <row r="831" spans="1:19" x14ac:dyDescent="0.3">
      <c r="A831" s="97" t="s">
        <v>1039</v>
      </c>
      <c r="B831" s="97" t="s">
        <v>23</v>
      </c>
      <c r="C831">
        <v>2026</v>
      </c>
      <c r="D831">
        <v>2</v>
      </c>
      <c r="E831" s="2">
        <v>46055</v>
      </c>
      <c r="F831" s="97" t="s">
        <v>7</v>
      </c>
      <c r="G831" s="97" t="s">
        <v>8</v>
      </c>
      <c r="H831" s="97" t="s">
        <v>70</v>
      </c>
      <c r="I831" s="97" t="s">
        <v>84</v>
      </c>
      <c r="J831" s="97" t="s">
        <v>85</v>
      </c>
      <c r="K831" s="97" t="s">
        <v>73</v>
      </c>
      <c r="L831">
        <v>701000</v>
      </c>
      <c r="M831" s="97" t="s">
        <v>62</v>
      </c>
      <c r="N831" s="97" t="s">
        <v>33</v>
      </c>
      <c r="O831">
        <v>848</v>
      </c>
      <c r="P831">
        <v>0.94</v>
      </c>
      <c r="Q831">
        <v>0.8</v>
      </c>
      <c r="R831" s="97" t="s">
        <v>1201</v>
      </c>
      <c r="S831" s="97" t="s">
        <v>195</v>
      </c>
    </row>
    <row r="832" spans="1:19" x14ac:dyDescent="0.3">
      <c r="A832" s="97" t="s">
        <v>1050</v>
      </c>
      <c r="B832" s="97" t="s">
        <v>23</v>
      </c>
      <c r="C832">
        <v>2026</v>
      </c>
      <c r="D832">
        <v>2</v>
      </c>
      <c r="E832" s="2">
        <v>46055</v>
      </c>
      <c r="F832" s="97" t="s">
        <v>7</v>
      </c>
      <c r="G832" s="97" t="s">
        <v>8</v>
      </c>
      <c r="H832" s="97" t="s">
        <v>70</v>
      </c>
      <c r="I832" s="97" t="s">
        <v>84</v>
      </c>
      <c r="J832" s="97" t="s">
        <v>85</v>
      </c>
      <c r="K832" s="97" t="s">
        <v>73</v>
      </c>
      <c r="L832">
        <v>701000</v>
      </c>
      <c r="M832" s="97" t="s">
        <v>62</v>
      </c>
      <c r="N832" s="97" t="s">
        <v>33</v>
      </c>
      <c r="O832">
        <v>3535</v>
      </c>
      <c r="P832">
        <v>0.95</v>
      </c>
      <c r="Q832">
        <v>3.36</v>
      </c>
      <c r="R832" s="97" t="s">
        <v>1203</v>
      </c>
      <c r="S832" s="97" t="s">
        <v>195</v>
      </c>
    </row>
    <row r="833" spans="1:19" x14ac:dyDescent="0.3">
      <c r="A833" s="97" t="s">
        <v>1051</v>
      </c>
      <c r="B833" s="97" t="s">
        <v>23</v>
      </c>
      <c r="C833">
        <v>2026</v>
      </c>
      <c r="D833">
        <v>2</v>
      </c>
      <c r="E833" s="2">
        <v>46055</v>
      </c>
      <c r="F833" s="97" t="s">
        <v>7</v>
      </c>
      <c r="G833" s="97" t="s">
        <v>8</v>
      </c>
      <c r="H833" s="97" t="s">
        <v>70</v>
      </c>
      <c r="I833" s="97" t="s">
        <v>84</v>
      </c>
      <c r="J833" s="97" t="s">
        <v>85</v>
      </c>
      <c r="K833" s="97" t="s">
        <v>73</v>
      </c>
      <c r="L833">
        <v>701000</v>
      </c>
      <c r="M833" s="97" t="s">
        <v>62</v>
      </c>
      <c r="N833" s="97" t="s">
        <v>33</v>
      </c>
      <c r="O833">
        <v>2114</v>
      </c>
      <c r="P833">
        <v>0.95</v>
      </c>
      <c r="Q833">
        <v>2.0099999999999998</v>
      </c>
      <c r="R833" s="97" t="s">
        <v>1198</v>
      </c>
      <c r="S833" s="97" t="s">
        <v>195</v>
      </c>
    </row>
    <row r="834" spans="1:19" x14ac:dyDescent="0.3">
      <c r="A834" s="97" t="s">
        <v>1052</v>
      </c>
      <c r="B834" s="97" t="s">
        <v>23</v>
      </c>
      <c r="C834">
        <v>2026</v>
      </c>
      <c r="D834">
        <v>2</v>
      </c>
      <c r="E834" s="2">
        <v>46055</v>
      </c>
      <c r="F834" s="97" t="s">
        <v>7</v>
      </c>
      <c r="G834" s="97" t="s">
        <v>8</v>
      </c>
      <c r="H834" s="97" t="s">
        <v>70</v>
      </c>
      <c r="I834" s="97" t="s">
        <v>84</v>
      </c>
      <c r="J834" s="97" t="s">
        <v>85</v>
      </c>
      <c r="K834" s="97" t="s">
        <v>73</v>
      </c>
      <c r="L834">
        <v>701000</v>
      </c>
      <c r="M834" s="97" t="s">
        <v>62</v>
      </c>
      <c r="N834" s="97" t="s">
        <v>33</v>
      </c>
      <c r="O834">
        <v>3423</v>
      </c>
      <c r="P834">
        <v>0.95</v>
      </c>
      <c r="Q834">
        <v>3.25</v>
      </c>
      <c r="R834" s="97" t="s">
        <v>1205</v>
      </c>
      <c r="S834" s="97" t="s">
        <v>195</v>
      </c>
    </row>
    <row r="835" spans="1:19" x14ac:dyDescent="0.3">
      <c r="A835" s="97" t="s">
        <v>1053</v>
      </c>
      <c r="B835" s="97" t="s">
        <v>23</v>
      </c>
      <c r="C835">
        <v>2026</v>
      </c>
      <c r="D835">
        <v>2</v>
      </c>
      <c r="E835" s="2">
        <v>46055</v>
      </c>
      <c r="F835" s="97" t="s">
        <v>7</v>
      </c>
      <c r="G835" s="97" t="s">
        <v>8</v>
      </c>
      <c r="H835" s="97" t="s">
        <v>70</v>
      </c>
      <c r="I835" s="97" t="s">
        <v>84</v>
      </c>
      <c r="J835" s="97" t="s">
        <v>85</v>
      </c>
      <c r="K835" s="97" t="s">
        <v>73</v>
      </c>
      <c r="L835">
        <v>701000</v>
      </c>
      <c r="M835" s="97" t="s">
        <v>62</v>
      </c>
      <c r="N835" s="97" t="s">
        <v>33</v>
      </c>
      <c r="O835">
        <v>4106</v>
      </c>
      <c r="P835">
        <v>0.95</v>
      </c>
      <c r="Q835">
        <v>3.9</v>
      </c>
      <c r="R835" s="97" t="s">
        <v>1197</v>
      </c>
      <c r="S835" s="97" t="s">
        <v>195</v>
      </c>
    </row>
    <row r="836" spans="1:19" x14ac:dyDescent="0.3">
      <c r="A836" s="97" t="s">
        <v>1054</v>
      </c>
      <c r="B836" s="97" t="s">
        <v>23</v>
      </c>
      <c r="C836">
        <v>2026</v>
      </c>
      <c r="D836">
        <v>2</v>
      </c>
      <c r="E836" s="2">
        <v>46055</v>
      </c>
      <c r="F836" s="97" t="s">
        <v>7</v>
      </c>
      <c r="G836" s="97" t="s">
        <v>8</v>
      </c>
      <c r="H836" s="97" t="s">
        <v>70</v>
      </c>
      <c r="I836" s="97" t="s">
        <v>84</v>
      </c>
      <c r="J836" s="97" t="s">
        <v>85</v>
      </c>
      <c r="K836" s="97" t="s">
        <v>73</v>
      </c>
      <c r="L836">
        <v>701000</v>
      </c>
      <c r="M836" s="97" t="s">
        <v>62</v>
      </c>
      <c r="N836" s="97" t="s">
        <v>33</v>
      </c>
      <c r="O836">
        <v>4389</v>
      </c>
      <c r="P836">
        <v>0.95</v>
      </c>
      <c r="Q836">
        <v>4.17</v>
      </c>
      <c r="R836" s="97" t="s">
        <v>1200</v>
      </c>
      <c r="S836" s="97" t="s">
        <v>195</v>
      </c>
    </row>
    <row r="837" spans="1:19" x14ac:dyDescent="0.3">
      <c r="A837" s="97" t="s">
        <v>1155</v>
      </c>
      <c r="B837" s="97" t="s">
        <v>23</v>
      </c>
      <c r="C837">
        <v>2026</v>
      </c>
      <c r="D837">
        <v>2</v>
      </c>
      <c r="E837" s="2">
        <v>46057</v>
      </c>
      <c r="F837" s="97" t="s">
        <v>7</v>
      </c>
      <c r="G837" s="97" t="s">
        <v>8</v>
      </c>
      <c r="H837" s="97" t="s">
        <v>70</v>
      </c>
      <c r="I837" s="97" t="s">
        <v>71</v>
      </c>
      <c r="J837" s="97" t="s">
        <v>72</v>
      </c>
      <c r="K837" s="97" t="s">
        <v>73</v>
      </c>
      <c r="L837">
        <v>701000</v>
      </c>
      <c r="M837" s="97" t="s">
        <v>62</v>
      </c>
      <c r="N837" s="97" t="s">
        <v>33</v>
      </c>
      <c r="O837">
        <v>7687</v>
      </c>
      <c r="P837">
        <v>1.05</v>
      </c>
      <c r="Q837">
        <v>8.07</v>
      </c>
      <c r="R837" s="97" t="s">
        <v>1200</v>
      </c>
      <c r="S837" s="97" t="s">
        <v>195</v>
      </c>
    </row>
    <row r="838" spans="1:19" x14ac:dyDescent="0.3">
      <c r="A838" s="97" t="s">
        <v>1156</v>
      </c>
      <c r="B838" s="97" t="s">
        <v>23</v>
      </c>
      <c r="C838">
        <v>2026</v>
      </c>
      <c r="D838">
        <v>2</v>
      </c>
      <c r="E838" s="2">
        <v>46057</v>
      </c>
      <c r="F838" s="97" t="s">
        <v>7</v>
      </c>
      <c r="G838" s="97" t="s">
        <v>8</v>
      </c>
      <c r="H838" s="97" t="s">
        <v>70</v>
      </c>
      <c r="I838" s="97" t="s">
        <v>71</v>
      </c>
      <c r="J838" s="97" t="s">
        <v>72</v>
      </c>
      <c r="K838" s="97" t="s">
        <v>73</v>
      </c>
      <c r="L838">
        <v>701000</v>
      </c>
      <c r="M838" s="97" t="s">
        <v>62</v>
      </c>
      <c r="N838" s="97" t="s">
        <v>33</v>
      </c>
      <c r="O838">
        <v>1232</v>
      </c>
      <c r="P838">
        <v>1.05</v>
      </c>
      <c r="Q838">
        <v>1.29</v>
      </c>
      <c r="R838" s="97" t="s">
        <v>1201</v>
      </c>
      <c r="S838" s="97" t="s">
        <v>195</v>
      </c>
    </row>
    <row r="839" spans="1:19" x14ac:dyDescent="0.3">
      <c r="A839" s="97" t="s">
        <v>1157</v>
      </c>
      <c r="B839" s="97" t="s">
        <v>23</v>
      </c>
      <c r="C839">
        <v>2026</v>
      </c>
      <c r="D839">
        <v>2</v>
      </c>
      <c r="E839" s="2">
        <v>46057</v>
      </c>
      <c r="F839" s="97" t="s">
        <v>7</v>
      </c>
      <c r="G839" s="97" t="s">
        <v>8</v>
      </c>
      <c r="H839" s="97" t="s">
        <v>70</v>
      </c>
      <c r="I839" s="97" t="s">
        <v>71</v>
      </c>
      <c r="J839" s="97" t="s">
        <v>72</v>
      </c>
      <c r="K839" s="97" t="s">
        <v>73</v>
      </c>
      <c r="L839">
        <v>701000</v>
      </c>
      <c r="M839" s="97" t="s">
        <v>62</v>
      </c>
      <c r="N839" s="97" t="s">
        <v>33</v>
      </c>
      <c r="O839">
        <v>5256</v>
      </c>
      <c r="P839">
        <v>1.05</v>
      </c>
      <c r="Q839">
        <v>5.52</v>
      </c>
      <c r="R839" s="97" t="s">
        <v>1204</v>
      </c>
      <c r="S839" s="97" t="s">
        <v>195</v>
      </c>
    </row>
    <row r="840" spans="1:19" x14ac:dyDescent="0.3">
      <c r="A840" s="97" t="s">
        <v>1158</v>
      </c>
      <c r="B840" s="97" t="s">
        <v>23</v>
      </c>
      <c r="C840">
        <v>2026</v>
      </c>
      <c r="D840">
        <v>2</v>
      </c>
      <c r="E840" s="2">
        <v>46057</v>
      </c>
      <c r="F840" s="97" t="s">
        <v>7</v>
      </c>
      <c r="G840" s="97" t="s">
        <v>8</v>
      </c>
      <c r="H840" s="97" t="s">
        <v>70</v>
      </c>
      <c r="I840" s="97" t="s">
        <v>71</v>
      </c>
      <c r="J840" s="97" t="s">
        <v>72</v>
      </c>
      <c r="K840" s="97" t="s">
        <v>73</v>
      </c>
      <c r="L840">
        <v>701000</v>
      </c>
      <c r="M840" s="97" t="s">
        <v>62</v>
      </c>
      <c r="N840" s="97" t="s">
        <v>33</v>
      </c>
      <c r="O840">
        <v>489</v>
      </c>
      <c r="P840">
        <v>1.04</v>
      </c>
      <c r="Q840">
        <v>0.51</v>
      </c>
      <c r="R840" s="97" t="s">
        <v>1205</v>
      </c>
      <c r="S840" s="97" t="s">
        <v>195</v>
      </c>
    </row>
    <row r="841" spans="1:19" x14ac:dyDescent="0.3">
      <c r="A841" s="97" t="s">
        <v>1159</v>
      </c>
      <c r="B841" s="97" t="s">
        <v>23</v>
      </c>
      <c r="C841">
        <v>2026</v>
      </c>
      <c r="D841">
        <v>2</v>
      </c>
      <c r="E841" s="2">
        <v>46057</v>
      </c>
      <c r="F841" s="97" t="s">
        <v>7</v>
      </c>
      <c r="G841" s="97" t="s">
        <v>8</v>
      </c>
      <c r="H841" s="97" t="s">
        <v>70</v>
      </c>
      <c r="I841" s="97" t="s">
        <v>71</v>
      </c>
      <c r="J841" s="97" t="s">
        <v>72</v>
      </c>
      <c r="K841" s="97" t="s">
        <v>73</v>
      </c>
      <c r="L841">
        <v>701000</v>
      </c>
      <c r="M841" s="97" t="s">
        <v>62</v>
      </c>
      <c r="N841" s="97" t="s">
        <v>33</v>
      </c>
      <c r="O841">
        <v>1700</v>
      </c>
      <c r="P841">
        <v>1.05</v>
      </c>
      <c r="Q841">
        <v>1.79</v>
      </c>
      <c r="R841" s="97" t="s">
        <v>1202</v>
      </c>
      <c r="S841" s="97" t="s">
        <v>195</v>
      </c>
    </row>
    <row r="842" spans="1:19" x14ac:dyDescent="0.3">
      <c r="A842" s="97" t="s">
        <v>1045</v>
      </c>
      <c r="B842" s="97" t="s">
        <v>23</v>
      </c>
      <c r="C842">
        <v>2026</v>
      </c>
      <c r="D842">
        <v>2</v>
      </c>
      <c r="E842" s="2">
        <v>46058</v>
      </c>
      <c r="F842" s="97" t="s">
        <v>7</v>
      </c>
      <c r="G842" s="97" t="s">
        <v>8</v>
      </c>
      <c r="H842" s="97" t="s">
        <v>74</v>
      </c>
      <c r="I842" s="97" t="s">
        <v>84</v>
      </c>
      <c r="J842" s="97" t="s">
        <v>85</v>
      </c>
      <c r="K842" s="97" t="s">
        <v>73</v>
      </c>
      <c r="L842">
        <v>701000</v>
      </c>
      <c r="M842" s="97" t="s">
        <v>62</v>
      </c>
      <c r="N842" s="97" t="s">
        <v>33</v>
      </c>
      <c r="O842">
        <v>1486</v>
      </c>
      <c r="P842">
        <v>0.95</v>
      </c>
      <c r="Q842">
        <v>1.41</v>
      </c>
      <c r="R842" s="97" t="s">
        <v>1197</v>
      </c>
      <c r="S842" s="97" t="s">
        <v>195</v>
      </c>
    </row>
    <row r="843" spans="1:19" x14ac:dyDescent="0.3">
      <c r="A843" s="97" t="s">
        <v>1046</v>
      </c>
      <c r="B843" s="97" t="s">
        <v>23</v>
      </c>
      <c r="C843">
        <v>2026</v>
      </c>
      <c r="D843">
        <v>2</v>
      </c>
      <c r="E843" s="2">
        <v>46058</v>
      </c>
      <c r="F843" s="97" t="s">
        <v>7</v>
      </c>
      <c r="G843" s="97" t="s">
        <v>8</v>
      </c>
      <c r="H843" s="97" t="s">
        <v>74</v>
      </c>
      <c r="I843" s="97" t="s">
        <v>84</v>
      </c>
      <c r="J843" s="97" t="s">
        <v>85</v>
      </c>
      <c r="K843" s="97" t="s">
        <v>73</v>
      </c>
      <c r="L843">
        <v>701000</v>
      </c>
      <c r="M843" s="97" t="s">
        <v>62</v>
      </c>
      <c r="N843" s="97" t="s">
        <v>33</v>
      </c>
      <c r="O843">
        <v>1850</v>
      </c>
      <c r="P843">
        <v>0.95</v>
      </c>
      <c r="Q843">
        <v>1.76</v>
      </c>
      <c r="R843" s="97" t="s">
        <v>1205</v>
      </c>
      <c r="S843" s="97" t="s">
        <v>195</v>
      </c>
    </row>
    <row r="844" spans="1:19" x14ac:dyDescent="0.3">
      <c r="A844" s="97" t="s">
        <v>1047</v>
      </c>
      <c r="B844" s="97" t="s">
        <v>23</v>
      </c>
      <c r="C844">
        <v>2026</v>
      </c>
      <c r="D844">
        <v>2</v>
      </c>
      <c r="E844" s="2">
        <v>46058</v>
      </c>
      <c r="F844" s="97" t="s">
        <v>7</v>
      </c>
      <c r="G844" s="97" t="s">
        <v>8</v>
      </c>
      <c r="H844" s="97" t="s">
        <v>74</v>
      </c>
      <c r="I844" s="97" t="s">
        <v>84</v>
      </c>
      <c r="J844" s="97" t="s">
        <v>85</v>
      </c>
      <c r="K844" s="97" t="s">
        <v>73</v>
      </c>
      <c r="L844">
        <v>701000</v>
      </c>
      <c r="M844" s="97" t="s">
        <v>62</v>
      </c>
      <c r="N844" s="97" t="s">
        <v>33</v>
      </c>
      <c r="O844">
        <v>2797</v>
      </c>
      <c r="P844">
        <v>0.95</v>
      </c>
      <c r="Q844">
        <v>2.66</v>
      </c>
      <c r="R844" s="97" t="s">
        <v>1198</v>
      </c>
      <c r="S844" s="97" t="s">
        <v>195</v>
      </c>
    </row>
    <row r="845" spans="1:19" x14ac:dyDescent="0.3">
      <c r="A845" s="97" t="s">
        <v>1048</v>
      </c>
      <c r="B845" s="97" t="s">
        <v>23</v>
      </c>
      <c r="C845">
        <v>2026</v>
      </c>
      <c r="D845">
        <v>2</v>
      </c>
      <c r="E845" s="2">
        <v>46058</v>
      </c>
      <c r="F845" s="97" t="s">
        <v>7</v>
      </c>
      <c r="G845" s="97" t="s">
        <v>8</v>
      </c>
      <c r="H845" s="97" t="s">
        <v>74</v>
      </c>
      <c r="I845" s="97" t="s">
        <v>84</v>
      </c>
      <c r="J845" s="97" t="s">
        <v>85</v>
      </c>
      <c r="K845" s="97" t="s">
        <v>73</v>
      </c>
      <c r="L845">
        <v>701000</v>
      </c>
      <c r="M845" s="97" t="s">
        <v>62</v>
      </c>
      <c r="N845" s="97" t="s">
        <v>33</v>
      </c>
      <c r="O845">
        <v>4748</v>
      </c>
      <c r="P845">
        <v>0.95</v>
      </c>
      <c r="Q845">
        <v>4.51</v>
      </c>
      <c r="R845" s="97" t="s">
        <v>1201</v>
      </c>
      <c r="S845" s="97" t="s">
        <v>195</v>
      </c>
    </row>
    <row r="846" spans="1:19" x14ac:dyDescent="0.3">
      <c r="A846" s="97" t="s">
        <v>1049</v>
      </c>
      <c r="B846" s="97" t="s">
        <v>23</v>
      </c>
      <c r="C846">
        <v>2026</v>
      </c>
      <c r="D846">
        <v>2</v>
      </c>
      <c r="E846" s="2">
        <v>46058</v>
      </c>
      <c r="F846" s="97" t="s">
        <v>7</v>
      </c>
      <c r="G846" s="97" t="s">
        <v>8</v>
      </c>
      <c r="H846" s="97" t="s">
        <v>74</v>
      </c>
      <c r="I846" s="97" t="s">
        <v>84</v>
      </c>
      <c r="J846" s="97" t="s">
        <v>85</v>
      </c>
      <c r="K846" s="97" t="s">
        <v>73</v>
      </c>
      <c r="L846">
        <v>701000</v>
      </c>
      <c r="M846" s="97" t="s">
        <v>62</v>
      </c>
      <c r="N846" s="97" t="s">
        <v>33</v>
      </c>
      <c r="O846">
        <v>7657</v>
      </c>
      <c r="P846">
        <v>0.95</v>
      </c>
      <c r="Q846">
        <v>7.27</v>
      </c>
      <c r="R846" s="97" t="s">
        <v>1200</v>
      </c>
      <c r="S846" s="97" t="s">
        <v>195</v>
      </c>
    </row>
    <row r="847" spans="1:19" x14ac:dyDescent="0.3">
      <c r="A847" s="97" t="s">
        <v>1030</v>
      </c>
      <c r="B847" s="97" t="s">
        <v>23</v>
      </c>
      <c r="C847">
        <v>2026</v>
      </c>
      <c r="D847">
        <v>2</v>
      </c>
      <c r="E847" s="2">
        <v>46059</v>
      </c>
      <c r="F847" s="97" t="s">
        <v>7</v>
      </c>
      <c r="G847" s="97" t="s">
        <v>8</v>
      </c>
      <c r="H847" s="97" t="s">
        <v>74</v>
      </c>
      <c r="I847" s="97" t="s">
        <v>84</v>
      </c>
      <c r="J847" s="97" t="s">
        <v>85</v>
      </c>
      <c r="K847" s="97" t="s">
        <v>73</v>
      </c>
      <c r="L847">
        <v>701000</v>
      </c>
      <c r="M847" s="97" t="s">
        <v>62</v>
      </c>
      <c r="N847" s="97" t="s">
        <v>33</v>
      </c>
      <c r="O847">
        <v>2661</v>
      </c>
      <c r="P847">
        <v>0.95</v>
      </c>
      <c r="Q847">
        <v>2.5299999999999998</v>
      </c>
      <c r="R847" s="97" t="s">
        <v>1200</v>
      </c>
      <c r="S847" s="97" t="s">
        <v>195</v>
      </c>
    </row>
    <row r="848" spans="1:19" x14ac:dyDescent="0.3">
      <c r="A848" s="97" t="s">
        <v>1031</v>
      </c>
      <c r="B848" s="97" t="s">
        <v>23</v>
      </c>
      <c r="C848">
        <v>2026</v>
      </c>
      <c r="D848">
        <v>2</v>
      </c>
      <c r="E848" s="2">
        <v>46059</v>
      </c>
      <c r="F848" s="97" t="s">
        <v>7</v>
      </c>
      <c r="G848" s="97" t="s">
        <v>8</v>
      </c>
      <c r="H848" s="97" t="s">
        <v>74</v>
      </c>
      <c r="I848" s="97" t="s">
        <v>84</v>
      </c>
      <c r="J848" s="97" t="s">
        <v>85</v>
      </c>
      <c r="K848" s="97" t="s">
        <v>73</v>
      </c>
      <c r="L848">
        <v>701000</v>
      </c>
      <c r="M848" s="97" t="s">
        <v>62</v>
      </c>
      <c r="N848" s="97" t="s">
        <v>33</v>
      </c>
      <c r="O848">
        <v>8281</v>
      </c>
      <c r="P848">
        <v>0.95</v>
      </c>
      <c r="Q848">
        <v>7.87</v>
      </c>
      <c r="R848" s="97" t="s">
        <v>1197</v>
      </c>
      <c r="S848" s="97" t="s">
        <v>195</v>
      </c>
    </row>
    <row r="849" spans="1:19" x14ac:dyDescent="0.3">
      <c r="A849" s="97" t="s">
        <v>1032</v>
      </c>
      <c r="B849" s="97" t="s">
        <v>23</v>
      </c>
      <c r="C849">
        <v>2026</v>
      </c>
      <c r="D849">
        <v>2</v>
      </c>
      <c r="E849" s="2">
        <v>46059</v>
      </c>
      <c r="F849" s="97" t="s">
        <v>7</v>
      </c>
      <c r="G849" s="97" t="s">
        <v>8</v>
      </c>
      <c r="H849" s="97" t="s">
        <v>74</v>
      </c>
      <c r="I849" s="97" t="s">
        <v>84</v>
      </c>
      <c r="J849" s="97" t="s">
        <v>85</v>
      </c>
      <c r="K849" s="97" t="s">
        <v>73</v>
      </c>
      <c r="L849">
        <v>701000</v>
      </c>
      <c r="M849" s="97" t="s">
        <v>62</v>
      </c>
      <c r="N849" s="97" t="s">
        <v>33</v>
      </c>
      <c r="O849">
        <v>1723</v>
      </c>
      <c r="P849">
        <v>0.95</v>
      </c>
      <c r="Q849">
        <v>1.64</v>
      </c>
      <c r="R849" s="97" t="s">
        <v>1199</v>
      </c>
      <c r="S849" s="97" t="s">
        <v>195</v>
      </c>
    </row>
    <row r="850" spans="1:19" x14ac:dyDescent="0.3">
      <c r="A850" s="97" t="s">
        <v>1033</v>
      </c>
      <c r="B850" s="97" t="s">
        <v>23</v>
      </c>
      <c r="C850">
        <v>2026</v>
      </c>
      <c r="D850">
        <v>2</v>
      </c>
      <c r="E850" s="2">
        <v>46059</v>
      </c>
      <c r="F850" s="97" t="s">
        <v>7</v>
      </c>
      <c r="G850" s="97" t="s">
        <v>8</v>
      </c>
      <c r="H850" s="97" t="s">
        <v>74</v>
      </c>
      <c r="I850" s="97" t="s">
        <v>84</v>
      </c>
      <c r="J850" s="97" t="s">
        <v>85</v>
      </c>
      <c r="K850" s="97" t="s">
        <v>73</v>
      </c>
      <c r="L850">
        <v>701000</v>
      </c>
      <c r="M850" s="97" t="s">
        <v>62</v>
      </c>
      <c r="N850" s="97" t="s">
        <v>33</v>
      </c>
      <c r="O850">
        <v>5333</v>
      </c>
      <c r="P850">
        <v>0.95</v>
      </c>
      <c r="Q850">
        <v>5.07</v>
      </c>
      <c r="R850" s="97" t="s">
        <v>1201</v>
      </c>
      <c r="S850" s="97" t="s">
        <v>195</v>
      </c>
    </row>
    <row r="851" spans="1:19" x14ac:dyDescent="0.3">
      <c r="A851" s="97" t="s">
        <v>1034</v>
      </c>
      <c r="B851" s="97" t="s">
        <v>23</v>
      </c>
      <c r="C851">
        <v>2026</v>
      </c>
      <c r="D851">
        <v>2</v>
      </c>
      <c r="E851" s="2">
        <v>46059</v>
      </c>
      <c r="F851" s="97" t="s">
        <v>7</v>
      </c>
      <c r="G851" s="97" t="s">
        <v>8</v>
      </c>
      <c r="H851" s="97" t="s">
        <v>74</v>
      </c>
      <c r="I851" s="97" t="s">
        <v>84</v>
      </c>
      <c r="J851" s="97" t="s">
        <v>85</v>
      </c>
      <c r="K851" s="97" t="s">
        <v>73</v>
      </c>
      <c r="L851">
        <v>701000</v>
      </c>
      <c r="M851" s="97" t="s">
        <v>62</v>
      </c>
      <c r="N851" s="97" t="s">
        <v>33</v>
      </c>
      <c r="O851">
        <v>2002</v>
      </c>
      <c r="P851">
        <v>0.94</v>
      </c>
      <c r="Q851">
        <v>1.89</v>
      </c>
      <c r="R851" s="97" t="s">
        <v>1203</v>
      </c>
      <c r="S851" s="97" t="s">
        <v>195</v>
      </c>
    </row>
    <row r="852" spans="1:19" x14ac:dyDescent="0.3">
      <c r="A852" s="97" t="s">
        <v>1040</v>
      </c>
      <c r="B852" s="97" t="s">
        <v>23</v>
      </c>
      <c r="C852">
        <v>2026</v>
      </c>
      <c r="D852">
        <v>2</v>
      </c>
      <c r="E852" s="2">
        <v>46059</v>
      </c>
      <c r="F852" s="97" t="s">
        <v>7</v>
      </c>
      <c r="G852" s="97" t="s">
        <v>8</v>
      </c>
      <c r="H852" s="97" t="s">
        <v>70</v>
      </c>
      <c r="I852" s="97" t="s">
        <v>84</v>
      </c>
      <c r="J852" s="97" t="s">
        <v>85</v>
      </c>
      <c r="K852" s="97" t="s">
        <v>73</v>
      </c>
      <c r="L852">
        <v>701000</v>
      </c>
      <c r="M852" s="97" t="s">
        <v>62</v>
      </c>
      <c r="N852" s="97" t="s">
        <v>33</v>
      </c>
      <c r="O852">
        <v>2095</v>
      </c>
      <c r="P852">
        <v>0.95</v>
      </c>
      <c r="Q852">
        <v>1.99</v>
      </c>
      <c r="R852" s="97" t="s">
        <v>1204</v>
      </c>
      <c r="S852" s="97" t="s">
        <v>195</v>
      </c>
    </row>
    <row r="853" spans="1:19" x14ac:dyDescent="0.3">
      <c r="A853" s="97" t="s">
        <v>1041</v>
      </c>
      <c r="B853" s="97" t="s">
        <v>23</v>
      </c>
      <c r="C853">
        <v>2026</v>
      </c>
      <c r="D853">
        <v>2</v>
      </c>
      <c r="E853" s="2">
        <v>46059</v>
      </c>
      <c r="F853" s="97" t="s">
        <v>7</v>
      </c>
      <c r="G853" s="97" t="s">
        <v>8</v>
      </c>
      <c r="H853" s="97" t="s">
        <v>70</v>
      </c>
      <c r="I853" s="97" t="s">
        <v>84</v>
      </c>
      <c r="J853" s="97" t="s">
        <v>85</v>
      </c>
      <c r="K853" s="97" t="s">
        <v>73</v>
      </c>
      <c r="L853">
        <v>701000</v>
      </c>
      <c r="M853" s="97" t="s">
        <v>62</v>
      </c>
      <c r="N853" s="97" t="s">
        <v>33</v>
      </c>
      <c r="O853">
        <v>831</v>
      </c>
      <c r="P853">
        <v>0.95</v>
      </c>
      <c r="Q853">
        <v>0.79</v>
      </c>
      <c r="R853" s="97" t="s">
        <v>1199</v>
      </c>
      <c r="S853" s="97" t="s">
        <v>195</v>
      </c>
    </row>
    <row r="854" spans="1:19" x14ac:dyDescent="0.3">
      <c r="A854" s="97" t="s">
        <v>1042</v>
      </c>
      <c r="B854" s="97" t="s">
        <v>23</v>
      </c>
      <c r="C854">
        <v>2026</v>
      </c>
      <c r="D854">
        <v>2</v>
      </c>
      <c r="E854" s="2">
        <v>46059</v>
      </c>
      <c r="F854" s="97" t="s">
        <v>7</v>
      </c>
      <c r="G854" s="97" t="s">
        <v>8</v>
      </c>
      <c r="H854" s="97" t="s">
        <v>70</v>
      </c>
      <c r="I854" s="97" t="s">
        <v>84</v>
      </c>
      <c r="J854" s="97" t="s">
        <v>85</v>
      </c>
      <c r="K854" s="97" t="s">
        <v>73</v>
      </c>
      <c r="L854">
        <v>701000</v>
      </c>
      <c r="M854" s="97" t="s">
        <v>62</v>
      </c>
      <c r="N854" s="97" t="s">
        <v>33</v>
      </c>
      <c r="O854">
        <v>3890</v>
      </c>
      <c r="P854">
        <v>0.95</v>
      </c>
      <c r="Q854">
        <v>3.69</v>
      </c>
      <c r="R854" s="97" t="s">
        <v>1201</v>
      </c>
      <c r="S854" s="97" t="s">
        <v>195</v>
      </c>
    </row>
    <row r="855" spans="1:19" x14ac:dyDescent="0.3">
      <c r="A855" s="97" t="s">
        <v>1043</v>
      </c>
      <c r="B855" s="97" t="s">
        <v>23</v>
      </c>
      <c r="C855">
        <v>2026</v>
      </c>
      <c r="D855">
        <v>2</v>
      </c>
      <c r="E855" s="2">
        <v>46059</v>
      </c>
      <c r="F855" s="97" t="s">
        <v>7</v>
      </c>
      <c r="G855" s="97" t="s">
        <v>8</v>
      </c>
      <c r="H855" s="97" t="s">
        <v>70</v>
      </c>
      <c r="I855" s="97" t="s">
        <v>84</v>
      </c>
      <c r="J855" s="97" t="s">
        <v>85</v>
      </c>
      <c r="K855" s="97" t="s">
        <v>73</v>
      </c>
      <c r="L855">
        <v>701000</v>
      </c>
      <c r="M855" s="97" t="s">
        <v>62</v>
      </c>
      <c r="N855" s="97" t="s">
        <v>33</v>
      </c>
      <c r="O855">
        <v>6412</v>
      </c>
      <c r="P855">
        <v>0.95</v>
      </c>
      <c r="Q855">
        <v>6.09</v>
      </c>
      <c r="R855" s="97" t="s">
        <v>1205</v>
      </c>
      <c r="S855" s="97" t="s">
        <v>195</v>
      </c>
    </row>
    <row r="856" spans="1:19" x14ac:dyDescent="0.3">
      <c r="A856" s="97" t="s">
        <v>1044</v>
      </c>
      <c r="B856" s="97" t="s">
        <v>23</v>
      </c>
      <c r="C856">
        <v>2026</v>
      </c>
      <c r="D856">
        <v>2</v>
      </c>
      <c r="E856" s="2">
        <v>46059</v>
      </c>
      <c r="F856" s="97" t="s">
        <v>7</v>
      </c>
      <c r="G856" s="97" t="s">
        <v>8</v>
      </c>
      <c r="H856" s="97" t="s">
        <v>70</v>
      </c>
      <c r="I856" s="97" t="s">
        <v>84</v>
      </c>
      <c r="J856" s="97" t="s">
        <v>85</v>
      </c>
      <c r="K856" s="97" t="s">
        <v>73</v>
      </c>
      <c r="L856">
        <v>701000</v>
      </c>
      <c r="M856" s="97" t="s">
        <v>62</v>
      </c>
      <c r="N856" s="97" t="s">
        <v>33</v>
      </c>
      <c r="O856">
        <v>3945</v>
      </c>
      <c r="P856">
        <v>0.95</v>
      </c>
      <c r="Q856">
        <v>3.75</v>
      </c>
      <c r="R856" s="97" t="s">
        <v>1202</v>
      </c>
      <c r="S856" s="97" t="s">
        <v>195</v>
      </c>
    </row>
    <row r="857" spans="1:19" x14ac:dyDescent="0.3">
      <c r="A857" s="97" t="s">
        <v>1065</v>
      </c>
      <c r="B857" s="97" t="s">
        <v>23</v>
      </c>
      <c r="C857">
        <v>2026</v>
      </c>
      <c r="D857">
        <v>2</v>
      </c>
      <c r="E857" s="2">
        <v>46059</v>
      </c>
      <c r="F857" s="97" t="s">
        <v>7</v>
      </c>
      <c r="G857" s="97" t="s">
        <v>8</v>
      </c>
      <c r="H857" s="97" t="s">
        <v>70</v>
      </c>
      <c r="I857" s="97" t="s">
        <v>84</v>
      </c>
      <c r="J857" s="97" t="s">
        <v>85</v>
      </c>
      <c r="K857" s="97" t="s">
        <v>73</v>
      </c>
      <c r="L857">
        <v>701000</v>
      </c>
      <c r="M857" s="97" t="s">
        <v>62</v>
      </c>
      <c r="N857" s="97" t="s">
        <v>33</v>
      </c>
      <c r="O857">
        <v>5672</v>
      </c>
      <c r="P857">
        <v>0.95</v>
      </c>
      <c r="Q857">
        <v>5.39</v>
      </c>
      <c r="R857" s="97" t="s">
        <v>1204</v>
      </c>
      <c r="S857" s="97" t="s">
        <v>195</v>
      </c>
    </row>
    <row r="858" spans="1:19" x14ac:dyDescent="0.3">
      <c r="A858" s="97" t="s">
        <v>1066</v>
      </c>
      <c r="B858" s="97" t="s">
        <v>23</v>
      </c>
      <c r="C858">
        <v>2026</v>
      </c>
      <c r="D858">
        <v>2</v>
      </c>
      <c r="E858" s="2">
        <v>46059</v>
      </c>
      <c r="F858" s="97" t="s">
        <v>7</v>
      </c>
      <c r="G858" s="97" t="s">
        <v>8</v>
      </c>
      <c r="H858" s="97" t="s">
        <v>70</v>
      </c>
      <c r="I858" s="97" t="s">
        <v>84</v>
      </c>
      <c r="J858" s="97" t="s">
        <v>85</v>
      </c>
      <c r="K858" s="97" t="s">
        <v>73</v>
      </c>
      <c r="L858">
        <v>701000</v>
      </c>
      <c r="M858" s="97" t="s">
        <v>62</v>
      </c>
      <c r="N858" s="97" t="s">
        <v>33</v>
      </c>
      <c r="O858">
        <v>4222</v>
      </c>
      <c r="P858">
        <v>0.95</v>
      </c>
      <c r="Q858">
        <v>4.01</v>
      </c>
      <c r="R858" s="97" t="s">
        <v>1200</v>
      </c>
      <c r="S858" s="97" t="s">
        <v>195</v>
      </c>
    </row>
    <row r="859" spans="1:19" x14ac:dyDescent="0.3">
      <c r="A859" s="97" t="s">
        <v>1067</v>
      </c>
      <c r="B859" s="97" t="s">
        <v>23</v>
      </c>
      <c r="C859">
        <v>2026</v>
      </c>
      <c r="D859">
        <v>2</v>
      </c>
      <c r="E859" s="2">
        <v>46059</v>
      </c>
      <c r="F859" s="97" t="s">
        <v>7</v>
      </c>
      <c r="G859" s="97" t="s">
        <v>8</v>
      </c>
      <c r="H859" s="97" t="s">
        <v>70</v>
      </c>
      <c r="I859" s="97" t="s">
        <v>84</v>
      </c>
      <c r="J859" s="97" t="s">
        <v>85</v>
      </c>
      <c r="K859" s="97" t="s">
        <v>73</v>
      </c>
      <c r="L859">
        <v>701000</v>
      </c>
      <c r="M859" s="97" t="s">
        <v>62</v>
      </c>
      <c r="N859" s="97" t="s">
        <v>33</v>
      </c>
      <c r="O859">
        <v>2316</v>
      </c>
      <c r="P859">
        <v>0.95</v>
      </c>
      <c r="Q859">
        <v>2.2000000000000002</v>
      </c>
      <c r="R859" s="97" t="s">
        <v>1198</v>
      </c>
      <c r="S859" s="97" t="s">
        <v>195</v>
      </c>
    </row>
    <row r="860" spans="1:19" x14ac:dyDescent="0.3">
      <c r="A860" s="97" t="s">
        <v>1068</v>
      </c>
      <c r="B860" s="97" t="s">
        <v>23</v>
      </c>
      <c r="C860">
        <v>2026</v>
      </c>
      <c r="D860">
        <v>2</v>
      </c>
      <c r="E860" s="2">
        <v>46059</v>
      </c>
      <c r="F860" s="97" t="s">
        <v>7</v>
      </c>
      <c r="G860" s="97" t="s">
        <v>8</v>
      </c>
      <c r="H860" s="97" t="s">
        <v>70</v>
      </c>
      <c r="I860" s="97" t="s">
        <v>84</v>
      </c>
      <c r="J860" s="97" t="s">
        <v>85</v>
      </c>
      <c r="K860" s="97" t="s">
        <v>73</v>
      </c>
      <c r="L860">
        <v>701000</v>
      </c>
      <c r="M860" s="97" t="s">
        <v>62</v>
      </c>
      <c r="N860" s="97" t="s">
        <v>33</v>
      </c>
      <c r="O860">
        <v>5616</v>
      </c>
      <c r="P860">
        <v>0.95</v>
      </c>
      <c r="Q860">
        <v>5.33</v>
      </c>
      <c r="R860" s="97" t="s">
        <v>1202</v>
      </c>
      <c r="S860" s="97" t="s">
        <v>195</v>
      </c>
    </row>
    <row r="861" spans="1:19" x14ac:dyDescent="0.3">
      <c r="A861" s="97" t="s">
        <v>1069</v>
      </c>
      <c r="B861" s="97" t="s">
        <v>23</v>
      </c>
      <c r="C861">
        <v>2026</v>
      </c>
      <c r="D861">
        <v>2</v>
      </c>
      <c r="E861" s="2">
        <v>46059</v>
      </c>
      <c r="F861" s="97" t="s">
        <v>7</v>
      </c>
      <c r="G861" s="97" t="s">
        <v>8</v>
      </c>
      <c r="H861" s="97" t="s">
        <v>70</v>
      </c>
      <c r="I861" s="97" t="s">
        <v>84</v>
      </c>
      <c r="J861" s="97" t="s">
        <v>85</v>
      </c>
      <c r="K861" s="97" t="s">
        <v>73</v>
      </c>
      <c r="L861">
        <v>701000</v>
      </c>
      <c r="M861" s="97" t="s">
        <v>62</v>
      </c>
      <c r="N861" s="97" t="s">
        <v>33</v>
      </c>
      <c r="O861">
        <v>2874</v>
      </c>
      <c r="P861">
        <v>0.95</v>
      </c>
      <c r="Q861">
        <v>2.73</v>
      </c>
      <c r="R861" s="97" t="s">
        <v>1201</v>
      </c>
      <c r="S861" s="97" t="s">
        <v>195</v>
      </c>
    </row>
    <row r="862" spans="1:19" x14ac:dyDescent="0.3">
      <c r="A862" s="97" t="s">
        <v>1060</v>
      </c>
      <c r="B862" s="97" t="s">
        <v>23</v>
      </c>
      <c r="C862">
        <v>2026</v>
      </c>
      <c r="D862">
        <v>2</v>
      </c>
      <c r="E862" s="2">
        <v>46061</v>
      </c>
      <c r="F862" s="97" t="s">
        <v>7</v>
      </c>
      <c r="G862" s="97" t="s">
        <v>8</v>
      </c>
      <c r="H862" s="97" t="s">
        <v>74</v>
      </c>
      <c r="I862" s="97" t="s">
        <v>84</v>
      </c>
      <c r="J862" s="97" t="s">
        <v>85</v>
      </c>
      <c r="K862" s="97" t="s">
        <v>73</v>
      </c>
      <c r="L862">
        <v>701000</v>
      </c>
      <c r="M862" s="97" t="s">
        <v>62</v>
      </c>
      <c r="N862" s="97" t="s">
        <v>33</v>
      </c>
      <c r="O862">
        <v>5208</v>
      </c>
      <c r="P862">
        <v>0.95</v>
      </c>
      <c r="Q862">
        <v>4.95</v>
      </c>
      <c r="R862" s="97" t="s">
        <v>1203</v>
      </c>
      <c r="S862" s="97" t="s">
        <v>195</v>
      </c>
    </row>
    <row r="863" spans="1:19" x14ac:dyDescent="0.3">
      <c r="A863" s="97" t="s">
        <v>1061</v>
      </c>
      <c r="B863" s="97" t="s">
        <v>23</v>
      </c>
      <c r="C863">
        <v>2026</v>
      </c>
      <c r="D863">
        <v>2</v>
      </c>
      <c r="E863" s="2">
        <v>46061</v>
      </c>
      <c r="F863" s="97" t="s">
        <v>7</v>
      </c>
      <c r="G863" s="97" t="s">
        <v>8</v>
      </c>
      <c r="H863" s="97" t="s">
        <v>74</v>
      </c>
      <c r="I863" s="97" t="s">
        <v>84</v>
      </c>
      <c r="J863" s="97" t="s">
        <v>85</v>
      </c>
      <c r="K863" s="97" t="s">
        <v>73</v>
      </c>
      <c r="L863">
        <v>701000</v>
      </c>
      <c r="M863" s="97" t="s">
        <v>62</v>
      </c>
      <c r="N863" s="97" t="s">
        <v>33</v>
      </c>
      <c r="O863">
        <v>6177</v>
      </c>
      <c r="P863">
        <v>0.95</v>
      </c>
      <c r="Q863">
        <v>5.87</v>
      </c>
      <c r="R863" s="97" t="s">
        <v>1199</v>
      </c>
      <c r="S863" s="97" t="s">
        <v>195</v>
      </c>
    </row>
    <row r="864" spans="1:19" x14ac:dyDescent="0.3">
      <c r="A864" s="97" t="s">
        <v>1062</v>
      </c>
      <c r="B864" s="97" t="s">
        <v>23</v>
      </c>
      <c r="C864">
        <v>2026</v>
      </c>
      <c r="D864">
        <v>2</v>
      </c>
      <c r="E864" s="2">
        <v>46061</v>
      </c>
      <c r="F864" s="97" t="s">
        <v>7</v>
      </c>
      <c r="G864" s="97" t="s">
        <v>8</v>
      </c>
      <c r="H864" s="97" t="s">
        <v>74</v>
      </c>
      <c r="I864" s="97" t="s">
        <v>84</v>
      </c>
      <c r="J864" s="97" t="s">
        <v>85</v>
      </c>
      <c r="K864" s="97" t="s">
        <v>73</v>
      </c>
      <c r="L864">
        <v>701000</v>
      </c>
      <c r="M864" s="97" t="s">
        <v>62</v>
      </c>
      <c r="N864" s="97" t="s">
        <v>33</v>
      </c>
      <c r="O864">
        <v>3661</v>
      </c>
      <c r="P864">
        <v>0.95</v>
      </c>
      <c r="Q864">
        <v>3.48</v>
      </c>
      <c r="R864" s="97" t="s">
        <v>1201</v>
      </c>
      <c r="S864" s="97" t="s">
        <v>195</v>
      </c>
    </row>
    <row r="865" spans="1:19" x14ac:dyDescent="0.3">
      <c r="A865" s="97" t="s">
        <v>1063</v>
      </c>
      <c r="B865" s="97" t="s">
        <v>23</v>
      </c>
      <c r="C865">
        <v>2026</v>
      </c>
      <c r="D865">
        <v>2</v>
      </c>
      <c r="E865" s="2">
        <v>46061</v>
      </c>
      <c r="F865" s="97" t="s">
        <v>7</v>
      </c>
      <c r="G865" s="97" t="s">
        <v>8</v>
      </c>
      <c r="H865" s="97" t="s">
        <v>74</v>
      </c>
      <c r="I865" s="97" t="s">
        <v>84</v>
      </c>
      <c r="J865" s="97" t="s">
        <v>85</v>
      </c>
      <c r="K865" s="97" t="s">
        <v>73</v>
      </c>
      <c r="L865">
        <v>701000</v>
      </c>
      <c r="M865" s="97" t="s">
        <v>62</v>
      </c>
      <c r="N865" s="97" t="s">
        <v>33</v>
      </c>
      <c r="O865">
        <v>1951</v>
      </c>
      <c r="P865">
        <v>0.95</v>
      </c>
      <c r="Q865">
        <v>1.85</v>
      </c>
      <c r="R865" s="97" t="s">
        <v>1204</v>
      </c>
      <c r="S865" s="97" t="s">
        <v>195</v>
      </c>
    </row>
    <row r="866" spans="1:19" x14ac:dyDescent="0.3">
      <c r="A866" s="97" t="s">
        <v>1064</v>
      </c>
      <c r="B866" s="97" t="s">
        <v>23</v>
      </c>
      <c r="C866">
        <v>2026</v>
      </c>
      <c r="D866">
        <v>2</v>
      </c>
      <c r="E866" s="2">
        <v>46061</v>
      </c>
      <c r="F866" s="97" t="s">
        <v>7</v>
      </c>
      <c r="G866" s="97" t="s">
        <v>8</v>
      </c>
      <c r="H866" s="97" t="s">
        <v>74</v>
      </c>
      <c r="I866" s="97" t="s">
        <v>84</v>
      </c>
      <c r="J866" s="97" t="s">
        <v>85</v>
      </c>
      <c r="K866" s="97" t="s">
        <v>73</v>
      </c>
      <c r="L866">
        <v>701000</v>
      </c>
      <c r="M866" s="97" t="s">
        <v>62</v>
      </c>
      <c r="N866" s="97" t="s">
        <v>33</v>
      </c>
      <c r="O866">
        <v>538</v>
      </c>
      <c r="P866">
        <v>0.95</v>
      </c>
      <c r="Q866">
        <v>0.51</v>
      </c>
      <c r="R866" s="97" t="s">
        <v>1205</v>
      </c>
      <c r="S866" s="97" t="s">
        <v>195</v>
      </c>
    </row>
    <row r="867" spans="1:19" x14ac:dyDescent="0.3">
      <c r="A867" s="97" t="s">
        <v>1090</v>
      </c>
      <c r="B867" s="97" t="s">
        <v>23</v>
      </c>
      <c r="C867">
        <v>2026</v>
      </c>
      <c r="D867">
        <v>2</v>
      </c>
      <c r="E867" s="2">
        <v>46061</v>
      </c>
      <c r="F867" s="97" t="s">
        <v>7</v>
      </c>
      <c r="G867" s="97" t="s">
        <v>8</v>
      </c>
      <c r="H867" s="97" t="s">
        <v>74</v>
      </c>
      <c r="I867" s="97" t="s">
        <v>84</v>
      </c>
      <c r="J867" s="97" t="s">
        <v>85</v>
      </c>
      <c r="K867" s="97" t="s">
        <v>73</v>
      </c>
      <c r="L867">
        <v>707000</v>
      </c>
      <c r="M867" s="97" t="s">
        <v>81</v>
      </c>
      <c r="N867" s="97" t="s">
        <v>33</v>
      </c>
      <c r="O867">
        <v>4195</v>
      </c>
      <c r="P867">
        <v>0.95</v>
      </c>
      <c r="Q867">
        <v>3.99</v>
      </c>
      <c r="R867" s="97" t="s">
        <v>1202</v>
      </c>
      <c r="S867" s="97" t="s">
        <v>195</v>
      </c>
    </row>
    <row r="868" spans="1:19" x14ac:dyDescent="0.3">
      <c r="A868" s="97" t="s">
        <v>1091</v>
      </c>
      <c r="B868" s="97" t="s">
        <v>23</v>
      </c>
      <c r="C868">
        <v>2026</v>
      </c>
      <c r="D868">
        <v>2</v>
      </c>
      <c r="E868" s="2">
        <v>46061</v>
      </c>
      <c r="F868" s="97" t="s">
        <v>7</v>
      </c>
      <c r="G868" s="97" t="s">
        <v>8</v>
      </c>
      <c r="H868" s="97" t="s">
        <v>74</v>
      </c>
      <c r="I868" s="97" t="s">
        <v>84</v>
      </c>
      <c r="J868" s="97" t="s">
        <v>85</v>
      </c>
      <c r="K868" s="97" t="s">
        <v>73</v>
      </c>
      <c r="L868">
        <v>707000</v>
      </c>
      <c r="M868" s="97" t="s">
        <v>81</v>
      </c>
      <c r="N868" s="97" t="s">
        <v>33</v>
      </c>
      <c r="O868">
        <v>4416</v>
      </c>
      <c r="P868">
        <v>0.95</v>
      </c>
      <c r="Q868">
        <v>4.2</v>
      </c>
      <c r="R868" s="97" t="s">
        <v>1199</v>
      </c>
      <c r="S868" s="97" t="s">
        <v>195</v>
      </c>
    </row>
    <row r="869" spans="1:19" x14ac:dyDescent="0.3">
      <c r="A869" s="97" t="s">
        <v>1092</v>
      </c>
      <c r="B869" s="97" t="s">
        <v>23</v>
      </c>
      <c r="C869">
        <v>2026</v>
      </c>
      <c r="D869">
        <v>2</v>
      </c>
      <c r="E869" s="2">
        <v>46061</v>
      </c>
      <c r="F869" s="97" t="s">
        <v>7</v>
      </c>
      <c r="G869" s="97" t="s">
        <v>8</v>
      </c>
      <c r="H869" s="97" t="s">
        <v>74</v>
      </c>
      <c r="I869" s="97" t="s">
        <v>84</v>
      </c>
      <c r="J869" s="97" t="s">
        <v>85</v>
      </c>
      <c r="K869" s="97" t="s">
        <v>73</v>
      </c>
      <c r="L869">
        <v>707000</v>
      </c>
      <c r="M869" s="97" t="s">
        <v>81</v>
      </c>
      <c r="N869" s="97" t="s">
        <v>33</v>
      </c>
      <c r="O869">
        <v>3776</v>
      </c>
      <c r="P869">
        <v>0.95</v>
      </c>
      <c r="Q869">
        <v>3.59</v>
      </c>
      <c r="R869" s="97" t="s">
        <v>1197</v>
      </c>
      <c r="S869" s="97" t="s">
        <v>195</v>
      </c>
    </row>
    <row r="870" spans="1:19" x14ac:dyDescent="0.3">
      <c r="A870" s="97" t="s">
        <v>1093</v>
      </c>
      <c r="B870" s="97" t="s">
        <v>23</v>
      </c>
      <c r="C870">
        <v>2026</v>
      </c>
      <c r="D870">
        <v>2</v>
      </c>
      <c r="E870" s="2">
        <v>46061</v>
      </c>
      <c r="F870" s="97" t="s">
        <v>7</v>
      </c>
      <c r="G870" s="97" t="s">
        <v>8</v>
      </c>
      <c r="H870" s="97" t="s">
        <v>74</v>
      </c>
      <c r="I870" s="97" t="s">
        <v>84</v>
      </c>
      <c r="J870" s="97" t="s">
        <v>85</v>
      </c>
      <c r="K870" s="97" t="s">
        <v>73</v>
      </c>
      <c r="L870">
        <v>707000</v>
      </c>
      <c r="M870" s="97" t="s">
        <v>81</v>
      </c>
      <c r="N870" s="97" t="s">
        <v>33</v>
      </c>
      <c r="O870">
        <v>2815</v>
      </c>
      <c r="P870">
        <v>0.95</v>
      </c>
      <c r="Q870">
        <v>2.67</v>
      </c>
      <c r="R870" s="97" t="s">
        <v>1205</v>
      </c>
      <c r="S870" s="97" t="s">
        <v>195</v>
      </c>
    </row>
    <row r="871" spans="1:19" x14ac:dyDescent="0.3">
      <c r="A871" s="97" t="s">
        <v>1094</v>
      </c>
      <c r="B871" s="97" t="s">
        <v>23</v>
      </c>
      <c r="C871">
        <v>2026</v>
      </c>
      <c r="D871">
        <v>2</v>
      </c>
      <c r="E871" s="2">
        <v>46061</v>
      </c>
      <c r="F871" s="97" t="s">
        <v>7</v>
      </c>
      <c r="G871" s="97" t="s">
        <v>8</v>
      </c>
      <c r="H871" s="97" t="s">
        <v>74</v>
      </c>
      <c r="I871" s="97" t="s">
        <v>84</v>
      </c>
      <c r="J871" s="97" t="s">
        <v>85</v>
      </c>
      <c r="K871" s="97" t="s">
        <v>73</v>
      </c>
      <c r="L871">
        <v>707000</v>
      </c>
      <c r="M871" s="97" t="s">
        <v>81</v>
      </c>
      <c r="N871" s="97" t="s">
        <v>33</v>
      </c>
      <c r="O871">
        <v>2523</v>
      </c>
      <c r="P871">
        <v>0.95</v>
      </c>
      <c r="Q871">
        <v>2.39</v>
      </c>
      <c r="R871" s="97" t="s">
        <v>1204</v>
      </c>
      <c r="S871" s="97" t="s">
        <v>195</v>
      </c>
    </row>
    <row r="872" spans="1:19" x14ac:dyDescent="0.3">
      <c r="A872" s="97" t="s">
        <v>1140</v>
      </c>
      <c r="B872" s="97" t="s">
        <v>23</v>
      </c>
      <c r="C872">
        <v>2026</v>
      </c>
      <c r="D872">
        <v>2</v>
      </c>
      <c r="E872" s="2">
        <v>46061</v>
      </c>
      <c r="F872" s="97" t="s">
        <v>7</v>
      </c>
      <c r="G872" s="97" t="s">
        <v>8</v>
      </c>
      <c r="H872" s="97" t="s">
        <v>74</v>
      </c>
      <c r="I872" s="97" t="s">
        <v>71</v>
      </c>
      <c r="J872" s="97" t="s">
        <v>72</v>
      </c>
      <c r="K872" s="97" t="s">
        <v>73</v>
      </c>
      <c r="L872">
        <v>701000</v>
      </c>
      <c r="M872" s="97" t="s">
        <v>62</v>
      </c>
      <c r="N872" s="97" t="s">
        <v>33</v>
      </c>
      <c r="O872">
        <v>1379</v>
      </c>
      <c r="P872">
        <v>1.05</v>
      </c>
      <c r="Q872">
        <v>1.45</v>
      </c>
      <c r="R872" s="97" t="s">
        <v>1201</v>
      </c>
      <c r="S872" s="97" t="s">
        <v>195</v>
      </c>
    </row>
    <row r="873" spans="1:19" x14ac:dyDescent="0.3">
      <c r="A873" s="97" t="s">
        <v>1141</v>
      </c>
      <c r="B873" s="97" t="s">
        <v>23</v>
      </c>
      <c r="C873">
        <v>2026</v>
      </c>
      <c r="D873">
        <v>2</v>
      </c>
      <c r="E873" s="2">
        <v>46061</v>
      </c>
      <c r="F873" s="97" t="s">
        <v>7</v>
      </c>
      <c r="G873" s="97" t="s">
        <v>8</v>
      </c>
      <c r="H873" s="97" t="s">
        <v>74</v>
      </c>
      <c r="I873" s="97" t="s">
        <v>71</v>
      </c>
      <c r="J873" s="97" t="s">
        <v>72</v>
      </c>
      <c r="K873" s="97" t="s">
        <v>73</v>
      </c>
      <c r="L873">
        <v>701000</v>
      </c>
      <c r="M873" s="97" t="s">
        <v>62</v>
      </c>
      <c r="N873" s="97" t="s">
        <v>33</v>
      </c>
      <c r="O873">
        <v>3742</v>
      </c>
      <c r="P873">
        <v>1.05</v>
      </c>
      <c r="Q873">
        <v>3.93</v>
      </c>
      <c r="R873" s="97" t="s">
        <v>1203</v>
      </c>
      <c r="S873" s="97" t="s">
        <v>195</v>
      </c>
    </row>
    <row r="874" spans="1:19" x14ac:dyDescent="0.3">
      <c r="A874" s="97" t="s">
        <v>1142</v>
      </c>
      <c r="B874" s="97" t="s">
        <v>23</v>
      </c>
      <c r="C874">
        <v>2026</v>
      </c>
      <c r="D874">
        <v>2</v>
      </c>
      <c r="E874" s="2">
        <v>46061</v>
      </c>
      <c r="F874" s="97" t="s">
        <v>7</v>
      </c>
      <c r="G874" s="97" t="s">
        <v>8</v>
      </c>
      <c r="H874" s="97" t="s">
        <v>74</v>
      </c>
      <c r="I874" s="97" t="s">
        <v>71</v>
      </c>
      <c r="J874" s="97" t="s">
        <v>72</v>
      </c>
      <c r="K874" s="97" t="s">
        <v>73</v>
      </c>
      <c r="L874">
        <v>701000</v>
      </c>
      <c r="M874" s="97" t="s">
        <v>62</v>
      </c>
      <c r="N874" s="97" t="s">
        <v>33</v>
      </c>
      <c r="O874">
        <v>4491</v>
      </c>
      <c r="P874">
        <v>1.05</v>
      </c>
      <c r="Q874">
        <v>4.71</v>
      </c>
      <c r="R874" s="97" t="s">
        <v>1204</v>
      </c>
      <c r="S874" s="97" t="s">
        <v>195</v>
      </c>
    </row>
    <row r="875" spans="1:19" x14ac:dyDescent="0.3">
      <c r="A875" s="97" t="s">
        <v>1143</v>
      </c>
      <c r="B875" s="97" t="s">
        <v>23</v>
      </c>
      <c r="C875">
        <v>2026</v>
      </c>
      <c r="D875">
        <v>2</v>
      </c>
      <c r="E875" s="2">
        <v>46061</v>
      </c>
      <c r="F875" s="97" t="s">
        <v>7</v>
      </c>
      <c r="G875" s="97" t="s">
        <v>8</v>
      </c>
      <c r="H875" s="97" t="s">
        <v>74</v>
      </c>
      <c r="I875" s="97" t="s">
        <v>71</v>
      </c>
      <c r="J875" s="97" t="s">
        <v>72</v>
      </c>
      <c r="K875" s="97" t="s">
        <v>73</v>
      </c>
      <c r="L875">
        <v>701000</v>
      </c>
      <c r="M875" s="97" t="s">
        <v>62</v>
      </c>
      <c r="N875" s="97" t="s">
        <v>33</v>
      </c>
      <c r="O875">
        <v>2989</v>
      </c>
      <c r="P875">
        <v>1.05</v>
      </c>
      <c r="Q875">
        <v>3.14</v>
      </c>
      <c r="R875" s="97" t="s">
        <v>1200</v>
      </c>
      <c r="S875" s="97" t="s">
        <v>195</v>
      </c>
    </row>
    <row r="876" spans="1:19" x14ac:dyDescent="0.3">
      <c r="A876" s="97" t="s">
        <v>1144</v>
      </c>
      <c r="B876" s="97" t="s">
        <v>23</v>
      </c>
      <c r="C876">
        <v>2026</v>
      </c>
      <c r="D876">
        <v>2</v>
      </c>
      <c r="E876" s="2">
        <v>46061</v>
      </c>
      <c r="F876" s="97" t="s">
        <v>7</v>
      </c>
      <c r="G876" s="97" t="s">
        <v>8</v>
      </c>
      <c r="H876" s="97" t="s">
        <v>74</v>
      </c>
      <c r="I876" s="97" t="s">
        <v>71</v>
      </c>
      <c r="J876" s="97" t="s">
        <v>72</v>
      </c>
      <c r="K876" s="97" t="s">
        <v>73</v>
      </c>
      <c r="L876">
        <v>701000</v>
      </c>
      <c r="M876" s="97" t="s">
        <v>62</v>
      </c>
      <c r="N876" s="97" t="s">
        <v>33</v>
      </c>
      <c r="O876">
        <v>6736</v>
      </c>
      <c r="P876">
        <v>1.05</v>
      </c>
      <c r="Q876">
        <v>7.07</v>
      </c>
      <c r="R876" s="97" t="s">
        <v>1199</v>
      </c>
      <c r="S876" s="97" t="s">
        <v>195</v>
      </c>
    </row>
    <row r="877" spans="1:19" x14ac:dyDescent="0.3">
      <c r="A877" s="97" t="s">
        <v>1025</v>
      </c>
      <c r="B877" s="97" t="s">
        <v>23</v>
      </c>
      <c r="C877">
        <v>2026</v>
      </c>
      <c r="D877">
        <v>2</v>
      </c>
      <c r="E877" s="2">
        <v>46063</v>
      </c>
      <c r="F877" s="97" t="s">
        <v>7</v>
      </c>
      <c r="G877" s="97" t="s">
        <v>8</v>
      </c>
      <c r="H877" s="97" t="s">
        <v>70</v>
      </c>
      <c r="I877" s="97" t="s">
        <v>84</v>
      </c>
      <c r="J877" s="97" t="s">
        <v>85</v>
      </c>
      <c r="K877" s="97" t="s">
        <v>73</v>
      </c>
      <c r="L877">
        <v>701000</v>
      </c>
      <c r="M877" s="97" t="s">
        <v>62</v>
      </c>
      <c r="N877" s="97" t="s">
        <v>33</v>
      </c>
      <c r="O877">
        <v>5256</v>
      </c>
      <c r="P877">
        <v>0.95</v>
      </c>
      <c r="Q877">
        <v>4.99</v>
      </c>
      <c r="R877" s="97" t="s">
        <v>1198</v>
      </c>
      <c r="S877" s="97" t="s">
        <v>195</v>
      </c>
    </row>
    <row r="878" spans="1:19" x14ac:dyDescent="0.3">
      <c r="A878" s="97" t="s">
        <v>1026</v>
      </c>
      <c r="B878" s="97" t="s">
        <v>23</v>
      </c>
      <c r="C878">
        <v>2026</v>
      </c>
      <c r="D878">
        <v>2</v>
      </c>
      <c r="E878" s="2">
        <v>46063</v>
      </c>
      <c r="F878" s="97" t="s">
        <v>7</v>
      </c>
      <c r="G878" s="97" t="s">
        <v>8</v>
      </c>
      <c r="H878" s="97" t="s">
        <v>70</v>
      </c>
      <c r="I878" s="97" t="s">
        <v>84</v>
      </c>
      <c r="J878" s="97" t="s">
        <v>85</v>
      </c>
      <c r="K878" s="97" t="s">
        <v>73</v>
      </c>
      <c r="L878">
        <v>701000</v>
      </c>
      <c r="M878" s="97" t="s">
        <v>62</v>
      </c>
      <c r="N878" s="97" t="s">
        <v>33</v>
      </c>
      <c r="O878">
        <v>9180</v>
      </c>
      <c r="P878">
        <v>0.95</v>
      </c>
      <c r="Q878">
        <v>8.7200000000000006</v>
      </c>
      <c r="R878" s="97" t="s">
        <v>1202</v>
      </c>
      <c r="S878" s="97" t="s">
        <v>195</v>
      </c>
    </row>
    <row r="879" spans="1:19" x14ac:dyDescent="0.3">
      <c r="A879" s="97" t="s">
        <v>1027</v>
      </c>
      <c r="B879" s="97" t="s">
        <v>23</v>
      </c>
      <c r="C879">
        <v>2026</v>
      </c>
      <c r="D879">
        <v>2</v>
      </c>
      <c r="E879" s="2">
        <v>46063</v>
      </c>
      <c r="F879" s="97" t="s">
        <v>7</v>
      </c>
      <c r="G879" s="97" t="s">
        <v>8</v>
      </c>
      <c r="H879" s="97" t="s">
        <v>70</v>
      </c>
      <c r="I879" s="97" t="s">
        <v>84</v>
      </c>
      <c r="J879" s="97" t="s">
        <v>85</v>
      </c>
      <c r="K879" s="97" t="s">
        <v>73</v>
      </c>
      <c r="L879">
        <v>701000</v>
      </c>
      <c r="M879" s="97" t="s">
        <v>62</v>
      </c>
      <c r="N879" s="97" t="s">
        <v>33</v>
      </c>
      <c r="O879">
        <v>3210</v>
      </c>
      <c r="P879">
        <v>0.95</v>
      </c>
      <c r="Q879">
        <v>3.05</v>
      </c>
      <c r="R879" s="97" t="s">
        <v>1201</v>
      </c>
      <c r="S879" s="97" t="s">
        <v>195</v>
      </c>
    </row>
    <row r="880" spans="1:19" x14ac:dyDescent="0.3">
      <c r="A880" s="97" t="s">
        <v>1028</v>
      </c>
      <c r="B880" s="97" t="s">
        <v>23</v>
      </c>
      <c r="C880">
        <v>2026</v>
      </c>
      <c r="D880">
        <v>2</v>
      </c>
      <c r="E880" s="2">
        <v>46063</v>
      </c>
      <c r="F880" s="97" t="s">
        <v>7</v>
      </c>
      <c r="G880" s="97" t="s">
        <v>8</v>
      </c>
      <c r="H880" s="97" t="s">
        <v>70</v>
      </c>
      <c r="I880" s="97" t="s">
        <v>84</v>
      </c>
      <c r="J880" s="97" t="s">
        <v>85</v>
      </c>
      <c r="K880" s="97" t="s">
        <v>73</v>
      </c>
      <c r="L880">
        <v>701000</v>
      </c>
      <c r="M880" s="97" t="s">
        <v>62</v>
      </c>
      <c r="N880" s="97" t="s">
        <v>33</v>
      </c>
      <c r="O880">
        <v>1674</v>
      </c>
      <c r="P880">
        <v>0.95</v>
      </c>
      <c r="Q880">
        <v>1.59</v>
      </c>
      <c r="R880" s="97" t="s">
        <v>1203</v>
      </c>
      <c r="S880" s="97" t="s">
        <v>195</v>
      </c>
    </row>
    <row r="881" spans="1:19" x14ac:dyDescent="0.3">
      <c r="A881" s="97" t="s">
        <v>1029</v>
      </c>
      <c r="B881" s="97" t="s">
        <v>23</v>
      </c>
      <c r="C881">
        <v>2026</v>
      </c>
      <c r="D881">
        <v>2</v>
      </c>
      <c r="E881" s="2">
        <v>46063</v>
      </c>
      <c r="F881" s="97" t="s">
        <v>7</v>
      </c>
      <c r="G881" s="97" t="s">
        <v>8</v>
      </c>
      <c r="H881" s="97" t="s">
        <v>70</v>
      </c>
      <c r="I881" s="97" t="s">
        <v>84</v>
      </c>
      <c r="J881" s="97" t="s">
        <v>85</v>
      </c>
      <c r="K881" s="97" t="s">
        <v>73</v>
      </c>
      <c r="L881">
        <v>701000</v>
      </c>
      <c r="M881" s="97" t="s">
        <v>62</v>
      </c>
      <c r="N881" s="97" t="s">
        <v>33</v>
      </c>
      <c r="O881">
        <v>2582</v>
      </c>
      <c r="P881">
        <v>0.95</v>
      </c>
      <c r="Q881">
        <v>2.46</v>
      </c>
      <c r="R881" s="97" t="s">
        <v>1199</v>
      </c>
      <c r="S881" s="97" t="s">
        <v>195</v>
      </c>
    </row>
    <row r="882" spans="1:19" x14ac:dyDescent="0.3">
      <c r="A882" s="97" t="s">
        <v>1075</v>
      </c>
      <c r="B882" s="97" t="s">
        <v>23</v>
      </c>
      <c r="C882">
        <v>2026</v>
      </c>
      <c r="D882">
        <v>2</v>
      </c>
      <c r="E882" s="2">
        <v>46064</v>
      </c>
      <c r="F882" s="97" t="s">
        <v>7</v>
      </c>
      <c r="G882" s="97" t="s">
        <v>8</v>
      </c>
      <c r="H882" s="97" t="s">
        <v>70</v>
      </c>
      <c r="I882" s="97" t="s">
        <v>84</v>
      </c>
      <c r="J882" s="97" t="s">
        <v>85</v>
      </c>
      <c r="K882" s="97" t="s">
        <v>73</v>
      </c>
      <c r="L882">
        <v>701000</v>
      </c>
      <c r="M882" s="97" t="s">
        <v>62</v>
      </c>
      <c r="N882" s="97" t="s">
        <v>33</v>
      </c>
      <c r="O882">
        <v>5023</v>
      </c>
      <c r="P882">
        <v>0.95</v>
      </c>
      <c r="Q882">
        <v>4.7699999999999996</v>
      </c>
      <c r="R882" s="97" t="s">
        <v>1203</v>
      </c>
      <c r="S882" s="97" t="s">
        <v>195</v>
      </c>
    </row>
    <row r="883" spans="1:19" x14ac:dyDescent="0.3">
      <c r="A883" s="97" t="s">
        <v>1076</v>
      </c>
      <c r="B883" s="97" t="s">
        <v>23</v>
      </c>
      <c r="C883">
        <v>2026</v>
      </c>
      <c r="D883">
        <v>2</v>
      </c>
      <c r="E883" s="2">
        <v>46064</v>
      </c>
      <c r="F883" s="97" t="s">
        <v>7</v>
      </c>
      <c r="G883" s="97" t="s">
        <v>8</v>
      </c>
      <c r="H883" s="97" t="s">
        <v>70</v>
      </c>
      <c r="I883" s="97" t="s">
        <v>84</v>
      </c>
      <c r="J883" s="97" t="s">
        <v>85</v>
      </c>
      <c r="K883" s="97" t="s">
        <v>73</v>
      </c>
      <c r="L883">
        <v>701000</v>
      </c>
      <c r="M883" s="97" t="s">
        <v>62</v>
      </c>
      <c r="N883" s="97" t="s">
        <v>33</v>
      </c>
      <c r="O883">
        <v>2623</v>
      </c>
      <c r="P883">
        <v>0.95</v>
      </c>
      <c r="Q883">
        <v>2.4900000000000002</v>
      </c>
      <c r="R883" s="97" t="s">
        <v>1197</v>
      </c>
      <c r="S883" s="97" t="s">
        <v>195</v>
      </c>
    </row>
    <row r="884" spans="1:19" x14ac:dyDescent="0.3">
      <c r="A884" s="97" t="s">
        <v>1077</v>
      </c>
      <c r="B884" s="97" t="s">
        <v>23</v>
      </c>
      <c r="C884">
        <v>2026</v>
      </c>
      <c r="D884">
        <v>2</v>
      </c>
      <c r="E884" s="2">
        <v>46064</v>
      </c>
      <c r="F884" s="97" t="s">
        <v>7</v>
      </c>
      <c r="G884" s="97" t="s">
        <v>8</v>
      </c>
      <c r="H884" s="97" t="s">
        <v>70</v>
      </c>
      <c r="I884" s="97" t="s">
        <v>84</v>
      </c>
      <c r="J884" s="97" t="s">
        <v>85</v>
      </c>
      <c r="K884" s="97" t="s">
        <v>73</v>
      </c>
      <c r="L884">
        <v>701000</v>
      </c>
      <c r="M884" s="97" t="s">
        <v>62</v>
      </c>
      <c r="N884" s="97" t="s">
        <v>33</v>
      </c>
      <c r="O884">
        <v>2173</v>
      </c>
      <c r="P884">
        <v>0.95</v>
      </c>
      <c r="Q884">
        <v>2.06</v>
      </c>
      <c r="R884" s="97" t="s">
        <v>1205</v>
      </c>
      <c r="S884" s="97" t="s">
        <v>195</v>
      </c>
    </row>
    <row r="885" spans="1:19" x14ac:dyDescent="0.3">
      <c r="A885" s="97" t="s">
        <v>1078</v>
      </c>
      <c r="B885" s="97" t="s">
        <v>23</v>
      </c>
      <c r="C885">
        <v>2026</v>
      </c>
      <c r="D885">
        <v>2</v>
      </c>
      <c r="E885" s="2">
        <v>46064</v>
      </c>
      <c r="F885" s="97" t="s">
        <v>7</v>
      </c>
      <c r="G885" s="97" t="s">
        <v>8</v>
      </c>
      <c r="H885" s="97" t="s">
        <v>70</v>
      </c>
      <c r="I885" s="97" t="s">
        <v>84</v>
      </c>
      <c r="J885" s="97" t="s">
        <v>85</v>
      </c>
      <c r="K885" s="97" t="s">
        <v>73</v>
      </c>
      <c r="L885">
        <v>701000</v>
      </c>
      <c r="M885" s="97" t="s">
        <v>62</v>
      </c>
      <c r="N885" s="97" t="s">
        <v>33</v>
      </c>
      <c r="O885">
        <v>4863</v>
      </c>
      <c r="P885">
        <v>0.95</v>
      </c>
      <c r="Q885">
        <v>4.62</v>
      </c>
      <c r="R885" s="97" t="s">
        <v>1200</v>
      </c>
      <c r="S885" s="97" t="s">
        <v>195</v>
      </c>
    </row>
    <row r="886" spans="1:19" x14ac:dyDescent="0.3">
      <c r="A886" s="97" t="s">
        <v>1079</v>
      </c>
      <c r="B886" s="97" t="s">
        <v>23</v>
      </c>
      <c r="C886">
        <v>2026</v>
      </c>
      <c r="D886">
        <v>2</v>
      </c>
      <c r="E886" s="2">
        <v>46064</v>
      </c>
      <c r="F886" s="97" t="s">
        <v>7</v>
      </c>
      <c r="G886" s="97" t="s">
        <v>8</v>
      </c>
      <c r="H886" s="97" t="s">
        <v>70</v>
      </c>
      <c r="I886" s="97" t="s">
        <v>84</v>
      </c>
      <c r="J886" s="97" t="s">
        <v>85</v>
      </c>
      <c r="K886" s="97" t="s">
        <v>73</v>
      </c>
      <c r="L886">
        <v>701000</v>
      </c>
      <c r="M886" s="97" t="s">
        <v>62</v>
      </c>
      <c r="N886" s="97" t="s">
        <v>33</v>
      </c>
      <c r="O886">
        <v>5187</v>
      </c>
      <c r="P886">
        <v>0.95</v>
      </c>
      <c r="Q886">
        <v>4.9400000000000004</v>
      </c>
      <c r="R886" s="97" t="s">
        <v>1202</v>
      </c>
      <c r="S886" s="97" t="s">
        <v>195</v>
      </c>
    </row>
    <row r="887" spans="1:19" x14ac:dyDescent="0.3">
      <c r="A887" s="97" t="s">
        <v>1095</v>
      </c>
      <c r="B887" s="97" t="s">
        <v>23</v>
      </c>
      <c r="C887">
        <v>2026</v>
      </c>
      <c r="D887">
        <v>2</v>
      </c>
      <c r="E887" s="2">
        <v>46064</v>
      </c>
      <c r="F887" s="97" t="s">
        <v>7</v>
      </c>
      <c r="G887" s="97" t="s">
        <v>8</v>
      </c>
      <c r="H887" s="97" t="s">
        <v>70</v>
      </c>
      <c r="I887" s="97" t="s">
        <v>84</v>
      </c>
      <c r="J887" s="97" t="s">
        <v>85</v>
      </c>
      <c r="K887" s="97" t="s">
        <v>73</v>
      </c>
      <c r="L887">
        <v>707000</v>
      </c>
      <c r="M887" s="97" t="s">
        <v>81</v>
      </c>
      <c r="N887" s="97" t="s">
        <v>33</v>
      </c>
      <c r="O887">
        <v>4491</v>
      </c>
      <c r="P887">
        <v>0.95</v>
      </c>
      <c r="Q887">
        <v>4.2699999999999996</v>
      </c>
      <c r="R887" s="97" t="s">
        <v>1205</v>
      </c>
      <c r="S887" s="97" t="s">
        <v>195</v>
      </c>
    </row>
    <row r="888" spans="1:19" x14ac:dyDescent="0.3">
      <c r="A888" s="97" t="s">
        <v>1096</v>
      </c>
      <c r="B888" s="97" t="s">
        <v>23</v>
      </c>
      <c r="C888">
        <v>2026</v>
      </c>
      <c r="D888">
        <v>2</v>
      </c>
      <c r="E888" s="2">
        <v>46064</v>
      </c>
      <c r="F888" s="97" t="s">
        <v>7</v>
      </c>
      <c r="G888" s="97" t="s">
        <v>8</v>
      </c>
      <c r="H888" s="97" t="s">
        <v>70</v>
      </c>
      <c r="I888" s="97" t="s">
        <v>84</v>
      </c>
      <c r="J888" s="97" t="s">
        <v>85</v>
      </c>
      <c r="K888" s="97" t="s">
        <v>73</v>
      </c>
      <c r="L888">
        <v>707000</v>
      </c>
      <c r="M888" s="97" t="s">
        <v>81</v>
      </c>
      <c r="N888" s="97" t="s">
        <v>33</v>
      </c>
      <c r="O888">
        <v>2754</v>
      </c>
      <c r="P888">
        <v>0.95</v>
      </c>
      <c r="Q888">
        <v>2.62</v>
      </c>
      <c r="R888" s="97" t="s">
        <v>1203</v>
      </c>
      <c r="S888" s="97" t="s">
        <v>195</v>
      </c>
    </row>
    <row r="889" spans="1:19" x14ac:dyDescent="0.3">
      <c r="A889" s="97" t="s">
        <v>1097</v>
      </c>
      <c r="B889" s="97" t="s">
        <v>23</v>
      </c>
      <c r="C889">
        <v>2026</v>
      </c>
      <c r="D889">
        <v>2</v>
      </c>
      <c r="E889" s="2">
        <v>46064</v>
      </c>
      <c r="F889" s="97" t="s">
        <v>7</v>
      </c>
      <c r="G889" s="97" t="s">
        <v>8</v>
      </c>
      <c r="H889" s="97" t="s">
        <v>70</v>
      </c>
      <c r="I889" s="97" t="s">
        <v>84</v>
      </c>
      <c r="J889" s="97" t="s">
        <v>85</v>
      </c>
      <c r="K889" s="97" t="s">
        <v>73</v>
      </c>
      <c r="L889">
        <v>707000</v>
      </c>
      <c r="M889" s="97" t="s">
        <v>81</v>
      </c>
      <c r="N889" s="97" t="s">
        <v>33</v>
      </c>
      <c r="O889">
        <v>4247</v>
      </c>
      <c r="P889">
        <v>0.95</v>
      </c>
      <c r="Q889">
        <v>4.03</v>
      </c>
      <c r="R889" s="97" t="s">
        <v>1202</v>
      </c>
      <c r="S889" s="97" t="s">
        <v>195</v>
      </c>
    </row>
    <row r="890" spans="1:19" x14ac:dyDescent="0.3">
      <c r="A890" s="97" t="s">
        <v>1098</v>
      </c>
      <c r="B890" s="97" t="s">
        <v>23</v>
      </c>
      <c r="C890">
        <v>2026</v>
      </c>
      <c r="D890">
        <v>2</v>
      </c>
      <c r="E890" s="2">
        <v>46064</v>
      </c>
      <c r="F890" s="97" t="s">
        <v>7</v>
      </c>
      <c r="G890" s="97" t="s">
        <v>8</v>
      </c>
      <c r="H890" s="97" t="s">
        <v>70</v>
      </c>
      <c r="I890" s="97" t="s">
        <v>84</v>
      </c>
      <c r="J890" s="97" t="s">
        <v>85</v>
      </c>
      <c r="K890" s="97" t="s">
        <v>73</v>
      </c>
      <c r="L890">
        <v>707000</v>
      </c>
      <c r="M890" s="97" t="s">
        <v>81</v>
      </c>
      <c r="N890" s="97" t="s">
        <v>33</v>
      </c>
      <c r="O890">
        <v>2489</v>
      </c>
      <c r="P890">
        <v>0.95</v>
      </c>
      <c r="Q890">
        <v>2.37</v>
      </c>
      <c r="R890" s="97" t="s">
        <v>1204</v>
      </c>
      <c r="S890" s="97" t="s">
        <v>195</v>
      </c>
    </row>
    <row r="891" spans="1:19" x14ac:dyDescent="0.3">
      <c r="A891" s="97" t="s">
        <v>1099</v>
      </c>
      <c r="B891" s="97" t="s">
        <v>23</v>
      </c>
      <c r="C891">
        <v>2026</v>
      </c>
      <c r="D891">
        <v>2</v>
      </c>
      <c r="E891" s="2">
        <v>46064</v>
      </c>
      <c r="F891" s="97" t="s">
        <v>7</v>
      </c>
      <c r="G891" s="97" t="s">
        <v>8</v>
      </c>
      <c r="H891" s="97" t="s">
        <v>70</v>
      </c>
      <c r="I891" s="97" t="s">
        <v>84</v>
      </c>
      <c r="J891" s="97" t="s">
        <v>85</v>
      </c>
      <c r="K891" s="97" t="s">
        <v>73</v>
      </c>
      <c r="L891">
        <v>707000</v>
      </c>
      <c r="M891" s="97" t="s">
        <v>81</v>
      </c>
      <c r="N891" s="97" t="s">
        <v>33</v>
      </c>
      <c r="O891">
        <v>6018</v>
      </c>
      <c r="P891">
        <v>0.95</v>
      </c>
      <c r="Q891">
        <v>5.71</v>
      </c>
      <c r="R891" s="97" t="s">
        <v>1197</v>
      </c>
      <c r="S891" s="97" t="s">
        <v>195</v>
      </c>
    </row>
    <row r="892" spans="1:19" x14ac:dyDescent="0.3">
      <c r="A892" s="97" t="s">
        <v>1115</v>
      </c>
      <c r="B892" s="97" t="s">
        <v>23</v>
      </c>
      <c r="C892">
        <v>2026</v>
      </c>
      <c r="D892">
        <v>2</v>
      </c>
      <c r="E892" s="2">
        <v>46064</v>
      </c>
      <c r="F892" s="97" t="s">
        <v>7</v>
      </c>
      <c r="G892" s="97" t="s">
        <v>8</v>
      </c>
      <c r="H892" s="97" t="s">
        <v>74</v>
      </c>
      <c r="I892" s="97" t="s">
        <v>84</v>
      </c>
      <c r="J892" s="97" t="s">
        <v>85</v>
      </c>
      <c r="K892" s="97" t="s">
        <v>73</v>
      </c>
      <c r="L892">
        <v>707000</v>
      </c>
      <c r="M892" s="97" t="s">
        <v>81</v>
      </c>
      <c r="N892" s="97" t="s">
        <v>33</v>
      </c>
      <c r="O892">
        <v>7113</v>
      </c>
      <c r="P892">
        <v>0.95</v>
      </c>
      <c r="Q892">
        <v>6.76</v>
      </c>
      <c r="R892" s="97" t="s">
        <v>1203</v>
      </c>
      <c r="S892" s="97" t="s">
        <v>195</v>
      </c>
    </row>
    <row r="893" spans="1:19" x14ac:dyDescent="0.3">
      <c r="A893" s="97" t="s">
        <v>1116</v>
      </c>
      <c r="B893" s="97" t="s">
        <v>23</v>
      </c>
      <c r="C893">
        <v>2026</v>
      </c>
      <c r="D893">
        <v>2</v>
      </c>
      <c r="E893" s="2">
        <v>46064</v>
      </c>
      <c r="F893" s="97" t="s">
        <v>7</v>
      </c>
      <c r="G893" s="97" t="s">
        <v>8</v>
      </c>
      <c r="H893" s="97" t="s">
        <v>74</v>
      </c>
      <c r="I893" s="97" t="s">
        <v>84</v>
      </c>
      <c r="J893" s="97" t="s">
        <v>85</v>
      </c>
      <c r="K893" s="97" t="s">
        <v>73</v>
      </c>
      <c r="L893">
        <v>707000</v>
      </c>
      <c r="M893" s="97" t="s">
        <v>81</v>
      </c>
      <c r="N893" s="97" t="s">
        <v>33</v>
      </c>
      <c r="O893">
        <v>1436</v>
      </c>
      <c r="P893">
        <v>0.95</v>
      </c>
      <c r="Q893">
        <v>1.36</v>
      </c>
      <c r="R893" s="97" t="s">
        <v>1200</v>
      </c>
      <c r="S893" s="97" t="s">
        <v>195</v>
      </c>
    </row>
    <row r="894" spans="1:19" x14ac:dyDescent="0.3">
      <c r="A894" s="97" t="s">
        <v>1117</v>
      </c>
      <c r="B894" s="97" t="s">
        <v>23</v>
      </c>
      <c r="C894">
        <v>2026</v>
      </c>
      <c r="D894">
        <v>2</v>
      </c>
      <c r="E894" s="2">
        <v>46064</v>
      </c>
      <c r="F894" s="97" t="s">
        <v>7</v>
      </c>
      <c r="G894" s="97" t="s">
        <v>8</v>
      </c>
      <c r="H894" s="97" t="s">
        <v>74</v>
      </c>
      <c r="I894" s="97" t="s">
        <v>84</v>
      </c>
      <c r="J894" s="97" t="s">
        <v>85</v>
      </c>
      <c r="K894" s="97" t="s">
        <v>73</v>
      </c>
      <c r="L894">
        <v>707000</v>
      </c>
      <c r="M894" s="97" t="s">
        <v>81</v>
      </c>
      <c r="N894" s="97" t="s">
        <v>33</v>
      </c>
      <c r="O894">
        <v>7425</v>
      </c>
      <c r="P894">
        <v>0.95</v>
      </c>
      <c r="Q894">
        <v>7.05</v>
      </c>
      <c r="R894" s="97" t="s">
        <v>1198</v>
      </c>
      <c r="S894" s="97" t="s">
        <v>195</v>
      </c>
    </row>
    <row r="895" spans="1:19" x14ac:dyDescent="0.3">
      <c r="A895" s="97" t="s">
        <v>1118</v>
      </c>
      <c r="B895" s="97" t="s">
        <v>23</v>
      </c>
      <c r="C895">
        <v>2026</v>
      </c>
      <c r="D895">
        <v>2</v>
      </c>
      <c r="E895" s="2">
        <v>46064</v>
      </c>
      <c r="F895" s="97" t="s">
        <v>7</v>
      </c>
      <c r="G895" s="97" t="s">
        <v>8</v>
      </c>
      <c r="H895" s="97" t="s">
        <v>74</v>
      </c>
      <c r="I895" s="97" t="s">
        <v>84</v>
      </c>
      <c r="J895" s="97" t="s">
        <v>85</v>
      </c>
      <c r="K895" s="97" t="s">
        <v>73</v>
      </c>
      <c r="L895">
        <v>707000</v>
      </c>
      <c r="M895" s="97" t="s">
        <v>81</v>
      </c>
      <c r="N895" s="97" t="s">
        <v>33</v>
      </c>
      <c r="O895">
        <v>2865</v>
      </c>
      <c r="P895">
        <v>0.95</v>
      </c>
      <c r="Q895">
        <v>2.72</v>
      </c>
      <c r="R895" s="97" t="s">
        <v>1202</v>
      </c>
      <c r="S895" s="97" t="s">
        <v>195</v>
      </c>
    </row>
    <row r="896" spans="1:19" x14ac:dyDescent="0.3">
      <c r="A896" s="97" t="s">
        <v>1119</v>
      </c>
      <c r="B896" s="97" t="s">
        <v>23</v>
      </c>
      <c r="C896">
        <v>2026</v>
      </c>
      <c r="D896">
        <v>2</v>
      </c>
      <c r="E896" s="2">
        <v>46064</v>
      </c>
      <c r="F896" s="97" t="s">
        <v>7</v>
      </c>
      <c r="G896" s="97" t="s">
        <v>8</v>
      </c>
      <c r="H896" s="97" t="s">
        <v>74</v>
      </c>
      <c r="I896" s="97" t="s">
        <v>84</v>
      </c>
      <c r="J896" s="97" t="s">
        <v>85</v>
      </c>
      <c r="K896" s="97" t="s">
        <v>73</v>
      </c>
      <c r="L896">
        <v>707000</v>
      </c>
      <c r="M896" s="97" t="s">
        <v>81</v>
      </c>
      <c r="N896" s="97" t="s">
        <v>33</v>
      </c>
      <c r="O896">
        <v>950</v>
      </c>
      <c r="P896">
        <v>0.96</v>
      </c>
      <c r="Q896">
        <v>0.91</v>
      </c>
      <c r="R896" s="97" t="s">
        <v>1204</v>
      </c>
      <c r="S896" s="97" t="s">
        <v>195</v>
      </c>
    </row>
    <row r="897" spans="1:19" x14ac:dyDescent="0.3">
      <c r="A897" s="97" t="s">
        <v>1185</v>
      </c>
      <c r="B897" s="97" t="s">
        <v>23</v>
      </c>
      <c r="C897">
        <v>2026</v>
      </c>
      <c r="D897">
        <v>2</v>
      </c>
      <c r="E897" s="2">
        <v>46064</v>
      </c>
      <c r="F897" s="97" t="s">
        <v>7</v>
      </c>
      <c r="G897" s="97" t="s">
        <v>8</v>
      </c>
      <c r="H897" s="97" t="s">
        <v>70</v>
      </c>
      <c r="I897" s="97" t="s">
        <v>71</v>
      </c>
      <c r="J897" s="97" t="s">
        <v>72</v>
      </c>
      <c r="K897" s="97" t="s">
        <v>73</v>
      </c>
      <c r="L897">
        <v>707000</v>
      </c>
      <c r="M897" s="97" t="s">
        <v>81</v>
      </c>
      <c r="N897" s="97" t="s">
        <v>33</v>
      </c>
      <c r="O897">
        <v>1955</v>
      </c>
      <c r="P897">
        <v>1.05</v>
      </c>
      <c r="Q897">
        <v>2.0499999999999998</v>
      </c>
      <c r="R897" s="97" t="s">
        <v>1201</v>
      </c>
      <c r="S897" s="97" t="s">
        <v>195</v>
      </c>
    </row>
    <row r="898" spans="1:19" x14ac:dyDescent="0.3">
      <c r="A898" s="97" t="s">
        <v>1186</v>
      </c>
      <c r="B898" s="97" t="s">
        <v>23</v>
      </c>
      <c r="C898">
        <v>2026</v>
      </c>
      <c r="D898">
        <v>2</v>
      </c>
      <c r="E898" s="2">
        <v>46064</v>
      </c>
      <c r="F898" s="97" t="s">
        <v>7</v>
      </c>
      <c r="G898" s="97" t="s">
        <v>8</v>
      </c>
      <c r="H898" s="97" t="s">
        <v>70</v>
      </c>
      <c r="I898" s="97" t="s">
        <v>71</v>
      </c>
      <c r="J898" s="97" t="s">
        <v>72</v>
      </c>
      <c r="K898" s="97" t="s">
        <v>73</v>
      </c>
      <c r="L898">
        <v>707000</v>
      </c>
      <c r="M898" s="97" t="s">
        <v>81</v>
      </c>
      <c r="N898" s="97" t="s">
        <v>33</v>
      </c>
      <c r="O898">
        <v>893</v>
      </c>
      <c r="P898">
        <v>1.05</v>
      </c>
      <c r="Q898">
        <v>0.94</v>
      </c>
      <c r="R898" s="97" t="s">
        <v>1200</v>
      </c>
      <c r="S898" s="97" t="s">
        <v>195</v>
      </c>
    </row>
    <row r="899" spans="1:19" x14ac:dyDescent="0.3">
      <c r="A899" s="97" t="s">
        <v>1187</v>
      </c>
      <c r="B899" s="97" t="s">
        <v>23</v>
      </c>
      <c r="C899">
        <v>2026</v>
      </c>
      <c r="D899">
        <v>2</v>
      </c>
      <c r="E899" s="2">
        <v>46064</v>
      </c>
      <c r="F899" s="97" t="s">
        <v>7</v>
      </c>
      <c r="G899" s="97" t="s">
        <v>8</v>
      </c>
      <c r="H899" s="97" t="s">
        <v>70</v>
      </c>
      <c r="I899" s="97" t="s">
        <v>71</v>
      </c>
      <c r="J899" s="97" t="s">
        <v>72</v>
      </c>
      <c r="K899" s="97" t="s">
        <v>73</v>
      </c>
      <c r="L899">
        <v>707000</v>
      </c>
      <c r="M899" s="97" t="s">
        <v>81</v>
      </c>
      <c r="N899" s="97" t="s">
        <v>33</v>
      </c>
      <c r="O899">
        <v>4789</v>
      </c>
      <c r="P899">
        <v>1.05</v>
      </c>
      <c r="Q899">
        <v>5.03</v>
      </c>
      <c r="R899" s="97" t="s">
        <v>1204</v>
      </c>
      <c r="S899" s="97" t="s">
        <v>195</v>
      </c>
    </row>
    <row r="900" spans="1:19" x14ac:dyDescent="0.3">
      <c r="A900" s="97" t="s">
        <v>1188</v>
      </c>
      <c r="B900" s="97" t="s">
        <v>23</v>
      </c>
      <c r="C900">
        <v>2026</v>
      </c>
      <c r="D900">
        <v>2</v>
      </c>
      <c r="E900" s="2">
        <v>46064</v>
      </c>
      <c r="F900" s="97" t="s">
        <v>7</v>
      </c>
      <c r="G900" s="97" t="s">
        <v>8</v>
      </c>
      <c r="H900" s="97" t="s">
        <v>70</v>
      </c>
      <c r="I900" s="97" t="s">
        <v>71</v>
      </c>
      <c r="J900" s="97" t="s">
        <v>72</v>
      </c>
      <c r="K900" s="97" t="s">
        <v>73</v>
      </c>
      <c r="L900">
        <v>707000</v>
      </c>
      <c r="M900" s="97" t="s">
        <v>81</v>
      </c>
      <c r="N900" s="97" t="s">
        <v>33</v>
      </c>
      <c r="O900">
        <v>5951</v>
      </c>
      <c r="P900">
        <v>1.05</v>
      </c>
      <c r="Q900">
        <v>6.25</v>
      </c>
      <c r="R900" s="97" t="s">
        <v>1203</v>
      </c>
      <c r="S900" s="97" t="s">
        <v>195</v>
      </c>
    </row>
    <row r="901" spans="1:19" x14ac:dyDescent="0.3">
      <c r="A901" s="97" t="s">
        <v>1189</v>
      </c>
      <c r="B901" s="97" t="s">
        <v>23</v>
      </c>
      <c r="C901">
        <v>2026</v>
      </c>
      <c r="D901">
        <v>2</v>
      </c>
      <c r="E901" s="2">
        <v>46064</v>
      </c>
      <c r="F901" s="97" t="s">
        <v>7</v>
      </c>
      <c r="G901" s="97" t="s">
        <v>8</v>
      </c>
      <c r="H901" s="97" t="s">
        <v>70</v>
      </c>
      <c r="I901" s="97" t="s">
        <v>71</v>
      </c>
      <c r="J901" s="97" t="s">
        <v>72</v>
      </c>
      <c r="K901" s="97" t="s">
        <v>73</v>
      </c>
      <c r="L901">
        <v>707000</v>
      </c>
      <c r="M901" s="97" t="s">
        <v>81</v>
      </c>
      <c r="N901" s="97" t="s">
        <v>33</v>
      </c>
      <c r="O901">
        <v>2088</v>
      </c>
      <c r="P901">
        <v>1.05</v>
      </c>
      <c r="Q901">
        <v>2.19</v>
      </c>
      <c r="R901" s="97" t="s">
        <v>1205</v>
      </c>
      <c r="S901" s="97" t="s">
        <v>195</v>
      </c>
    </row>
    <row r="902" spans="1:19" x14ac:dyDescent="0.3">
      <c r="A902" s="97" t="s">
        <v>1055</v>
      </c>
      <c r="B902" s="97" t="s">
        <v>23</v>
      </c>
      <c r="C902">
        <v>2026</v>
      </c>
      <c r="D902">
        <v>2</v>
      </c>
      <c r="E902" s="2">
        <v>46065</v>
      </c>
      <c r="F902" s="97" t="s">
        <v>7</v>
      </c>
      <c r="G902" s="97" t="s">
        <v>8</v>
      </c>
      <c r="H902" s="97" t="s">
        <v>74</v>
      </c>
      <c r="I902" s="97" t="s">
        <v>84</v>
      </c>
      <c r="J902" s="97" t="s">
        <v>85</v>
      </c>
      <c r="K902" s="97" t="s">
        <v>73</v>
      </c>
      <c r="L902">
        <v>701000</v>
      </c>
      <c r="M902" s="97" t="s">
        <v>62</v>
      </c>
      <c r="N902" s="97" t="s">
        <v>33</v>
      </c>
      <c r="O902">
        <v>5415</v>
      </c>
      <c r="P902">
        <v>0.95</v>
      </c>
      <c r="Q902">
        <v>5.14</v>
      </c>
      <c r="R902" s="97" t="s">
        <v>1205</v>
      </c>
      <c r="S902" s="97" t="s">
        <v>195</v>
      </c>
    </row>
    <row r="903" spans="1:19" x14ac:dyDescent="0.3">
      <c r="A903" s="97" t="s">
        <v>1056</v>
      </c>
      <c r="B903" s="97" t="s">
        <v>23</v>
      </c>
      <c r="C903">
        <v>2026</v>
      </c>
      <c r="D903">
        <v>2</v>
      </c>
      <c r="E903" s="2">
        <v>46065</v>
      </c>
      <c r="F903" s="97" t="s">
        <v>7</v>
      </c>
      <c r="G903" s="97" t="s">
        <v>8</v>
      </c>
      <c r="H903" s="97" t="s">
        <v>74</v>
      </c>
      <c r="I903" s="97" t="s">
        <v>84</v>
      </c>
      <c r="J903" s="97" t="s">
        <v>85</v>
      </c>
      <c r="K903" s="97" t="s">
        <v>73</v>
      </c>
      <c r="L903">
        <v>701000</v>
      </c>
      <c r="M903" s="97" t="s">
        <v>62</v>
      </c>
      <c r="N903" s="97" t="s">
        <v>33</v>
      </c>
      <c r="O903">
        <v>7683</v>
      </c>
      <c r="P903">
        <v>0.95</v>
      </c>
      <c r="Q903">
        <v>7.3</v>
      </c>
      <c r="R903" s="97" t="s">
        <v>1202</v>
      </c>
      <c r="S903" s="97" t="s">
        <v>195</v>
      </c>
    </row>
    <row r="904" spans="1:19" x14ac:dyDescent="0.3">
      <c r="A904" s="97" t="s">
        <v>1057</v>
      </c>
      <c r="B904" s="97" t="s">
        <v>23</v>
      </c>
      <c r="C904">
        <v>2026</v>
      </c>
      <c r="D904">
        <v>2</v>
      </c>
      <c r="E904" s="2">
        <v>46065</v>
      </c>
      <c r="F904" s="97" t="s">
        <v>7</v>
      </c>
      <c r="G904" s="97" t="s">
        <v>8</v>
      </c>
      <c r="H904" s="97" t="s">
        <v>74</v>
      </c>
      <c r="I904" s="97" t="s">
        <v>84</v>
      </c>
      <c r="J904" s="97" t="s">
        <v>85</v>
      </c>
      <c r="K904" s="97" t="s">
        <v>73</v>
      </c>
      <c r="L904">
        <v>701000</v>
      </c>
      <c r="M904" s="97" t="s">
        <v>62</v>
      </c>
      <c r="N904" s="97" t="s">
        <v>33</v>
      </c>
      <c r="O904">
        <v>1960</v>
      </c>
      <c r="P904">
        <v>0.95</v>
      </c>
      <c r="Q904">
        <v>1.86</v>
      </c>
      <c r="R904" s="97" t="s">
        <v>1200</v>
      </c>
      <c r="S904" s="97" t="s">
        <v>195</v>
      </c>
    </row>
    <row r="905" spans="1:19" x14ac:dyDescent="0.3">
      <c r="A905" s="97" t="s">
        <v>1058</v>
      </c>
      <c r="B905" s="97" t="s">
        <v>23</v>
      </c>
      <c r="C905">
        <v>2026</v>
      </c>
      <c r="D905">
        <v>2</v>
      </c>
      <c r="E905" s="2">
        <v>46065</v>
      </c>
      <c r="F905" s="97" t="s">
        <v>7</v>
      </c>
      <c r="G905" s="97" t="s">
        <v>8</v>
      </c>
      <c r="H905" s="97" t="s">
        <v>74</v>
      </c>
      <c r="I905" s="97" t="s">
        <v>84</v>
      </c>
      <c r="J905" s="97" t="s">
        <v>85</v>
      </c>
      <c r="K905" s="97" t="s">
        <v>73</v>
      </c>
      <c r="L905">
        <v>701000</v>
      </c>
      <c r="M905" s="97" t="s">
        <v>62</v>
      </c>
      <c r="N905" s="97" t="s">
        <v>33</v>
      </c>
      <c r="O905">
        <v>2573</v>
      </c>
      <c r="P905">
        <v>0.95</v>
      </c>
      <c r="Q905">
        <v>2.44</v>
      </c>
      <c r="R905" s="97" t="s">
        <v>1203</v>
      </c>
      <c r="S905" s="97" t="s">
        <v>195</v>
      </c>
    </row>
    <row r="906" spans="1:19" x14ac:dyDescent="0.3">
      <c r="A906" s="97" t="s">
        <v>1059</v>
      </c>
      <c r="B906" s="97" t="s">
        <v>23</v>
      </c>
      <c r="C906">
        <v>2026</v>
      </c>
      <c r="D906">
        <v>2</v>
      </c>
      <c r="E906" s="2">
        <v>46065</v>
      </c>
      <c r="F906" s="97" t="s">
        <v>7</v>
      </c>
      <c r="G906" s="97" t="s">
        <v>8</v>
      </c>
      <c r="H906" s="97" t="s">
        <v>74</v>
      </c>
      <c r="I906" s="97" t="s">
        <v>84</v>
      </c>
      <c r="J906" s="97" t="s">
        <v>85</v>
      </c>
      <c r="K906" s="97" t="s">
        <v>73</v>
      </c>
      <c r="L906">
        <v>701000</v>
      </c>
      <c r="M906" s="97" t="s">
        <v>62</v>
      </c>
      <c r="N906" s="97" t="s">
        <v>33</v>
      </c>
      <c r="O906">
        <v>1626</v>
      </c>
      <c r="P906">
        <v>0.95</v>
      </c>
      <c r="Q906">
        <v>1.55</v>
      </c>
      <c r="R906" s="97" t="s">
        <v>1204</v>
      </c>
      <c r="S906" s="97" t="s">
        <v>195</v>
      </c>
    </row>
    <row r="907" spans="1:19" x14ac:dyDescent="0.3">
      <c r="A907" s="97" t="s">
        <v>1070</v>
      </c>
      <c r="B907" s="97" t="s">
        <v>23</v>
      </c>
      <c r="C907">
        <v>2026</v>
      </c>
      <c r="D907">
        <v>2</v>
      </c>
      <c r="E907" s="2">
        <v>46065</v>
      </c>
      <c r="F907" s="97" t="s">
        <v>7</v>
      </c>
      <c r="G907" s="97" t="s">
        <v>8</v>
      </c>
      <c r="H907" s="97" t="s">
        <v>74</v>
      </c>
      <c r="I907" s="97" t="s">
        <v>84</v>
      </c>
      <c r="J907" s="97" t="s">
        <v>85</v>
      </c>
      <c r="K907" s="97" t="s">
        <v>73</v>
      </c>
      <c r="L907">
        <v>701000</v>
      </c>
      <c r="M907" s="97" t="s">
        <v>62</v>
      </c>
      <c r="N907" s="97" t="s">
        <v>33</v>
      </c>
      <c r="O907">
        <v>4878</v>
      </c>
      <c r="P907">
        <v>0.95</v>
      </c>
      <c r="Q907">
        <v>4.63</v>
      </c>
      <c r="R907" s="97" t="s">
        <v>1197</v>
      </c>
      <c r="S907" s="97" t="s">
        <v>195</v>
      </c>
    </row>
    <row r="908" spans="1:19" x14ac:dyDescent="0.3">
      <c r="A908" s="97" t="s">
        <v>1071</v>
      </c>
      <c r="B908" s="97" t="s">
        <v>23</v>
      </c>
      <c r="C908">
        <v>2026</v>
      </c>
      <c r="D908">
        <v>2</v>
      </c>
      <c r="E908" s="2">
        <v>46065</v>
      </c>
      <c r="F908" s="97" t="s">
        <v>7</v>
      </c>
      <c r="G908" s="97" t="s">
        <v>8</v>
      </c>
      <c r="H908" s="97" t="s">
        <v>74</v>
      </c>
      <c r="I908" s="97" t="s">
        <v>84</v>
      </c>
      <c r="J908" s="97" t="s">
        <v>85</v>
      </c>
      <c r="K908" s="97" t="s">
        <v>73</v>
      </c>
      <c r="L908">
        <v>701000</v>
      </c>
      <c r="M908" s="97" t="s">
        <v>62</v>
      </c>
      <c r="N908" s="97" t="s">
        <v>33</v>
      </c>
      <c r="O908">
        <v>1334</v>
      </c>
      <c r="P908">
        <v>0.95</v>
      </c>
      <c r="Q908">
        <v>1.27</v>
      </c>
      <c r="R908" s="97" t="s">
        <v>1203</v>
      </c>
      <c r="S908" s="97" t="s">
        <v>195</v>
      </c>
    </row>
    <row r="909" spans="1:19" x14ac:dyDescent="0.3">
      <c r="A909" s="97" t="s">
        <v>1072</v>
      </c>
      <c r="B909" s="97" t="s">
        <v>23</v>
      </c>
      <c r="C909">
        <v>2026</v>
      </c>
      <c r="D909">
        <v>2</v>
      </c>
      <c r="E909" s="2">
        <v>46065</v>
      </c>
      <c r="F909" s="97" t="s">
        <v>7</v>
      </c>
      <c r="G909" s="97" t="s">
        <v>8</v>
      </c>
      <c r="H909" s="97" t="s">
        <v>74</v>
      </c>
      <c r="I909" s="97" t="s">
        <v>84</v>
      </c>
      <c r="J909" s="97" t="s">
        <v>85</v>
      </c>
      <c r="K909" s="97" t="s">
        <v>73</v>
      </c>
      <c r="L909">
        <v>701000</v>
      </c>
      <c r="M909" s="97" t="s">
        <v>62</v>
      </c>
      <c r="N909" s="97" t="s">
        <v>33</v>
      </c>
      <c r="O909">
        <v>3786</v>
      </c>
      <c r="P909">
        <v>0.95</v>
      </c>
      <c r="Q909">
        <v>3.6</v>
      </c>
      <c r="R909" s="97" t="s">
        <v>1198</v>
      </c>
      <c r="S909" s="97" t="s">
        <v>195</v>
      </c>
    </row>
    <row r="910" spans="1:19" x14ac:dyDescent="0.3">
      <c r="A910" s="97" t="s">
        <v>1073</v>
      </c>
      <c r="B910" s="97" t="s">
        <v>23</v>
      </c>
      <c r="C910">
        <v>2026</v>
      </c>
      <c r="D910">
        <v>2</v>
      </c>
      <c r="E910" s="2">
        <v>46065</v>
      </c>
      <c r="F910" s="97" t="s">
        <v>7</v>
      </c>
      <c r="G910" s="97" t="s">
        <v>8</v>
      </c>
      <c r="H910" s="97" t="s">
        <v>74</v>
      </c>
      <c r="I910" s="97" t="s">
        <v>84</v>
      </c>
      <c r="J910" s="97" t="s">
        <v>85</v>
      </c>
      <c r="K910" s="97" t="s">
        <v>73</v>
      </c>
      <c r="L910">
        <v>701000</v>
      </c>
      <c r="M910" s="97" t="s">
        <v>62</v>
      </c>
      <c r="N910" s="97" t="s">
        <v>33</v>
      </c>
      <c r="O910">
        <v>2454</v>
      </c>
      <c r="P910">
        <v>0.95</v>
      </c>
      <c r="Q910">
        <v>2.33</v>
      </c>
      <c r="R910" s="97" t="s">
        <v>1202</v>
      </c>
      <c r="S910" s="97" t="s">
        <v>195</v>
      </c>
    </row>
    <row r="911" spans="1:19" x14ac:dyDescent="0.3">
      <c r="A911" s="97" t="s">
        <v>1074</v>
      </c>
      <c r="B911" s="97" t="s">
        <v>23</v>
      </c>
      <c r="C911">
        <v>2026</v>
      </c>
      <c r="D911">
        <v>2</v>
      </c>
      <c r="E911" s="2">
        <v>46065</v>
      </c>
      <c r="F911" s="97" t="s">
        <v>7</v>
      </c>
      <c r="G911" s="97" t="s">
        <v>8</v>
      </c>
      <c r="H911" s="97" t="s">
        <v>74</v>
      </c>
      <c r="I911" s="97" t="s">
        <v>84</v>
      </c>
      <c r="J911" s="97" t="s">
        <v>85</v>
      </c>
      <c r="K911" s="97" t="s">
        <v>73</v>
      </c>
      <c r="L911">
        <v>701000</v>
      </c>
      <c r="M911" s="97" t="s">
        <v>62</v>
      </c>
      <c r="N911" s="97" t="s">
        <v>33</v>
      </c>
      <c r="O911">
        <v>5661</v>
      </c>
      <c r="P911">
        <v>0.95</v>
      </c>
      <c r="Q911">
        <v>5.38</v>
      </c>
      <c r="R911" s="97" t="s">
        <v>1205</v>
      </c>
      <c r="S911" s="97" t="s">
        <v>195</v>
      </c>
    </row>
    <row r="912" spans="1:19" x14ac:dyDescent="0.3">
      <c r="A912" s="97" t="s">
        <v>1100</v>
      </c>
      <c r="B912" s="97" t="s">
        <v>23</v>
      </c>
      <c r="C912">
        <v>2026</v>
      </c>
      <c r="D912">
        <v>2</v>
      </c>
      <c r="E912" s="2">
        <v>46066</v>
      </c>
      <c r="F912" s="97" t="s">
        <v>7</v>
      </c>
      <c r="G912" s="97" t="s">
        <v>8</v>
      </c>
      <c r="H912" s="97" t="s">
        <v>70</v>
      </c>
      <c r="I912" s="97" t="s">
        <v>84</v>
      </c>
      <c r="J912" s="97" t="s">
        <v>85</v>
      </c>
      <c r="K912" s="97" t="s">
        <v>73</v>
      </c>
      <c r="L912">
        <v>701000</v>
      </c>
      <c r="M912" s="97" t="s">
        <v>62</v>
      </c>
      <c r="N912" s="97" t="s">
        <v>33</v>
      </c>
      <c r="O912">
        <v>3628</v>
      </c>
      <c r="P912">
        <v>0.95</v>
      </c>
      <c r="Q912">
        <v>3.45</v>
      </c>
      <c r="R912" s="97" t="s">
        <v>1198</v>
      </c>
      <c r="S912" s="97" t="s">
        <v>195</v>
      </c>
    </row>
    <row r="913" spans="1:19" x14ac:dyDescent="0.3">
      <c r="A913" s="97" t="s">
        <v>1101</v>
      </c>
      <c r="B913" s="97" t="s">
        <v>23</v>
      </c>
      <c r="C913">
        <v>2026</v>
      </c>
      <c r="D913">
        <v>2</v>
      </c>
      <c r="E913" s="2">
        <v>46066</v>
      </c>
      <c r="F913" s="97" t="s">
        <v>7</v>
      </c>
      <c r="G913" s="97" t="s">
        <v>8</v>
      </c>
      <c r="H913" s="97" t="s">
        <v>70</v>
      </c>
      <c r="I913" s="97" t="s">
        <v>84</v>
      </c>
      <c r="J913" s="97" t="s">
        <v>85</v>
      </c>
      <c r="K913" s="97" t="s">
        <v>73</v>
      </c>
      <c r="L913">
        <v>701000</v>
      </c>
      <c r="M913" s="97" t="s">
        <v>62</v>
      </c>
      <c r="N913" s="97" t="s">
        <v>33</v>
      </c>
      <c r="O913">
        <v>3719</v>
      </c>
      <c r="P913">
        <v>0.95</v>
      </c>
      <c r="Q913">
        <v>3.53</v>
      </c>
      <c r="R913" s="97" t="s">
        <v>1201</v>
      </c>
      <c r="S913" s="97" t="s">
        <v>195</v>
      </c>
    </row>
    <row r="914" spans="1:19" x14ac:dyDescent="0.3">
      <c r="A914" s="97" t="s">
        <v>1102</v>
      </c>
      <c r="B914" s="97" t="s">
        <v>23</v>
      </c>
      <c r="C914">
        <v>2026</v>
      </c>
      <c r="D914">
        <v>2</v>
      </c>
      <c r="E914" s="2">
        <v>46066</v>
      </c>
      <c r="F914" s="97" t="s">
        <v>7</v>
      </c>
      <c r="G914" s="97" t="s">
        <v>8</v>
      </c>
      <c r="H914" s="97" t="s">
        <v>70</v>
      </c>
      <c r="I914" s="97" t="s">
        <v>84</v>
      </c>
      <c r="J914" s="97" t="s">
        <v>85</v>
      </c>
      <c r="K914" s="97" t="s">
        <v>73</v>
      </c>
      <c r="L914">
        <v>701000</v>
      </c>
      <c r="M914" s="97" t="s">
        <v>62</v>
      </c>
      <c r="N914" s="97" t="s">
        <v>33</v>
      </c>
      <c r="O914">
        <v>5956</v>
      </c>
      <c r="P914">
        <v>0.95</v>
      </c>
      <c r="Q914">
        <v>5.66</v>
      </c>
      <c r="R914" s="97" t="s">
        <v>1203</v>
      </c>
      <c r="S914" s="97" t="s">
        <v>195</v>
      </c>
    </row>
    <row r="915" spans="1:19" x14ac:dyDescent="0.3">
      <c r="A915" s="97" t="s">
        <v>1103</v>
      </c>
      <c r="B915" s="97" t="s">
        <v>23</v>
      </c>
      <c r="C915">
        <v>2026</v>
      </c>
      <c r="D915">
        <v>2</v>
      </c>
      <c r="E915" s="2">
        <v>46066</v>
      </c>
      <c r="F915" s="97" t="s">
        <v>7</v>
      </c>
      <c r="G915" s="97" t="s">
        <v>8</v>
      </c>
      <c r="H915" s="97" t="s">
        <v>70</v>
      </c>
      <c r="I915" s="97" t="s">
        <v>84</v>
      </c>
      <c r="J915" s="97" t="s">
        <v>85</v>
      </c>
      <c r="K915" s="97" t="s">
        <v>73</v>
      </c>
      <c r="L915">
        <v>701000</v>
      </c>
      <c r="M915" s="97" t="s">
        <v>62</v>
      </c>
      <c r="N915" s="97" t="s">
        <v>33</v>
      </c>
      <c r="O915">
        <v>3354</v>
      </c>
      <c r="P915">
        <v>0.95</v>
      </c>
      <c r="Q915">
        <v>3.19</v>
      </c>
      <c r="R915" s="97" t="s">
        <v>1204</v>
      </c>
      <c r="S915" s="97" t="s">
        <v>195</v>
      </c>
    </row>
    <row r="916" spans="1:19" x14ac:dyDescent="0.3">
      <c r="A916" s="97" t="s">
        <v>1104</v>
      </c>
      <c r="B916" s="97" t="s">
        <v>23</v>
      </c>
      <c r="C916">
        <v>2026</v>
      </c>
      <c r="D916">
        <v>2</v>
      </c>
      <c r="E916" s="2">
        <v>46066</v>
      </c>
      <c r="F916" s="97" t="s">
        <v>7</v>
      </c>
      <c r="G916" s="97" t="s">
        <v>8</v>
      </c>
      <c r="H916" s="97" t="s">
        <v>70</v>
      </c>
      <c r="I916" s="97" t="s">
        <v>84</v>
      </c>
      <c r="J916" s="97" t="s">
        <v>85</v>
      </c>
      <c r="K916" s="97" t="s">
        <v>73</v>
      </c>
      <c r="L916">
        <v>701000</v>
      </c>
      <c r="M916" s="97" t="s">
        <v>62</v>
      </c>
      <c r="N916" s="97" t="s">
        <v>33</v>
      </c>
      <c r="O916">
        <v>5115</v>
      </c>
      <c r="P916">
        <v>0.95</v>
      </c>
      <c r="Q916">
        <v>4.8499999999999996</v>
      </c>
      <c r="R916" s="97" t="s">
        <v>1205</v>
      </c>
      <c r="S916" s="97" t="s">
        <v>195</v>
      </c>
    </row>
    <row r="917" spans="1:19" x14ac:dyDescent="0.3">
      <c r="A917" s="97" t="s">
        <v>1180</v>
      </c>
      <c r="B917" s="97" t="s">
        <v>23</v>
      </c>
      <c r="C917">
        <v>2026</v>
      </c>
      <c r="D917">
        <v>2</v>
      </c>
      <c r="E917" s="2">
        <v>46066</v>
      </c>
      <c r="F917" s="97" t="s">
        <v>7</v>
      </c>
      <c r="G917" s="97" t="s">
        <v>8</v>
      </c>
      <c r="H917" s="97" t="s">
        <v>74</v>
      </c>
      <c r="I917" s="97" t="s">
        <v>71</v>
      </c>
      <c r="J917" s="97" t="s">
        <v>72</v>
      </c>
      <c r="K917" s="97" t="s">
        <v>73</v>
      </c>
      <c r="L917">
        <v>701000</v>
      </c>
      <c r="M917" s="97" t="s">
        <v>62</v>
      </c>
      <c r="N917" s="97" t="s">
        <v>33</v>
      </c>
      <c r="O917">
        <v>1547</v>
      </c>
      <c r="P917">
        <v>1.05</v>
      </c>
      <c r="Q917">
        <v>1.62</v>
      </c>
      <c r="R917" s="97" t="s">
        <v>1201</v>
      </c>
      <c r="S917" s="97" t="s">
        <v>195</v>
      </c>
    </row>
    <row r="918" spans="1:19" x14ac:dyDescent="0.3">
      <c r="A918" s="97" t="s">
        <v>1181</v>
      </c>
      <c r="B918" s="97" t="s">
        <v>23</v>
      </c>
      <c r="C918">
        <v>2026</v>
      </c>
      <c r="D918">
        <v>2</v>
      </c>
      <c r="E918" s="2">
        <v>46066</v>
      </c>
      <c r="F918" s="97" t="s">
        <v>7</v>
      </c>
      <c r="G918" s="97" t="s">
        <v>8</v>
      </c>
      <c r="H918" s="97" t="s">
        <v>74</v>
      </c>
      <c r="I918" s="97" t="s">
        <v>71</v>
      </c>
      <c r="J918" s="97" t="s">
        <v>72</v>
      </c>
      <c r="K918" s="97" t="s">
        <v>73</v>
      </c>
      <c r="L918">
        <v>701000</v>
      </c>
      <c r="M918" s="97" t="s">
        <v>62</v>
      </c>
      <c r="N918" s="97" t="s">
        <v>33</v>
      </c>
      <c r="O918">
        <v>2364</v>
      </c>
      <c r="P918">
        <v>1.05</v>
      </c>
      <c r="Q918">
        <v>2.48</v>
      </c>
      <c r="R918" s="97" t="s">
        <v>1202</v>
      </c>
      <c r="S918" s="97" t="s">
        <v>195</v>
      </c>
    </row>
    <row r="919" spans="1:19" x14ac:dyDescent="0.3">
      <c r="A919" s="97" t="s">
        <v>1182</v>
      </c>
      <c r="B919" s="97" t="s">
        <v>23</v>
      </c>
      <c r="C919">
        <v>2026</v>
      </c>
      <c r="D919">
        <v>2</v>
      </c>
      <c r="E919" s="2">
        <v>46066</v>
      </c>
      <c r="F919" s="97" t="s">
        <v>7</v>
      </c>
      <c r="G919" s="97" t="s">
        <v>8</v>
      </c>
      <c r="H919" s="97" t="s">
        <v>74</v>
      </c>
      <c r="I919" s="97" t="s">
        <v>71</v>
      </c>
      <c r="J919" s="97" t="s">
        <v>72</v>
      </c>
      <c r="K919" s="97" t="s">
        <v>73</v>
      </c>
      <c r="L919">
        <v>701000</v>
      </c>
      <c r="M919" s="97" t="s">
        <v>62</v>
      </c>
      <c r="N919" s="97" t="s">
        <v>33</v>
      </c>
      <c r="O919">
        <v>5263</v>
      </c>
      <c r="P919">
        <v>1.05</v>
      </c>
      <c r="Q919">
        <v>5.52</v>
      </c>
      <c r="R919" s="97" t="s">
        <v>1197</v>
      </c>
      <c r="S919" s="97" t="s">
        <v>195</v>
      </c>
    </row>
    <row r="920" spans="1:19" x14ac:dyDescent="0.3">
      <c r="A920" s="97" t="s">
        <v>1183</v>
      </c>
      <c r="B920" s="97" t="s">
        <v>23</v>
      </c>
      <c r="C920">
        <v>2026</v>
      </c>
      <c r="D920">
        <v>2</v>
      </c>
      <c r="E920" s="2">
        <v>46066</v>
      </c>
      <c r="F920" s="97" t="s">
        <v>7</v>
      </c>
      <c r="G920" s="97" t="s">
        <v>8</v>
      </c>
      <c r="H920" s="97" t="s">
        <v>74</v>
      </c>
      <c r="I920" s="97" t="s">
        <v>71</v>
      </c>
      <c r="J920" s="97" t="s">
        <v>72</v>
      </c>
      <c r="K920" s="97" t="s">
        <v>73</v>
      </c>
      <c r="L920">
        <v>701000</v>
      </c>
      <c r="M920" s="97" t="s">
        <v>62</v>
      </c>
      <c r="N920" s="97" t="s">
        <v>33</v>
      </c>
      <c r="O920">
        <v>4736</v>
      </c>
      <c r="P920">
        <v>1.05</v>
      </c>
      <c r="Q920">
        <v>4.97</v>
      </c>
      <c r="R920" s="97" t="s">
        <v>1200</v>
      </c>
      <c r="S920" s="97" t="s">
        <v>195</v>
      </c>
    </row>
    <row r="921" spans="1:19" x14ac:dyDescent="0.3">
      <c r="A921" s="97" t="s">
        <v>1184</v>
      </c>
      <c r="B921" s="97" t="s">
        <v>23</v>
      </c>
      <c r="C921">
        <v>2026</v>
      </c>
      <c r="D921">
        <v>2</v>
      </c>
      <c r="E921" s="2">
        <v>46066</v>
      </c>
      <c r="F921" s="97" t="s">
        <v>7</v>
      </c>
      <c r="G921" s="97" t="s">
        <v>8</v>
      </c>
      <c r="H921" s="97" t="s">
        <v>74</v>
      </c>
      <c r="I921" s="97" t="s">
        <v>71</v>
      </c>
      <c r="J921" s="97" t="s">
        <v>72</v>
      </c>
      <c r="K921" s="97" t="s">
        <v>73</v>
      </c>
      <c r="L921">
        <v>701000</v>
      </c>
      <c r="M921" s="97" t="s">
        <v>62</v>
      </c>
      <c r="N921" s="97" t="s">
        <v>33</v>
      </c>
      <c r="O921">
        <v>1940</v>
      </c>
      <c r="P921">
        <v>1.06</v>
      </c>
      <c r="Q921">
        <v>2.0499999999999998</v>
      </c>
      <c r="R921" s="97" t="s">
        <v>1199</v>
      </c>
      <c r="S921" s="97" t="s">
        <v>195</v>
      </c>
    </row>
    <row r="922" spans="1:19" x14ac:dyDescent="0.3">
      <c r="A922" s="97" t="s">
        <v>1110</v>
      </c>
      <c r="B922" s="97" t="s">
        <v>23</v>
      </c>
      <c r="C922">
        <v>2026</v>
      </c>
      <c r="D922">
        <v>2</v>
      </c>
      <c r="E922" s="2">
        <v>46069</v>
      </c>
      <c r="F922" s="97" t="s">
        <v>7</v>
      </c>
      <c r="G922" s="97" t="s">
        <v>8</v>
      </c>
      <c r="H922" s="97" t="s">
        <v>74</v>
      </c>
      <c r="I922" s="97" t="s">
        <v>84</v>
      </c>
      <c r="J922" s="97" t="s">
        <v>85</v>
      </c>
      <c r="K922" s="97" t="s">
        <v>73</v>
      </c>
      <c r="L922">
        <v>701000</v>
      </c>
      <c r="M922" s="97" t="s">
        <v>62</v>
      </c>
      <c r="N922" s="97" t="s">
        <v>33</v>
      </c>
      <c r="O922">
        <v>3380</v>
      </c>
      <c r="P922">
        <v>0.95</v>
      </c>
      <c r="Q922">
        <v>3.21</v>
      </c>
      <c r="R922" s="97" t="s">
        <v>1198</v>
      </c>
      <c r="S922" s="97" t="s">
        <v>195</v>
      </c>
    </row>
    <row r="923" spans="1:19" x14ac:dyDescent="0.3">
      <c r="A923" s="97" t="s">
        <v>1111</v>
      </c>
      <c r="B923" s="97" t="s">
        <v>23</v>
      </c>
      <c r="C923">
        <v>2026</v>
      </c>
      <c r="D923">
        <v>2</v>
      </c>
      <c r="E923" s="2">
        <v>46069</v>
      </c>
      <c r="F923" s="97" t="s">
        <v>7</v>
      </c>
      <c r="G923" s="97" t="s">
        <v>8</v>
      </c>
      <c r="H923" s="97" t="s">
        <v>74</v>
      </c>
      <c r="I923" s="97" t="s">
        <v>84</v>
      </c>
      <c r="J923" s="97" t="s">
        <v>85</v>
      </c>
      <c r="K923" s="97" t="s">
        <v>73</v>
      </c>
      <c r="L923">
        <v>701000</v>
      </c>
      <c r="M923" s="97" t="s">
        <v>62</v>
      </c>
      <c r="N923" s="97" t="s">
        <v>33</v>
      </c>
      <c r="O923">
        <v>6539</v>
      </c>
      <c r="P923">
        <v>0.95</v>
      </c>
      <c r="Q923">
        <v>6.21</v>
      </c>
      <c r="R923" s="97" t="s">
        <v>1200</v>
      </c>
      <c r="S923" s="97" t="s">
        <v>195</v>
      </c>
    </row>
    <row r="924" spans="1:19" x14ac:dyDescent="0.3">
      <c r="A924" s="97" t="s">
        <v>1112</v>
      </c>
      <c r="B924" s="97" t="s">
        <v>23</v>
      </c>
      <c r="C924">
        <v>2026</v>
      </c>
      <c r="D924">
        <v>2</v>
      </c>
      <c r="E924" s="2">
        <v>46069</v>
      </c>
      <c r="F924" s="97" t="s">
        <v>7</v>
      </c>
      <c r="G924" s="97" t="s">
        <v>8</v>
      </c>
      <c r="H924" s="97" t="s">
        <v>74</v>
      </c>
      <c r="I924" s="97" t="s">
        <v>84</v>
      </c>
      <c r="J924" s="97" t="s">
        <v>85</v>
      </c>
      <c r="K924" s="97" t="s">
        <v>73</v>
      </c>
      <c r="L924">
        <v>701000</v>
      </c>
      <c r="M924" s="97" t="s">
        <v>62</v>
      </c>
      <c r="N924" s="97" t="s">
        <v>33</v>
      </c>
      <c r="O924">
        <v>1429</v>
      </c>
      <c r="P924">
        <v>0.95</v>
      </c>
      <c r="Q924">
        <v>1.36</v>
      </c>
      <c r="R924" s="97" t="s">
        <v>1204</v>
      </c>
      <c r="S924" s="97" t="s">
        <v>195</v>
      </c>
    </row>
    <row r="925" spans="1:19" x14ac:dyDescent="0.3">
      <c r="A925" s="97" t="s">
        <v>1113</v>
      </c>
      <c r="B925" s="97" t="s">
        <v>23</v>
      </c>
      <c r="C925">
        <v>2026</v>
      </c>
      <c r="D925">
        <v>2</v>
      </c>
      <c r="E925" s="2">
        <v>46069</v>
      </c>
      <c r="F925" s="97" t="s">
        <v>7</v>
      </c>
      <c r="G925" s="97" t="s">
        <v>8</v>
      </c>
      <c r="H925" s="97" t="s">
        <v>74</v>
      </c>
      <c r="I925" s="97" t="s">
        <v>84</v>
      </c>
      <c r="J925" s="97" t="s">
        <v>85</v>
      </c>
      <c r="K925" s="97" t="s">
        <v>73</v>
      </c>
      <c r="L925">
        <v>701000</v>
      </c>
      <c r="M925" s="97" t="s">
        <v>62</v>
      </c>
      <c r="N925" s="97" t="s">
        <v>33</v>
      </c>
      <c r="O925">
        <v>1397</v>
      </c>
      <c r="P925">
        <v>0.95</v>
      </c>
      <c r="Q925">
        <v>1.33</v>
      </c>
      <c r="R925" s="97" t="s">
        <v>1203</v>
      </c>
      <c r="S925" s="97" t="s">
        <v>195</v>
      </c>
    </row>
    <row r="926" spans="1:19" x14ac:dyDescent="0.3">
      <c r="A926" s="97" t="s">
        <v>1114</v>
      </c>
      <c r="B926" s="97" t="s">
        <v>23</v>
      </c>
      <c r="C926">
        <v>2026</v>
      </c>
      <c r="D926">
        <v>2</v>
      </c>
      <c r="E926" s="2">
        <v>46069</v>
      </c>
      <c r="F926" s="97" t="s">
        <v>7</v>
      </c>
      <c r="G926" s="97" t="s">
        <v>8</v>
      </c>
      <c r="H926" s="97" t="s">
        <v>74</v>
      </c>
      <c r="I926" s="97" t="s">
        <v>84</v>
      </c>
      <c r="J926" s="97" t="s">
        <v>85</v>
      </c>
      <c r="K926" s="97" t="s">
        <v>73</v>
      </c>
      <c r="L926">
        <v>701000</v>
      </c>
      <c r="M926" s="97" t="s">
        <v>62</v>
      </c>
      <c r="N926" s="97" t="s">
        <v>33</v>
      </c>
      <c r="O926">
        <v>6080</v>
      </c>
      <c r="P926">
        <v>0.95</v>
      </c>
      <c r="Q926">
        <v>5.77</v>
      </c>
      <c r="R926" s="97" t="s">
        <v>1202</v>
      </c>
      <c r="S926" s="97" t="s">
        <v>195</v>
      </c>
    </row>
    <row r="927" spans="1:19" x14ac:dyDescent="0.3">
      <c r="A927" s="97" t="s">
        <v>1105</v>
      </c>
      <c r="B927" s="97" t="s">
        <v>23</v>
      </c>
      <c r="C927">
        <v>2026</v>
      </c>
      <c r="D927">
        <v>2</v>
      </c>
      <c r="E927" s="2">
        <v>46070</v>
      </c>
      <c r="F927" s="97" t="s">
        <v>7</v>
      </c>
      <c r="G927" s="97" t="s">
        <v>8</v>
      </c>
      <c r="H927" s="97" t="s">
        <v>70</v>
      </c>
      <c r="I927" s="97" t="s">
        <v>84</v>
      </c>
      <c r="J927" s="97" t="s">
        <v>85</v>
      </c>
      <c r="K927" s="97" t="s">
        <v>73</v>
      </c>
      <c r="L927">
        <v>701000</v>
      </c>
      <c r="M927" s="97" t="s">
        <v>62</v>
      </c>
      <c r="N927" s="97" t="s">
        <v>33</v>
      </c>
      <c r="O927">
        <v>1732</v>
      </c>
      <c r="P927">
        <v>0.95</v>
      </c>
      <c r="Q927">
        <v>1.65</v>
      </c>
      <c r="R927" s="97" t="s">
        <v>1204</v>
      </c>
      <c r="S927" s="97" t="s">
        <v>195</v>
      </c>
    </row>
    <row r="928" spans="1:19" x14ac:dyDescent="0.3">
      <c r="A928" s="97" t="s">
        <v>1106</v>
      </c>
      <c r="B928" s="97" t="s">
        <v>23</v>
      </c>
      <c r="C928">
        <v>2026</v>
      </c>
      <c r="D928">
        <v>2</v>
      </c>
      <c r="E928" s="2">
        <v>46070</v>
      </c>
      <c r="F928" s="97" t="s">
        <v>7</v>
      </c>
      <c r="G928" s="97" t="s">
        <v>8</v>
      </c>
      <c r="H928" s="97" t="s">
        <v>70</v>
      </c>
      <c r="I928" s="97" t="s">
        <v>84</v>
      </c>
      <c r="J928" s="97" t="s">
        <v>85</v>
      </c>
      <c r="K928" s="97" t="s">
        <v>73</v>
      </c>
      <c r="L928">
        <v>701000</v>
      </c>
      <c r="M928" s="97" t="s">
        <v>62</v>
      </c>
      <c r="N928" s="97" t="s">
        <v>33</v>
      </c>
      <c r="O928">
        <v>4405</v>
      </c>
      <c r="P928">
        <v>0.95</v>
      </c>
      <c r="Q928">
        <v>4.18</v>
      </c>
      <c r="R928" s="97" t="s">
        <v>1205</v>
      </c>
      <c r="S928" s="97" t="s">
        <v>195</v>
      </c>
    </row>
    <row r="929" spans="1:19" x14ac:dyDescent="0.3">
      <c r="A929" s="97" t="s">
        <v>1107</v>
      </c>
      <c r="B929" s="97" t="s">
        <v>23</v>
      </c>
      <c r="C929">
        <v>2026</v>
      </c>
      <c r="D929">
        <v>2</v>
      </c>
      <c r="E929" s="2">
        <v>46070</v>
      </c>
      <c r="F929" s="97" t="s">
        <v>7</v>
      </c>
      <c r="G929" s="97" t="s">
        <v>8</v>
      </c>
      <c r="H929" s="97" t="s">
        <v>70</v>
      </c>
      <c r="I929" s="97" t="s">
        <v>84</v>
      </c>
      <c r="J929" s="97" t="s">
        <v>85</v>
      </c>
      <c r="K929" s="97" t="s">
        <v>73</v>
      </c>
      <c r="L929">
        <v>701000</v>
      </c>
      <c r="M929" s="97" t="s">
        <v>62</v>
      </c>
      <c r="N929" s="97" t="s">
        <v>33</v>
      </c>
      <c r="O929">
        <v>2272</v>
      </c>
      <c r="P929">
        <v>0.95</v>
      </c>
      <c r="Q929">
        <v>2.16</v>
      </c>
      <c r="R929" s="97" t="s">
        <v>1201</v>
      </c>
      <c r="S929" s="97" t="s">
        <v>195</v>
      </c>
    </row>
    <row r="930" spans="1:19" x14ac:dyDescent="0.3">
      <c r="A930" s="97" t="s">
        <v>1108</v>
      </c>
      <c r="B930" s="97" t="s">
        <v>23</v>
      </c>
      <c r="C930">
        <v>2026</v>
      </c>
      <c r="D930">
        <v>2</v>
      </c>
      <c r="E930" s="2">
        <v>46070</v>
      </c>
      <c r="F930" s="97" t="s">
        <v>7</v>
      </c>
      <c r="G930" s="97" t="s">
        <v>8</v>
      </c>
      <c r="H930" s="97" t="s">
        <v>70</v>
      </c>
      <c r="I930" s="97" t="s">
        <v>84</v>
      </c>
      <c r="J930" s="97" t="s">
        <v>85</v>
      </c>
      <c r="K930" s="97" t="s">
        <v>73</v>
      </c>
      <c r="L930">
        <v>701000</v>
      </c>
      <c r="M930" s="97" t="s">
        <v>62</v>
      </c>
      <c r="N930" s="97" t="s">
        <v>33</v>
      </c>
      <c r="O930">
        <v>1922</v>
      </c>
      <c r="P930">
        <v>0.95</v>
      </c>
      <c r="Q930">
        <v>1.83</v>
      </c>
      <c r="R930" s="97" t="s">
        <v>1203</v>
      </c>
      <c r="S930" s="97" t="s">
        <v>195</v>
      </c>
    </row>
    <row r="931" spans="1:19" x14ac:dyDescent="0.3">
      <c r="A931" s="97" t="s">
        <v>1109</v>
      </c>
      <c r="B931" s="97" t="s">
        <v>23</v>
      </c>
      <c r="C931">
        <v>2026</v>
      </c>
      <c r="D931">
        <v>2</v>
      </c>
      <c r="E931" s="2">
        <v>46070</v>
      </c>
      <c r="F931" s="97" t="s">
        <v>7</v>
      </c>
      <c r="G931" s="97" t="s">
        <v>8</v>
      </c>
      <c r="H931" s="97" t="s">
        <v>70</v>
      </c>
      <c r="I931" s="97" t="s">
        <v>84</v>
      </c>
      <c r="J931" s="97" t="s">
        <v>85</v>
      </c>
      <c r="K931" s="97" t="s">
        <v>73</v>
      </c>
      <c r="L931">
        <v>701000</v>
      </c>
      <c r="M931" s="97" t="s">
        <v>62</v>
      </c>
      <c r="N931" s="97" t="s">
        <v>33</v>
      </c>
      <c r="O931">
        <v>6968</v>
      </c>
      <c r="P931">
        <v>0.95</v>
      </c>
      <c r="Q931">
        <v>6.61</v>
      </c>
      <c r="R931" s="97" t="s">
        <v>1199</v>
      </c>
      <c r="S931" s="97" t="s">
        <v>195</v>
      </c>
    </row>
    <row r="932" spans="1:19" x14ac:dyDescent="0.3">
      <c r="A932" s="97" t="s">
        <v>1130</v>
      </c>
      <c r="B932" s="97" t="s">
        <v>23</v>
      </c>
      <c r="C932">
        <v>2026</v>
      </c>
      <c r="D932">
        <v>2</v>
      </c>
      <c r="E932" s="2">
        <v>46071</v>
      </c>
      <c r="F932" s="97" t="s">
        <v>7</v>
      </c>
      <c r="G932" s="97" t="s">
        <v>8</v>
      </c>
      <c r="H932" s="97" t="s">
        <v>70</v>
      </c>
      <c r="I932" s="97" t="s">
        <v>71</v>
      </c>
      <c r="J932" s="97" t="s">
        <v>72</v>
      </c>
      <c r="K932" s="97" t="s">
        <v>73</v>
      </c>
      <c r="L932">
        <v>701000</v>
      </c>
      <c r="M932" s="97" t="s">
        <v>62</v>
      </c>
      <c r="N932" s="97" t="s">
        <v>33</v>
      </c>
      <c r="O932">
        <v>9756</v>
      </c>
      <c r="P932">
        <v>1.05</v>
      </c>
      <c r="Q932">
        <v>10.24</v>
      </c>
      <c r="R932" s="97" t="s">
        <v>1205</v>
      </c>
      <c r="S932" s="97" t="s">
        <v>195</v>
      </c>
    </row>
    <row r="933" spans="1:19" x14ac:dyDescent="0.3">
      <c r="A933" s="97" t="s">
        <v>1131</v>
      </c>
      <c r="B933" s="97" t="s">
        <v>23</v>
      </c>
      <c r="C933">
        <v>2026</v>
      </c>
      <c r="D933">
        <v>2</v>
      </c>
      <c r="E933" s="2">
        <v>46071</v>
      </c>
      <c r="F933" s="97" t="s">
        <v>7</v>
      </c>
      <c r="G933" s="97" t="s">
        <v>8</v>
      </c>
      <c r="H933" s="97" t="s">
        <v>70</v>
      </c>
      <c r="I933" s="97" t="s">
        <v>71</v>
      </c>
      <c r="J933" s="97" t="s">
        <v>72</v>
      </c>
      <c r="K933" s="97" t="s">
        <v>73</v>
      </c>
      <c r="L933">
        <v>701000</v>
      </c>
      <c r="M933" s="97" t="s">
        <v>62</v>
      </c>
      <c r="N933" s="97" t="s">
        <v>33</v>
      </c>
      <c r="O933">
        <v>3375</v>
      </c>
      <c r="P933">
        <v>1.05</v>
      </c>
      <c r="Q933">
        <v>3.54</v>
      </c>
      <c r="R933" s="97" t="s">
        <v>1201</v>
      </c>
      <c r="S933" s="97" t="s">
        <v>195</v>
      </c>
    </row>
    <row r="934" spans="1:19" x14ac:dyDescent="0.3">
      <c r="A934" s="97" t="s">
        <v>1132</v>
      </c>
      <c r="B934" s="97" t="s">
        <v>23</v>
      </c>
      <c r="C934">
        <v>2026</v>
      </c>
      <c r="D934">
        <v>2</v>
      </c>
      <c r="E934" s="2">
        <v>46071</v>
      </c>
      <c r="F934" s="97" t="s">
        <v>7</v>
      </c>
      <c r="G934" s="97" t="s">
        <v>8</v>
      </c>
      <c r="H934" s="97" t="s">
        <v>70</v>
      </c>
      <c r="I934" s="97" t="s">
        <v>71</v>
      </c>
      <c r="J934" s="97" t="s">
        <v>72</v>
      </c>
      <c r="K934" s="97" t="s">
        <v>73</v>
      </c>
      <c r="L934">
        <v>701000</v>
      </c>
      <c r="M934" s="97" t="s">
        <v>62</v>
      </c>
      <c r="N934" s="97" t="s">
        <v>33</v>
      </c>
      <c r="O934">
        <v>1577</v>
      </c>
      <c r="P934">
        <v>1.05</v>
      </c>
      <c r="Q934">
        <v>1.66</v>
      </c>
      <c r="R934" s="97" t="s">
        <v>1204</v>
      </c>
      <c r="S934" s="97" t="s">
        <v>195</v>
      </c>
    </row>
    <row r="935" spans="1:19" x14ac:dyDescent="0.3">
      <c r="A935" s="97" t="s">
        <v>1133</v>
      </c>
      <c r="B935" s="97" t="s">
        <v>23</v>
      </c>
      <c r="C935">
        <v>2026</v>
      </c>
      <c r="D935">
        <v>2</v>
      </c>
      <c r="E935" s="2">
        <v>46071</v>
      </c>
      <c r="F935" s="97" t="s">
        <v>7</v>
      </c>
      <c r="G935" s="97" t="s">
        <v>8</v>
      </c>
      <c r="H935" s="97" t="s">
        <v>70</v>
      </c>
      <c r="I935" s="97" t="s">
        <v>71</v>
      </c>
      <c r="J935" s="97" t="s">
        <v>72</v>
      </c>
      <c r="K935" s="97" t="s">
        <v>73</v>
      </c>
      <c r="L935">
        <v>701000</v>
      </c>
      <c r="M935" s="97" t="s">
        <v>62</v>
      </c>
      <c r="N935" s="97" t="s">
        <v>33</v>
      </c>
      <c r="O935">
        <v>650</v>
      </c>
      <c r="P935">
        <v>1.05</v>
      </c>
      <c r="Q935">
        <v>0.68</v>
      </c>
      <c r="R935" s="97" t="s">
        <v>1200</v>
      </c>
      <c r="S935" s="97" t="s">
        <v>195</v>
      </c>
    </row>
    <row r="936" spans="1:19" x14ac:dyDescent="0.3">
      <c r="A936" s="97" t="s">
        <v>1134</v>
      </c>
      <c r="B936" s="97" t="s">
        <v>23</v>
      </c>
      <c r="C936">
        <v>2026</v>
      </c>
      <c r="D936">
        <v>2</v>
      </c>
      <c r="E936" s="2">
        <v>46071</v>
      </c>
      <c r="F936" s="97" t="s">
        <v>7</v>
      </c>
      <c r="G936" s="97" t="s">
        <v>8</v>
      </c>
      <c r="H936" s="97" t="s">
        <v>70</v>
      </c>
      <c r="I936" s="97" t="s">
        <v>71</v>
      </c>
      <c r="J936" s="97" t="s">
        <v>72</v>
      </c>
      <c r="K936" s="97" t="s">
        <v>73</v>
      </c>
      <c r="L936">
        <v>701000</v>
      </c>
      <c r="M936" s="97" t="s">
        <v>62</v>
      </c>
      <c r="N936" s="97" t="s">
        <v>33</v>
      </c>
      <c r="O936">
        <v>4627</v>
      </c>
      <c r="P936">
        <v>1.05</v>
      </c>
      <c r="Q936">
        <v>4.8600000000000003</v>
      </c>
      <c r="R936" s="97" t="s">
        <v>1197</v>
      </c>
      <c r="S936" s="97" t="s">
        <v>195</v>
      </c>
    </row>
    <row r="937" spans="1:19" x14ac:dyDescent="0.3">
      <c r="A937" s="97" t="s">
        <v>1150</v>
      </c>
      <c r="B937" s="97" t="s">
        <v>23</v>
      </c>
      <c r="C937">
        <v>2026</v>
      </c>
      <c r="D937">
        <v>2</v>
      </c>
      <c r="E937" s="2">
        <v>46071</v>
      </c>
      <c r="F937" s="97" t="s">
        <v>7</v>
      </c>
      <c r="G937" s="97" t="s">
        <v>8</v>
      </c>
      <c r="H937" s="97" t="s">
        <v>74</v>
      </c>
      <c r="I937" s="97" t="s">
        <v>71</v>
      </c>
      <c r="J937" s="97" t="s">
        <v>72</v>
      </c>
      <c r="K937" s="97" t="s">
        <v>73</v>
      </c>
      <c r="L937">
        <v>701000</v>
      </c>
      <c r="M937" s="97" t="s">
        <v>62</v>
      </c>
      <c r="N937" s="97" t="s">
        <v>33</v>
      </c>
      <c r="O937">
        <v>1016</v>
      </c>
      <c r="P937">
        <v>1.05</v>
      </c>
      <c r="Q937">
        <v>1.07</v>
      </c>
      <c r="R937" s="97" t="s">
        <v>1201</v>
      </c>
      <c r="S937" s="97" t="s">
        <v>195</v>
      </c>
    </row>
    <row r="938" spans="1:19" x14ac:dyDescent="0.3">
      <c r="A938" s="97" t="s">
        <v>1151</v>
      </c>
      <c r="B938" s="97" t="s">
        <v>23</v>
      </c>
      <c r="C938">
        <v>2026</v>
      </c>
      <c r="D938">
        <v>2</v>
      </c>
      <c r="E938" s="2">
        <v>46071</v>
      </c>
      <c r="F938" s="97" t="s">
        <v>7</v>
      </c>
      <c r="G938" s="97" t="s">
        <v>8</v>
      </c>
      <c r="H938" s="97" t="s">
        <v>74</v>
      </c>
      <c r="I938" s="97" t="s">
        <v>71</v>
      </c>
      <c r="J938" s="97" t="s">
        <v>72</v>
      </c>
      <c r="K938" s="97" t="s">
        <v>73</v>
      </c>
      <c r="L938">
        <v>701000</v>
      </c>
      <c r="M938" s="97" t="s">
        <v>62</v>
      </c>
      <c r="N938" s="97" t="s">
        <v>33</v>
      </c>
      <c r="O938">
        <v>7991</v>
      </c>
      <c r="P938">
        <v>1.05</v>
      </c>
      <c r="Q938">
        <v>8.39</v>
      </c>
      <c r="R938" s="97" t="s">
        <v>1198</v>
      </c>
      <c r="S938" s="97" t="s">
        <v>195</v>
      </c>
    </row>
    <row r="939" spans="1:19" x14ac:dyDescent="0.3">
      <c r="A939" s="97" t="s">
        <v>1152</v>
      </c>
      <c r="B939" s="97" t="s">
        <v>23</v>
      </c>
      <c r="C939">
        <v>2026</v>
      </c>
      <c r="D939">
        <v>2</v>
      </c>
      <c r="E939" s="2">
        <v>46071</v>
      </c>
      <c r="F939" s="97" t="s">
        <v>7</v>
      </c>
      <c r="G939" s="97" t="s">
        <v>8</v>
      </c>
      <c r="H939" s="97" t="s">
        <v>74</v>
      </c>
      <c r="I939" s="97" t="s">
        <v>71</v>
      </c>
      <c r="J939" s="97" t="s">
        <v>72</v>
      </c>
      <c r="K939" s="97" t="s">
        <v>73</v>
      </c>
      <c r="L939">
        <v>701000</v>
      </c>
      <c r="M939" s="97" t="s">
        <v>62</v>
      </c>
      <c r="N939" s="97" t="s">
        <v>33</v>
      </c>
      <c r="O939">
        <v>2123</v>
      </c>
      <c r="P939">
        <v>1.05</v>
      </c>
      <c r="Q939">
        <v>2.23</v>
      </c>
      <c r="R939" s="97" t="s">
        <v>1197</v>
      </c>
      <c r="S939" s="97" t="s">
        <v>195</v>
      </c>
    </row>
    <row r="940" spans="1:19" x14ac:dyDescent="0.3">
      <c r="A940" s="97" t="s">
        <v>1153</v>
      </c>
      <c r="B940" s="97" t="s">
        <v>23</v>
      </c>
      <c r="C940">
        <v>2026</v>
      </c>
      <c r="D940">
        <v>2</v>
      </c>
      <c r="E940" s="2">
        <v>46071</v>
      </c>
      <c r="F940" s="97" t="s">
        <v>7</v>
      </c>
      <c r="G940" s="97" t="s">
        <v>8</v>
      </c>
      <c r="H940" s="97" t="s">
        <v>74</v>
      </c>
      <c r="I940" s="97" t="s">
        <v>71</v>
      </c>
      <c r="J940" s="97" t="s">
        <v>72</v>
      </c>
      <c r="K940" s="97" t="s">
        <v>73</v>
      </c>
      <c r="L940">
        <v>701000</v>
      </c>
      <c r="M940" s="97" t="s">
        <v>62</v>
      </c>
      <c r="N940" s="97" t="s">
        <v>33</v>
      </c>
      <c r="O940">
        <v>3629</v>
      </c>
      <c r="P940">
        <v>1.05</v>
      </c>
      <c r="Q940">
        <v>3.81</v>
      </c>
      <c r="R940" s="97" t="s">
        <v>1205</v>
      </c>
      <c r="S940" s="97" t="s">
        <v>195</v>
      </c>
    </row>
    <row r="941" spans="1:19" x14ac:dyDescent="0.3">
      <c r="A941" s="97" t="s">
        <v>1154</v>
      </c>
      <c r="B941" s="97" t="s">
        <v>23</v>
      </c>
      <c r="C941">
        <v>2026</v>
      </c>
      <c r="D941">
        <v>2</v>
      </c>
      <c r="E941" s="2">
        <v>46071</v>
      </c>
      <c r="F941" s="97" t="s">
        <v>7</v>
      </c>
      <c r="G941" s="97" t="s">
        <v>8</v>
      </c>
      <c r="H941" s="97" t="s">
        <v>74</v>
      </c>
      <c r="I941" s="97" t="s">
        <v>71</v>
      </c>
      <c r="J941" s="97" t="s">
        <v>72</v>
      </c>
      <c r="K941" s="97" t="s">
        <v>73</v>
      </c>
      <c r="L941">
        <v>701000</v>
      </c>
      <c r="M941" s="97" t="s">
        <v>62</v>
      </c>
      <c r="N941" s="97" t="s">
        <v>33</v>
      </c>
      <c r="O941">
        <v>2644</v>
      </c>
      <c r="P941">
        <v>1.05</v>
      </c>
      <c r="Q941">
        <v>2.77</v>
      </c>
      <c r="R941" s="97" t="s">
        <v>1200</v>
      </c>
      <c r="S941" s="97" t="s">
        <v>195</v>
      </c>
    </row>
    <row r="942" spans="1:19" x14ac:dyDescent="0.3">
      <c r="A942" s="97" t="s">
        <v>1135</v>
      </c>
      <c r="B942" s="97" t="s">
        <v>23</v>
      </c>
      <c r="C942">
        <v>2026</v>
      </c>
      <c r="D942">
        <v>2</v>
      </c>
      <c r="E942" s="2">
        <v>46072</v>
      </c>
      <c r="F942" s="97" t="s">
        <v>7</v>
      </c>
      <c r="G942" s="97" t="s">
        <v>8</v>
      </c>
      <c r="H942" s="97" t="s">
        <v>70</v>
      </c>
      <c r="I942" s="97" t="s">
        <v>71</v>
      </c>
      <c r="J942" s="97" t="s">
        <v>72</v>
      </c>
      <c r="K942" s="97" t="s">
        <v>73</v>
      </c>
      <c r="L942">
        <v>701000</v>
      </c>
      <c r="M942" s="97" t="s">
        <v>62</v>
      </c>
      <c r="N942" s="97" t="s">
        <v>33</v>
      </c>
      <c r="O942">
        <v>2441</v>
      </c>
      <c r="P942">
        <v>1.05</v>
      </c>
      <c r="Q942">
        <v>2.56</v>
      </c>
      <c r="R942" s="97" t="s">
        <v>1201</v>
      </c>
      <c r="S942" s="97" t="s">
        <v>195</v>
      </c>
    </row>
    <row r="943" spans="1:19" x14ac:dyDescent="0.3">
      <c r="A943" s="97" t="s">
        <v>1136</v>
      </c>
      <c r="B943" s="97" t="s">
        <v>23</v>
      </c>
      <c r="C943">
        <v>2026</v>
      </c>
      <c r="D943">
        <v>2</v>
      </c>
      <c r="E943" s="2">
        <v>46072</v>
      </c>
      <c r="F943" s="97" t="s">
        <v>7</v>
      </c>
      <c r="G943" s="97" t="s">
        <v>8</v>
      </c>
      <c r="H943" s="97" t="s">
        <v>70</v>
      </c>
      <c r="I943" s="97" t="s">
        <v>71</v>
      </c>
      <c r="J943" s="97" t="s">
        <v>72</v>
      </c>
      <c r="K943" s="97" t="s">
        <v>73</v>
      </c>
      <c r="L943">
        <v>701000</v>
      </c>
      <c r="M943" s="97" t="s">
        <v>62</v>
      </c>
      <c r="N943" s="97" t="s">
        <v>33</v>
      </c>
      <c r="O943">
        <v>5035</v>
      </c>
      <c r="P943">
        <v>1.05</v>
      </c>
      <c r="Q943">
        <v>5.29</v>
      </c>
      <c r="R943" s="97" t="s">
        <v>1204</v>
      </c>
      <c r="S943" s="97" t="s">
        <v>195</v>
      </c>
    </row>
    <row r="944" spans="1:19" x14ac:dyDescent="0.3">
      <c r="A944" s="97" t="s">
        <v>1137</v>
      </c>
      <c r="B944" s="97" t="s">
        <v>23</v>
      </c>
      <c r="C944">
        <v>2026</v>
      </c>
      <c r="D944">
        <v>2</v>
      </c>
      <c r="E944" s="2">
        <v>46072</v>
      </c>
      <c r="F944" s="97" t="s">
        <v>7</v>
      </c>
      <c r="G944" s="97" t="s">
        <v>8</v>
      </c>
      <c r="H944" s="97" t="s">
        <v>70</v>
      </c>
      <c r="I944" s="97" t="s">
        <v>71</v>
      </c>
      <c r="J944" s="97" t="s">
        <v>72</v>
      </c>
      <c r="K944" s="97" t="s">
        <v>73</v>
      </c>
      <c r="L944">
        <v>701000</v>
      </c>
      <c r="M944" s="97" t="s">
        <v>62</v>
      </c>
      <c r="N944" s="97" t="s">
        <v>33</v>
      </c>
      <c r="O944">
        <v>2489</v>
      </c>
      <c r="P944">
        <v>1.05</v>
      </c>
      <c r="Q944">
        <v>2.61</v>
      </c>
      <c r="R944" s="97" t="s">
        <v>1197</v>
      </c>
      <c r="S944" s="97" t="s">
        <v>195</v>
      </c>
    </row>
    <row r="945" spans="1:19" x14ac:dyDescent="0.3">
      <c r="A945" s="97" t="s">
        <v>1138</v>
      </c>
      <c r="B945" s="97" t="s">
        <v>23</v>
      </c>
      <c r="C945">
        <v>2026</v>
      </c>
      <c r="D945">
        <v>2</v>
      </c>
      <c r="E945" s="2">
        <v>46072</v>
      </c>
      <c r="F945" s="97" t="s">
        <v>7</v>
      </c>
      <c r="G945" s="97" t="s">
        <v>8</v>
      </c>
      <c r="H945" s="97" t="s">
        <v>70</v>
      </c>
      <c r="I945" s="97" t="s">
        <v>71</v>
      </c>
      <c r="J945" s="97" t="s">
        <v>72</v>
      </c>
      <c r="K945" s="97" t="s">
        <v>73</v>
      </c>
      <c r="L945">
        <v>701000</v>
      </c>
      <c r="M945" s="97" t="s">
        <v>62</v>
      </c>
      <c r="N945" s="97" t="s">
        <v>33</v>
      </c>
      <c r="O945">
        <v>6509</v>
      </c>
      <c r="P945">
        <v>1.05</v>
      </c>
      <c r="Q945">
        <v>6.83</v>
      </c>
      <c r="R945" s="97" t="s">
        <v>1202</v>
      </c>
      <c r="S945" s="97" t="s">
        <v>195</v>
      </c>
    </row>
    <row r="946" spans="1:19" x14ac:dyDescent="0.3">
      <c r="A946" s="97" t="s">
        <v>1139</v>
      </c>
      <c r="B946" s="97" t="s">
        <v>23</v>
      </c>
      <c r="C946">
        <v>2026</v>
      </c>
      <c r="D946">
        <v>2</v>
      </c>
      <c r="E946" s="2">
        <v>46072</v>
      </c>
      <c r="F946" s="97" t="s">
        <v>7</v>
      </c>
      <c r="G946" s="97" t="s">
        <v>8</v>
      </c>
      <c r="H946" s="97" t="s">
        <v>70</v>
      </c>
      <c r="I946" s="97" t="s">
        <v>71</v>
      </c>
      <c r="J946" s="97" t="s">
        <v>72</v>
      </c>
      <c r="K946" s="97" t="s">
        <v>73</v>
      </c>
      <c r="L946">
        <v>701000</v>
      </c>
      <c r="M946" s="97" t="s">
        <v>62</v>
      </c>
      <c r="N946" s="97" t="s">
        <v>33</v>
      </c>
      <c r="O946">
        <v>1260</v>
      </c>
      <c r="P946">
        <v>1.06</v>
      </c>
      <c r="Q946">
        <v>1.33</v>
      </c>
      <c r="R946" s="97" t="s">
        <v>1199</v>
      </c>
      <c r="S946" s="97" t="s">
        <v>195</v>
      </c>
    </row>
    <row r="947" spans="1:19" x14ac:dyDescent="0.3">
      <c r="A947" s="97" t="s">
        <v>1160</v>
      </c>
      <c r="B947" s="97" t="s">
        <v>23</v>
      </c>
      <c r="C947">
        <v>2026</v>
      </c>
      <c r="D947">
        <v>2</v>
      </c>
      <c r="E947" s="2">
        <v>46072</v>
      </c>
      <c r="F947" s="97" t="s">
        <v>7</v>
      </c>
      <c r="G947" s="97" t="s">
        <v>8</v>
      </c>
      <c r="H947" s="97" t="s">
        <v>70</v>
      </c>
      <c r="I947" s="97" t="s">
        <v>71</v>
      </c>
      <c r="J947" s="97" t="s">
        <v>72</v>
      </c>
      <c r="K947" s="97" t="s">
        <v>73</v>
      </c>
      <c r="L947">
        <v>701000</v>
      </c>
      <c r="M947" s="97" t="s">
        <v>62</v>
      </c>
      <c r="N947" s="97" t="s">
        <v>33</v>
      </c>
      <c r="O947">
        <v>2631</v>
      </c>
      <c r="P947">
        <v>1.05</v>
      </c>
      <c r="Q947">
        <v>2.76</v>
      </c>
      <c r="R947" s="97" t="s">
        <v>1201</v>
      </c>
      <c r="S947" s="97" t="s">
        <v>195</v>
      </c>
    </row>
    <row r="948" spans="1:19" x14ac:dyDescent="0.3">
      <c r="A948" s="97" t="s">
        <v>1161</v>
      </c>
      <c r="B948" s="97" t="s">
        <v>23</v>
      </c>
      <c r="C948">
        <v>2026</v>
      </c>
      <c r="D948">
        <v>2</v>
      </c>
      <c r="E948" s="2">
        <v>46072</v>
      </c>
      <c r="F948" s="97" t="s">
        <v>7</v>
      </c>
      <c r="G948" s="97" t="s">
        <v>8</v>
      </c>
      <c r="H948" s="97" t="s">
        <v>70</v>
      </c>
      <c r="I948" s="97" t="s">
        <v>71</v>
      </c>
      <c r="J948" s="97" t="s">
        <v>72</v>
      </c>
      <c r="K948" s="97" t="s">
        <v>73</v>
      </c>
      <c r="L948">
        <v>701000</v>
      </c>
      <c r="M948" s="97" t="s">
        <v>62</v>
      </c>
      <c r="N948" s="97" t="s">
        <v>33</v>
      </c>
      <c r="O948">
        <v>4164</v>
      </c>
      <c r="P948">
        <v>1.05</v>
      </c>
      <c r="Q948">
        <v>4.37</v>
      </c>
      <c r="R948" s="97" t="s">
        <v>1200</v>
      </c>
      <c r="S948" s="97" t="s">
        <v>195</v>
      </c>
    </row>
    <row r="949" spans="1:19" x14ac:dyDescent="0.3">
      <c r="A949" s="97" t="s">
        <v>1162</v>
      </c>
      <c r="B949" s="97" t="s">
        <v>23</v>
      </c>
      <c r="C949">
        <v>2026</v>
      </c>
      <c r="D949">
        <v>2</v>
      </c>
      <c r="E949" s="2">
        <v>46072</v>
      </c>
      <c r="F949" s="97" t="s">
        <v>7</v>
      </c>
      <c r="G949" s="97" t="s">
        <v>8</v>
      </c>
      <c r="H949" s="97" t="s">
        <v>70</v>
      </c>
      <c r="I949" s="97" t="s">
        <v>71</v>
      </c>
      <c r="J949" s="97" t="s">
        <v>72</v>
      </c>
      <c r="K949" s="97" t="s">
        <v>73</v>
      </c>
      <c r="L949">
        <v>701000</v>
      </c>
      <c r="M949" s="97" t="s">
        <v>62</v>
      </c>
      <c r="N949" s="97" t="s">
        <v>33</v>
      </c>
      <c r="O949">
        <v>4697</v>
      </c>
      <c r="P949">
        <v>1.05</v>
      </c>
      <c r="Q949">
        <v>4.93</v>
      </c>
      <c r="R949" s="97" t="s">
        <v>1203</v>
      </c>
      <c r="S949" s="97" t="s">
        <v>195</v>
      </c>
    </row>
    <row r="950" spans="1:19" x14ac:dyDescent="0.3">
      <c r="A950" s="97" t="s">
        <v>1163</v>
      </c>
      <c r="B950" s="97" t="s">
        <v>23</v>
      </c>
      <c r="C950">
        <v>2026</v>
      </c>
      <c r="D950">
        <v>2</v>
      </c>
      <c r="E950" s="2">
        <v>46072</v>
      </c>
      <c r="F950" s="97" t="s">
        <v>7</v>
      </c>
      <c r="G950" s="97" t="s">
        <v>8</v>
      </c>
      <c r="H950" s="97" t="s">
        <v>70</v>
      </c>
      <c r="I950" s="97" t="s">
        <v>71</v>
      </c>
      <c r="J950" s="97" t="s">
        <v>72</v>
      </c>
      <c r="K950" s="97" t="s">
        <v>73</v>
      </c>
      <c r="L950">
        <v>701000</v>
      </c>
      <c r="M950" s="97" t="s">
        <v>62</v>
      </c>
      <c r="N950" s="97" t="s">
        <v>33</v>
      </c>
      <c r="O950">
        <v>6252</v>
      </c>
      <c r="P950">
        <v>1.05</v>
      </c>
      <c r="Q950">
        <v>6.56</v>
      </c>
      <c r="R950" s="97" t="s">
        <v>1204</v>
      </c>
      <c r="S950" s="97" t="s">
        <v>195</v>
      </c>
    </row>
    <row r="951" spans="1:19" x14ac:dyDescent="0.3">
      <c r="A951" s="97" t="s">
        <v>1164</v>
      </c>
      <c r="B951" s="97" t="s">
        <v>23</v>
      </c>
      <c r="C951">
        <v>2026</v>
      </c>
      <c r="D951">
        <v>2</v>
      </c>
      <c r="E951" s="2">
        <v>46072</v>
      </c>
      <c r="F951" s="97" t="s">
        <v>7</v>
      </c>
      <c r="G951" s="97" t="s">
        <v>8</v>
      </c>
      <c r="H951" s="97" t="s">
        <v>70</v>
      </c>
      <c r="I951" s="97" t="s">
        <v>71</v>
      </c>
      <c r="J951" s="97" t="s">
        <v>72</v>
      </c>
      <c r="K951" s="97" t="s">
        <v>73</v>
      </c>
      <c r="L951">
        <v>701000</v>
      </c>
      <c r="M951" s="97" t="s">
        <v>62</v>
      </c>
      <c r="N951" s="97" t="s">
        <v>33</v>
      </c>
      <c r="O951">
        <v>1578</v>
      </c>
      <c r="P951">
        <v>1.06</v>
      </c>
      <c r="Q951">
        <v>1.67</v>
      </c>
      <c r="R951" s="97" t="s">
        <v>1197</v>
      </c>
      <c r="S951" s="97" t="s">
        <v>195</v>
      </c>
    </row>
    <row r="952" spans="1:19" x14ac:dyDescent="0.3">
      <c r="A952" s="97" t="s">
        <v>1165</v>
      </c>
      <c r="B952" s="97" t="s">
        <v>23</v>
      </c>
      <c r="C952">
        <v>2026</v>
      </c>
      <c r="D952">
        <v>2</v>
      </c>
      <c r="E952" s="2">
        <v>46072</v>
      </c>
      <c r="F952" s="97" t="s">
        <v>7</v>
      </c>
      <c r="G952" s="97" t="s">
        <v>8</v>
      </c>
      <c r="H952" s="97" t="s">
        <v>70</v>
      </c>
      <c r="I952" s="97" t="s">
        <v>71</v>
      </c>
      <c r="J952" s="97" t="s">
        <v>72</v>
      </c>
      <c r="K952" s="97" t="s">
        <v>73</v>
      </c>
      <c r="L952">
        <v>701000</v>
      </c>
      <c r="M952" s="97" t="s">
        <v>62</v>
      </c>
      <c r="N952" s="97" t="s">
        <v>33</v>
      </c>
      <c r="O952">
        <v>538</v>
      </c>
      <c r="P952">
        <v>1.06</v>
      </c>
      <c r="Q952">
        <v>0.56999999999999995</v>
      </c>
      <c r="R952" s="97" t="s">
        <v>1197</v>
      </c>
      <c r="S952" s="97" t="s">
        <v>195</v>
      </c>
    </row>
    <row r="953" spans="1:19" x14ac:dyDescent="0.3">
      <c r="A953" s="97" t="s">
        <v>1166</v>
      </c>
      <c r="B953" s="97" t="s">
        <v>23</v>
      </c>
      <c r="C953">
        <v>2026</v>
      </c>
      <c r="D953">
        <v>2</v>
      </c>
      <c r="E953" s="2">
        <v>46072</v>
      </c>
      <c r="F953" s="97" t="s">
        <v>7</v>
      </c>
      <c r="G953" s="97" t="s">
        <v>8</v>
      </c>
      <c r="H953" s="97" t="s">
        <v>70</v>
      </c>
      <c r="I953" s="97" t="s">
        <v>71</v>
      </c>
      <c r="J953" s="97" t="s">
        <v>72</v>
      </c>
      <c r="K953" s="97" t="s">
        <v>73</v>
      </c>
      <c r="L953">
        <v>701000</v>
      </c>
      <c r="M953" s="97" t="s">
        <v>62</v>
      </c>
      <c r="N953" s="97" t="s">
        <v>33</v>
      </c>
      <c r="O953">
        <v>8236</v>
      </c>
      <c r="P953">
        <v>1.05</v>
      </c>
      <c r="Q953">
        <v>8.65</v>
      </c>
      <c r="R953" s="97" t="s">
        <v>1201</v>
      </c>
      <c r="S953" s="97" t="s">
        <v>195</v>
      </c>
    </row>
    <row r="954" spans="1:19" x14ac:dyDescent="0.3">
      <c r="A954" s="97" t="s">
        <v>1167</v>
      </c>
      <c r="B954" s="97" t="s">
        <v>23</v>
      </c>
      <c r="C954">
        <v>2026</v>
      </c>
      <c r="D954">
        <v>2</v>
      </c>
      <c r="E954" s="2">
        <v>46072</v>
      </c>
      <c r="F954" s="97" t="s">
        <v>7</v>
      </c>
      <c r="G954" s="97" t="s">
        <v>8</v>
      </c>
      <c r="H954" s="97" t="s">
        <v>70</v>
      </c>
      <c r="I954" s="97" t="s">
        <v>71</v>
      </c>
      <c r="J954" s="97" t="s">
        <v>72</v>
      </c>
      <c r="K954" s="97" t="s">
        <v>73</v>
      </c>
      <c r="L954">
        <v>701000</v>
      </c>
      <c r="M954" s="97" t="s">
        <v>62</v>
      </c>
      <c r="N954" s="97" t="s">
        <v>33</v>
      </c>
      <c r="O954">
        <v>1599</v>
      </c>
      <c r="P954">
        <v>1.05</v>
      </c>
      <c r="Q954">
        <v>1.68</v>
      </c>
      <c r="R954" s="97" t="s">
        <v>1205</v>
      </c>
      <c r="S954" s="97" t="s">
        <v>195</v>
      </c>
    </row>
    <row r="955" spans="1:19" x14ac:dyDescent="0.3">
      <c r="A955" s="97" t="s">
        <v>1168</v>
      </c>
      <c r="B955" s="97" t="s">
        <v>23</v>
      </c>
      <c r="C955">
        <v>2026</v>
      </c>
      <c r="D955">
        <v>2</v>
      </c>
      <c r="E955" s="2">
        <v>46072</v>
      </c>
      <c r="F955" s="97" t="s">
        <v>7</v>
      </c>
      <c r="G955" s="97" t="s">
        <v>8</v>
      </c>
      <c r="H955" s="97" t="s">
        <v>70</v>
      </c>
      <c r="I955" s="97" t="s">
        <v>71</v>
      </c>
      <c r="J955" s="97" t="s">
        <v>72</v>
      </c>
      <c r="K955" s="97" t="s">
        <v>73</v>
      </c>
      <c r="L955">
        <v>701000</v>
      </c>
      <c r="M955" s="97" t="s">
        <v>62</v>
      </c>
      <c r="N955" s="97" t="s">
        <v>33</v>
      </c>
      <c r="O955">
        <v>4208</v>
      </c>
      <c r="P955">
        <v>1.05</v>
      </c>
      <c r="Q955">
        <v>4.42</v>
      </c>
      <c r="R955" s="97" t="s">
        <v>1203</v>
      </c>
      <c r="S955" s="97" t="s">
        <v>195</v>
      </c>
    </row>
    <row r="956" spans="1:19" x14ac:dyDescent="0.3">
      <c r="A956" s="97" t="s">
        <v>1169</v>
      </c>
      <c r="B956" s="97" t="s">
        <v>23</v>
      </c>
      <c r="C956">
        <v>2026</v>
      </c>
      <c r="D956">
        <v>2</v>
      </c>
      <c r="E956" s="2">
        <v>46072</v>
      </c>
      <c r="F956" s="97" t="s">
        <v>7</v>
      </c>
      <c r="G956" s="97" t="s">
        <v>8</v>
      </c>
      <c r="H956" s="97" t="s">
        <v>70</v>
      </c>
      <c r="I956" s="97" t="s">
        <v>71</v>
      </c>
      <c r="J956" s="97" t="s">
        <v>72</v>
      </c>
      <c r="K956" s="97" t="s">
        <v>73</v>
      </c>
      <c r="L956">
        <v>701000</v>
      </c>
      <c r="M956" s="97" t="s">
        <v>62</v>
      </c>
      <c r="N956" s="97" t="s">
        <v>33</v>
      </c>
      <c r="O956">
        <v>5697</v>
      </c>
      <c r="P956">
        <v>1.05</v>
      </c>
      <c r="Q956">
        <v>5.97</v>
      </c>
      <c r="R956" s="97" t="s">
        <v>1199</v>
      </c>
      <c r="S956" s="97" t="s">
        <v>195</v>
      </c>
    </row>
    <row r="957" spans="1:19" x14ac:dyDescent="0.3">
      <c r="A957" s="97" t="s">
        <v>1020</v>
      </c>
      <c r="B957" s="97" t="s">
        <v>23</v>
      </c>
      <c r="C957">
        <v>2026</v>
      </c>
      <c r="D957">
        <v>2</v>
      </c>
      <c r="E957" s="2">
        <v>46073</v>
      </c>
      <c r="F957" s="97" t="s">
        <v>7</v>
      </c>
      <c r="G957" s="97" t="s">
        <v>8</v>
      </c>
      <c r="H957" s="97" t="s">
        <v>74</v>
      </c>
      <c r="I957" s="97" t="s">
        <v>84</v>
      </c>
      <c r="J957" s="97" t="s">
        <v>85</v>
      </c>
      <c r="K957" s="97" t="s">
        <v>73</v>
      </c>
      <c r="L957">
        <v>701000</v>
      </c>
      <c r="M957" s="97" t="s">
        <v>62</v>
      </c>
      <c r="N957" s="97" t="s">
        <v>33</v>
      </c>
      <c r="O957">
        <v>3573</v>
      </c>
      <c r="P957">
        <v>0.95</v>
      </c>
      <c r="Q957">
        <v>3.4</v>
      </c>
      <c r="R957" s="97" t="s">
        <v>1203</v>
      </c>
      <c r="S957" s="97" t="s">
        <v>195</v>
      </c>
    </row>
    <row r="958" spans="1:19" x14ac:dyDescent="0.3">
      <c r="A958" s="97" t="s">
        <v>1021</v>
      </c>
      <c r="B958" s="97" t="s">
        <v>23</v>
      </c>
      <c r="C958">
        <v>2026</v>
      </c>
      <c r="D958">
        <v>2</v>
      </c>
      <c r="E958" s="2">
        <v>46073</v>
      </c>
      <c r="F958" s="97" t="s">
        <v>7</v>
      </c>
      <c r="G958" s="97" t="s">
        <v>8</v>
      </c>
      <c r="H958" s="97" t="s">
        <v>74</v>
      </c>
      <c r="I958" s="97" t="s">
        <v>84</v>
      </c>
      <c r="J958" s="97" t="s">
        <v>85</v>
      </c>
      <c r="K958" s="97" t="s">
        <v>73</v>
      </c>
      <c r="L958">
        <v>701000</v>
      </c>
      <c r="M958" s="97" t="s">
        <v>62</v>
      </c>
      <c r="N958" s="97" t="s">
        <v>33</v>
      </c>
      <c r="O958">
        <v>3205</v>
      </c>
      <c r="P958">
        <v>0.95</v>
      </c>
      <c r="Q958">
        <v>3.04</v>
      </c>
      <c r="R958" s="97" t="s">
        <v>1205</v>
      </c>
      <c r="S958" s="97" t="s">
        <v>195</v>
      </c>
    </row>
    <row r="959" spans="1:19" x14ac:dyDescent="0.3">
      <c r="A959" s="97" t="s">
        <v>1022</v>
      </c>
      <c r="B959" s="97" t="s">
        <v>23</v>
      </c>
      <c r="C959">
        <v>2026</v>
      </c>
      <c r="D959">
        <v>2</v>
      </c>
      <c r="E959" s="2">
        <v>46073</v>
      </c>
      <c r="F959" s="97" t="s">
        <v>7</v>
      </c>
      <c r="G959" s="97" t="s">
        <v>8</v>
      </c>
      <c r="H959" s="97" t="s">
        <v>74</v>
      </c>
      <c r="I959" s="97" t="s">
        <v>84</v>
      </c>
      <c r="J959" s="97" t="s">
        <v>85</v>
      </c>
      <c r="K959" s="97" t="s">
        <v>73</v>
      </c>
      <c r="L959">
        <v>701000</v>
      </c>
      <c r="M959" s="97" t="s">
        <v>62</v>
      </c>
      <c r="N959" s="97" t="s">
        <v>33</v>
      </c>
      <c r="O959">
        <v>4059</v>
      </c>
      <c r="P959">
        <v>0.95</v>
      </c>
      <c r="Q959">
        <v>3.86</v>
      </c>
      <c r="R959" s="97" t="s">
        <v>1199</v>
      </c>
      <c r="S959" s="97" t="s">
        <v>195</v>
      </c>
    </row>
    <row r="960" spans="1:19" x14ac:dyDescent="0.3">
      <c r="A960" s="97" t="s">
        <v>1023</v>
      </c>
      <c r="B960" s="97" t="s">
        <v>23</v>
      </c>
      <c r="C960">
        <v>2026</v>
      </c>
      <c r="D960">
        <v>2</v>
      </c>
      <c r="E960" s="2">
        <v>46073</v>
      </c>
      <c r="F960" s="97" t="s">
        <v>7</v>
      </c>
      <c r="G960" s="97" t="s">
        <v>8</v>
      </c>
      <c r="H960" s="97" t="s">
        <v>74</v>
      </c>
      <c r="I960" s="97" t="s">
        <v>84</v>
      </c>
      <c r="J960" s="97" t="s">
        <v>85</v>
      </c>
      <c r="K960" s="97" t="s">
        <v>73</v>
      </c>
      <c r="L960">
        <v>701000</v>
      </c>
      <c r="M960" s="97" t="s">
        <v>62</v>
      </c>
      <c r="N960" s="97" t="s">
        <v>33</v>
      </c>
      <c r="O960">
        <v>5877</v>
      </c>
      <c r="P960">
        <v>0.95</v>
      </c>
      <c r="Q960">
        <v>5.58</v>
      </c>
      <c r="R960" s="97" t="s">
        <v>1198</v>
      </c>
      <c r="S960" s="97" t="s">
        <v>195</v>
      </c>
    </row>
    <row r="961" spans="1:19" x14ac:dyDescent="0.3">
      <c r="A961" s="97" t="s">
        <v>1024</v>
      </c>
      <c r="B961" s="97" t="s">
        <v>23</v>
      </c>
      <c r="C961">
        <v>2026</v>
      </c>
      <c r="D961">
        <v>2</v>
      </c>
      <c r="E961" s="2">
        <v>46073</v>
      </c>
      <c r="F961" s="97" t="s">
        <v>7</v>
      </c>
      <c r="G961" s="97" t="s">
        <v>8</v>
      </c>
      <c r="H961" s="97" t="s">
        <v>74</v>
      </c>
      <c r="I961" s="97" t="s">
        <v>84</v>
      </c>
      <c r="J961" s="97" t="s">
        <v>85</v>
      </c>
      <c r="K961" s="97" t="s">
        <v>73</v>
      </c>
      <c r="L961">
        <v>701000</v>
      </c>
      <c r="M961" s="97" t="s">
        <v>62</v>
      </c>
      <c r="N961" s="97" t="s">
        <v>33</v>
      </c>
      <c r="O961">
        <v>2367</v>
      </c>
      <c r="P961">
        <v>0.95</v>
      </c>
      <c r="Q961">
        <v>2.25</v>
      </c>
      <c r="R961" s="97" t="s">
        <v>1202</v>
      </c>
      <c r="S961" s="97" t="s">
        <v>195</v>
      </c>
    </row>
    <row r="962" spans="1:19" x14ac:dyDescent="0.3">
      <c r="A962" s="97" t="s">
        <v>1080</v>
      </c>
      <c r="B962" s="97" t="s">
        <v>23</v>
      </c>
      <c r="C962">
        <v>2026</v>
      </c>
      <c r="D962">
        <v>2</v>
      </c>
      <c r="E962" s="2">
        <v>46073</v>
      </c>
      <c r="F962" s="97" t="s">
        <v>7</v>
      </c>
      <c r="G962" s="97" t="s">
        <v>8</v>
      </c>
      <c r="H962" s="97" t="s">
        <v>70</v>
      </c>
      <c r="I962" s="97" t="s">
        <v>84</v>
      </c>
      <c r="J962" s="97" t="s">
        <v>85</v>
      </c>
      <c r="K962" s="97" t="s">
        <v>73</v>
      </c>
      <c r="L962">
        <v>706000</v>
      </c>
      <c r="M962" s="97" t="s">
        <v>63</v>
      </c>
      <c r="N962" s="97" t="s">
        <v>33</v>
      </c>
      <c r="O962">
        <v>1389</v>
      </c>
      <c r="P962">
        <v>0.95</v>
      </c>
      <c r="Q962">
        <v>1.32</v>
      </c>
      <c r="R962" s="97" t="s">
        <v>1201</v>
      </c>
      <c r="S962" s="97" t="s">
        <v>195</v>
      </c>
    </row>
    <row r="963" spans="1:19" x14ac:dyDescent="0.3">
      <c r="A963" s="97" t="s">
        <v>1081</v>
      </c>
      <c r="B963" s="97" t="s">
        <v>23</v>
      </c>
      <c r="C963">
        <v>2026</v>
      </c>
      <c r="D963">
        <v>2</v>
      </c>
      <c r="E963" s="2">
        <v>46073</v>
      </c>
      <c r="F963" s="97" t="s">
        <v>7</v>
      </c>
      <c r="G963" s="97" t="s">
        <v>8</v>
      </c>
      <c r="H963" s="97" t="s">
        <v>70</v>
      </c>
      <c r="I963" s="97" t="s">
        <v>84</v>
      </c>
      <c r="J963" s="97" t="s">
        <v>85</v>
      </c>
      <c r="K963" s="97" t="s">
        <v>73</v>
      </c>
      <c r="L963">
        <v>706000</v>
      </c>
      <c r="M963" s="97" t="s">
        <v>63</v>
      </c>
      <c r="N963" s="97" t="s">
        <v>33</v>
      </c>
      <c r="O963">
        <v>9185</v>
      </c>
      <c r="P963">
        <v>0.95</v>
      </c>
      <c r="Q963">
        <v>8.73</v>
      </c>
      <c r="R963" s="97" t="s">
        <v>1205</v>
      </c>
      <c r="S963" s="97" t="s">
        <v>195</v>
      </c>
    </row>
    <row r="964" spans="1:19" x14ac:dyDescent="0.3">
      <c r="A964" s="97" t="s">
        <v>1082</v>
      </c>
      <c r="B964" s="97" t="s">
        <v>23</v>
      </c>
      <c r="C964">
        <v>2026</v>
      </c>
      <c r="D964">
        <v>2</v>
      </c>
      <c r="E964" s="2">
        <v>46073</v>
      </c>
      <c r="F964" s="97" t="s">
        <v>7</v>
      </c>
      <c r="G964" s="97" t="s">
        <v>8</v>
      </c>
      <c r="H964" s="97" t="s">
        <v>70</v>
      </c>
      <c r="I964" s="97" t="s">
        <v>84</v>
      </c>
      <c r="J964" s="97" t="s">
        <v>85</v>
      </c>
      <c r="K964" s="97" t="s">
        <v>73</v>
      </c>
      <c r="L964">
        <v>706000</v>
      </c>
      <c r="M964" s="97" t="s">
        <v>63</v>
      </c>
      <c r="N964" s="97" t="s">
        <v>33</v>
      </c>
      <c r="O964">
        <v>3297</v>
      </c>
      <c r="P964">
        <v>0.95</v>
      </c>
      <c r="Q964">
        <v>3.13</v>
      </c>
      <c r="R964" s="97" t="s">
        <v>1202</v>
      </c>
      <c r="S964" s="97" t="s">
        <v>195</v>
      </c>
    </row>
    <row r="965" spans="1:19" x14ac:dyDescent="0.3">
      <c r="A965" s="97" t="s">
        <v>1083</v>
      </c>
      <c r="B965" s="97" t="s">
        <v>23</v>
      </c>
      <c r="C965">
        <v>2026</v>
      </c>
      <c r="D965">
        <v>2</v>
      </c>
      <c r="E965" s="2">
        <v>46073</v>
      </c>
      <c r="F965" s="97" t="s">
        <v>7</v>
      </c>
      <c r="G965" s="97" t="s">
        <v>8</v>
      </c>
      <c r="H965" s="97" t="s">
        <v>70</v>
      </c>
      <c r="I965" s="97" t="s">
        <v>84</v>
      </c>
      <c r="J965" s="97" t="s">
        <v>85</v>
      </c>
      <c r="K965" s="97" t="s">
        <v>73</v>
      </c>
      <c r="L965">
        <v>706000</v>
      </c>
      <c r="M965" s="97" t="s">
        <v>63</v>
      </c>
      <c r="N965" s="97" t="s">
        <v>33</v>
      </c>
      <c r="O965">
        <v>3496</v>
      </c>
      <c r="P965">
        <v>0.95</v>
      </c>
      <c r="Q965">
        <v>3.32</v>
      </c>
      <c r="R965" s="97" t="s">
        <v>1197</v>
      </c>
      <c r="S965" s="97" t="s">
        <v>195</v>
      </c>
    </row>
    <row r="966" spans="1:19" x14ac:dyDescent="0.3">
      <c r="A966" s="97" t="s">
        <v>1084</v>
      </c>
      <c r="B966" s="97" t="s">
        <v>23</v>
      </c>
      <c r="C966">
        <v>2026</v>
      </c>
      <c r="D966">
        <v>2</v>
      </c>
      <c r="E966" s="2">
        <v>46073</v>
      </c>
      <c r="F966" s="97" t="s">
        <v>7</v>
      </c>
      <c r="G966" s="97" t="s">
        <v>8</v>
      </c>
      <c r="H966" s="97" t="s">
        <v>70</v>
      </c>
      <c r="I966" s="97" t="s">
        <v>84</v>
      </c>
      <c r="J966" s="97" t="s">
        <v>85</v>
      </c>
      <c r="K966" s="97" t="s">
        <v>73</v>
      </c>
      <c r="L966">
        <v>706000</v>
      </c>
      <c r="M966" s="97" t="s">
        <v>63</v>
      </c>
      <c r="N966" s="97" t="s">
        <v>33</v>
      </c>
      <c r="O966">
        <v>4441</v>
      </c>
      <c r="P966">
        <v>0.95</v>
      </c>
      <c r="Q966">
        <v>4.22</v>
      </c>
      <c r="R966" s="97" t="s">
        <v>1199</v>
      </c>
      <c r="S966" s="97" t="s">
        <v>195</v>
      </c>
    </row>
    <row r="967" spans="1:19" x14ac:dyDescent="0.3">
      <c r="A967" s="97" t="s">
        <v>1085</v>
      </c>
      <c r="B967" s="97" t="s">
        <v>23</v>
      </c>
      <c r="C967">
        <v>2026</v>
      </c>
      <c r="D967">
        <v>2</v>
      </c>
      <c r="E967" s="2">
        <v>46074</v>
      </c>
      <c r="F967" s="97" t="s">
        <v>7</v>
      </c>
      <c r="G967" s="97" t="s">
        <v>8</v>
      </c>
      <c r="H967" s="97" t="s">
        <v>74</v>
      </c>
      <c r="I967" s="97" t="s">
        <v>84</v>
      </c>
      <c r="J967" s="97" t="s">
        <v>85</v>
      </c>
      <c r="K967" s="97" t="s">
        <v>73</v>
      </c>
      <c r="L967">
        <v>701000</v>
      </c>
      <c r="M967" s="97" t="s">
        <v>62</v>
      </c>
      <c r="N967" s="97" t="s">
        <v>33</v>
      </c>
      <c r="O967">
        <v>3131</v>
      </c>
      <c r="P967">
        <v>0.95</v>
      </c>
      <c r="Q967">
        <v>2.97</v>
      </c>
      <c r="R967" s="97" t="s">
        <v>1203</v>
      </c>
      <c r="S967" s="97" t="s">
        <v>195</v>
      </c>
    </row>
    <row r="968" spans="1:19" x14ac:dyDescent="0.3">
      <c r="A968" s="97" t="s">
        <v>1086</v>
      </c>
      <c r="B968" s="97" t="s">
        <v>23</v>
      </c>
      <c r="C968">
        <v>2026</v>
      </c>
      <c r="D968">
        <v>2</v>
      </c>
      <c r="E968" s="2">
        <v>46074</v>
      </c>
      <c r="F968" s="97" t="s">
        <v>7</v>
      </c>
      <c r="G968" s="97" t="s">
        <v>8</v>
      </c>
      <c r="H968" s="97" t="s">
        <v>74</v>
      </c>
      <c r="I968" s="97" t="s">
        <v>84</v>
      </c>
      <c r="J968" s="97" t="s">
        <v>85</v>
      </c>
      <c r="K968" s="97" t="s">
        <v>73</v>
      </c>
      <c r="L968">
        <v>701000</v>
      </c>
      <c r="M968" s="97" t="s">
        <v>62</v>
      </c>
      <c r="N968" s="97" t="s">
        <v>33</v>
      </c>
      <c r="O968">
        <v>2643</v>
      </c>
      <c r="P968">
        <v>0.95</v>
      </c>
      <c r="Q968">
        <v>2.5099999999999998</v>
      </c>
      <c r="R968" s="97" t="s">
        <v>1200</v>
      </c>
      <c r="S968" s="97" t="s">
        <v>195</v>
      </c>
    </row>
    <row r="969" spans="1:19" x14ac:dyDescent="0.3">
      <c r="A969" s="97" t="s">
        <v>1087</v>
      </c>
      <c r="B969" s="97" t="s">
        <v>23</v>
      </c>
      <c r="C969">
        <v>2026</v>
      </c>
      <c r="D969">
        <v>2</v>
      </c>
      <c r="E969" s="2">
        <v>46074</v>
      </c>
      <c r="F969" s="97" t="s">
        <v>7</v>
      </c>
      <c r="G969" s="97" t="s">
        <v>8</v>
      </c>
      <c r="H969" s="97" t="s">
        <v>74</v>
      </c>
      <c r="I969" s="97" t="s">
        <v>84</v>
      </c>
      <c r="J969" s="97" t="s">
        <v>85</v>
      </c>
      <c r="K969" s="97" t="s">
        <v>73</v>
      </c>
      <c r="L969">
        <v>701000</v>
      </c>
      <c r="M969" s="97" t="s">
        <v>62</v>
      </c>
      <c r="N969" s="97" t="s">
        <v>33</v>
      </c>
      <c r="O969">
        <v>7136</v>
      </c>
      <c r="P969">
        <v>0.95</v>
      </c>
      <c r="Q969">
        <v>6.78</v>
      </c>
      <c r="R969" s="97" t="s">
        <v>1201</v>
      </c>
      <c r="S969" s="97" t="s">
        <v>195</v>
      </c>
    </row>
    <row r="970" spans="1:19" x14ac:dyDescent="0.3">
      <c r="A970" s="97" t="s">
        <v>1088</v>
      </c>
      <c r="B970" s="97" t="s">
        <v>23</v>
      </c>
      <c r="C970">
        <v>2026</v>
      </c>
      <c r="D970">
        <v>2</v>
      </c>
      <c r="E970" s="2">
        <v>46074</v>
      </c>
      <c r="F970" s="97" t="s">
        <v>7</v>
      </c>
      <c r="G970" s="97" t="s">
        <v>8</v>
      </c>
      <c r="H970" s="97" t="s">
        <v>74</v>
      </c>
      <c r="I970" s="97" t="s">
        <v>84</v>
      </c>
      <c r="J970" s="97" t="s">
        <v>85</v>
      </c>
      <c r="K970" s="97" t="s">
        <v>73</v>
      </c>
      <c r="L970">
        <v>701000</v>
      </c>
      <c r="M970" s="97" t="s">
        <v>62</v>
      </c>
      <c r="N970" s="97" t="s">
        <v>33</v>
      </c>
      <c r="O970">
        <v>4903</v>
      </c>
      <c r="P970">
        <v>0.95</v>
      </c>
      <c r="Q970">
        <v>4.66</v>
      </c>
      <c r="R970" s="97" t="s">
        <v>1202</v>
      </c>
      <c r="S970" s="97" t="s">
        <v>195</v>
      </c>
    </row>
    <row r="971" spans="1:19" x14ac:dyDescent="0.3">
      <c r="A971" s="97" t="s">
        <v>1089</v>
      </c>
      <c r="B971" s="97" t="s">
        <v>23</v>
      </c>
      <c r="C971">
        <v>2026</v>
      </c>
      <c r="D971">
        <v>2</v>
      </c>
      <c r="E971" s="2">
        <v>46074</v>
      </c>
      <c r="F971" s="97" t="s">
        <v>7</v>
      </c>
      <c r="G971" s="97" t="s">
        <v>8</v>
      </c>
      <c r="H971" s="97" t="s">
        <v>74</v>
      </c>
      <c r="I971" s="97" t="s">
        <v>84</v>
      </c>
      <c r="J971" s="97" t="s">
        <v>85</v>
      </c>
      <c r="K971" s="97" t="s">
        <v>73</v>
      </c>
      <c r="L971">
        <v>701000</v>
      </c>
      <c r="M971" s="97" t="s">
        <v>62</v>
      </c>
      <c r="N971" s="97" t="s">
        <v>33</v>
      </c>
      <c r="O971">
        <v>3139</v>
      </c>
      <c r="P971">
        <v>0.95</v>
      </c>
      <c r="Q971">
        <v>2.98</v>
      </c>
      <c r="R971" s="97" t="s">
        <v>1204</v>
      </c>
      <c r="S971" s="97" t="s">
        <v>195</v>
      </c>
    </row>
    <row r="972" spans="1:19" x14ac:dyDescent="0.3">
      <c r="A972" s="97" t="s">
        <v>1015</v>
      </c>
      <c r="B972" s="97" t="s">
        <v>23</v>
      </c>
      <c r="C972">
        <v>2026</v>
      </c>
      <c r="D972">
        <v>2</v>
      </c>
      <c r="E972" s="2">
        <v>46076</v>
      </c>
      <c r="F972" s="97" t="s">
        <v>7</v>
      </c>
      <c r="G972" s="97" t="s">
        <v>8</v>
      </c>
      <c r="H972" s="97" t="s">
        <v>70</v>
      </c>
      <c r="I972" s="97" t="s">
        <v>84</v>
      </c>
      <c r="J972" s="97" t="s">
        <v>85</v>
      </c>
      <c r="K972" s="97" t="s">
        <v>73</v>
      </c>
      <c r="L972">
        <v>701000</v>
      </c>
      <c r="M972" s="97" t="s">
        <v>62</v>
      </c>
      <c r="N972" s="97" t="s">
        <v>33</v>
      </c>
      <c r="O972">
        <v>2312</v>
      </c>
      <c r="P972">
        <v>0.95</v>
      </c>
      <c r="Q972">
        <v>2.2000000000000002</v>
      </c>
      <c r="R972" s="97" t="s">
        <v>1200</v>
      </c>
      <c r="S972" s="97" t="s">
        <v>195</v>
      </c>
    </row>
    <row r="973" spans="1:19" x14ac:dyDescent="0.3">
      <c r="A973" s="97" t="s">
        <v>1016</v>
      </c>
      <c r="B973" s="97" t="s">
        <v>23</v>
      </c>
      <c r="C973">
        <v>2026</v>
      </c>
      <c r="D973">
        <v>2</v>
      </c>
      <c r="E973" s="2">
        <v>46076</v>
      </c>
      <c r="F973" s="97" t="s">
        <v>7</v>
      </c>
      <c r="G973" s="97" t="s">
        <v>8</v>
      </c>
      <c r="H973" s="97" t="s">
        <v>70</v>
      </c>
      <c r="I973" s="97" t="s">
        <v>84</v>
      </c>
      <c r="J973" s="97" t="s">
        <v>85</v>
      </c>
      <c r="K973" s="97" t="s">
        <v>73</v>
      </c>
      <c r="L973">
        <v>701000</v>
      </c>
      <c r="M973" s="97" t="s">
        <v>62</v>
      </c>
      <c r="N973" s="97" t="s">
        <v>33</v>
      </c>
      <c r="O973">
        <v>1490</v>
      </c>
      <c r="P973">
        <v>0.95</v>
      </c>
      <c r="Q973">
        <v>1.42</v>
      </c>
      <c r="R973" s="97" t="s">
        <v>1197</v>
      </c>
      <c r="S973" s="97" t="s">
        <v>195</v>
      </c>
    </row>
    <row r="974" spans="1:19" x14ac:dyDescent="0.3">
      <c r="A974" s="97" t="s">
        <v>1017</v>
      </c>
      <c r="B974" s="97" t="s">
        <v>23</v>
      </c>
      <c r="C974">
        <v>2026</v>
      </c>
      <c r="D974">
        <v>2</v>
      </c>
      <c r="E974" s="2">
        <v>46076</v>
      </c>
      <c r="F974" s="97" t="s">
        <v>7</v>
      </c>
      <c r="G974" s="97" t="s">
        <v>8</v>
      </c>
      <c r="H974" s="97" t="s">
        <v>70</v>
      </c>
      <c r="I974" s="97" t="s">
        <v>84</v>
      </c>
      <c r="J974" s="97" t="s">
        <v>85</v>
      </c>
      <c r="K974" s="97" t="s">
        <v>73</v>
      </c>
      <c r="L974">
        <v>701000</v>
      </c>
      <c r="M974" s="97" t="s">
        <v>62</v>
      </c>
      <c r="N974" s="97" t="s">
        <v>33</v>
      </c>
      <c r="O974">
        <v>2083</v>
      </c>
      <c r="P974">
        <v>0.95</v>
      </c>
      <c r="Q974">
        <v>1.98</v>
      </c>
      <c r="R974" s="97" t="s">
        <v>1202</v>
      </c>
      <c r="S974" s="97" t="s">
        <v>195</v>
      </c>
    </row>
    <row r="975" spans="1:19" x14ac:dyDescent="0.3">
      <c r="A975" s="97" t="s">
        <v>1018</v>
      </c>
      <c r="B975" s="97" t="s">
        <v>23</v>
      </c>
      <c r="C975">
        <v>2026</v>
      </c>
      <c r="D975">
        <v>2</v>
      </c>
      <c r="E975" s="2">
        <v>46076</v>
      </c>
      <c r="F975" s="97" t="s">
        <v>7</v>
      </c>
      <c r="G975" s="97" t="s">
        <v>8</v>
      </c>
      <c r="H975" s="97" t="s">
        <v>70</v>
      </c>
      <c r="I975" s="97" t="s">
        <v>84</v>
      </c>
      <c r="J975" s="97" t="s">
        <v>85</v>
      </c>
      <c r="K975" s="97" t="s">
        <v>73</v>
      </c>
      <c r="L975">
        <v>701000</v>
      </c>
      <c r="M975" s="97" t="s">
        <v>62</v>
      </c>
      <c r="N975" s="97" t="s">
        <v>33</v>
      </c>
      <c r="O975">
        <v>3672</v>
      </c>
      <c r="P975">
        <v>0.95</v>
      </c>
      <c r="Q975">
        <v>3.49</v>
      </c>
      <c r="R975" s="97" t="s">
        <v>1204</v>
      </c>
      <c r="S975" s="97" t="s">
        <v>195</v>
      </c>
    </row>
    <row r="976" spans="1:19" x14ac:dyDescent="0.3">
      <c r="A976" s="97" t="s">
        <v>1019</v>
      </c>
      <c r="B976" s="97" t="s">
        <v>23</v>
      </c>
      <c r="C976">
        <v>2026</v>
      </c>
      <c r="D976">
        <v>2</v>
      </c>
      <c r="E976" s="2">
        <v>46076</v>
      </c>
      <c r="F976" s="97" t="s">
        <v>7</v>
      </c>
      <c r="G976" s="97" t="s">
        <v>8</v>
      </c>
      <c r="H976" s="97" t="s">
        <v>70</v>
      </c>
      <c r="I976" s="97" t="s">
        <v>84</v>
      </c>
      <c r="J976" s="97" t="s">
        <v>85</v>
      </c>
      <c r="K976" s="97" t="s">
        <v>73</v>
      </c>
      <c r="L976">
        <v>701000</v>
      </c>
      <c r="M976" s="97" t="s">
        <v>62</v>
      </c>
      <c r="N976" s="97" t="s">
        <v>33</v>
      </c>
      <c r="O976">
        <v>11989</v>
      </c>
      <c r="P976">
        <v>0.95</v>
      </c>
      <c r="Q976">
        <v>11.38</v>
      </c>
      <c r="R976" s="97" t="s">
        <v>1205</v>
      </c>
      <c r="S976" s="97" t="s">
        <v>195</v>
      </c>
    </row>
    <row r="977" spans="1:19" x14ac:dyDescent="0.3">
      <c r="A977" s="97" t="s">
        <v>1120</v>
      </c>
      <c r="B977" s="97" t="s">
        <v>23</v>
      </c>
      <c r="C977">
        <v>2026</v>
      </c>
      <c r="D977">
        <v>2</v>
      </c>
      <c r="E977" s="2">
        <v>46078</v>
      </c>
      <c r="F977" s="97" t="s">
        <v>7</v>
      </c>
      <c r="G977" s="97" t="s">
        <v>8</v>
      </c>
      <c r="H977" s="97" t="s">
        <v>74</v>
      </c>
      <c r="I977" s="97" t="s">
        <v>84</v>
      </c>
      <c r="J977" s="97" t="s">
        <v>85</v>
      </c>
      <c r="K977" s="97" t="s">
        <v>73</v>
      </c>
      <c r="L977">
        <v>701000</v>
      </c>
      <c r="M977" s="97" t="s">
        <v>62</v>
      </c>
      <c r="N977" s="97" t="s">
        <v>33</v>
      </c>
      <c r="O977">
        <v>3160</v>
      </c>
      <c r="P977">
        <v>0.95</v>
      </c>
      <c r="Q977">
        <v>3</v>
      </c>
      <c r="R977" s="97" t="s">
        <v>1200</v>
      </c>
      <c r="S977" s="97" t="s">
        <v>195</v>
      </c>
    </row>
    <row r="978" spans="1:19" x14ac:dyDescent="0.3">
      <c r="A978" s="97" t="s">
        <v>1121</v>
      </c>
      <c r="B978" s="97" t="s">
        <v>23</v>
      </c>
      <c r="C978">
        <v>2026</v>
      </c>
      <c r="D978">
        <v>2</v>
      </c>
      <c r="E978" s="2">
        <v>46078</v>
      </c>
      <c r="F978" s="97" t="s">
        <v>7</v>
      </c>
      <c r="G978" s="97" t="s">
        <v>8</v>
      </c>
      <c r="H978" s="97" t="s">
        <v>74</v>
      </c>
      <c r="I978" s="97" t="s">
        <v>84</v>
      </c>
      <c r="J978" s="97" t="s">
        <v>85</v>
      </c>
      <c r="K978" s="97" t="s">
        <v>73</v>
      </c>
      <c r="L978">
        <v>701000</v>
      </c>
      <c r="M978" s="97" t="s">
        <v>62</v>
      </c>
      <c r="N978" s="97" t="s">
        <v>33</v>
      </c>
      <c r="O978">
        <v>3278</v>
      </c>
      <c r="P978">
        <v>0.95</v>
      </c>
      <c r="Q978">
        <v>3.11</v>
      </c>
      <c r="R978" s="97" t="s">
        <v>1198</v>
      </c>
      <c r="S978" s="97" t="s">
        <v>195</v>
      </c>
    </row>
    <row r="979" spans="1:19" x14ac:dyDescent="0.3">
      <c r="A979" s="97" t="s">
        <v>1122</v>
      </c>
      <c r="B979" s="97" t="s">
        <v>23</v>
      </c>
      <c r="C979">
        <v>2026</v>
      </c>
      <c r="D979">
        <v>2</v>
      </c>
      <c r="E979" s="2">
        <v>46078</v>
      </c>
      <c r="F979" s="97" t="s">
        <v>7</v>
      </c>
      <c r="G979" s="97" t="s">
        <v>8</v>
      </c>
      <c r="H979" s="97" t="s">
        <v>74</v>
      </c>
      <c r="I979" s="97" t="s">
        <v>84</v>
      </c>
      <c r="J979" s="97" t="s">
        <v>85</v>
      </c>
      <c r="K979" s="97" t="s">
        <v>73</v>
      </c>
      <c r="L979">
        <v>701000</v>
      </c>
      <c r="M979" s="97" t="s">
        <v>62</v>
      </c>
      <c r="N979" s="97" t="s">
        <v>33</v>
      </c>
      <c r="O979">
        <v>4125</v>
      </c>
      <c r="P979">
        <v>0.95</v>
      </c>
      <c r="Q979">
        <v>3.92</v>
      </c>
      <c r="R979" s="97" t="s">
        <v>1204</v>
      </c>
      <c r="S979" s="97" t="s">
        <v>195</v>
      </c>
    </row>
    <row r="980" spans="1:19" x14ac:dyDescent="0.3">
      <c r="A980" s="97" t="s">
        <v>1123</v>
      </c>
      <c r="B980" s="97" t="s">
        <v>23</v>
      </c>
      <c r="C980">
        <v>2026</v>
      </c>
      <c r="D980">
        <v>2</v>
      </c>
      <c r="E980" s="2">
        <v>46078</v>
      </c>
      <c r="F980" s="97" t="s">
        <v>7</v>
      </c>
      <c r="G980" s="97" t="s">
        <v>8</v>
      </c>
      <c r="H980" s="97" t="s">
        <v>74</v>
      </c>
      <c r="I980" s="97" t="s">
        <v>84</v>
      </c>
      <c r="J980" s="97" t="s">
        <v>85</v>
      </c>
      <c r="K980" s="97" t="s">
        <v>73</v>
      </c>
      <c r="L980">
        <v>701000</v>
      </c>
      <c r="M980" s="97" t="s">
        <v>62</v>
      </c>
      <c r="N980" s="97" t="s">
        <v>33</v>
      </c>
      <c r="O980">
        <v>3686</v>
      </c>
      <c r="P980">
        <v>0.95</v>
      </c>
      <c r="Q980">
        <v>3.5</v>
      </c>
      <c r="R980" s="97" t="s">
        <v>1202</v>
      </c>
      <c r="S980" s="97" t="s">
        <v>195</v>
      </c>
    </row>
    <row r="981" spans="1:19" x14ac:dyDescent="0.3">
      <c r="A981" s="97" t="s">
        <v>1124</v>
      </c>
      <c r="B981" s="97" t="s">
        <v>23</v>
      </c>
      <c r="C981">
        <v>2026</v>
      </c>
      <c r="D981">
        <v>2</v>
      </c>
      <c r="E981" s="2">
        <v>46078</v>
      </c>
      <c r="F981" s="97" t="s">
        <v>7</v>
      </c>
      <c r="G981" s="97" t="s">
        <v>8</v>
      </c>
      <c r="H981" s="97" t="s">
        <v>74</v>
      </c>
      <c r="I981" s="97" t="s">
        <v>84</v>
      </c>
      <c r="J981" s="97" t="s">
        <v>85</v>
      </c>
      <c r="K981" s="97" t="s">
        <v>73</v>
      </c>
      <c r="L981">
        <v>701000</v>
      </c>
      <c r="M981" s="97" t="s">
        <v>62</v>
      </c>
      <c r="N981" s="97" t="s">
        <v>33</v>
      </c>
      <c r="O981">
        <v>2270</v>
      </c>
      <c r="P981">
        <v>0.95</v>
      </c>
      <c r="Q981">
        <v>2.16</v>
      </c>
      <c r="R981" s="97" t="s">
        <v>1201</v>
      </c>
      <c r="S981" s="97" t="s">
        <v>195</v>
      </c>
    </row>
    <row r="982" spans="1:19" x14ac:dyDescent="0.3">
      <c r="A982" s="97" t="s">
        <v>1170</v>
      </c>
      <c r="B982" s="97" t="s">
        <v>23</v>
      </c>
      <c r="C982">
        <v>2026</v>
      </c>
      <c r="D982">
        <v>2</v>
      </c>
      <c r="E982" s="2">
        <v>46078</v>
      </c>
      <c r="F982" s="97" t="s">
        <v>7</v>
      </c>
      <c r="G982" s="97" t="s">
        <v>8</v>
      </c>
      <c r="H982" s="97" t="s">
        <v>70</v>
      </c>
      <c r="I982" s="97" t="s">
        <v>71</v>
      </c>
      <c r="J982" s="97" t="s">
        <v>72</v>
      </c>
      <c r="K982" s="97" t="s">
        <v>73</v>
      </c>
      <c r="L982">
        <v>701000</v>
      </c>
      <c r="M982" s="97" t="s">
        <v>62</v>
      </c>
      <c r="N982" s="97" t="s">
        <v>33</v>
      </c>
      <c r="O982">
        <v>5773</v>
      </c>
      <c r="P982">
        <v>1.05</v>
      </c>
      <c r="Q982">
        <v>6.06</v>
      </c>
      <c r="R982" s="97" t="s">
        <v>1198</v>
      </c>
      <c r="S982" s="97" t="s">
        <v>195</v>
      </c>
    </row>
    <row r="983" spans="1:19" x14ac:dyDescent="0.3">
      <c r="A983" s="97" t="s">
        <v>1171</v>
      </c>
      <c r="B983" s="97" t="s">
        <v>23</v>
      </c>
      <c r="C983">
        <v>2026</v>
      </c>
      <c r="D983">
        <v>2</v>
      </c>
      <c r="E983" s="2">
        <v>46078</v>
      </c>
      <c r="F983" s="97" t="s">
        <v>7</v>
      </c>
      <c r="G983" s="97" t="s">
        <v>8</v>
      </c>
      <c r="H983" s="97" t="s">
        <v>70</v>
      </c>
      <c r="I983" s="97" t="s">
        <v>71</v>
      </c>
      <c r="J983" s="97" t="s">
        <v>72</v>
      </c>
      <c r="K983" s="97" t="s">
        <v>73</v>
      </c>
      <c r="L983">
        <v>701000</v>
      </c>
      <c r="M983" s="97" t="s">
        <v>62</v>
      </c>
      <c r="N983" s="97" t="s">
        <v>33</v>
      </c>
      <c r="O983">
        <v>2667</v>
      </c>
      <c r="P983">
        <v>1.05</v>
      </c>
      <c r="Q983">
        <v>2.8</v>
      </c>
      <c r="R983" s="97" t="s">
        <v>1203</v>
      </c>
      <c r="S983" s="97" t="s">
        <v>195</v>
      </c>
    </row>
    <row r="984" spans="1:19" x14ac:dyDescent="0.3">
      <c r="A984" s="97" t="s">
        <v>1172</v>
      </c>
      <c r="B984" s="97" t="s">
        <v>23</v>
      </c>
      <c r="C984">
        <v>2026</v>
      </c>
      <c r="D984">
        <v>2</v>
      </c>
      <c r="E984" s="2">
        <v>46078</v>
      </c>
      <c r="F984" s="97" t="s">
        <v>7</v>
      </c>
      <c r="G984" s="97" t="s">
        <v>8</v>
      </c>
      <c r="H984" s="97" t="s">
        <v>70</v>
      </c>
      <c r="I984" s="97" t="s">
        <v>71</v>
      </c>
      <c r="J984" s="97" t="s">
        <v>72</v>
      </c>
      <c r="K984" s="97" t="s">
        <v>73</v>
      </c>
      <c r="L984">
        <v>701000</v>
      </c>
      <c r="M984" s="97" t="s">
        <v>62</v>
      </c>
      <c r="N984" s="97" t="s">
        <v>33</v>
      </c>
      <c r="O984">
        <v>4383</v>
      </c>
      <c r="P984">
        <v>1.05</v>
      </c>
      <c r="Q984">
        <v>4.5999999999999996</v>
      </c>
      <c r="R984" s="97" t="s">
        <v>1204</v>
      </c>
      <c r="S984" s="97" t="s">
        <v>195</v>
      </c>
    </row>
    <row r="985" spans="1:19" x14ac:dyDescent="0.3">
      <c r="A985" s="97" t="s">
        <v>1173</v>
      </c>
      <c r="B985" s="97" t="s">
        <v>23</v>
      </c>
      <c r="C985">
        <v>2026</v>
      </c>
      <c r="D985">
        <v>2</v>
      </c>
      <c r="E985" s="2">
        <v>46078</v>
      </c>
      <c r="F985" s="97" t="s">
        <v>7</v>
      </c>
      <c r="G985" s="97" t="s">
        <v>8</v>
      </c>
      <c r="H985" s="97" t="s">
        <v>70</v>
      </c>
      <c r="I985" s="97" t="s">
        <v>71</v>
      </c>
      <c r="J985" s="97" t="s">
        <v>72</v>
      </c>
      <c r="K985" s="97" t="s">
        <v>73</v>
      </c>
      <c r="L985">
        <v>701000</v>
      </c>
      <c r="M985" s="97" t="s">
        <v>62</v>
      </c>
      <c r="N985" s="97" t="s">
        <v>33</v>
      </c>
      <c r="O985">
        <v>2945</v>
      </c>
      <c r="P985">
        <v>1.05</v>
      </c>
      <c r="Q985">
        <v>3.09</v>
      </c>
      <c r="R985" s="97" t="s">
        <v>1202</v>
      </c>
      <c r="S985" s="97" t="s">
        <v>195</v>
      </c>
    </row>
    <row r="986" spans="1:19" x14ac:dyDescent="0.3">
      <c r="A986" s="97" t="s">
        <v>1174</v>
      </c>
      <c r="B986" s="97" t="s">
        <v>23</v>
      </c>
      <c r="C986">
        <v>2026</v>
      </c>
      <c r="D986">
        <v>2</v>
      </c>
      <c r="E986" s="2">
        <v>46078</v>
      </c>
      <c r="F986" s="97" t="s">
        <v>7</v>
      </c>
      <c r="G986" s="97" t="s">
        <v>8</v>
      </c>
      <c r="H986" s="97" t="s">
        <v>70</v>
      </c>
      <c r="I986" s="97" t="s">
        <v>71</v>
      </c>
      <c r="J986" s="97" t="s">
        <v>72</v>
      </c>
      <c r="K986" s="97" t="s">
        <v>73</v>
      </c>
      <c r="L986">
        <v>701000</v>
      </c>
      <c r="M986" s="97" t="s">
        <v>62</v>
      </c>
      <c r="N986" s="97" t="s">
        <v>33</v>
      </c>
      <c r="O986">
        <v>3206</v>
      </c>
      <c r="P986">
        <v>1.05</v>
      </c>
      <c r="Q986">
        <v>3.37</v>
      </c>
      <c r="R986" s="97" t="s">
        <v>1205</v>
      </c>
      <c r="S986" s="97" t="s">
        <v>195</v>
      </c>
    </row>
    <row r="987" spans="1:19" x14ac:dyDescent="0.3">
      <c r="A987" s="97" t="s">
        <v>1010</v>
      </c>
      <c r="B987" s="97" t="s">
        <v>23</v>
      </c>
      <c r="C987">
        <v>2026</v>
      </c>
      <c r="D987">
        <v>2</v>
      </c>
      <c r="E987" s="2">
        <v>46081</v>
      </c>
      <c r="F987" s="97" t="s">
        <v>7</v>
      </c>
      <c r="G987" s="97" t="s">
        <v>8</v>
      </c>
      <c r="H987" s="97" t="s">
        <v>70</v>
      </c>
      <c r="I987" s="97" t="s">
        <v>84</v>
      </c>
      <c r="J987" s="97" t="s">
        <v>85</v>
      </c>
      <c r="K987" s="97" t="s">
        <v>73</v>
      </c>
      <c r="L987">
        <v>701000</v>
      </c>
      <c r="M987" s="97" t="s">
        <v>62</v>
      </c>
      <c r="N987" s="97" t="s">
        <v>33</v>
      </c>
      <c r="O987">
        <v>6468</v>
      </c>
      <c r="P987">
        <v>0.95</v>
      </c>
      <c r="Q987">
        <v>6.14</v>
      </c>
      <c r="R987" s="97" t="s">
        <v>1205</v>
      </c>
      <c r="S987" s="97" t="s">
        <v>195</v>
      </c>
    </row>
    <row r="988" spans="1:19" x14ac:dyDescent="0.3">
      <c r="A988" s="97" t="s">
        <v>1011</v>
      </c>
      <c r="B988" s="97" t="s">
        <v>23</v>
      </c>
      <c r="C988">
        <v>2026</v>
      </c>
      <c r="D988">
        <v>2</v>
      </c>
      <c r="E988" s="2">
        <v>46081</v>
      </c>
      <c r="F988" s="97" t="s">
        <v>7</v>
      </c>
      <c r="G988" s="97" t="s">
        <v>8</v>
      </c>
      <c r="H988" s="97" t="s">
        <v>70</v>
      </c>
      <c r="I988" s="97" t="s">
        <v>84</v>
      </c>
      <c r="J988" s="97" t="s">
        <v>85</v>
      </c>
      <c r="K988" s="97" t="s">
        <v>73</v>
      </c>
      <c r="L988">
        <v>701000</v>
      </c>
      <c r="M988" s="97" t="s">
        <v>62</v>
      </c>
      <c r="N988" s="97" t="s">
        <v>33</v>
      </c>
      <c r="O988">
        <v>909</v>
      </c>
      <c r="P988">
        <v>0.95</v>
      </c>
      <c r="Q988">
        <v>0.86</v>
      </c>
      <c r="R988" s="97" t="s">
        <v>1200</v>
      </c>
      <c r="S988" s="97" t="s">
        <v>195</v>
      </c>
    </row>
    <row r="989" spans="1:19" x14ac:dyDescent="0.3">
      <c r="A989" s="97" t="s">
        <v>1012</v>
      </c>
      <c r="B989" s="97" t="s">
        <v>23</v>
      </c>
      <c r="C989">
        <v>2026</v>
      </c>
      <c r="D989">
        <v>2</v>
      </c>
      <c r="E989" s="2">
        <v>46081</v>
      </c>
      <c r="F989" s="97" t="s">
        <v>7</v>
      </c>
      <c r="G989" s="97" t="s">
        <v>8</v>
      </c>
      <c r="H989" s="97" t="s">
        <v>70</v>
      </c>
      <c r="I989" s="97" t="s">
        <v>84</v>
      </c>
      <c r="J989" s="97" t="s">
        <v>85</v>
      </c>
      <c r="K989" s="97" t="s">
        <v>73</v>
      </c>
      <c r="L989">
        <v>701000</v>
      </c>
      <c r="M989" s="97" t="s">
        <v>62</v>
      </c>
      <c r="N989" s="97" t="s">
        <v>33</v>
      </c>
      <c r="O989">
        <v>2456</v>
      </c>
      <c r="P989">
        <v>0.95</v>
      </c>
      <c r="Q989">
        <v>2.33</v>
      </c>
      <c r="R989" s="97" t="s">
        <v>1201</v>
      </c>
      <c r="S989" s="97" t="s">
        <v>195</v>
      </c>
    </row>
    <row r="990" spans="1:19" x14ac:dyDescent="0.3">
      <c r="A990" s="97" t="s">
        <v>1013</v>
      </c>
      <c r="B990" s="97" t="s">
        <v>23</v>
      </c>
      <c r="C990">
        <v>2026</v>
      </c>
      <c r="D990">
        <v>2</v>
      </c>
      <c r="E990" s="2">
        <v>46081</v>
      </c>
      <c r="F990" s="97" t="s">
        <v>7</v>
      </c>
      <c r="G990" s="97" t="s">
        <v>8</v>
      </c>
      <c r="H990" s="97" t="s">
        <v>70</v>
      </c>
      <c r="I990" s="97" t="s">
        <v>84</v>
      </c>
      <c r="J990" s="97" t="s">
        <v>85</v>
      </c>
      <c r="K990" s="97" t="s">
        <v>73</v>
      </c>
      <c r="L990">
        <v>701000</v>
      </c>
      <c r="M990" s="97" t="s">
        <v>62</v>
      </c>
      <c r="N990" s="97" t="s">
        <v>33</v>
      </c>
      <c r="O990">
        <v>3609</v>
      </c>
      <c r="P990">
        <v>0.95</v>
      </c>
      <c r="Q990">
        <v>3.43</v>
      </c>
      <c r="R990" s="97" t="s">
        <v>1198</v>
      </c>
      <c r="S990" s="97" t="s">
        <v>195</v>
      </c>
    </row>
    <row r="991" spans="1:19" x14ac:dyDescent="0.3">
      <c r="A991" s="97" t="s">
        <v>1014</v>
      </c>
      <c r="B991" s="97" t="s">
        <v>23</v>
      </c>
      <c r="C991">
        <v>2026</v>
      </c>
      <c r="D991">
        <v>2</v>
      </c>
      <c r="E991" s="2">
        <v>46081</v>
      </c>
      <c r="F991" s="97" t="s">
        <v>7</v>
      </c>
      <c r="G991" s="97" t="s">
        <v>8</v>
      </c>
      <c r="H991" s="97" t="s">
        <v>70</v>
      </c>
      <c r="I991" s="97" t="s">
        <v>84</v>
      </c>
      <c r="J991" s="97" t="s">
        <v>85</v>
      </c>
      <c r="K991" s="97" t="s">
        <v>73</v>
      </c>
      <c r="L991">
        <v>701000</v>
      </c>
      <c r="M991" s="97" t="s">
        <v>62</v>
      </c>
      <c r="N991" s="97" t="s">
        <v>33</v>
      </c>
      <c r="O991">
        <v>3318</v>
      </c>
      <c r="P991">
        <v>0.95</v>
      </c>
      <c r="Q991">
        <v>3.16</v>
      </c>
      <c r="R991" s="97" t="s">
        <v>1203</v>
      </c>
      <c r="S991" s="97" t="s">
        <v>195</v>
      </c>
    </row>
    <row r="992" spans="1:19" x14ac:dyDescent="0.3">
      <c r="A992" s="97" t="s">
        <v>1125</v>
      </c>
      <c r="B992" s="97" t="s">
        <v>23</v>
      </c>
      <c r="C992">
        <v>2026</v>
      </c>
      <c r="D992">
        <v>2</v>
      </c>
      <c r="E992" s="2">
        <v>46081</v>
      </c>
      <c r="F992" s="97" t="s">
        <v>7</v>
      </c>
      <c r="G992" s="97" t="s">
        <v>8</v>
      </c>
      <c r="H992" s="97" t="s">
        <v>74</v>
      </c>
      <c r="I992" s="97" t="s">
        <v>84</v>
      </c>
      <c r="J992" s="97" t="s">
        <v>85</v>
      </c>
      <c r="K992" s="97" t="s">
        <v>73</v>
      </c>
      <c r="L992">
        <v>709000</v>
      </c>
      <c r="M992" s="97" t="s">
        <v>86</v>
      </c>
      <c r="N992" s="97" t="s">
        <v>33</v>
      </c>
      <c r="O992">
        <v>0</v>
      </c>
      <c r="P992">
        <v>-1020</v>
      </c>
      <c r="Q992">
        <v>-1.02</v>
      </c>
      <c r="R992" s="97" t="s">
        <v>1199</v>
      </c>
      <c r="S992" s="97" t="s">
        <v>195</v>
      </c>
    </row>
    <row r="993" spans="1:19" x14ac:dyDescent="0.3">
      <c r="A993" s="97" t="s">
        <v>1126</v>
      </c>
      <c r="B993" s="97" t="s">
        <v>23</v>
      </c>
      <c r="C993">
        <v>2026</v>
      </c>
      <c r="D993">
        <v>2</v>
      </c>
      <c r="E993" s="2">
        <v>46081</v>
      </c>
      <c r="F993" s="97" t="s">
        <v>7</v>
      </c>
      <c r="G993" s="97" t="s">
        <v>8</v>
      </c>
      <c r="H993" s="97" t="s">
        <v>74</v>
      </c>
      <c r="I993" s="97" t="s">
        <v>84</v>
      </c>
      <c r="J993" s="97" t="s">
        <v>85</v>
      </c>
      <c r="K993" s="97" t="s">
        <v>73</v>
      </c>
      <c r="L993">
        <v>709000</v>
      </c>
      <c r="M993" s="97" t="s">
        <v>86</v>
      </c>
      <c r="N993" s="97" t="s">
        <v>33</v>
      </c>
      <c r="O993">
        <v>0</v>
      </c>
      <c r="P993">
        <v>-720</v>
      </c>
      <c r="Q993">
        <v>-0.72</v>
      </c>
      <c r="R993" s="97" t="s">
        <v>1203</v>
      </c>
      <c r="S993" s="97" t="s">
        <v>195</v>
      </c>
    </row>
    <row r="994" spans="1:19" x14ac:dyDescent="0.3">
      <c r="A994" s="97" t="s">
        <v>1127</v>
      </c>
      <c r="B994" s="97" t="s">
        <v>23</v>
      </c>
      <c r="C994">
        <v>2026</v>
      </c>
      <c r="D994">
        <v>2</v>
      </c>
      <c r="E994" s="2">
        <v>46081</v>
      </c>
      <c r="F994" s="97" t="s">
        <v>7</v>
      </c>
      <c r="G994" s="97" t="s">
        <v>8</v>
      </c>
      <c r="H994" s="97" t="s">
        <v>74</v>
      </c>
      <c r="I994" s="97" t="s">
        <v>84</v>
      </c>
      <c r="J994" s="97" t="s">
        <v>85</v>
      </c>
      <c r="K994" s="97" t="s">
        <v>73</v>
      </c>
      <c r="L994">
        <v>709000</v>
      </c>
      <c r="M994" s="97" t="s">
        <v>86</v>
      </c>
      <c r="N994" s="97" t="s">
        <v>33</v>
      </c>
      <c r="O994">
        <v>0</v>
      </c>
      <c r="P994">
        <v>-3170</v>
      </c>
      <c r="Q994">
        <v>-3.17</v>
      </c>
      <c r="R994" s="97" t="s">
        <v>1205</v>
      </c>
      <c r="S994" s="97" t="s">
        <v>195</v>
      </c>
    </row>
    <row r="995" spans="1:19" x14ac:dyDescent="0.3">
      <c r="A995" s="97" t="s">
        <v>1128</v>
      </c>
      <c r="B995" s="97" t="s">
        <v>23</v>
      </c>
      <c r="C995">
        <v>2026</v>
      </c>
      <c r="D995">
        <v>2</v>
      </c>
      <c r="E995" s="2">
        <v>46081</v>
      </c>
      <c r="F995" s="97" t="s">
        <v>7</v>
      </c>
      <c r="G995" s="97" t="s">
        <v>8</v>
      </c>
      <c r="H995" s="97" t="s">
        <v>74</v>
      </c>
      <c r="I995" s="97" t="s">
        <v>84</v>
      </c>
      <c r="J995" s="97" t="s">
        <v>85</v>
      </c>
      <c r="K995" s="97" t="s">
        <v>73</v>
      </c>
      <c r="L995">
        <v>709000</v>
      </c>
      <c r="M995" s="97" t="s">
        <v>86</v>
      </c>
      <c r="N995" s="97" t="s">
        <v>33</v>
      </c>
      <c r="O995">
        <v>0</v>
      </c>
      <c r="P995">
        <v>-1110</v>
      </c>
      <c r="Q995">
        <v>-1.1100000000000001</v>
      </c>
      <c r="R995" s="97" t="s">
        <v>1198</v>
      </c>
      <c r="S995" s="97" t="s">
        <v>195</v>
      </c>
    </row>
    <row r="996" spans="1:19" x14ac:dyDescent="0.3">
      <c r="A996" s="97" t="s">
        <v>1129</v>
      </c>
      <c r="B996" s="97" t="s">
        <v>23</v>
      </c>
      <c r="C996">
        <v>2026</v>
      </c>
      <c r="D996">
        <v>2</v>
      </c>
      <c r="E996" s="2">
        <v>46081</v>
      </c>
      <c r="F996" s="97" t="s">
        <v>7</v>
      </c>
      <c r="G996" s="97" t="s">
        <v>8</v>
      </c>
      <c r="H996" s="97" t="s">
        <v>74</v>
      </c>
      <c r="I996" s="97" t="s">
        <v>84</v>
      </c>
      <c r="J996" s="97" t="s">
        <v>85</v>
      </c>
      <c r="K996" s="97" t="s">
        <v>73</v>
      </c>
      <c r="L996">
        <v>709000</v>
      </c>
      <c r="M996" s="97" t="s">
        <v>86</v>
      </c>
      <c r="N996" s="97" t="s">
        <v>33</v>
      </c>
      <c r="O996">
        <v>0</v>
      </c>
      <c r="P996">
        <v>-3200</v>
      </c>
      <c r="Q996">
        <v>-3.2</v>
      </c>
      <c r="R996" s="97" t="s">
        <v>1201</v>
      </c>
      <c r="S996" s="97" t="s">
        <v>195</v>
      </c>
    </row>
    <row r="997" spans="1:19" x14ac:dyDescent="0.3">
      <c r="A997" s="97" t="s">
        <v>1175</v>
      </c>
      <c r="B997" s="97" t="s">
        <v>23</v>
      </c>
      <c r="C997">
        <v>2026</v>
      </c>
      <c r="D997">
        <v>2</v>
      </c>
      <c r="E997" s="2">
        <v>46081</v>
      </c>
      <c r="F997" s="97" t="s">
        <v>7</v>
      </c>
      <c r="G997" s="97" t="s">
        <v>8</v>
      </c>
      <c r="H997" s="97" t="s">
        <v>74</v>
      </c>
      <c r="I997" s="97" t="s">
        <v>71</v>
      </c>
      <c r="J997" s="97" t="s">
        <v>72</v>
      </c>
      <c r="K997" s="97" t="s">
        <v>73</v>
      </c>
      <c r="L997">
        <v>701000</v>
      </c>
      <c r="M997" s="97" t="s">
        <v>62</v>
      </c>
      <c r="N997" s="97" t="s">
        <v>33</v>
      </c>
      <c r="O997">
        <v>2485</v>
      </c>
      <c r="P997">
        <v>1.05</v>
      </c>
      <c r="Q997">
        <v>2.61</v>
      </c>
      <c r="R997" s="97" t="s">
        <v>1203</v>
      </c>
      <c r="S997" s="97" t="s">
        <v>195</v>
      </c>
    </row>
    <row r="998" spans="1:19" x14ac:dyDescent="0.3">
      <c r="A998" s="97" t="s">
        <v>1176</v>
      </c>
      <c r="B998" s="97" t="s">
        <v>23</v>
      </c>
      <c r="C998">
        <v>2026</v>
      </c>
      <c r="D998">
        <v>2</v>
      </c>
      <c r="E998" s="2">
        <v>46081</v>
      </c>
      <c r="F998" s="97" t="s">
        <v>7</v>
      </c>
      <c r="G998" s="97" t="s">
        <v>8</v>
      </c>
      <c r="H998" s="97" t="s">
        <v>74</v>
      </c>
      <c r="I998" s="97" t="s">
        <v>71</v>
      </c>
      <c r="J998" s="97" t="s">
        <v>72</v>
      </c>
      <c r="K998" s="97" t="s">
        <v>73</v>
      </c>
      <c r="L998">
        <v>701000</v>
      </c>
      <c r="M998" s="97" t="s">
        <v>62</v>
      </c>
      <c r="N998" s="97" t="s">
        <v>33</v>
      </c>
      <c r="O998">
        <v>2131</v>
      </c>
      <c r="P998">
        <v>1.05</v>
      </c>
      <c r="Q998">
        <v>2.2400000000000002</v>
      </c>
      <c r="R998" s="97" t="s">
        <v>1202</v>
      </c>
      <c r="S998" s="97" t="s">
        <v>195</v>
      </c>
    </row>
    <row r="999" spans="1:19" x14ac:dyDescent="0.3">
      <c r="A999" s="97" t="s">
        <v>1177</v>
      </c>
      <c r="B999" s="97" t="s">
        <v>23</v>
      </c>
      <c r="C999">
        <v>2026</v>
      </c>
      <c r="D999">
        <v>2</v>
      </c>
      <c r="E999" s="2">
        <v>46081</v>
      </c>
      <c r="F999" s="97" t="s">
        <v>7</v>
      </c>
      <c r="G999" s="97" t="s">
        <v>8</v>
      </c>
      <c r="H999" s="97" t="s">
        <v>74</v>
      </c>
      <c r="I999" s="97" t="s">
        <v>71</v>
      </c>
      <c r="J999" s="97" t="s">
        <v>72</v>
      </c>
      <c r="K999" s="97" t="s">
        <v>73</v>
      </c>
      <c r="L999">
        <v>701000</v>
      </c>
      <c r="M999" s="97" t="s">
        <v>62</v>
      </c>
      <c r="N999" s="97" t="s">
        <v>33</v>
      </c>
      <c r="O999">
        <v>5743</v>
      </c>
      <c r="P999">
        <v>1.05</v>
      </c>
      <c r="Q999">
        <v>6.03</v>
      </c>
      <c r="R999" s="97" t="s">
        <v>1197</v>
      </c>
      <c r="S999" s="97" t="s">
        <v>195</v>
      </c>
    </row>
    <row r="1000" spans="1:19" x14ac:dyDescent="0.3">
      <c r="A1000" s="97" t="s">
        <v>1178</v>
      </c>
      <c r="B1000" s="97" t="s">
        <v>23</v>
      </c>
      <c r="C1000">
        <v>2026</v>
      </c>
      <c r="D1000">
        <v>2</v>
      </c>
      <c r="E1000" s="2">
        <v>46081</v>
      </c>
      <c r="F1000" s="97" t="s">
        <v>7</v>
      </c>
      <c r="G1000" s="97" t="s">
        <v>8</v>
      </c>
      <c r="H1000" s="97" t="s">
        <v>74</v>
      </c>
      <c r="I1000" s="97" t="s">
        <v>71</v>
      </c>
      <c r="J1000" s="97" t="s">
        <v>72</v>
      </c>
      <c r="K1000" s="97" t="s">
        <v>73</v>
      </c>
      <c r="L1000">
        <v>701000</v>
      </c>
      <c r="M1000" s="97" t="s">
        <v>62</v>
      </c>
      <c r="N1000" s="97" t="s">
        <v>33</v>
      </c>
      <c r="O1000">
        <v>4382</v>
      </c>
      <c r="P1000">
        <v>1.05</v>
      </c>
      <c r="Q1000">
        <v>4.5999999999999996</v>
      </c>
      <c r="R1000" s="97" t="s">
        <v>1204</v>
      </c>
      <c r="S1000" s="97" t="s">
        <v>195</v>
      </c>
    </row>
    <row r="1001" spans="1:19" x14ac:dyDescent="0.3">
      <c r="A1001" s="97" t="s">
        <v>1179</v>
      </c>
      <c r="B1001" s="97" t="s">
        <v>23</v>
      </c>
      <c r="C1001">
        <v>2026</v>
      </c>
      <c r="D1001">
        <v>2</v>
      </c>
      <c r="E1001" s="2">
        <v>46081</v>
      </c>
      <c r="F1001" s="97" t="s">
        <v>7</v>
      </c>
      <c r="G1001" s="97" t="s">
        <v>8</v>
      </c>
      <c r="H1001" s="97" t="s">
        <v>74</v>
      </c>
      <c r="I1001" s="97" t="s">
        <v>71</v>
      </c>
      <c r="J1001" s="97" t="s">
        <v>72</v>
      </c>
      <c r="K1001" s="97" t="s">
        <v>73</v>
      </c>
      <c r="L1001">
        <v>701000</v>
      </c>
      <c r="M1001" s="97" t="s">
        <v>62</v>
      </c>
      <c r="N1001" s="97" t="s">
        <v>33</v>
      </c>
      <c r="O1001">
        <v>5102</v>
      </c>
      <c r="P1001">
        <v>1.05</v>
      </c>
      <c r="Q1001">
        <v>5.36</v>
      </c>
      <c r="R1001" s="97" t="s">
        <v>1198</v>
      </c>
      <c r="S1001" s="97" t="s">
        <v>195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8ED0-3A8A-40AA-8CB4-D95B0DA3A87B}">
  <sheetPr codeName="Feuil9"/>
  <dimension ref="A1:S1001"/>
  <sheetViews>
    <sheetView topLeftCell="A22" workbookViewId="0">
      <selection activeCell="R20" sqref="R19:R20"/>
    </sheetView>
  </sheetViews>
  <sheetFormatPr baseColWidth="10" defaultRowHeight="14.4" x14ac:dyDescent="0.3"/>
  <cols>
    <col min="1" max="1" width="11.6640625" bestFit="1" customWidth="1"/>
    <col min="2" max="2" width="10.5546875" bestFit="1" customWidth="1"/>
    <col min="3" max="3" width="8.88671875" bestFit="1" customWidth="1"/>
    <col min="4" max="4" width="7.44140625" bestFit="1" customWidth="1"/>
    <col min="5" max="5" width="10.5546875" bestFit="1" customWidth="1"/>
    <col min="6" max="6" width="12.77734375" bestFit="1" customWidth="1"/>
    <col min="7" max="7" width="19.33203125" bestFit="1" customWidth="1"/>
    <col min="8" max="8" width="7.88671875" bestFit="1" customWidth="1"/>
    <col min="9" max="9" width="14" bestFit="1" customWidth="1"/>
    <col min="10" max="10" width="21.109375" bestFit="1" customWidth="1"/>
    <col min="11" max="11" width="7.88671875" bestFit="1" customWidth="1"/>
    <col min="12" max="12" width="10" bestFit="1" customWidth="1"/>
    <col min="13" max="13" width="22.21875" bestFit="1" customWidth="1"/>
    <col min="14" max="14" width="15.44140625" bestFit="1" customWidth="1"/>
    <col min="15" max="15" width="10.77734375" bestFit="1" customWidth="1"/>
    <col min="16" max="16" width="18.21875" bestFit="1" customWidth="1"/>
    <col min="17" max="17" width="16.109375" bestFit="1" customWidth="1"/>
    <col min="18" max="18" width="12.21875" bestFit="1" customWidth="1"/>
    <col min="19" max="19" width="13" bestFit="1" customWidth="1"/>
  </cols>
  <sheetData>
    <row r="1" spans="1:19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64</v>
      </c>
      <c r="I1" t="s">
        <v>65</v>
      </c>
      <c r="J1" t="s">
        <v>66</v>
      </c>
      <c r="K1" t="s">
        <v>67</v>
      </c>
      <c r="L1" t="s">
        <v>58</v>
      </c>
      <c r="M1" t="s">
        <v>59</v>
      </c>
      <c r="N1" t="s">
        <v>60</v>
      </c>
      <c r="O1" t="s">
        <v>68</v>
      </c>
      <c r="P1" t="s">
        <v>69</v>
      </c>
      <c r="Q1" t="s">
        <v>61</v>
      </c>
      <c r="R1" t="s">
        <v>1195</v>
      </c>
      <c r="S1" t="s">
        <v>1196</v>
      </c>
    </row>
    <row r="2" spans="1:19" x14ac:dyDescent="0.3">
      <c r="A2" s="97" t="s">
        <v>194</v>
      </c>
      <c r="B2" s="97" t="s">
        <v>22</v>
      </c>
      <c r="C2">
        <v>2025</v>
      </c>
      <c r="D2">
        <v>1</v>
      </c>
      <c r="E2" s="2">
        <v>45683</v>
      </c>
      <c r="F2" s="97" t="s">
        <v>7</v>
      </c>
      <c r="G2" s="97" t="s">
        <v>8</v>
      </c>
      <c r="H2" s="97" t="s">
        <v>74</v>
      </c>
      <c r="I2" s="97" t="s">
        <v>84</v>
      </c>
      <c r="J2" s="97" t="s">
        <v>85</v>
      </c>
      <c r="K2" s="97" t="s">
        <v>73</v>
      </c>
      <c r="L2">
        <v>701000</v>
      </c>
      <c r="M2" s="97" t="s">
        <v>62</v>
      </c>
      <c r="N2" s="97" t="s">
        <v>33</v>
      </c>
      <c r="O2">
        <v>733</v>
      </c>
      <c r="P2">
        <v>0.95</v>
      </c>
      <c r="Q2">
        <v>0.7</v>
      </c>
      <c r="R2" s="97" t="s">
        <v>1204</v>
      </c>
      <c r="S2" s="97" t="s">
        <v>195</v>
      </c>
    </row>
    <row r="3" spans="1:19" x14ac:dyDescent="0.3">
      <c r="A3" s="97" t="s">
        <v>196</v>
      </c>
      <c r="B3" s="97" t="s">
        <v>22</v>
      </c>
      <c r="C3">
        <v>2025</v>
      </c>
      <c r="D3">
        <v>1</v>
      </c>
      <c r="E3" s="2">
        <v>45683</v>
      </c>
      <c r="F3" s="97" t="s">
        <v>7</v>
      </c>
      <c r="G3" s="97" t="s">
        <v>8</v>
      </c>
      <c r="H3" s="97" t="s">
        <v>74</v>
      </c>
      <c r="I3" s="97" t="s">
        <v>84</v>
      </c>
      <c r="J3" s="97" t="s">
        <v>85</v>
      </c>
      <c r="K3" s="97" t="s">
        <v>73</v>
      </c>
      <c r="L3">
        <v>701000</v>
      </c>
      <c r="M3" s="97" t="s">
        <v>62</v>
      </c>
      <c r="N3" s="97" t="s">
        <v>33</v>
      </c>
      <c r="O3">
        <v>2507</v>
      </c>
      <c r="P3">
        <v>0.95</v>
      </c>
      <c r="Q3">
        <v>2.38</v>
      </c>
      <c r="R3" s="97" t="s">
        <v>1201</v>
      </c>
      <c r="S3" s="97" t="s">
        <v>195</v>
      </c>
    </row>
    <row r="4" spans="1:19" x14ac:dyDescent="0.3">
      <c r="A4" s="97" t="s">
        <v>197</v>
      </c>
      <c r="B4" s="97" t="s">
        <v>22</v>
      </c>
      <c r="C4">
        <v>2025</v>
      </c>
      <c r="D4">
        <v>1</v>
      </c>
      <c r="E4" s="2">
        <v>45683</v>
      </c>
      <c r="F4" s="97" t="s">
        <v>7</v>
      </c>
      <c r="G4" s="97" t="s">
        <v>8</v>
      </c>
      <c r="H4" s="97" t="s">
        <v>74</v>
      </c>
      <c r="I4" s="97" t="s">
        <v>84</v>
      </c>
      <c r="J4" s="97" t="s">
        <v>85</v>
      </c>
      <c r="K4" s="97" t="s">
        <v>73</v>
      </c>
      <c r="L4">
        <v>701000</v>
      </c>
      <c r="M4" s="97" t="s">
        <v>62</v>
      </c>
      <c r="N4" s="97" t="s">
        <v>33</v>
      </c>
      <c r="O4">
        <v>4042</v>
      </c>
      <c r="P4">
        <v>0.95</v>
      </c>
      <c r="Q4">
        <v>3.84</v>
      </c>
      <c r="R4" s="97" t="s">
        <v>1205</v>
      </c>
      <c r="S4" s="97" t="s">
        <v>195</v>
      </c>
    </row>
    <row r="5" spans="1:19" x14ac:dyDescent="0.3">
      <c r="A5" s="97" t="s">
        <v>198</v>
      </c>
      <c r="B5" s="97" t="s">
        <v>22</v>
      </c>
      <c r="C5">
        <v>2025</v>
      </c>
      <c r="D5">
        <v>1</v>
      </c>
      <c r="E5" s="2">
        <v>45683</v>
      </c>
      <c r="F5" s="97" t="s">
        <v>7</v>
      </c>
      <c r="G5" s="97" t="s">
        <v>8</v>
      </c>
      <c r="H5" s="97" t="s">
        <v>74</v>
      </c>
      <c r="I5" s="97" t="s">
        <v>84</v>
      </c>
      <c r="J5" s="97" t="s">
        <v>85</v>
      </c>
      <c r="K5" s="97" t="s">
        <v>73</v>
      </c>
      <c r="L5">
        <v>701000</v>
      </c>
      <c r="M5" s="97" t="s">
        <v>62</v>
      </c>
      <c r="N5" s="97" t="s">
        <v>33</v>
      </c>
      <c r="O5">
        <v>3951</v>
      </c>
      <c r="P5">
        <v>0.95</v>
      </c>
      <c r="Q5">
        <v>3.75</v>
      </c>
      <c r="R5" s="97" t="s">
        <v>1200</v>
      </c>
      <c r="S5" s="97" t="s">
        <v>195</v>
      </c>
    </row>
    <row r="6" spans="1:19" x14ac:dyDescent="0.3">
      <c r="A6" s="97" t="s">
        <v>199</v>
      </c>
      <c r="B6" s="97" t="s">
        <v>22</v>
      </c>
      <c r="C6">
        <v>2025</v>
      </c>
      <c r="D6">
        <v>1</v>
      </c>
      <c r="E6" s="2">
        <v>45683</v>
      </c>
      <c r="F6" s="97" t="s">
        <v>7</v>
      </c>
      <c r="G6" s="97" t="s">
        <v>8</v>
      </c>
      <c r="H6" s="97" t="s">
        <v>74</v>
      </c>
      <c r="I6" s="97" t="s">
        <v>84</v>
      </c>
      <c r="J6" s="97" t="s">
        <v>85</v>
      </c>
      <c r="K6" s="97" t="s">
        <v>73</v>
      </c>
      <c r="L6">
        <v>701000</v>
      </c>
      <c r="M6" s="97" t="s">
        <v>62</v>
      </c>
      <c r="N6" s="97" t="s">
        <v>33</v>
      </c>
      <c r="O6">
        <v>2296</v>
      </c>
      <c r="P6">
        <v>0.95</v>
      </c>
      <c r="Q6">
        <v>2.1800000000000002</v>
      </c>
      <c r="R6" s="97" t="s">
        <v>1198</v>
      </c>
      <c r="S6" s="97" t="s">
        <v>195</v>
      </c>
    </row>
    <row r="7" spans="1:19" x14ac:dyDescent="0.3">
      <c r="A7" s="97" t="s">
        <v>200</v>
      </c>
      <c r="B7" s="97" t="s">
        <v>22</v>
      </c>
      <c r="C7">
        <v>2025</v>
      </c>
      <c r="D7">
        <v>1</v>
      </c>
      <c r="E7" s="2">
        <v>45680</v>
      </c>
      <c r="F7" s="97" t="s">
        <v>7</v>
      </c>
      <c r="G7" s="97" t="s">
        <v>8</v>
      </c>
      <c r="H7" s="97" t="s">
        <v>74</v>
      </c>
      <c r="I7" s="97" t="s">
        <v>84</v>
      </c>
      <c r="J7" s="97" t="s">
        <v>85</v>
      </c>
      <c r="K7" s="97" t="s">
        <v>73</v>
      </c>
      <c r="L7">
        <v>701000</v>
      </c>
      <c r="M7" s="97" t="s">
        <v>62</v>
      </c>
      <c r="N7" s="97" t="s">
        <v>33</v>
      </c>
      <c r="O7">
        <v>2120</v>
      </c>
      <c r="P7">
        <v>0.95</v>
      </c>
      <c r="Q7">
        <v>2.0099999999999998</v>
      </c>
      <c r="R7" s="97" t="s">
        <v>1204</v>
      </c>
      <c r="S7" s="97" t="s">
        <v>195</v>
      </c>
    </row>
    <row r="8" spans="1:19" x14ac:dyDescent="0.3">
      <c r="A8" s="97" t="s">
        <v>201</v>
      </c>
      <c r="B8" s="97" t="s">
        <v>22</v>
      </c>
      <c r="C8">
        <v>2025</v>
      </c>
      <c r="D8">
        <v>1</v>
      </c>
      <c r="E8" s="2">
        <v>45680</v>
      </c>
      <c r="F8" s="97" t="s">
        <v>7</v>
      </c>
      <c r="G8" s="97" t="s">
        <v>8</v>
      </c>
      <c r="H8" s="97" t="s">
        <v>74</v>
      </c>
      <c r="I8" s="97" t="s">
        <v>84</v>
      </c>
      <c r="J8" s="97" t="s">
        <v>85</v>
      </c>
      <c r="K8" s="97" t="s">
        <v>73</v>
      </c>
      <c r="L8">
        <v>701000</v>
      </c>
      <c r="M8" s="97" t="s">
        <v>62</v>
      </c>
      <c r="N8" s="97" t="s">
        <v>33</v>
      </c>
      <c r="O8">
        <v>1061</v>
      </c>
      <c r="P8">
        <v>0.95</v>
      </c>
      <c r="Q8">
        <v>1.01</v>
      </c>
      <c r="R8" s="97" t="s">
        <v>1203</v>
      </c>
      <c r="S8" s="97" t="s">
        <v>195</v>
      </c>
    </row>
    <row r="9" spans="1:19" x14ac:dyDescent="0.3">
      <c r="A9" s="97" t="s">
        <v>202</v>
      </c>
      <c r="B9" s="97" t="s">
        <v>22</v>
      </c>
      <c r="C9">
        <v>2025</v>
      </c>
      <c r="D9">
        <v>1</v>
      </c>
      <c r="E9" s="2">
        <v>45680</v>
      </c>
      <c r="F9" s="97" t="s">
        <v>7</v>
      </c>
      <c r="G9" s="97" t="s">
        <v>8</v>
      </c>
      <c r="H9" s="97" t="s">
        <v>74</v>
      </c>
      <c r="I9" s="97" t="s">
        <v>84</v>
      </c>
      <c r="J9" s="97" t="s">
        <v>85</v>
      </c>
      <c r="K9" s="97" t="s">
        <v>73</v>
      </c>
      <c r="L9">
        <v>701000</v>
      </c>
      <c r="M9" s="97" t="s">
        <v>62</v>
      </c>
      <c r="N9" s="97" t="s">
        <v>33</v>
      </c>
      <c r="O9">
        <v>2537</v>
      </c>
      <c r="P9">
        <v>0.95</v>
      </c>
      <c r="Q9">
        <v>2.41</v>
      </c>
      <c r="R9" s="97" t="s">
        <v>1205</v>
      </c>
      <c r="S9" s="97" t="s">
        <v>195</v>
      </c>
    </row>
    <row r="10" spans="1:19" x14ac:dyDescent="0.3">
      <c r="A10" s="97" t="s">
        <v>203</v>
      </c>
      <c r="B10" s="97" t="s">
        <v>22</v>
      </c>
      <c r="C10">
        <v>2025</v>
      </c>
      <c r="D10">
        <v>1</v>
      </c>
      <c r="E10" s="2">
        <v>45680</v>
      </c>
      <c r="F10" s="97" t="s">
        <v>7</v>
      </c>
      <c r="G10" s="97" t="s">
        <v>8</v>
      </c>
      <c r="H10" s="97" t="s">
        <v>74</v>
      </c>
      <c r="I10" s="97" t="s">
        <v>84</v>
      </c>
      <c r="J10" s="97" t="s">
        <v>85</v>
      </c>
      <c r="K10" s="97" t="s">
        <v>73</v>
      </c>
      <c r="L10">
        <v>701000</v>
      </c>
      <c r="M10" s="97" t="s">
        <v>62</v>
      </c>
      <c r="N10" s="97" t="s">
        <v>33</v>
      </c>
      <c r="O10">
        <v>4051</v>
      </c>
      <c r="P10">
        <v>0.95</v>
      </c>
      <c r="Q10">
        <v>3.85</v>
      </c>
      <c r="R10" s="97" t="s">
        <v>1199</v>
      </c>
      <c r="S10" s="97" t="s">
        <v>195</v>
      </c>
    </row>
    <row r="11" spans="1:19" x14ac:dyDescent="0.3">
      <c r="A11" s="97" t="s">
        <v>204</v>
      </c>
      <c r="B11" s="97" t="s">
        <v>22</v>
      </c>
      <c r="C11">
        <v>2025</v>
      </c>
      <c r="D11">
        <v>1</v>
      </c>
      <c r="E11" s="2">
        <v>45680</v>
      </c>
      <c r="F11" s="97" t="s">
        <v>7</v>
      </c>
      <c r="G11" s="97" t="s">
        <v>8</v>
      </c>
      <c r="H11" s="97" t="s">
        <v>74</v>
      </c>
      <c r="I11" s="97" t="s">
        <v>84</v>
      </c>
      <c r="J11" s="97" t="s">
        <v>85</v>
      </c>
      <c r="K11" s="97" t="s">
        <v>73</v>
      </c>
      <c r="L11">
        <v>701000</v>
      </c>
      <c r="M11" s="97" t="s">
        <v>62</v>
      </c>
      <c r="N11" s="97" t="s">
        <v>33</v>
      </c>
      <c r="O11">
        <v>2494</v>
      </c>
      <c r="P11">
        <v>0.95</v>
      </c>
      <c r="Q11">
        <v>2.37</v>
      </c>
      <c r="R11" s="97" t="s">
        <v>1201</v>
      </c>
      <c r="S11" s="97" t="s">
        <v>195</v>
      </c>
    </row>
    <row r="12" spans="1:19" x14ac:dyDescent="0.3">
      <c r="A12" s="97" t="s">
        <v>205</v>
      </c>
      <c r="B12" s="97" t="s">
        <v>22</v>
      </c>
      <c r="C12">
        <v>2025</v>
      </c>
      <c r="D12">
        <v>1</v>
      </c>
      <c r="E12" s="2">
        <v>45684</v>
      </c>
      <c r="F12" s="97" t="s">
        <v>7</v>
      </c>
      <c r="G12" s="97" t="s">
        <v>8</v>
      </c>
      <c r="H12" s="97" t="s">
        <v>74</v>
      </c>
      <c r="I12" s="97" t="s">
        <v>84</v>
      </c>
      <c r="J12" s="97" t="s">
        <v>85</v>
      </c>
      <c r="K12" s="97" t="s">
        <v>73</v>
      </c>
      <c r="L12">
        <v>701000</v>
      </c>
      <c r="M12" s="97" t="s">
        <v>62</v>
      </c>
      <c r="N12" s="97" t="s">
        <v>33</v>
      </c>
      <c r="O12">
        <v>1379</v>
      </c>
      <c r="P12">
        <v>0.95</v>
      </c>
      <c r="Q12">
        <v>1.31</v>
      </c>
      <c r="R12" s="97" t="s">
        <v>1203</v>
      </c>
      <c r="S12" s="97" t="s">
        <v>195</v>
      </c>
    </row>
    <row r="13" spans="1:19" x14ac:dyDescent="0.3">
      <c r="A13" s="97" t="s">
        <v>206</v>
      </c>
      <c r="B13" s="97" t="s">
        <v>22</v>
      </c>
      <c r="C13">
        <v>2025</v>
      </c>
      <c r="D13">
        <v>1</v>
      </c>
      <c r="E13" s="2">
        <v>45684</v>
      </c>
      <c r="F13" s="97" t="s">
        <v>7</v>
      </c>
      <c r="G13" s="97" t="s">
        <v>8</v>
      </c>
      <c r="H13" s="97" t="s">
        <v>74</v>
      </c>
      <c r="I13" s="97" t="s">
        <v>84</v>
      </c>
      <c r="J13" s="97" t="s">
        <v>85</v>
      </c>
      <c r="K13" s="97" t="s">
        <v>73</v>
      </c>
      <c r="L13">
        <v>701000</v>
      </c>
      <c r="M13" s="97" t="s">
        <v>62</v>
      </c>
      <c r="N13" s="97" t="s">
        <v>33</v>
      </c>
      <c r="O13">
        <v>1249</v>
      </c>
      <c r="P13">
        <v>0.95</v>
      </c>
      <c r="Q13">
        <v>1.19</v>
      </c>
      <c r="R13" s="97" t="s">
        <v>1205</v>
      </c>
      <c r="S13" s="97" t="s">
        <v>195</v>
      </c>
    </row>
    <row r="14" spans="1:19" x14ac:dyDescent="0.3">
      <c r="A14" s="97" t="s">
        <v>207</v>
      </c>
      <c r="B14" s="97" t="s">
        <v>22</v>
      </c>
      <c r="C14">
        <v>2025</v>
      </c>
      <c r="D14">
        <v>1</v>
      </c>
      <c r="E14" s="2">
        <v>45684</v>
      </c>
      <c r="F14" s="97" t="s">
        <v>7</v>
      </c>
      <c r="G14" s="97" t="s">
        <v>8</v>
      </c>
      <c r="H14" s="97" t="s">
        <v>74</v>
      </c>
      <c r="I14" s="97" t="s">
        <v>84</v>
      </c>
      <c r="J14" s="97" t="s">
        <v>85</v>
      </c>
      <c r="K14" s="97" t="s">
        <v>73</v>
      </c>
      <c r="L14">
        <v>701000</v>
      </c>
      <c r="M14" s="97" t="s">
        <v>62</v>
      </c>
      <c r="N14" s="97" t="s">
        <v>33</v>
      </c>
      <c r="O14">
        <v>2440</v>
      </c>
      <c r="P14">
        <v>0.95</v>
      </c>
      <c r="Q14">
        <v>2.3199999999999998</v>
      </c>
      <c r="R14" s="97" t="s">
        <v>1204</v>
      </c>
      <c r="S14" s="97" t="s">
        <v>195</v>
      </c>
    </row>
    <row r="15" spans="1:19" x14ac:dyDescent="0.3">
      <c r="A15" s="97" t="s">
        <v>208</v>
      </c>
      <c r="B15" s="97" t="s">
        <v>22</v>
      </c>
      <c r="C15">
        <v>2025</v>
      </c>
      <c r="D15">
        <v>1</v>
      </c>
      <c r="E15" s="2">
        <v>45684</v>
      </c>
      <c r="F15" s="97" t="s">
        <v>7</v>
      </c>
      <c r="G15" s="97" t="s">
        <v>8</v>
      </c>
      <c r="H15" s="97" t="s">
        <v>74</v>
      </c>
      <c r="I15" s="97" t="s">
        <v>84</v>
      </c>
      <c r="J15" s="97" t="s">
        <v>85</v>
      </c>
      <c r="K15" s="97" t="s">
        <v>73</v>
      </c>
      <c r="L15">
        <v>701000</v>
      </c>
      <c r="M15" s="97" t="s">
        <v>62</v>
      </c>
      <c r="N15" s="97" t="s">
        <v>33</v>
      </c>
      <c r="O15">
        <v>926</v>
      </c>
      <c r="P15">
        <v>0.95</v>
      </c>
      <c r="Q15">
        <v>0.88</v>
      </c>
      <c r="R15" s="97" t="s">
        <v>1200</v>
      </c>
      <c r="S15" s="97" t="s">
        <v>195</v>
      </c>
    </row>
    <row r="16" spans="1:19" x14ac:dyDescent="0.3">
      <c r="A16" s="97" t="s">
        <v>209</v>
      </c>
      <c r="B16" s="97" t="s">
        <v>22</v>
      </c>
      <c r="C16">
        <v>2025</v>
      </c>
      <c r="D16">
        <v>1</v>
      </c>
      <c r="E16" s="2">
        <v>45684</v>
      </c>
      <c r="F16" s="97" t="s">
        <v>7</v>
      </c>
      <c r="G16" s="97" t="s">
        <v>8</v>
      </c>
      <c r="H16" s="97" t="s">
        <v>74</v>
      </c>
      <c r="I16" s="97" t="s">
        <v>84</v>
      </c>
      <c r="J16" s="97" t="s">
        <v>85</v>
      </c>
      <c r="K16" s="97" t="s">
        <v>73</v>
      </c>
      <c r="L16">
        <v>701000</v>
      </c>
      <c r="M16" s="97" t="s">
        <v>62</v>
      </c>
      <c r="N16" s="97" t="s">
        <v>33</v>
      </c>
      <c r="O16">
        <v>6389</v>
      </c>
      <c r="P16">
        <v>0.95</v>
      </c>
      <c r="Q16">
        <v>6.06</v>
      </c>
      <c r="R16" s="97" t="s">
        <v>1198</v>
      </c>
      <c r="S16" s="97" t="s">
        <v>195</v>
      </c>
    </row>
    <row r="17" spans="1:19" x14ac:dyDescent="0.3">
      <c r="A17" s="97" t="s">
        <v>210</v>
      </c>
      <c r="B17" s="97" t="s">
        <v>22</v>
      </c>
      <c r="C17">
        <v>2025</v>
      </c>
      <c r="D17">
        <v>1</v>
      </c>
      <c r="E17" s="2">
        <v>45674</v>
      </c>
      <c r="F17" s="97" t="s">
        <v>7</v>
      </c>
      <c r="G17" s="97" t="s">
        <v>8</v>
      </c>
      <c r="H17" s="97" t="s">
        <v>74</v>
      </c>
      <c r="I17" s="97" t="s">
        <v>84</v>
      </c>
      <c r="J17" s="97" t="s">
        <v>85</v>
      </c>
      <c r="K17" s="97" t="s">
        <v>73</v>
      </c>
      <c r="L17">
        <v>701000</v>
      </c>
      <c r="M17" s="97" t="s">
        <v>62</v>
      </c>
      <c r="N17" s="97" t="s">
        <v>33</v>
      </c>
      <c r="O17">
        <v>4345</v>
      </c>
      <c r="P17">
        <v>0.95</v>
      </c>
      <c r="Q17">
        <v>4.13</v>
      </c>
      <c r="R17" s="97" t="s">
        <v>1199</v>
      </c>
      <c r="S17" s="97" t="s">
        <v>195</v>
      </c>
    </row>
    <row r="18" spans="1:19" x14ac:dyDescent="0.3">
      <c r="A18" s="97" t="s">
        <v>211</v>
      </c>
      <c r="B18" s="97" t="s">
        <v>22</v>
      </c>
      <c r="C18">
        <v>2025</v>
      </c>
      <c r="D18">
        <v>1</v>
      </c>
      <c r="E18" s="2">
        <v>45674</v>
      </c>
      <c r="F18" s="97" t="s">
        <v>7</v>
      </c>
      <c r="G18" s="97" t="s">
        <v>8</v>
      </c>
      <c r="H18" s="97" t="s">
        <v>74</v>
      </c>
      <c r="I18" s="97" t="s">
        <v>84</v>
      </c>
      <c r="J18" s="97" t="s">
        <v>85</v>
      </c>
      <c r="K18" s="97" t="s">
        <v>73</v>
      </c>
      <c r="L18">
        <v>701000</v>
      </c>
      <c r="M18" s="97" t="s">
        <v>62</v>
      </c>
      <c r="N18" s="97" t="s">
        <v>33</v>
      </c>
      <c r="O18">
        <v>2345</v>
      </c>
      <c r="P18">
        <v>0.95</v>
      </c>
      <c r="Q18">
        <v>2.23</v>
      </c>
      <c r="R18" s="97" t="s">
        <v>1202</v>
      </c>
      <c r="S18" s="97" t="s">
        <v>195</v>
      </c>
    </row>
    <row r="19" spans="1:19" x14ac:dyDescent="0.3">
      <c r="A19" s="97" t="s">
        <v>212</v>
      </c>
      <c r="B19" s="97" t="s">
        <v>22</v>
      </c>
      <c r="C19">
        <v>2025</v>
      </c>
      <c r="D19">
        <v>1</v>
      </c>
      <c r="E19" s="2">
        <v>45674</v>
      </c>
      <c r="F19" s="97" t="s">
        <v>7</v>
      </c>
      <c r="G19" s="97" t="s">
        <v>8</v>
      </c>
      <c r="H19" s="97" t="s">
        <v>74</v>
      </c>
      <c r="I19" s="97" t="s">
        <v>84</v>
      </c>
      <c r="J19" s="97" t="s">
        <v>85</v>
      </c>
      <c r="K19" s="97" t="s">
        <v>73</v>
      </c>
      <c r="L19">
        <v>701000</v>
      </c>
      <c r="M19" s="97" t="s">
        <v>62</v>
      </c>
      <c r="N19" s="97" t="s">
        <v>33</v>
      </c>
      <c r="O19">
        <v>1955</v>
      </c>
      <c r="P19">
        <v>0.95</v>
      </c>
      <c r="Q19">
        <v>1.86</v>
      </c>
      <c r="R19" s="97" t="s">
        <v>1198</v>
      </c>
      <c r="S19" s="97" t="s">
        <v>195</v>
      </c>
    </row>
    <row r="20" spans="1:19" x14ac:dyDescent="0.3">
      <c r="A20" s="97" t="s">
        <v>213</v>
      </c>
      <c r="B20" s="97" t="s">
        <v>22</v>
      </c>
      <c r="C20">
        <v>2025</v>
      </c>
      <c r="D20">
        <v>1</v>
      </c>
      <c r="E20" s="2">
        <v>45674</v>
      </c>
      <c r="F20" s="97" t="s">
        <v>7</v>
      </c>
      <c r="G20" s="97" t="s">
        <v>8</v>
      </c>
      <c r="H20" s="97" t="s">
        <v>74</v>
      </c>
      <c r="I20" s="97" t="s">
        <v>84</v>
      </c>
      <c r="J20" s="97" t="s">
        <v>85</v>
      </c>
      <c r="K20" s="97" t="s">
        <v>73</v>
      </c>
      <c r="L20">
        <v>701000</v>
      </c>
      <c r="M20" s="97" t="s">
        <v>62</v>
      </c>
      <c r="N20" s="97" t="s">
        <v>33</v>
      </c>
      <c r="O20">
        <v>1465</v>
      </c>
      <c r="P20">
        <v>0.95</v>
      </c>
      <c r="Q20">
        <v>1.39</v>
      </c>
      <c r="R20" s="97" t="s">
        <v>1205</v>
      </c>
      <c r="S20" s="97" t="s">
        <v>195</v>
      </c>
    </row>
    <row r="21" spans="1:19" x14ac:dyDescent="0.3">
      <c r="A21" s="97" t="s">
        <v>214</v>
      </c>
      <c r="B21" s="97" t="s">
        <v>22</v>
      </c>
      <c r="C21">
        <v>2025</v>
      </c>
      <c r="D21">
        <v>1</v>
      </c>
      <c r="E21" s="2">
        <v>45674</v>
      </c>
      <c r="F21" s="97" t="s">
        <v>7</v>
      </c>
      <c r="G21" s="97" t="s">
        <v>8</v>
      </c>
      <c r="H21" s="97" t="s">
        <v>74</v>
      </c>
      <c r="I21" s="97" t="s">
        <v>84</v>
      </c>
      <c r="J21" s="97" t="s">
        <v>85</v>
      </c>
      <c r="K21" s="97" t="s">
        <v>73</v>
      </c>
      <c r="L21">
        <v>701000</v>
      </c>
      <c r="M21" s="97" t="s">
        <v>62</v>
      </c>
      <c r="N21" s="97" t="s">
        <v>33</v>
      </c>
      <c r="O21">
        <v>1871</v>
      </c>
      <c r="P21">
        <v>0.95</v>
      </c>
      <c r="Q21">
        <v>1.77</v>
      </c>
      <c r="R21" s="97" t="s">
        <v>1203</v>
      </c>
      <c r="S21" s="97" t="s">
        <v>195</v>
      </c>
    </row>
    <row r="22" spans="1:19" x14ac:dyDescent="0.3">
      <c r="A22" s="97" t="s">
        <v>215</v>
      </c>
      <c r="B22" s="97" t="s">
        <v>22</v>
      </c>
      <c r="C22">
        <v>2025</v>
      </c>
      <c r="D22">
        <v>1</v>
      </c>
      <c r="E22" s="2">
        <v>45680</v>
      </c>
      <c r="F22" s="97" t="s">
        <v>7</v>
      </c>
      <c r="G22" s="97" t="s">
        <v>8</v>
      </c>
      <c r="H22" s="97" t="s">
        <v>70</v>
      </c>
      <c r="I22" s="97" t="s">
        <v>84</v>
      </c>
      <c r="J22" s="97" t="s">
        <v>85</v>
      </c>
      <c r="K22" s="97" t="s">
        <v>73</v>
      </c>
      <c r="L22">
        <v>707000</v>
      </c>
      <c r="M22" s="97" t="s">
        <v>81</v>
      </c>
      <c r="N22" s="97" t="s">
        <v>33</v>
      </c>
      <c r="O22">
        <v>2464</v>
      </c>
      <c r="P22">
        <v>0.95</v>
      </c>
      <c r="Q22">
        <v>2.34</v>
      </c>
      <c r="R22" s="97" t="s">
        <v>1200</v>
      </c>
      <c r="S22" s="97" t="s">
        <v>195</v>
      </c>
    </row>
    <row r="23" spans="1:19" x14ac:dyDescent="0.3">
      <c r="A23" s="97" t="s">
        <v>216</v>
      </c>
      <c r="B23" s="97" t="s">
        <v>22</v>
      </c>
      <c r="C23">
        <v>2025</v>
      </c>
      <c r="D23">
        <v>1</v>
      </c>
      <c r="E23" s="2">
        <v>45680</v>
      </c>
      <c r="F23" s="97" t="s">
        <v>7</v>
      </c>
      <c r="G23" s="97" t="s">
        <v>8</v>
      </c>
      <c r="H23" s="97" t="s">
        <v>70</v>
      </c>
      <c r="I23" s="97" t="s">
        <v>84</v>
      </c>
      <c r="J23" s="97" t="s">
        <v>85</v>
      </c>
      <c r="K23" s="97" t="s">
        <v>73</v>
      </c>
      <c r="L23">
        <v>707000</v>
      </c>
      <c r="M23" s="97" t="s">
        <v>81</v>
      </c>
      <c r="N23" s="97" t="s">
        <v>33</v>
      </c>
      <c r="O23">
        <v>2082</v>
      </c>
      <c r="P23">
        <v>0.95</v>
      </c>
      <c r="Q23">
        <v>1.98</v>
      </c>
      <c r="R23" s="97" t="s">
        <v>1197</v>
      </c>
      <c r="S23" s="97" t="s">
        <v>195</v>
      </c>
    </row>
    <row r="24" spans="1:19" x14ac:dyDescent="0.3">
      <c r="A24" s="97" t="s">
        <v>217</v>
      </c>
      <c r="B24" s="97" t="s">
        <v>22</v>
      </c>
      <c r="C24">
        <v>2025</v>
      </c>
      <c r="D24">
        <v>1</v>
      </c>
      <c r="E24" s="2">
        <v>45680</v>
      </c>
      <c r="F24" s="97" t="s">
        <v>7</v>
      </c>
      <c r="G24" s="97" t="s">
        <v>8</v>
      </c>
      <c r="H24" s="97" t="s">
        <v>70</v>
      </c>
      <c r="I24" s="97" t="s">
        <v>84</v>
      </c>
      <c r="J24" s="97" t="s">
        <v>85</v>
      </c>
      <c r="K24" s="97" t="s">
        <v>73</v>
      </c>
      <c r="L24">
        <v>707000</v>
      </c>
      <c r="M24" s="97" t="s">
        <v>81</v>
      </c>
      <c r="N24" s="97" t="s">
        <v>33</v>
      </c>
      <c r="O24">
        <v>793</v>
      </c>
      <c r="P24">
        <v>0.95</v>
      </c>
      <c r="Q24">
        <v>0.75</v>
      </c>
      <c r="R24" s="97" t="s">
        <v>1199</v>
      </c>
      <c r="S24" s="97" t="s">
        <v>195</v>
      </c>
    </row>
    <row r="25" spans="1:19" x14ac:dyDescent="0.3">
      <c r="A25" s="97" t="s">
        <v>218</v>
      </c>
      <c r="B25" s="97" t="s">
        <v>22</v>
      </c>
      <c r="C25">
        <v>2025</v>
      </c>
      <c r="D25">
        <v>1</v>
      </c>
      <c r="E25" s="2">
        <v>45680</v>
      </c>
      <c r="F25" s="97" t="s">
        <v>7</v>
      </c>
      <c r="G25" s="97" t="s">
        <v>8</v>
      </c>
      <c r="H25" s="97" t="s">
        <v>70</v>
      </c>
      <c r="I25" s="97" t="s">
        <v>84</v>
      </c>
      <c r="J25" s="97" t="s">
        <v>85</v>
      </c>
      <c r="K25" s="97" t="s">
        <v>73</v>
      </c>
      <c r="L25">
        <v>707000</v>
      </c>
      <c r="M25" s="97" t="s">
        <v>81</v>
      </c>
      <c r="N25" s="97" t="s">
        <v>33</v>
      </c>
      <c r="O25">
        <v>1722</v>
      </c>
      <c r="P25">
        <v>0.95</v>
      </c>
      <c r="Q25">
        <v>1.64</v>
      </c>
      <c r="R25" s="97" t="s">
        <v>1204</v>
      </c>
      <c r="S25" s="97" t="s">
        <v>195</v>
      </c>
    </row>
    <row r="26" spans="1:19" x14ac:dyDescent="0.3">
      <c r="A26" s="97" t="s">
        <v>219</v>
      </c>
      <c r="B26" s="97" t="s">
        <v>22</v>
      </c>
      <c r="C26">
        <v>2025</v>
      </c>
      <c r="D26">
        <v>1</v>
      </c>
      <c r="E26" s="2">
        <v>45680</v>
      </c>
      <c r="F26" s="97" t="s">
        <v>7</v>
      </c>
      <c r="G26" s="97" t="s">
        <v>8</v>
      </c>
      <c r="H26" s="97" t="s">
        <v>70</v>
      </c>
      <c r="I26" s="97" t="s">
        <v>84</v>
      </c>
      <c r="J26" s="97" t="s">
        <v>85</v>
      </c>
      <c r="K26" s="97" t="s">
        <v>73</v>
      </c>
      <c r="L26">
        <v>707000</v>
      </c>
      <c r="M26" s="97" t="s">
        <v>81</v>
      </c>
      <c r="N26" s="97" t="s">
        <v>33</v>
      </c>
      <c r="O26">
        <v>3803</v>
      </c>
      <c r="P26">
        <v>0.95</v>
      </c>
      <c r="Q26">
        <v>3.61</v>
      </c>
      <c r="R26" s="97" t="s">
        <v>1198</v>
      </c>
      <c r="S26" s="97" t="s">
        <v>195</v>
      </c>
    </row>
    <row r="27" spans="1:19" x14ac:dyDescent="0.3">
      <c r="A27" s="97" t="s">
        <v>220</v>
      </c>
      <c r="B27" s="97" t="s">
        <v>22</v>
      </c>
      <c r="C27">
        <v>2025</v>
      </c>
      <c r="D27">
        <v>1</v>
      </c>
      <c r="E27" s="2">
        <v>45671</v>
      </c>
      <c r="F27" s="97" t="s">
        <v>7</v>
      </c>
      <c r="G27" s="97" t="s">
        <v>8</v>
      </c>
      <c r="H27" s="97" t="s">
        <v>74</v>
      </c>
      <c r="I27" s="97" t="s">
        <v>84</v>
      </c>
      <c r="J27" s="97" t="s">
        <v>85</v>
      </c>
      <c r="K27" s="97" t="s">
        <v>73</v>
      </c>
      <c r="L27">
        <v>701000</v>
      </c>
      <c r="M27" s="97" t="s">
        <v>62</v>
      </c>
      <c r="N27" s="97" t="s">
        <v>33</v>
      </c>
      <c r="O27">
        <v>1142</v>
      </c>
      <c r="P27">
        <v>0.95</v>
      </c>
      <c r="Q27">
        <v>1.0900000000000001</v>
      </c>
      <c r="R27" s="97" t="s">
        <v>1198</v>
      </c>
      <c r="S27" s="97" t="s">
        <v>195</v>
      </c>
    </row>
    <row r="28" spans="1:19" x14ac:dyDescent="0.3">
      <c r="A28" s="97" t="s">
        <v>221</v>
      </c>
      <c r="B28" s="97" t="s">
        <v>22</v>
      </c>
      <c r="C28">
        <v>2025</v>
      </c>
      <c r="D28">
        <v>1</v>
      </c>
      <c r="E28" s="2">
        <v>45671</v>
      </c>
      <c r="F28" s="97" t="s">
        <v>7</v>
      </c>
      <c r="G28" s="97" t="s">
        <v>8</v>
      </c>
      <c r="H28" s="97" t="s">
        <v>74</v>
      </c>
      <c r="I28" s="97" t="s">
        <v>84</v>
      </c>
      <c r="J28" s="97" t="s">
        <v>85</v>
      </c>
      <c r="K28" s="97" t="s">
        <v>73</v>
      </c>
      <c r="L28">
        <v>701000</v>
      </c>
      <c r="M28" s="97" t="s">
        <v>62</v>
      </c>
      <c r="N28" s="97" t="s">
        <v>33</v>
      </c>
      <c r="O28">
        <v>3460</v>
      </c>
      <c r="P28">
        <v>0.95</v>
      </c>
      <c r="Q28">
        <v>3.29</v>
      </c>
      <c r="R28" s="97" t="s">
        <v>1197</v>
      </c>
      <c r="S28" s="97" t="s">
        <v>195</v>
      </c>
    </row>
    <row r="29" spans="1:19" x14ac:dyDescent="0.3">
      <c r="A29" s="97" t="s">
        <v>222</v>
      </c>
      <c r="B29" s="97" t="s">
        <v>22</v>
      </c>
      <c r="C29">
        <v>2025</v>
      </c>
      <c r="D29">
        <v>1</v>
      </c>
      <c r="E29" s="2">
        <v>45671</v>
      </c>
      <c r="F29" s="97" t="s">
        <v>7</v>
      </c>
      <c r="G29" s="97" t="s">
        <v>8</v>
      </c>
      <c r="H29" s="97" t="s">
        <v>74</v>
      </c>
      <c r="I29" s="97" t="s">
        <v>84</v>
      </c>
      <c r="J29" s="97" t="s">
        <v>85</v>
      </c>
      <c r="K29" s="97" t="s">
        <v>73</v>
      </c>
      <c r="L29">
        <v>701000</v>
      </c>
      <c r="M29" s="97" t="s">
        <v>62</v>
      </c>
      <c r="N29" s="97" t="s">
        <v>33</v>
      </c>
      <c r="O29">
        <v>4394</v>
      </c>
      <c r="P29">
        <v>0.95</v>
      </c>
      <c r="Q29">
        <v>4.17</v>
      </c>
      <c r="R29" s="97" t="s">
        <v>1204</v>
      </c>
      <c r="S29" s="97" t="s">
        <v>195</v>
      </c>
    </row>
    <row r="30" spans="1:19" x14ac:dyDescent="0.3">
      <c r="A30" s="97" t="s">
        <v>223</v>
      </c>
      <c r="B30" s="97" t="s">
        <v>22</v>
      </c>
      <c r="C30">
        <v>2025</v>
      </c>
      <c r="D30">
        <v>1</v>
      </c>
      <c r="E30" s="2">
        <v>45671</v>
      </c>
      <c r="F30" s="97" t="s">
        <v>7</v>
      </c>
      <c r="G30" s="97" t="s">
        <v>8</v>
      </c>
      <c r="H30" s="97" t="s">
        <v>74</v>
      </c>
      <c r="I30" s="97" t="s">
        <v>84</v>
      </c>
      <c r="J30" s="97" t="s">
        <v>85</v>
      </c>
      <c r="K30" s="97" t="s">
        <v>73</v>
      </c>
      <c r="L30">
        <v>701000</v>
      </c>
      <c r="M30" s="97" t="s">
        <v>62</v>
      </c>
      <c r="N30" s="97" t="s">
        <v>33</v>
      </c>
      <c r="O30">
        <v>834</v>
      </c>
      <c r="P30">
        <v>0.95</v>
      </c>
      <c r="Q30">
        <v>0.79</v>
      </c>
      <c r="R30" s="97" t="s">
        <v>1202</v>
      </c>
      <c r="S30" s="97" t="s">
        <v>195</v>
      </c>
    </row>
    <row r="31" spans="1:19" x14ac:dyDescent="0.3">
      <c r="A31" s="97" t="s">
        <v>224</v>
      </c>
      <c r="B31" s="97" t="s">
        <v>22</v>
      </c>
      <c r="C31">
        <v>2025</v>
      </c>
      <c r="D31">
        <v>1</v>
      </c>
      <c r="E31" s="2">
        <v>45671</v>
      </c>
      <c r="F31" s="97" t="s">
        <v>7</v>
      </c>
      <c r="G31" s="97" t="s">
        <v>8</v>
      </c>
      <c r="H31" s="97" t="s">
        <v>74</v>
      </c>
      <c r="I31" s="97" t="s">
        <v>84</v>
      </c>
      <c r="J31" s="97" t="s">
        <v>85</v>
      </c>
      <c r="K31" s="97" t="s">
        <v>73</v>
      </c>
      <c r="L31">
        <v>701000</v>
      </c>
      <c r="M31" s="97" t="s">
        <v>62</v>
      </c>
      <c r="N31" s="97" t="s">
        <v>33</v>
      </c>
      <c r="O31">
        <v>5311</v>
      </c>
      <c r="P31">
        <v>0.95</v>
      </c>
      <c r="Q31">
        <v>5.04</v>
      </c>
      <c r="R31" s="97" t="s">
        <v>1200</v>
      </c>
      <c r="S31" s="97" t="s">
        <v>195</v>
      </c>
    </row>
    <row r="32" spans="1:19" x14ac:dyDescent="0.3">
      <c r="A32" s="97" t="s">
        <v>225</v>
      </c>
      <c r="B32" s="97" t="s">
        <v>22</v>
      </c>
      <c r="C32">
        <v>2025</v>
      </c>
      <c r="D32">
        <v>1</v>
      </c>
      <c r="E32" s="2">
        <v>45677</v>
      </c>
      <c r="F32" s="97" t="s">
        <v>7</v>
      </c>
      <c r="G32" s="97" t="s">
        <v>8</v>
      </c>
      <c r="H32" s="97" t="s">
        <v>74</v>
      </c>
      <c r="I32" s="97" t="s">
        <v>84</v>
      </c>
      <c r="J32" s="97" t="s">
        <v>85</v>
      </c>
      <c r="K32" s="97" t="s">
        <v>73</v>
      </c>
      <c r="L32">
        <v>701000</v>
      </c>
      <c r="M32" s="97" t="s">
        <v>62</v>
      </c>
      <c r="N32" s="97" t="s">
        <v>33</v>
      </c>
      <c r="O32">
        <v>1889</v>
      </c>
      <c r="P32">
        <v>0.95</v>
      </c>
      <c r="Q32">
        <v>1.79</v>
      </c>
      <c r="R32" s="97" t="s">
        <v>1197</v>
      </c>
      <c r="S32" s="97" t="s">
        <v>195</v>
      </c>
    </row>
    <row r="33" spans="1:19" x14ac:dyDescent="0.3">
      <c r="A33" s="97" t="s">
        <v>226</v>
      </c>
      <c r="B33" s="97" t="s">
        <v>22</v>
      </c>
      <c r="C33">
        <v>2025</v>
      </c>
      <c r="D33">
        <v>1</v>
      </c>
      <c r="E33" s="2">
        <v>45677</v>
      </c>
      <c r="F33" s="97" t="s">
        <v>7</v>
      </c>
      <c r="G33" s="97" t="s">
        <v>8</v>
      </c>
      <c r="H33" s="97" t="s">
        <v>74</v>
      </c>
      <c r="I33" s="97" t="s">
        <v>84</v>
      </c>
      <c r="J33" s="97" t="s">
        <v>85</v>
      </c>
      <c r="K33" s="97" t="s">
        <v>73</v>
      </c>
      <c r="L33">
        <v>701000</v>
      </c>
      <c r="M33" s="97" t="s">
        <v>62</v>
      </c>
      <c r="N33" s="97" t="s">
        <v>33</v>
      </c>
      <c r="O33">
        <v>3827</v>
      </c>
      <c r="P33">
        <v>0.95</v>
      </c>
      <c r="Q33">
        <v>3.63</v>
      </c>
      <c r="R33" s="97" t="s">
        <v>1204</v>
      </c>
      <c r="S33" s="97" t="s">
        <v>195</v>
      </c>
    </row>
    <row r="34" spans="1:19" x14ac:dyDescent="0.3">
      <c r="A34" s="97" t="s">
        <v>227</v>
      </c>
      <c r="B34" s="97" t="s">
        <v>22</v>
      </c>
      <c r="C34">
        <v>2025</v>
      </c>
      <c r="D34">
        <v>1</v>
      </c>
      <c r="E34" s="2">
        <v>45677</v>
      </c>
      <c r="F34" s="97" t="s">
        <v>7</v>
      </c>
      <c r="G34" s="97" t="s">
        <v>8</v>
      </c>
      <c r="H34" s="97" t="s">
        <v>74</v>
      </c>
      <c r="I34" s="97" t="s">
        <v>84</v>
      </c>
      <c r="J34" s="97" t="s">
        <v>85</v>
      </c>
      <c r="K34" s="97" t="s">
        <v>73</v>
      </c>
      <c r="L34">
        <v>701000</v>
      </c>
      <c r="M34" s="97" t="s">
        <v>62</v>
      </c>
      <c r="N34" s="97" t="s">
        <v>33</v>
      </c>
      <c r="O34">
        <v>1398</v>
      </c>
      <c r="P34">
        <v>0.95</v>
      </c>
      <c r="Q34">
        <v>1.33</v>
      </c>
      <c r="R34" s="97" t="s">
        <v>1205</v>
      </c>
      <c r="S34" s="97" t="s">
        <v>195</v>
      </c>
    </row>
    <row r="35" spans="1:19" x14ac:dyDescent="0.3">
      <c r="A35" s="97" t="s">
        <v>228</v>
      </c>
      <c r="B35" s="97" t="s">
        <v>22</v>
      </c>
      <c r="C35">
        <v>2025</v>
      </c>
      <c r="D35">
        <v>1</v>
      </c>
      <c r="E35" s="2">
        <v>45677</v>
      </c>
      <c r="F35" s="97" t="s">
        <v>7</v>
      </c>
      <c r="G35" s="97" t="s">
        <v>8</v>
      </c>
      <c r="H35" s="97" t="s">
        <v>74</v>
      </c>
      <c r="I35" s="97" t="s">
        <v>84</v>
      </c>
      <c r="J35" s="97" t="s">
        <v>85</v>
      </c>
      <c r="K35" s="97" t="s">
        <v>73</v>
      </c>
      <c r="L35">
        <v>701000</v>
      </c>
      <c r="M35" s="97" t="s">
        <v>62</v>
      </c>
      <c r="N35" s="97" t="s">
        <v>33</v>
      </c>
      <c r="O35">
        <v>3018</v>
      </c>
      <c r="P35">
        <v>0.95</v>
      </c>
      <c r="Q35">
        <v>2.87</v>
      </c>
      <c r="R35" s="97" t="s">
        <v>1198</v>
      </c>
      <c r="S35" s="97" t="s">
        <v>195</v>
      </c>
    </row>
    <row r="36" spans="1:19" x14ac:dyDescent="0.3">
      <c r="A36" s="97" t="s">
        <v>229</v>
      </c>
      <c r="B36" s="97" t="s">
        <v>22</v>
      </c>
      <c r="C36">
        <v>2025</v>
      </c>
      <c r="D36">
        <v>1</v>
      </c>
      <c r="E36" s="2">
        <v>45677</v>
      </c>
      <c r="F36" s="97" t="s">
        <v>7</v>
      </c>
      <c r="G36" s="97" t="s">
        <v>8</v>
      </c>
      <c r="H36" s="97" t="s">
        <v>74</v>
      </c>
      <c r="I36" s="97" t="s">
        <v>84</v>
      </c>
      <c r="J36" s="97" t="s">
        <v>85</v>
      </c>
      <c r="K36" s="97" t="s">
        <v>73</v>
      </c>
      <c r="L36">
        <v>701000</v>
      </c>
      <c r="M36" s="97" t="s">
        <v>62</v>
      </c>
      <c r="N36" s="97" t="s">
        <v>33</v>
      </c>
      <c r="O36">
        <v>3903</v>
      </c>
      <c r="P36">
        <v>0.95</v>
      </c>
      <c r="Q36">
        <v>3.71</v>
      </c>
      <c r="R36" s="97" t="s">
        <v>1199</v>
      </c>
      <c r="S36" s="97" t="s">
        <v>195</v>
      </c>
    </row>
    <row r="37" spans="1:19" x14ac:dyDescent="0.3">
      <c r="A37" s="97" t="s">
        <v>230</v>
      </c>
      <c r="B37" s="97" t="s">
        <v>22</v>
      </c>
      <c r="C37">
        <v>2025</v>
      </c>
      <c r="D37">
        <v>1</v>
      </c>
      <c r="E37" s="2">
        <v>45672</v>
      </c>
      <c r="F37" s="97" t="s">
        <v>7</v>
      </c>
      <c r="G37" s="97" t="s">
        <v>8</v>
      </c>
      <c r="H37" s="97" t="s">
        <v>74</v>
      </c>
      <c r="I37" s="97" t="s">
        <v>84</v>
      </c>
      <c r="J37" s="97" t="s">
        <v>85</v>
      </c>
      <c r="K37" s="97" t="s">
        <v>73</v>
      </c>
      <c r="L37">
        <v>701000</v>
      </c>
      <c r="M37" s="97" t="s">
        <v>62</v>
      </c>
      <c r="N37" s="97" t="s">
        <v>33</v>
      </c>
      <c r="O37">
        <v>1774</v>
      </c>
      <c r="P37">
        <v>0.95</v>
      </c>
      <c r="Q37">
        <v>1.68</v>
      </c>
      <c r="R37" s="97" t="s">
        <v>1203</v>
      </c>
      <c r="S37" s="97" t="s">
        <v>195</v>
      </c>
    </row>
    <row r="38" spans="1:19" x14ac:dyDescent="0.3">
      <c r="A38" s="97" t="s">
        <v>231</v>
      </c>
      <c r="B38" s="97" t="s">
        <v>22</v>
      </c>
      <c r="C38">
        <v>2025</v>
      </c>
      <c r="D38">
        <v>1</v>
      </c>
      <c r="E38" s="2">
        <v>45672</v>
      </c>
      <c r="F38" s="97" t="s">
        <v>7</v>
      </c>
      <c r="G38" s="97" t="s">
        <v>8</v>
      </c>
      <c r="H38" s="97" t="s">
        <v>74</v>
      </c>
      <c r="I38" s="97" t="s">
        <v>84</v>
      </c>
      <c r="J38" s="97" t="s">
        <v>85</v>
      </c>
      <c r="K38" s="97" t="s">
        <v>73</v>
      </c>
      <c r="L38">
        <v>701000</v>
      </c>
      <c r="M38" s="97" t="s">
        <v>62</v>
      </c>
      <c r="N38" s="97" t="s">
        <v>33</v>
      </c>
      <c r="O38">
        <v>3237</v>
      </c>
      <c r="P38">
        <v>0.95</v>
      </c>
      <c r="Q38">
        <v>3.07</v>
      </c>
      <c r="R38" s="97" t="s">
        <v>1198</v>
      </c>
      <c r="S38" s="97" t="s">
        <v>195</v>
      </c>
    </row>
    <row r="39" spans="1:19" x14ac:dyDescent="0.3">
      <c r="A39" s="97" t="s">
        <v>232</v>
      </c>
      <c r="B39" s="97" t="s">
        <v>22</v>
      </c>
      <c r="C39">
        <v>2025</v>
      </c>
      <c r="D39">
        <v>1</v>
      </c>
      <c r="E39" s="2">
        <v>45672</v>
      </c>
      <c r="F39" s="97" t="s">
        <v>7</v>
      </c>
      <c r="G39" s="97" t="s">
        <v>8</v>
      </c>
      <c r="H39" s="97" t="s">
        <v>74</v>
      </c>
      <c r="I39" s="97" t="s">
        <v>84</v>
      </c>
      <c r="J39" s="97" t="s">
        <v>85</v>
      </c>
      <c r="K39" s="97" t="s">
        <v>73</v>
      </c>
      <c r="L39">
        <v>701000</v>
      </c>
      <c r="M39" s="97" t="s">
        <v>62</v>
      </c>
      <c r="N39" s="97" t="s">
        <v>33</v>
      </c>
      <c r="O39">
        <v>4085</v>
      </c>
      <c r="P39">
        <v>0.95</v>
      </c>
      <c r="Q39">
        <v>3.88</v>
      </c>
      <c r="R39" s="97" t="s">
        <v>1205</v>
      </c>
      <c r="S39" s="97" t="s">
        <v>195</v>
      </c>
    </row>
    <row r="40" spans="1:19" x14ac:dyDescent="0.3">
      <c r="A40" s="97" t="s">
        <v>233</v>
      </c>
      <c r="B40" s="97" t="s">
        <v>22</v>
      </c>
      <c r="C40">
        <v>2025</v>
      </c>
      <c r="D40">
        <v>1</v>
      </c>
      <c r="E40" s="2">
        <v>45672</v>
      </c>
      <c r="F40" s="97" t="s">
        <v>7</v>
      </c>
      <c r="G40" s="97" t="s">
        <v>8</v>
      </c>
      <c r="H40" s="97" t="s">
        <v>74</v>
      </c>
      <c r="I40" s="97" t="s">
        <v>84</v>
      </c>
      <c r="J40" s="97" t="s">
        <v>85</v>
      </c>
      <c r="K40" s="97" t="s">
        <v>73</v>
      </c>
      <c r="L40">
        <v>701000</v>
      </c>
      <c r="M40" s="97" t="s">
        <v>62</v>
      </c>
      <c r="N40" s="97" t="s">
        <v>33</v>
      </c>
      <c r="O40">
        <v>2231</v>
      </c>
      <c r="P40">
        <v>0.95</v>
      </c>
      <c r="Q40">
        <v>2.12</v>
      </c>
      <c r="R40" s="97" t="s">
        <v>1200</v>
      </c>
      <c r="S40" s="97" t="s">
        <v>195</v>
      </c>
    </row>
    <row r="41" spans="1:19" x14ac:dyDescent="0.3">
      <c r="A41" s="97" t="s">
        <v>234</v>
      </c>
      <c r="B41" s="97" t="s">
        <v>22</v>
      </c>
      <c r="C41">
        <v>2025</v>
      </c>
      <c r="D41">
        <v>1</v>
      </c>
      <c r="E41" s="2">
        <v>45672</v>
      </c>
      <c r="F41" s="97" t="s">
        <v>7</v>
      </c>
      <c r="G41" s="97" t="s">
        <v>8</v>
      </c>
      <c r="H41" s="97" t="s">
        <v>74</v>
      </c>
      <c r="I41" s="97" t="s">
        <v>84</v>
      </c>
      <c r="J41" s="97" t="s">
        <v>85</v>
      </c>
      <c r="K41" s="97" t="s">
        <v>73</v>
      </c>
      <c r="L41">
        <v>701000</v>
      </c>
      <c r="M41" s="97" t="s">
        <v>62</v>
      </c>
      <c r="N41" s="97" t="s">
        <v>33</v>
      </c>
      <c r="O41">
        <v>381</v>
      </c>
      <c r="P41">
        <v>0.97</v>
      </c>
      <c r="Q41">
        <v>0.37</v>
      </c>
      <c r="R41" s="97" t="s">
        <v>1199</v>
      </c>
      <c r="S41" s="97" t="s">
        <v>195</v>
      </c>
    </row>
    <row r="42" spans="1:19" x14ac:dyDescent="0.3">
      <c r="A42" s="97" t="s">
        <v>235</v>
      </c>
      <c r="B42" s="97" t="s">
        <v>22</v>
      </c>
      <c r="C42">
        <v>2025</v>
      </c>
      <c r="D42">
        <v>1</v>
      </c>
      <c r="E42" s="2">
        <v>45668</v>
      </c>
      <c r="F42" s="97" t="s">
        <v>7</v>
      </c>
      <c r="G42" s="97" t="s">
        <v>8</v>
      </c>
      <c r="H42" s="97" t="s">
        <v>74</v>
      </c>
      <c r="I42" s="97" t="s">
        <v>84</v>
      </c>
      <c r="J42" s="97" t="s">
        <v>85</v>
      </c>
      <c r="K42" s="97" t="s">
        <v>73</v>
      </c>
      <c r="L42">
        <v>701000</v>
      </c>
      <c r="M42" s="97" t="s">
        <v>62</v>
      </c>
      <c r="N42" s="97" t="s">
        <v>33</v>
      </c>
      <c r="O42">
        <v>3029</v>
      </c>
      <c r="P42">
        <v>0.95</v>
      </c>
      <c r="Q42">
        <v>2.88</v>
      </c>
      <c r="R42" s="97" t="s">
        <v>1199</v>
      </c>
      <c r="S42" s="97" t="s">
        <v>195</v>
      </c>
    </row>
    <row r="43" spans="1:19" x14ac:dyDescent="0.3">
      <c r="A43" s="97" t="s">
        <v>236</v>
      </c>
      <c r="B43" s="97" t="s">
        <v>22</v>
      </c>
      <c r="C43">
        <v>2025</v>
      </c>
      <c r="D43">
        <v>1</v>
      </c>
      <c r="E43" s="2">
        <v>45668</v>
      </c>
      <c r="F43" s="97" t="s">
        <v>7</v>
      </c>
      <c r="G43" s="97" t="s">
        <v>8</v>
      </c>
      <c r="H43" s="97" t="s">
        <v>74</v>
      </c>
      <c r="I43" s="97" t="s">
        <v>84</v>
      </c>
      <c r="J43" s="97" t="s">
        <v>85</v>
      </c>
      <c r="K43" s="97" t="s">
        <v>73</v>
      </c>
      <c r="L43">
        <v>701000</v>
      </c>
      <c r="M43" s="97" t="s">
        <v>62</v>
      </c>
      <c r="N43" s="97" t="s">
        <v>33</v>
      </c>
      <c r="O43">
        <v>3076</v>
      </c>
      <c r="P43">
        <v>0.95</v>
      </c>
      <c r="Q43">
        <v>2.92</v>
      </c>
      <c r="R43" s="97" t="s">
        <v>1198</v>
      </c>
      <c r="S43" s="97" t="s">
        <v>195</v>
      </c>
    </row>
    <row r="44" spans="1:19" x14ac:dyDescent="0.3">
      <c r="A44" s="97" t="s">
        <v>237</v>
      </c>
      <c r="B44" s="97" t="s">
        <v>22</v>
      </c>
      <c r="C44">
        <v>2025</v>
      </c>
      <c r="D44">
        <v>1</v>
      </c>
      <c r="E44" s="2">
        <v>45668</v>
      </c>
      <c r="F44" s="97" t="s">
        <v>7</v>
      </c>
      <c r="G44" s="97" t="s">
        <v>8</v>
      </c>
      <c r="H44" s="97" t="s">
        <v>74</v>
      </c>
      <c r="I44" s="97" t="s">
        <v>84</v>
      </c>
      <c r="J44" s="97" t="s">
        <v>85</v>
      </c>
      <c r="K44" s="97" t="s">
        <v>73</v>
      </c>
      <c r="L44">
        <v>701000</v>
      </c>
      <c r="M44" s="97" t="s">
        <v>62</v>
      </c>
      <c r="N44" s="97" t="s">
        <v>33</v>
      </c>
      <c r="O44">
        <v>1509</v>
      </c>
      <c r="P44">
        <v>0.95</v>
      </c>
      <c r="Q44">
        <v>1.43</v>
      </c>
      <c r="R44" s="97" t="s">
        <v>1200</v>
      </c>
      <c r="S44" s="97" t="s">
        <v>195</v>
      </c>
    </row>
    <row r="45" spans="1:19" x14ac:dyDescent="0.3">
      <c r="A45" s="97" t="s">
        <v>238</v>
      </c>
      <c r="B45" s="97" t="s">
        <v>22</v>
      </c>
      <c r="C45">
        <v>2025</v>
      </c>
      <c r="D45">
        <v>1</v>
      </c>
      <c r="E45" s="2">
        <v>45668</v>
      </c>
      <c r="F45" s="97" t="s">
        <v>7</v>
      </c>
      <c r="G45" s="97" t="s">
        <v>8</v>
      </c>
      <c r="H45" s="97" t="s">
        <v>74</v>
      </c>
      <c r="I45" s="97" t="s">
        <v>84</v>
      </c>
      <c r="J45" s="97" t="s">
        <v>85</v>
      </c>
      <c r="K45" s="97" t="s">
        <v>73</v>
      </c>
      <c r="L45">
        <v>701000</v>
      </c>
      <c r="M45" s="97" t="s">
        <v>62</v>
      </c>
      <c r="N45" s="97" t="s">
        <v>33</v>
      </c>
      <c r="O45">
        <v>5861</v>
      </c>
      <c r="P45">
        <v>0.95</v>
      </c>
      <c r="Q45">
        <v>5.57</v>
      </c>
      <c r="R45" s="97" t="s">
        <v>1202</v>
      </c>
      <c r="S45" s="97" t="s">
        <v>195</v>
      </c>
    </row>
    <row r="46" spans="1:19" x14ac:dyDescent="0.3">
      <c r="A46" s="97" t="s">
        <v>239</v>
      </c>
      <c r="B46" s="97" t="s">
        <v>22</v>
      </c>
      <c r="C46">
        <v>2025</v>
      </c>
      <c r="D46">
        <v>1</v>
      </c>
      <c r="E46" s="2">
        <v>45668</v>
      </c>
      <c r="F46" s="97" t="s">
        <v>7</v>
      </c>
      <c r="G46" s="97" t="s">
        <v>8</v>
      </c>
      <c r="H46" s="97" t="s">
        <v>74</v>
      </c>
      <c r="I46" s="97" t="s">
        <v>84</v>
      </c>
      <c r="J46" s="97" t="s">
        <v>85</v>
      </c>
      <c r="K46" s="97" t="s">
        <v>73</v>
      </c>
      <c r="L46">
        <v>701000</v>
      </c>
      <c r="M46" s="97" t="s">
        <v>62</v>
      </c>
      <c r="N46" s="97" t="s">
        <v>33</v>
      </c>
      <c r="O46">
        <v>1434</v>
      </c>
      <c r="P46">
        <v>0.95</v>
      </c>
      <c r="Q46">
        <v>1.36</v>
      </c>
      <c r="R46" s="97" t="s">
        <v>1204</v>
      </c>
      <c r="S46" s="97" t="s">
        <v>195</v>
      </c>
    </row>
    <row r="47" spans="1:19" x14ac:dyDescent="0.3">
      <c r="A47" s="97" t="s">
        <v>240</v>
      </c>
      <c r="B47" s="97" t="s">
        <v>22</v>
      </c>
      <c r="C47">
        <v>2025</v>
      </c>
      <c r="D47">
        <v>1</v>
      </c>
      <c r="E47" s="2">
        <v>45663</v>
      </c>
      <c r="F47" s="97" t="s">
        <v>7</v>
      </c>
      <c r="G47" s="97" t="s">
        <v>8</v>
      </c>
      <c r="H47" s="97" t="s">
        <v>70</v>
      </c>
      <c r="I47" s="97" t="s">
        <v>84</v>
      </c>
      <c r="J47" s="97" t="s">
        <v>85</v>
      </c>
      <c r="K47" s="97" t="s">
        <v>73</v>
      </c>
      <c r="L47">
        <v>706000</v>
      </c>
      <c r="M47" s="97" t="s">
        <v>63</v>
      </c>
      <c r="N47" s="97" t="s">
        <v>33</v>
      </c>
      <c r="O47">
        <v>1123</v>
      </c>
      <c r="P47">
        <v>0.95</v>
      </c>
      <c r="Q47">
        <v>1.07</v>
      </c>
      <c r="R47" s="97" t="s">
        <v>1198</v>
      </c>
      <c r="S47" s="97" t="s">
        <v>195</v>
      </c>
    </row>
    <row r="48" spans="1:19" x14ac:dyDescent="0.3">
      <c r="A48" s="97" t="s">
        <v>241</v>
      </c>
      <c r="B48" s="97" t="s">
        <v>22</v>
      </c>
      <c r="C48">
        <v>2025</v>
      </c>
      <c r="D48">
        <v>1</v>
      </c>
      <c r="E48" s="2">
        <v>45663</v>
      </c>
      <c r="F48" s="97" t="s">
        <v>7</v>
      </c>
      <c r="G48" s="97" t="s">
        <v>8</v>
      </c>
      <c r="H48" s="97" t="s">
        <v>70</v>
      </c>
      <c r="I48" s="97" t="s">
        <v>84</v>
      </c>
      <c r="J48" s="97" t="s">
        <v>85</v>
      </c>
      <c r="K48" s="97" t="s">
        <v>73</v>
      </c>
      <c r="L48">
        <v>706000</v>
      </c>
      <c r="M48" s="97" t="s">
        <v>63</v>
      </c>
      <c r="N48" s="97" t="s">
        <v>33</v>
      </c>
      <c r="O48">
        <v>3424</v>
      </c>
      <c r="P48">
        <v>0.95</v>
      </c>
      <c r="Q48">
        <v>3.25</v>
      </c>
      <c r="R48" s="97" t="s">
        <v>1199</v>
      </c>
      <c r="S48" s="97" t="s">
        <v>195</v>
      </c>
    </row>
    <row r="49" spans="1:19" x14ac:dyDescent="0.3">
      <c r="A49" s="97" t="s">
        <v>242</v>
      </c>
      <c r="B49" s="97" t="s">
        <v>22</v>
      </c>
      <c r="C49">
        <v>2025</v>
      </c>
      <c r="D49">
        <v>1</v>
      </c>
      <c r="E49" s="2">
        <v>45663</v>
      </c>
      <c r="F49" s="97" t="s">
        <v>7</v>
      </c>
      <c r="G49" s="97" t="s">
        <v>8</v>
      </c>
      <c r="H49" s="97" t="s">
        <v>70</v>
      </c>
      <c r="I49" s="97" t="s">
        <v>84</v>
      </c>
      <c r="J49" s="97" t="s">
        <v>85</v>
      </c>
      <c r="K49" s="97" t="s">
        <v>73</v>
      </c>
      <c r="L49">
        <v>706000</v>
      </c>
      <c r="M49" s="97" t="s">
        <v>63</v>
      </c>
      <c r="N49" s="97" t="s">
        <v>33</v>
      </c>
      <c r="O49">
        <v>3670</v>
      </c>
      <c r="P49">
        <v>0.95</v>
      </c>
      <c r="Q49">
        <v>3.49</v>
      </c>
      <c r="R49" s="97" t="s">
        <v>1200</v>
      </c>
      <c r="S49" s="97" t="s">
        <v>195</v>
      </c>
    </row>
    <row r="50" spans="1:19" x14ac:dyDescent="0.3">
      <c r="A50" s="97" t="s">
        <v>243</v>
      </c>
      <c r="B50" s="97" t="s">
        <v>22</v>
      </c>
      <c r="C50">
        <v>2025</v>
      </c>
      <c r="D50">
        <v>1</v>
      </c>
      <c r="E50" s="2">
        <v>45663</v>
      </c>
      <c r="F50" s="97" t="s">
        <v>7</v>
      </c>
      <c r="G50" s="97" t="s">
        <v>8</v>
      </c>
      <c r="H50" s="97" t="s">
        <v>70</v>
      </c>
      <c r="I50" s="97" t="s">
        <v>84</v>
      </c>
      <c r="J50" s="97" t="s">
        <v>85</v>
      </c>
      <c r="K50" s="97" t="s">
        <v>73</v>
      </c>
      <c r="L50">
        <v>706000</v>
      </c>
      <c r="M50" s="97" t="s">
        <v>63</v>
      </c>
      <c r="N50" s="97" t="s">
        <v>33</v>
      </c>
      <c r="O50">
        <v>4565</v>
      </c>
      <c r="P50">
        <v>0.95</v>
      </c>
      <c r="Q50">
        <v>4.34</v>
      </c>
      <c r="R50" s="97" t="s">
        <v>1203</v>
      </c>
      <c r="S50" s="97" t="s">
        <v>195</v>
      </c>
    </row>
    <row r="51" spans="1:19" x14ac:dyDescent="0.3">
      <c r="A51" s="97" t="s">
        <v>244</v>
      </c>
      <c r="B51" s="97" t="s">
        <v>22</v>
      </c>
      <c r="C51">
        <v>2025</v>
      </c>
      <c r="D51">
        <v>1</v>
      </c>
      <c r="E51" s="2">
        <v>45663</v>
      </c>
      <c r="F51" s="97" t="s">
        <v>7</v>
      </c>
      <c r="G51" s="97" t="s">
        <v>8</v>
      </c>
      <c r="H51" s="97" t="s">
        <v>70</v>
      </c>
      <c r="I51" s="97" t="s">
        <v>84</v>
      </c>
      <c r="J51" s="97" t="s">
        <v>85</v>
      </c>
      <c r="K51" s="97" t="s">
        <v>73</v>
      </c>
      <c r="L51">
        <v>706000</v>
      </c>
      <c r="M51" s="97" t="s">
        <v>63</v>
      </c>
      <c r="N51" s="97" t="s">
        <v>33</v>
      </c>
      <c r="O51">
        <v>269</v>
      </c>
      <c r="P51">
        <v>0.93</v>
      </c>
      <c r="Q51">
        <v>0.25</v>
      </c>
      <c r="R51" s="97" t="s">
        <v>1202</v>
      </c>
      <c r="S51" s="97" t="s">
        <v>195</v>
      </c>
    </row>
    <row r="52" spans="1:19" x14ac:dyDescent="0.3">
      <c r="A52" s="97" t="s">
        <v>245</v>
      </c>
      <c r="B52" s="97" t="s">
        <v>22</v>
      </c>
      <c r="C52">
        <v>2025</v>
      </c>
      <c r="D52">
        <v>1</v>
      </c>
      <c r="E52" s="2">
        <v>45668</v>
      </c>
      <c r="F52" s="97" t="s">
        <v>7</v>
      </c>
      <c r="G52" s="97" t="s">
        <v>8</v>
      </c>
      <c r="H52" s="97" t="s">
        <v>74</v>
      </c>
      <c r="I52" s="97" t="s">
        <v>84</v>
      </c>
      <c r="J52" s="97" t="s">
        <v>85</v>
      </c>
      <c r="K52" s="97" t="s">
        <v>73</v>
      </c>
      <c r="L52">
        <v>701000</v>
      </c>
      <c r="M52" s="97" t="s">
        <v>62</v>
      </c>
      <c r="N52" s="97" t="s">
        <v>33</v>
      </c>
      <c r="O52">
        <v>316</v>
      </c>
      <c r="P52">
        <v>0.95</v>
      </c>
      <c r="Q52">
        <v>0.3</v>
      </c>
      <c r="R52" s="97" t="s">
        <v>1201</v>
      </c>
      <c r="S52" s="97" t="s">
        <v>195</v>
      </c>
    </row>
    <row r="53" spans="1:19" x14ac:dyDescent="0.3">
      <c r="A53" s="97" t="s">
        <v>246</v>
      </c>
      <c r="B53" s="97" t="s">
        <v>22</v>
      </c>
      <c r="C53">
        <v>2025</v>
      </c>
      <c r="D53">
        <v>1</v>
      </c>
      <c r="E53" s="2">
        <v>45668</v>
      </c>
      <c r="F53" s="97" t="s">
        <v>7</v>
      </c>
      <c r="G53" s="97" t="s">
        <v>8</v>
      </c>
      <c r="H53" s="97" t="s">
        <v>74</v>
      </c>
      <c r="I53" s="97" t="s">
        <v>84</v>
      </c>
      <c r="J53" s="97" t="s">
        <v>85</v>
      </c>
      <c r="K53" s="97" t="s">
        <v>73</v>
      </c>
      <c r="L53">
        <v>701000</v>
      </c>
      <c r="M53" s="97" t="s">
        <v>62</v>
      </c>
      <c r="N53" s="97" t="s">
        <v>33</v>
      </c>
      <c r="O53">
        <v>6727</v>
      </c>
      <c r="P53">
        <v>0.95</v>
      </c>
      <c r="Q53">
        <v>6.39</v>
      </c>
      <c r="R53" s="97" t="s">
        <v>1198</v>
      </c>
      <c r="S53" s="97" t="s">
        <v>195</v>
      </c>
    </row>
    <row r="54" spans="1:19" x14ac:dyDescent="0.3">
      <c r="A54" s="97" t="s">
        <v>247</v>
      </c>
      <c r="B54" s="97" t="s">
        <v>22</v>
      </c>
      <c r="C54">
        <v>2025</v>
      </c>
      <c r="D54">
        <v>1</v>
      </c>
      <c r="E54" s="2">
        <v>45668</v>
      </c>
      <c r="F54" s="97" t="s">
        <v>7</v>
      </c>
      <c r="G54" s="97" t="s">
        <v>8</v>
      </c>
      <c r="H54" s="97" t="s">
        <v>74</v>
      </c>
      <c r="I54" s="97" t="s">
        <v>84</v>
      </c>
      <c r="J54" s="97" t="s">
        <v>85</v>
      </c>
      <c r="K54" s="97" t="s">
        <v>73</v>
      </c>
      <c r="L54">
        <v>701000</v>
      </c>
      <c r="M54" s="97" t="s">
        <v>62</v>
      </c>
      <c r="N54" s="97" t="s">
        <v>33</v>
      </c>
      <c r="O54">
        <v>842</v>
      </c>
      <c r="P54">
        <v>0.95</v>
      </c>
      <c r="Q54">
        <v>0.8</v>
      </c>
      <c r="R54" s="97" t="s">
        <v>1197</v>
      </c>
      <c r="S54" s="97" t="s">
        <v>195</v>
      </c>
    </row>
    <row r="55" spans="1:19" x14ac:dyDescent="0.3">
      <c r="A55" s="97" t="s">
        <v>248</v>
      </c>
      <c r="B55" s="97" t="s">
        <v>22</v>
      </c>
      <c r="C55">
        <v>2025</v>
      </c>
      <c r="D55">
        <v>1</v>
      </c>
      <c r="E55" s="2">
        <v>45668</v>
      </c>
      <c r="F55" s="97" t="s">
        <v>7</v>
      </c>
      <c r="G55" s="97" t="s">
        <v>8</v>
      </c>
      <c r="H55" s="97" t="s">
        <v>74</v>
      </c>
      <c r="I55" s="97" t="s">
        <v>84</v>
      </c>
      <c r="J55" s="97" t="s">
        <v>85</v>
      </c>
      <c r="K55" s="97" t="s">
        <v>73</v>
      </c>
      <c r="L55">
        <v>701000</v>
      </c>
      <c r="M55" s="97" t="s">
        <v>62</v>
      </c>
      <c r="N55" s="97" t="s">
        <v>33</v>
      </c>
      <c r="O55">
        <v>1865</v>
      </c>
      <c r="P55">
        <v>0.95</v>
      </c>
      <c r="Q55">
        <v>1.77</v>
      </c>
      <c r="R55" s="97" t="s">
        <v>1204</v>
      </c>
      <c r="S55" s="97" t="s">
        <v>195</v>
      </c>
    </row>
    <row r="56" spans="1:19" x14ac:dyDescent="0.3">
      <c r="A56" s="97" t="s">
        <v>249</v>
      </c>
      <c r="B56" s="97" t="s">
        <v>22</v>
      </c>
      <c r="C56">
        <v>2025</v>
      </c>
      <c r="D56">
        <v>1</v>
      </c>
      <c r="E56" s="2">
        <v>45668</v>
      </c>
      <c r="F56" s="97" t="s">
        <v>7</v>
      </c>
      <c r="G56" s="97" t="s">
        <v>8</v>
      </c>
      <c r="H56" s="97" t="s">
        <v>74</v>
      </c>
      <c r="I56" s="97" t="s">
        <v>84</v>
      </c>
      <c r="J56" s="97" t="s">
        <v>85</v>
      </c>
      <c r="K56" s="97" t="s">
        <v>73</v>
      </c>
      <c r="L56">
        <v>701000</v>
      </c>
      <c r="M56" s="97" t="s">
        <v>62</v>
      </c>
      <c r="N56" s="97" t="s">
        <v>33</v>
      </c>
      <c r="O56">
        <v>3044</v>
      </c>
      <c r="P56">
        <v>0.95</v>
      </c>
      <c r="Q56">
        <v>2.89</v>
      </c>
      <c r="R56" s="97" t="s">
        <v>1200</v>
      </c>
      <c r="S56" s="97" t="s">
        <v>195</v>
      </c>
    </row>
    <row r="57" spans="1:19" x14ac:dyDescent="0.3">
      <c r="A57" s="97" t="s">
        <v>250</v>
      </c>
      <c r="B57" s="97" t="s">
        <v>22</v>
      </c>
      <c r="C57">
        <v>2025</v>
      </c>
      <c r="D57">
        <v>1</v>
      </c>
      <c r="E57" s="2">
        <v>45671</v>
      </c>
      <c r="F57" s="97" t="s">
        <v>7</v>
      </c>
      <c r="G57" s="97" t="s">
        <v>8</v>
      </c>
      <c r="H57" s="97" t="s">
        <v>70</v>
      </c>
      <c r="I57" s="97" t="s">
        <v>84</v>
      </c>
      <c r="J57" s="97" t="s">
        <v>85</v>
      </c>
      <c r="K57" s="97" t="s">
        <v>73</v>
      </c>
      <c r="L57">
        <v>701000</v>
      </c>
      <c r="M57" s="97" t="s">
        <v>62</v>
      </c>
      <c r="N57" s="97" t="s">
        <v>33</v>
      </c>
      <c r="O57">
        <v>2645</v>
      </c>
      <c r="P57">
        <v>0.95</v>
      </c>
      <c r="Q57">
        <v>2.5099999999999998</v>
      </c>
      <c r="R57" s="97" t="s">
        <v>1198</v>
      </c>
      <c r="S57" s="97" t="s">
        <v>195</v>
      </c>
    </row>
    <row r="58" spans="1:19" x14ac:dyDescent="0.3">
      <c r="A58" s="97" t="s">
        <v>251</v>
      </c>
      <c r="B58" s="97" t="s">
        <v>22</v>
      </c>
      <c r="C58">
        <v>2025</v>
      </c>
      <c r="D58">
        <v>1</v>
      </c>
      <c r="E58" s="2">
        <v>45671</v>
      </c>
      <c r="F58" s="97" t="s">
        <v>7</v>
      </c>
      <c r="G58" s="97" t="s">
        <v>8</v>
      </c>
      <c r="H58" s="97" t="s">
        <v>70</v>
      </c>
      <c r="I58" s="97" t="s">
        <v>84</v>
      </c>
      <c r="J58" s="97" t="s">
        <v>85</v>
      </c>
      <c r="K58" s="97" t="s">
        <v>73</v>
      </c>
      <c r="L58">
        <v>701000</v>
      </c>
      <c r="M58" s="97" t="s">
        <v>62</v>
      </c>
      <c r="N58" s="97" t="s">
        <v>33</v>
      </c>
      <c r="O58">
        <v>2603</v>
      </c>
      <c r="P58">
        <v>0.95</v>
      </c>
      <c r="Q58">
        <v>2.4700000000000002</v>
      </c>
      <c r="R58" s="97" t="s">
        <v>1197</v>
      </c>
      <c r="S58" s="97" t="s">
        <v>195</v>
      </c>
    </row>
    <row r="59" spans="1:19" x14ac:dyDescent="0.3">
      <c r="A59" s="97" t="s">
        <v>252</v>
      </c>
      <c r="B59" s="97" t="s">
        <v>22</v>
      </c>
      <c r="C59">
        <v>2025</v>
      </c>
      <c r="D59">
        <v>1</v>
      </c>
      <c r="E59" s="2">
        <v>45671</v>
      </c>
      <c r="F59" s="97" t="s">
        <v>7</v>
      </c>
      <c r="G59" s="97" t="s">
        <v>8</v>
      </c>
      <c r="H59" s="97" t="s">
        <v>70</v>
      </c>
      <c r="I59" s="97" t="s">
        <v>84</v>
      </c>
      <c r="J59" s="97" t="s">
        <v>85</v>
      </c>
      <c r="K59" s="97" t="s">
        <v>73</v>
      </c>
      <c r="L59">
        <v>701000</v>
      </c>
      <c r="M59" s="97" t="s">
        <v>62</v>
      </c>
      <c r="N59" s="97" t="s">
        <v>33</v>
      </c>
      <c r="O59">
        <v>1080</v>
      </c>
      <c r="P59">
        <v>0.95</v>
      </c>
      <c r="Q59">
        <v>1.03</v>
      </c>
      <c r="R59" s="97" t="s">
        <v>1205</v>
      </c>
      <c r="S59" s="97" t="s">
        <v>195</v>
      </c>
    </row>
    <row r="60" spans="1:19" x14ac:dyDescent="0.3">
      <c r="A60" s="97" t="s">
        <v>253</v>
      </c>
      <c r="B60" s="97" t="s">
        <v>22</v>
      </c>
      <c r="C60">
        <v>2025</v>
      </c>
      <c r="D60">
        <v>1</v>
      </c>
      <c r="E60" s="2">
        <v>45671</v>
      </c>
      <c r="F60" s="97" t="s">
        <v>7</v>
      </c>
      <c r="G60" s="97" t="s">
        <v>8</v>
      </c>
      <c r="H60" s="97" t="s">
        <v>70</v>
      </c>
      <c r="I60" s="97" t="s">
        <v>84</v>
      </c>
      <c r="J60" s="97" t="s">
        <v>85</v>
      </c>
      <c r="K60" s="97" t="s">
        <v>73</v>
      </c>
      <c r="L60">
        <v>701000</v>
      </c>
      <c r="M60" s="97" t="s">
        <v>62</v>
      </c>
      <c r="N60" s="97" t="s">
        <v>33</v>
      </c>
      <c r="O60">
        <v>4264</v>
      </c>
      <c r="P60">
        <v>0.95</v>
      </c>
      <c r="Q60">
        <v>4.05</v>
      </c>
      <c r="R60" s="97" t="s">
        <v>1201</v>
      </c>
      <c r="S60" s="97" t="s">
        <v>195</v>
      </c>
    </row>
    <row r="61" spans="1:19" x14ac:dyDescent="0.3">
      <c r="A61" s="97" t="s">
        <v>254</v>
      </c>
      <c r="B61" s="97" t="s">
        <v>22</v>
      </c>
      <c r="C61">
        <v>2025</v>
      </c>
      <c r="D61">
        <v>1</v>
      </c>
      <c r="E61" s="2">
        <v>45671</v>
      </c>
      <c r="F61" s="97" t="s">
        <v>7</v>
      </c>
      <c r="G61" s="97" t="s">
        <v>8</v>
      </c>
      <c r="H61" s="97" t="s">
        <v>70</v>
      </c>
      <c r="I61" s="97" t="s">
        <v>84</v>
      </c>
      <c r="J61" s="97" t="s">
        <v>85</v>
      </c>
      <c r="K61" s="97" t="s">
        <v>73</v>
      </c>
      <c r="L61">
        <v>701000</v>
      </c>
      <c r="M61" s="97" t="s">
        <v>62</v>
      </c>
      <c r="N61" s="97" t="s">
        <v>33</v>
      </c>
      <c r="O61">
        <v>1918</v>
      </c>
      <c r="P61">
        <v>0.95</v>
      </c>
      <c r="Q61">
        <v>1.82</v>
      </c>
      <c r="R61" s="97" t="s">
        <v>1204</v>
      </c>
      <c r="S61" s="97" t="s">
        <v>195</v>
      </c>
    </row>
    <row r="62" spans="1:19" x14ac:dyDescent="0.3">
      <c r="A62" s="97" t="s">
        <v>255</v>
      </c>
      <c r="B62" s="97" t="s">
        <v>22</v>
      </c>
      <c r="C62">
        <v>2025</v>
      </c>
      <c r="D62">
        <v>1</v>
      </c>
      <c r="E62" s="2">
        <v>45675</v>
      </c>
      <c r="F62" s="97" t="s">
        <v>7</v>
      </c>
      <c r="G62" s="97" t="s">
        <v>8</v>
      </c>
      <c r="H62" s="97" t="s">
        <v>70</v>
      </c>
      <c r="I62" s="97" t="s">
        <v>84</v>
      </c>
      <c r="J62" s="97" t="s">
        <v>85</v>
      </c>
      <c r="K62" s="97" t="s">
        <v>73</v>
      </c>
      <c r="L62">
        <v>701000</v>
      </c>
      <c r="M62" s="97" t="s">
        <v>62</v>
      </c>
      <c r="N62" s="97" t="s">
        <v>33</v>
      </c>
      <c r="O62">
        <v>936</v>
      </c>
      <c r="P62">
        <v>0.95</v>
      </c>
      <c r="Q62">
        <v>0.89</v>
      </c>
      <c r="R62" s="97" t="s">
        <v>1197</v>
      </c>
      <c r="S62" s="97" t="s">
        <v>195</v>
      </c>
    </row>
    <row r="63" spans="1:19" x14ac:dyDescent="0.3">
      <c r="A63" s="97" t="s">
        <v>256</v>
      </c>
      <c r="B63" s="97" t="s">
        <v>22</v>
      </c>
      <c r="C63">
        <v>2025</v>
      </c>
      <c r="D63">
        <v>1</v>
      </c>
      <c r="E63" s="2">
        <v>45675</v>
      </c>
      <c r="F63" s="97" t="s">
        <v>7</v>
      </c>
      <c r="G63" s="97" t="s">
        <v>8</v>
      </c>
      <c r="H63" s="97" t="s">
        <v>70</v>
      </c>
      <c r="I63" s="97" t="s">
        <v>84</v>
      </c>
      <c r="J63" s="97" t="s">
        <v>85</v>
      </c>
      <c r="K63" s="97" t="s">
        <v>73</v>
      </c>
      <c r="L63">
        <v>701000</v>
      </c>
      <c r="M63" s="97" t="s">
        <v>62</v>
      </c>
      <c r="N63" s="97" t="s">
        <v>33</v>
      </c>
      <c r="O63">
        <v>3885</v>
      </c>
      <c r="P63">
        <v>0.95</v>
      </c>
      <c r="Q63">
        <v>3.69</v>
      </c>
      <c r="R63" s="97" t="s">
        <v>1204</v>
      </c>
      <c r="S63" s="97" t="s">
        <v>195</v>
      </c>
    </row>
    <row r="64" spans="1:19" x14ac:dyDescent="0.3">
      <c r="A64" s="97" t="s">
        <v>257</v>
      </c>
      <c r="B64" s="97" t="s">
        <v>22</v>
      </c>
      <c r="C64">
        <v>2025</v>
      </c>
      <c r="D64">
        <v>1</v>
      </c>
      <c r="E64" s="2">
        <v>45675</v>
      </c>
      <c r="F64" s="97" t="s">
        <v>7</v>
      </c>
      <c r="G64" s="97" t="s">
        <v>8</v>
      </c>
      <c r="H64" s="97" t="s">
        <v>70</v>
      </c>
      <c r="I64" s="97" t="s">
        <v>84</v>
      </c>
      <c r="J64" s="97" t="s">
        <v>85</v>
      </c>
      <c r="K64" s="97" t="s">
        <v>73</v>
      </c>
      <c r="L64">
        <v>701000</v>
      </c>
      <c r="M64" s="97" t="s">
        <v>62</v>
      </c>
      <c r="N64" s="97" t="s">
        <v>33</v>
      </c>
      <c r="O64">
        <v>3140</v>
      </c>
      <c r="P64">
        <v>0.95</v>
      </c>
      <c r="Q64">
        <v>2.98</v>
      </c>
      <c r="R64" s="97" t="s">
        <v>1202</v>
      </c>
      <c r="S64" s="97" t="s">
        <v>195</v>
      </c>
    </row>
    <row r="65" spans="1:19" x14ac:dyDescent="0.3">
      <c r="A65" s="97" t="s">
        <v>258</v>
      </c>
      <c r="B65" s="97" t="s">
        <v>22</v>
      </c>
      <c r="C65">
        <v>2025</v>
      </c>
      <c r="D65">
        <v>1</v>
      </c>
      <c r="E65" s="2">
        <v>45675</v>
      </c>
      <c r="F65" s="97" t="s">
        <v>7</v>
      </c>
      <c r="G65" s="97" t="s">
        <v>8</v>
      </c>
      <c r="H65" s="97" t="s">
        <v>70</v>
      </c>
      <c r="I65" s="97" t="s">
        <v>84</v>
      </c>
      <c r="J65" s="97" t="s">
        <v>85</v>
      </c>
      <c r="K65" s="97" t="s">
        <v>73</v>
      </c>
      <c r="L65">
        <v>701000</v>
      </c>
      <c r="M65" s="97" t="s">
        <v>62</v>
      </c>
      <c r="N65" s="97" t="s">
        <v>33</v>
      </c>
      <c r="O65">
        <v>861</v>
      </c>
      <c r="P65">
        <v>0.95</v>
      </c>
      <c r="Q65">
        <v>0.82</v>
      </c>
      <c r="R65" s="97" t="s">
        <v>1205</v>
      </c>
      <c r="S65" s="97" t="s">
        <v>195</v>
      </c>
    </row>
    <row r="66" spans="1:19" x14ac:dyDescent="0.3">
      <c r="A66" s="97" t="s">
        <v>259</v>
      </c>
      <c r="B66" s="97" t="s">
        <v>22</v>
      </c>
      <c r="C66">
        <v>2025</v>
      </c>
      <c r="D66">
        <v>1</v>
      </c>
      <c r="E66" s="2">
        <v>45675</v>
      </c>
      <c r="F66" s="97" t="s">
        <v>7</v>
      </c>
      <c r="G66" s="97" t="s">
        <v>8</v>
      </c>
      <c r="H66" s="97" t="s">
        <v>70</v>
      </c>
      <c r="I66" s="97" t="s">
        <v>84</v>
      </c>
      <c r="J66" s="97" t="s">
        <v>85</v>
      </c>
      <c r="K66" s="97" t="s">
        <v>73</v>
      </c>
      <c r="L66">
        <v>701000</v>
      </c>
      <c r="M66" s="97" t="s">
        <v>62</v>
      </c>
      <c r="N66" s="97" t="s">
        <v>33</v>
      </c>
      <c r="O66">
        <v>3957</v>
      </c>
      <c r="P66">
        <v>0.95</v>
      </c>
      <c r="Q66">
        <v>3.76</v>
      </c>
      <c r="R66" s="97" t="s">
        <v>1201</v>
      </c>
      <c r="S66" s="97" t="s">
        <v>195</v>
      </c>
    </row>
    <row r="67" spans="1:19" x14ac:dyDescent="0.3">
      <c r="A67" s="97" t="s">
        <v>260</v>
      </c>
      <c r="B67" s="97" t="s">
        <v>22</v>
      </c>
      <c r="C67">
        <v>2025</v>
      </c>
      <c r="D67">
        <v>1</v>
      </c>
      <c r="E67" s="2">
        <v>45672</v>
      </c>
      <c r="F67" s="97" t="s">
        <v>7</v>
      </c>
      <c r="G67" s="97" t="s">
        <v>8</v>
      </c>
      <c r="H67" s="97" t="s">
        <v>70</v>
      </c>
      <c r="I67" s="97" t="s">
        <v>84</v>
      </c>
      <c r="J67" s="97" t="s">
        <v>85</v>
      </c>
      <c r="K67" s="97" t="s">
        <v>73</v>
      </c>
      <c r="L67">
        <v>701000</v>
      </c>
      <c r="M67" s="97" t="s">
        <v>62</v>
      </c>
      <c r="N67" s="97" t="s">
        <v>33</v>
      </c>
      <c r="O67">
        <v>1649</v>
      </c>
      <c r="P67">
        <v>0.95</v>
      </c>
      <c r="Q67">
        <v>1.57</v>
      </c>
      <c r="R67" s="97" t="s">
        <v>1203</v>
      </c>
      <c r="S67" s="97" t="s">
        <v>195</v>
      </c>
    </row>
    <row r="68" spans="1:19" x14ac:dyDescent="0.3">
      <c r="A68" s="97" t="s">
        <v>261</v>
      </c>
      <c r="B68" s="97" t="s">
        <v>22</v>
      </c>
      <c r="C68">
        <v>2025</v>
      </c>
      <c r="D68">
        <v>1</v>
      </c>
      <c r="E68" s="2">
        <v>45672</v>
      </c>
      <c r="F68" s="97" t="s">
        <v>7</v>
      </c>
      <c r="G68" s="97" t="s">
        <v>8</v>
      </c>
      <c r="H68" s="97" t="s">
        <v>70</v>
      </c>
      <c r="I68" s="97" t="s">
        <v>84</v>
      </c>
      <c r="J68" s="97" t="s">
        <v>85</v>
      </c>
      <c r="K68" s="97" t="s">
        <v>73</v>
      </c>
      <c r="L68">
        <v>701000</v>
      </c>
      <c r="M68" s="97" t="s">
        <v>62</v>
      </c>
      <c r="N68" s="97" t="s">
        <v>33</v>
      </c>
      <c r="O68">
        <v>7019</v>
      </c>
      <c r="P68">
        <v>0.95</v>
      </c>
      <c r="Q68">
        <v>6.67</v>
      </c>
      <c r="R68" s="97" t="s">
        <v>1200</v>
      </c>
      <c r="S68" s="97" t="s">
        <v>195</v>
      </c>
    </row>
    <row r="69" spans="1:19" x14ac:dyDescent="0.3">
      <c r="A69" s="97" t="s">
        <v>262</v>
      </c>
      <c r="B69" s="97" t="s">
        <v>22</v>
      </c>
      <c r="C69">
        <v>2025</v>
      </c>
      <c r="D69">
        <v>1</v>
      </c>
      <c r="E69" s="2">
        <v>45672</v>
      </c>
      <c r="F69" s="97" t="s">
        <v>7</v>
      </c>
      <c r="G69" s="97" t="s">
        <v>8</v>
      </c>
      <c r="H69" s="97" t="s">
        <v>70</v>
      </c>
      <c r="I69" s="97" t="s">
        <v>84</v>
      </c>
      <c r="J69" s="97" t="s">
        <v>85</v>
      </c>
      <c r="K69" s="97" t="s">
        <v>73</v>
      </c>
      <c r="L69">
        <v>701000</v>
      </c>
      <c r="M69" s="97" t="s">
        <v>62</v>
      </c>
      <c r="N69" s="97" t="s">
        <v>33</v>
      </c>
      <c r="O69">
        <v>3072</v>
      </c>
      <c r="P69">
        <v>0.95</v>
      </c>
      <c r="Q69">
        <v>2.92</v>
      </c>
      <c r="R69" s="97" t="s">
        <v>1201</v>
      </c>
      <c r="S69" s="97" t="s">
        <v>195</v>
      </c>
    </row>
    <row r="70" spans="1:19" x14ac:dyDescent="0.3">
      <c r="A70" s="97" t="s">
        <v>263</v>
      </c>
      <c r="B70" s="97" t="s">
        <v>22</v>
      </c>
      <c r="C70">
        <v>2025</v>
      </c>
      <c r="D70">
        <v>1</v>
      </c>
      <c r="E70" s="2">
        <v>45672</v>
      </c>
      <c r="F70" s="97" t="s">
        <v>7</v>
      </c>
      <c r="G70" s="97" t="s">
        <v>8</v>
      </c>
      <c r="H70" s="97" t="s">
        <v>70</v>
      </c>
      <c r="I70" s="97" t="s">
        <v>84</v>
      </c>
      <c r="J70" s="97" t="s">
        <v>85</v>
      </c>
      <c r="K70" s="97" t="s">
        <v>73</v>
      </c>
      <c r="L70">
        <v>701000</v>
      </c>
      <c r="M70" s="97" t="s">
        <v>62</v>
      </c>
      <c r="N70" s="97" t="s">
        <v>33</v>
      </c>
      <c r="O70">
        <v>563</v>
      </c>
      <c r="P70">
        <v>0.94</v>
      </c>
      <c r="Q70">
        <v>0.53</v>
      </c>
      <c r="R70" s="97" t="s">
        <v>1204</v>
      </c>
      <c r="S70" s="97" t="s">
        <v>195</v>
      </c>
    </row>
    <row r="71" spans="1:19" x14ac:dyDescent="0.3">
      <c r="A71" s="97" t="s">
        <v>264</v>
      </c>
      <c r="B71" s="97" t="s">
        <v>22</v>
      </c>
      <c r="C71">
        <v>2025</v>
      </c>
      <c r="D71">
        <v>1</v>
      </c>
      <c r="E71" s="2">
        <v>45672</v>
      </c>
      <c r="F71" s="97" t="s">
        <v>7</v>
      </c>
      <c r="G71" s="97" t="s">
        <v>8</v>
      </c>
      <c r="H71" s="97" t="s">
        <v>70</v>
      </c>
      <c r="I71" s="97" t="s">
        <v>84</v>
      </c>
      <c r="J71" s="97" t="s">
        <v>85</v>
      </c>
      <c r="K71" s="97" t="s">
        <v>73</v>
      </c>
      <c r="L71">
        <v>701000</v>
      </c>
      <c r="M71" s="97" t="s">
        <v>62</v>
      </c>
      <c r="N71" s="97" t="s">
        <v>33</v>
      </c>
      <c r="O71">
        <v>2011</v>
      </c>
      <c r="P71">
        <v>0.95</v>
      </c>
      <c r="Q71">
        <v>1.91</v>
      </c>
      <c r="R71" s="97" t="s">
        <v>1202</v>
      </c>
      <c r="S71" s="97" t="s">
        <v>195</v>
      </c>
    </row>
    <row r="72" spans="1:19" x14ac:dyDescent="0.3">
      <c r="A72" s="97" t="s">
        <v>265</v>
      </c>
      <c r="B72" s="97" t="s">
        <v>22</v>
      </c>
      <c r="C72">
        <v>2025</v>
      </c>
      <c r="D72">
        <v>1</v>
      </c>
      <c r="E72" s="2">
        <v>45669</v>
      </c>
      <c r="F72" s="97" t="s">
        <v>7</v>
      </c>
      <c r="G72" s="97" t="s">
        <v>8</v>
      </c>
      <c r="H72" s="97" t="s">
        <v>70</v>
      </c>
      <c r="I72" s="97" t="s">
        <v>84</v>
      </c>
      <c r="J72" s="97" t="s">
        <v>85</v>
      </c>
      <c r="K72" s="97" t="s">
        <v>73</v>
      </c>
      <c r="L72">
        <v>701000</v>
      </c>
      <c r="M72" s="97" t="s">
        <v>62</v>
      </c>
      <c r="N72" s="97" t="s">
        <v>33</v>
      </c>
      <c r="O72">
        <v>6988</v>
      </c>
      <c r="P72">
        <v>0.95</v>
      </c>
      <c r="Q72">
        <v>6.64</v>
      </c>
      <c r="R72" s="97" t="s">
        <v>1197</v>
      </c>
      <c r="S72" s="97" t="s">
        <v>195</v>
      </c>
    </row>
    <row r="73" spans="1:19" x14ac:dyDescent="0.3">
      <c r="A73" s="97" t="s">
        <v>266</v>
      </c>
      <c r="B73" s="97" t="s">
        <v>22</v>
      </c>
      <c r="C73">
        <v>2025</v>
      </c>
      <c r="D73">
        <v>1</v>
      </c>
      <c r="E73" s="2">
        <v>45669</v>
      </c>
      <c r="F73" s="97" t="s">
        <v>7</v>
      </c>
      <c r="G73" s="97" t="s">
        <v>8</v>
      </c>
      <c r="H73" s="97" t="s">
        <v>70</v>
      </c>
      <c r="I73" s="97" t="s">
        <v>84</v>
      </c>
      <c r="J73" s="97" t="s">
        <v>85</v>
      </c>
      <c r="K73" s="97" t="s">
        <v>73</v>
      </c>
      <c r="L73">
        <v>701000</v>
      </c>
      <c r="M73" s="97" t="s">
        <v>62</v>
      </c>
      <c r="N73" s="97" t="s">
        <v>33</v>
      </c>
      <c r="O73">
        <v>2213</v>
      </c>
      <c r="P73">
        <v>0.95</v>
      </c>
      <c r="Q73">
        <v>2.1</v>
      </c>
      <c r="R73" s="97" t="s">
        <v>1202</v>
      </c>
      <c r="S73" s="97" t="s">
        <v>195</v>
      </c>
    </row>
    <row r="74" spans="1:19" x14ac:dyDescent="0.3">
      <c r="A74" s="97" t="s">
        <v>267</v>
      </c>
      <c r="B74" s="97" t="s">
        <v>22</v>
      </c>
      <c r="C74">
        <v>2025</v>
      </c>
      <c r="D74">
        <v>1</v>
      </c>
      <c r="E74" s="2">
        <v>45669</v>
      </c>
      <c r="F74" s="97" t="s">
        <v>7</v>
      </c>
      <c r="G74" s="97" t="s">
        <v>8</v>
      </c>
      <c r="H74" s="97" t="s">
        <v>70</v>
      </c>
      <c r="I74" s="97" t="s">
        <v>84</v>
      </c>
      <c r="J74" s="97" t="s">
        <v>85</v>
      </c>
      <c r="K74" s="97" t="s">
        <v>73</v>
      </c>
      <c r="L74">
        <v>701000</v>
      </c>
      <c r="M74" s="97" t="s">
        <v>62</v>
      </c>
      <c r="N74" s="97" t="s">
        <v>33</v>
      </c>
      <c r="O74">
        <v>2181</v>
      </c>
      <c r="P74">
        <v>0.95</v>
      </c>
      <c r="Q74">
        <v>2.0699999999999998</v>
      </c>
      <c r="R74" s="97" t="s">
        <v>1203</v>
      </c>
      <c r="S74" s="97" t="s">
        <v>195</v>
      </c>
    </row>
    <row r="75" spans="1:19" x14ac:dyDescent="0.3">
      <c r="A75" s="97" t="s">
        <v>268</v>
      </c>
      <c r="B75" s="97" t="s">
        <v>22</v>
      </c>
      <c r="C75">
        <v>2025</v>
      </c>
      <c r="D75">
        <v>1</v>
      </c>
      <c r="E75" s="2">
        <v>45669</v>
      </c>
      <c r="F75" s="97" t="s">
        <v>7</v>
      </c>
      <c r="G75" s="97" t="s">
        <v>8</v>
      </c>
      <c r="H75" s="97" t="s">
        <v>70</v>
      </c>
      <c r="I75" s="97" t="s">
        <v>84</v>
      </c>
      <c r="J75" s="97" t="s">
        <v>85</v>
      </c>
      <c r="K75" s="97" t="s">
        <v>73</v>
      </c>
      <c r="L75">
        <v>701000</v>
      </c>
      <c r="M75" s="97" t="s">
        <v>62</v>
      </c>
      <c r="N75" s="97" t="s">
        <v>33</v>
      </c>
      <c r="O75">
        <v>1249</v>
      </c>
      <c r="P75">
        <v>0.95</v>
      </c>
      <c r="Q75">
        <v>1.19</v>
      </c>
      <c r="R75" s="97" t="s">
        <v>1204</v>
      </c>
      <c r="S75" s="97" t="s">
        <v>195</v>
      </c>
    </row>
    <row r="76" spans="1:19" x14ac:dyDescent="0.3">
      <c r="A76" s="97" t="s">
        <v>269</v>
      </c>
      <c r="B76" s="97" t="s">
        <v>22</v>
      </c>
      <c r="C76">
        <v>2025</v>
      </c>
      <c r="D76">
        <v>1</v>
      </c>
      <c r="E76" s="2">
        <v>45669</v>
      </c>
      <c r="F76" s="97" t="s">
        <v>7</v>
      </c>
      <c r="G76" s="97" t="s">
        <v>8</v>
      </c>
      <c r="H76" s="97" t="s">
        <v>70</v>
      </c>
      <c r="I76" s="97" t="s">
        <v>84</v>
      </c>
      <c r="J76" s="97" t="s">
        <v>85</v>
      </c>
      <c r="K76" s="97" t="s">
        <v>73</v>
      </c>
      <c r="L76">
        <v>701000</v>
      </c>
      <c r="M76" s="97" t="s">
        <v>62</v>
      </c>
      <c r="N76" s="97" t="s">
        <v>33</v>
      </c>
      <c r="O76">
        <v>1180</v>
      </c>
      <c r="P76">
        <v>0.95</v>
      </c>
      <c r="Q76">
        <v>1.1200000000000001</v>
      </c>
      <c r="R76" s="97" t="s">
        <v>1198</v>
      </c>
      <c r="S76" s="97" t="s">
        <v>195</v>
      </c>
    </row>
    <row r="77" spans="1:19" x14ac:dyDescent="0.3">
      <c r="A77" s="97" t="s">
        <v>270</v>
      </c>
      <c r="B77" s="97" t="s">
        <v>22</v>
      </c>
      <c r="C77">
        <v>2025</v>
      </c>
      <c r="D77">
        <v>1</v>
      </c>
      <c r="E77" s="2">
        <v>45670</v>
      </c>
      <c r="F77" s="97" t="s">
        <v>7</v>
      </c>
      <c r="G77" s="97" t="s">
        <v>8</v>
      </c>
      <c r="H77" s="97" t="s">
        <v>74</v>
      </c>
      <c r="I77" s="97" t="s">
        <v>84</v>
      </c>
      <c r="J77" s="97" t="s">
        <v>85</v>
      </c>
      <c r="K77" s="97" t="s">
        <v>73</v>
      </c>
      <c r="L77">
        <v>701000</v>
      </c>
      <c r="M77" s="97" t="s">
        <v>62</v>
      </c>
      <c r="N77" s="97" t="s">
        <v>33</v>
      </c>
      <c r="O77">
        <v>1616</v>
      </c>
      <c r="P77">
        <v>0.95</v>
      </c>
      <c r="Q77">
        <v>1.54</v>
      </c>
      <c r="R77" s="97" t="s">
        <v>1204</v>
      </c>
      <c r="S77" s="97" t="s">
        <v>195</v>
      </c>
    </row>
    <row r="78" spans="1:19" x14ac:dyDescent="0.3">
      <c r="A78" s="97" t="s">
        <v>271</v>
      </c>
      <c r="B78" s="97" t="s">
        <v>22</v>
      </c>
      <c r="C78">
        <v>2025</v>
      </c>
      <c r="D78">
        <v>1</v>
      </c>
      <c r="E78" s="2">
        <v>45670</v>
      </c>
      <c r="F78" s="97" t="s">
        <v>7</v>
      </c>
      <c r="G78" s="97" t="s">
        <v>8</v>
      </c>
      <c r="H78" s="97" t="s">
        <v>74</v>
      </c>
      <c r="I78" s="97" t="s">
        <v>84</v>
      </c>
      <c r="J78" s="97" t="s">
        <v>85</v>
      </c>
      <c r="K78" s="97" t="s">
        <v>73</v>
      </c>
      <c r="L78">
        <v>701000</v>
      </c>
      <c r="M78" s="97" t="s">
        <v>62</v>
      </c>
      <c r="N78" s="97" t="s">
        <v>33</v>
      </c>
      <c r="O78">
        <v>1337</v>
      </c>
      <c r="P78">
        <v>0.95</v>
      </c>
      <c r="Q78">
        <v>1.27</v>
      </c>
      <c r="R78" s="97" t="s">
        <v>1202</v>
      </c>
      <c r="S78" s="97" t="s">
        <v>195</v>
      </c>
    </row>
    <row r="79" spans="1:19" x14ac:dyDescent="0.3">
      <c r="A79" s="97" t="s">
        <v>272</v>
      </c>
      <c r="B79" s="97" t="s">
        <v>22</v>
      </c>
      <c r="C79">
        <v>2025</v>
      </c>
      <c r="D79">
        <v>1</v>
      </c>
      <c r="E79" s="2">
        <v>45670</v>
      </c>
      <c r="F79" s="97" t="s">
        <v>7</v>
      </c>
      <c r="G79" s="97" t="s">
        <v>8</v>
      </c>
      <c r="H79" s="97" t="s">
        <v>74</v>
      </c>
      <c r="I79" s="97" t="s">
        <v>84</v>
      </c>
      <c r="J79" s="97" t="s">
        <v>85</v>
      </c>
      <c r="K79" s="97" t="s">
        <v>73</v>
      </c>
      <c r="L79">
        <v>701000</v>
      </c>
      <c r="M79" s="97" t="s">
        <v>62</v>
      </c>
      <c r="N79" s="97" t="s">
        <v>33</v>
      </c>
      <c r="O79">
        <v>4962</v>
      </c>
      <c r="P79">
        <v>0.95</v>
      </c>
      <c r="Q79">
        <v>4.72</v>
      </c>
      <c r="R79" s="97" t="s">
        <v>1199</v>
      </c>
      <c r="S79" s="97" t="s">
        <v>195</v>
      </c>
    </row>
    <row r="80" spans="1:19" x14ac:dyDescent="0.3">
      <c r="A80" s="97" t="s">
        <v>273</v>
      </c>
      <c r="B80" s="97" t="s">
        <v>22</v>
      </c>
      <c r="C80">
        <v>2025</v>
      </c>
      <c r="D80">
        <v>1</v>
      </c>
      <c r="E80" s="2">
        <v>45670</v>
      </c>
      <c r="F80" s="97" t="s">
        <v>7</v>
      </c>
      <c r="G80" s="97" t="s">
        <v>8</v>
      </c>
      <c r="H80" s="97" t="s">
        <v>74</v>
      </c>
      <c r="I80" s="97" t="s">
        <v>84</v>
      </c>
      <c r="J80" s="97" t="s">
        <v>85</v>
      </c>
      <c r="K80" s="97" t="s">
        <v>73</v>
      </c>
      <c r="L80">
        <v>701000</v>
      </c>
      <c r="M80" s="97" t="s">
        <v>62</v>
      </c>
      <c r="N80" s="97" t="s">
        <v>33</v>
      </c>
      <c r="O80">
        <v>2490</v>
      </c>
      <c r="P80">
        <v>0.95</v>
      </c>
      <c r="Q80">
        <v>2.37</v>
      </c>
      <c r="R80" s="97" t="s">
        <v>1205</v>
      </c>
      <c r="S80" s="97" t="s">
        <v>195</v>
      </c>
    </row>
    <row r="81" spans="1:19" x14ac:dyDescent="0.3">
      <c r="A81" s="97" t="s">
        <v>274</v>
      </c>
      <c r="B81" s="97" t="s">
        <v>22</v>
      </c>
      <c r="C81">
        <v>2025</v>
      </c>
      <c r="D81">
        <v>1</v>
      </c>
      <c r="E81" s="2">
        <v>45670</v>
      </c>
      <c r="F81" s="97" t="s">
        <v>7</v>
      </c>
      <c r="G81" s="97" t="s">
        <v>8</v>
      </c>
      <c r="H81" s="97" t="s">
        <v>74</v>
      </c>
      <c r="I81" s="97" t="s">
        <v>84</v>
      </c>
      <c r="J81" s="97" t="s">
        <v>85</v>
      </c>
      <c r="K81" s="97" t="s">
        <v>73</v>
      </c>
      <c r="L81">
        <v>701000</v>
      </c>
      <c r="M81" s="97" t="s">
        <v>62</v>
      </c>
      <c r="N81" s="97" t="s">
        <v>33</v>
      </c>
      <c r="O81">
        <v>1950</v>
      </c>
      <c r="P81">
        <v>0.94</v>
      </c>
      <c r="Q81">
        <v>1.84</v>
      </c>
      <c r="R81" s="97" t="s">
        <v>1203</v>
      </c>
      <c r="S81" s="97" t="s">
        <v>195</v>
      </c>
    </row>
    <row r="82" spans="1:19" x14ac:dyDescent="0.3">
      <c r="A82" s="97" t="s">
        <v>275</v>
      </c>
      <c r="B82" s="97" t="s">
        <v>22</v>
      </c>
      <c r="C82">
        <v>2025</v>
      </c>
      <c r="D82">
        <v>1</v>
      </c>
      <c r="E82" s="2">
        <v>45665</v>
      </c>
      <c r="F82" s="97" t="s">
        <v>7</v>
      </c>
      <c r="G82" s="97" t="s">
        <v>8</v>
      </c>
      <c r="H82" s="97" t="s">
        <v>70</v>
      </c>
      <c r="I82" s="97" t="s">
        <v>84</v>
      </c>
      <c r="J82" s="97" t="s">
        <v>85</v>
      </c>
      <c r="K82" s="97" t="s">
        <v>73</v>
      </c>
      <c r="L82">
        <v>701000</v>
      </c>
      <c r="M82" s="97" t="s">
        <v>62</v>
      </c>
      <c r="N82" s="97" t="s">
        <v>33</v>
      </c>
      <c r="O82">
        <v>1793</v>
      </c>
      <c r="P82">
        <v>0.95</v>
      </c>
      <c r="Q82">
        <v>1.7</v>
      </c>
      <c r="R82" s="97" t="s">
        <v>1200</v>
      </c>
      <c r="S82" s="97" t="s">
        <v>195</v>
      </c>
    </row>
    <row r="83" spans="1:19" x14ac:dyDescent="0.3">
      <c r="A83" s="97" t="s">
        <v>276</v>
      </c>
      <c r="B83" s="97" t="s">
        <v>22</v>
      </c>
      <c r="C83">
        <v>2025</v>
      </c>
      <c r="D83">
        <v>1</v>
      </c>
      <c r="E83" s="2">
        <v>45665</v>
      </c>
      <c r="F83" s="97" t="s">
        <v>7</v>
      </c>
      <c r="G83" s="97" t="s">
        <v>8</v>
      </c>
      <c r="H83" s="97" t="s">
        <v>70</v>
      </c>
      <c r="I83" s="97" t="s">
        <v>84</v>
      </c>
      <c r="J83" s="97" t="s">
        <v>85</v>
      </c>
      <c r="K83" s="97" t="s">
        <v>73</v>
      </c>
      <c r="L83">
        <v>701000</v>
      </c>
      <c r="M83" s="97" t="s">
        <v>62</v>
      </c>
      <c r="N83" s="97" t="s">
        <v>33</v>
      </c>
      <c r="O83">
        <v>2757</v>
      </c>
      <c r="P83">
        <v>0.95</v>
      </c>
      <c r="Q83">
        <v>2.62</v>
      </c>
      <c r="R83" s="97" t="s">
        <v>1199</v>
      </c>
      <c r="S83" s="97" t="s">
        <v>195</v>
      </c>
    </row>
    <row r="84" spans="1:19" x14ac:dyDescent="0.3">
      <c r="A84" s="97" t="s">
        <v>277</v>
      </c>
      <c r="B84" s="97" t="s">
        <v>22</v>
      </c>
      <c r="C84">
        <v>2025</v>
      </c>
      <c r="D84">
        <v>1</v>
      </c>
      <c r="E84" s="2">
        <v>45665</v>
      </c>
      <c r="F84" s="97" t="s">
        <v>7</v>
      </c>
      <c r="G84" s="97" t="s">
        <v>8</v>
      </c>
      <c r="H84" s="97" t="s">
        <v>70</v>
      </c>
      <c r="I84" s="97" t="s">
        <v>84</v>
      </c>
      <c r="J84" s="97" t="s">
        <v>85</v>
      </c>
      <c r="K84" s="97" t="s">
        <v>73</v>
      </c>
      <c r="L84">
        <v>701000</v>
      </c>
      <c r="M84" s="97" t="s">
        <v>62</v>
      </c>
      <c r="N84" s="97" t="s">
        <v>33</v>
      </c>
      <c r="O84">
        <v>1338</v>
      </c>
      <c r="P84">
        <v>0.95</v>
      </c>
      <c r="Q84">
        <v>1.27</v>
      </c>
      <c r="R84" s="97" t="s">
        <v>1203</v>
      </c>
      <c r="S84" s="97" t="s">
        <v>195</v>
      </c>
    </row>
    <row r="85" spans="1:19" x14ac:dyDescent="0.3">
      <c r="A85" s="97" t="s">
        <v>278</v>
      </c>
      <c r="B85" s="97" t="s">
        <v>22</v>
      </c>
      <c r="C85">
        <v>2025</v>
      </c>
      <c r="D85">
        <v>1</v>
      </c>
      <c r="E85" s="2">
        <v>45665</v>
      </c>
      <c r="F85" s="97" t="s">
        <v>7</v>
      </c>
      <c r="G85" s="97" t="s">
        <v>8</v>
      </c>
      <c r="H85" s="97" t="s">
        <v>70</v>
      </c>
      <c r="I85" s="97" t="s">
        <v>84</v>
      </c>
      <c r="J85" s="97" t="s">
        <v>85</v>
      </c>
      <c r="K85" s="97" t="s">
        <v>73</v>
      </c>
      <c r="L85">
        <v>701000</v>
      </c>
      <c r="M85" s="97" t="s">
        <v>62</v>
      </c>
      <c r="N85" s="97" t="s">
        <v>33</v>
      </c>
      <c r="O85">
        <v>2493</v>
      </c>
      <c r="P85">
        <v>0.95</v>
      </c>
      <c r="Q85">
        <v>2.37</v>
      </c>
      <c r="R85" s="97" t="s">
        <v>1201</v>
      </c>
      <c r="S85" s="97" t="s">
        <v>195</v>
      </c>
    </row>
    <row r="86" spans="1:19" x14ac:dyDescent="0.3">
      <c r="A86" s="97" t="s">
        <v>279</v>
      </c>
      <c r="B86" s="97" t="s">
        <v>22</v>
      </c>
      <c r="C86">
        <v>2025</v>
      </c>
      <c r="D86">
        <v>1</v>
      </c>
      <c r="E86" s="2">
        <v>45665</v>
      </c>
      <c r="F86" s="97" t="s">
        <v>7</v>
      </c>
      <c r="G86" s="97" t="s">
        <v>8</v>
      </c>
      <c r="H86" s="97" t="s">
        <v>70</v>
      </c>
      <c r="I86" s="97" t="s">
        <v>84</v>
      </c>
      <c r="J86" s="97" t="s">
        <v>85</v>
      </c>
      <c r="K86" s="97" t="s">
        <v>73</v>
      </c>
      <c r="L86">
        <v>701000</v>
      </c>
      <c r="M86" s="97" t="s">
        <v>62</v>
      </c>
      <c r="N86" s="97" t="s">
        <v>33</v>
      </c>
      <c r="O86">
        <v>6065</v>
      </c>
      <c r="P86">
        <v>0.95</v>
      </c>
      <c r="Q86">
        <v>5.76</v>
      </c>
      <c r="R86" s="97" t="s">
        <v>1197</v>
      </c>
      <c r="S86" s="97" t="s">
        <v>195</v>
      </c>
    </row>
    <row r="87" spans="1:19" x14ac:dyDescent="0.3">
      <c r="A87" s="97" t="s">
        <v>280</v>
      </c>
      <c r="B87" s="97" t="s">
        <v>22</v>
      </c>
      <c r="C87">
        <v>2025</v>
      </c>
      <c r="D87">
        <v>1</v>
      </c>
      <c r="E87" s="2">
        <v>45685</v>
      </c>
      <c r="F87" s="97" t="s">
        <v>7</v>
      </c>
      <c r="G87" s="97" t="s">
        <v>8</v>
      </c>
      <c r="H87" s="97" t="s">
        <v>74</v>
      </c>
      <c r="I87" s="97" t="s">
        <v>84</v>
      </c>
      <c r="J87" s="97" t="s">
        <v>85</v>
      </c>
      <c r="K87" s="97" t="s">
        <v>73</v>
      </c>
      <c r="L87">
        <v>701000</v>
      </c>
      <c r="M87" s="97" t="s">
        <v>62</v>
      </c>
      <c r="N87" s="97" t="s">
        <v>33</v>
      </c>
      <c r="O87">
        <v>4681</v>
      </c>
      <c r="P87">
        <v>0.95</v>
      </c>
      <c r="Q87">
        <v>4.45</v>
      </c>
      <c r="R87" s="97" t="s">
        <v>1198</v>
      </c>
      <c r="S87" s="97" t="s">
        <v>195</v>
      </c>
    </row>
    <row r="88" spans="1:19" x14ac:dyDescent="0.3">
      <c r="A88" s="97" t="s">
        <v>281</v>
      </c>
      <c r="B88" s="97" t="s">
        <v>22</v>
      </c>
      <c r="C88">
        <v>2025</v>
      </c>
      <c r="D88">
        <v>1</v>
      </c>
      <c r="E88" s="2">
        <v>45685</v>
      </c>
      <c r="F88" s="97" t="s">
        <v>7</v>
      </c>
      <c r="G88" s="97" t="s">
        <v>8</v>
      </c>
      <c r="H88" s="97" t="s">
        <v>74</v>
      </c>
      <c r="I88" s="97" t="s">
        <v>84</v>
      </c>
      <c r="J88" s="97" t="s">
        <v>85</v>
      </c>
      <c r="K88" s="97" t="s">
        <v>73</v>
      </c>
      <c r="L88">
        <v>701000</v>
      </c>
      <c r="M88" s="97" t="s">
        <v>62</v>
      </c>
      <c r="N88" s="97" t="s">
        <v>33</v>
      </c>
      <c r="O88">
        <v>2136</v>
      </c>
      <c r="P88">
        <v>0.95</v>
      </c>
      <c r="Q88">
        <v>2.0299999999999998</v>
      </c>
      <c r="R88" s="97" t="s">
        <v>1201</v>
      </c>
      <c r="S88" s="97" t="s">
        <v>195</v>
      </c>
    </row>
    <row r="89" spans="1:19" x14ac:dyDescent="0.3">
      <c r="A89" s="97" t="s">
        <v>282</v>
      </c>
      <c r="B89" s="97" t="s">
        <v>22</v>
      </c>
      <c r="C89">
        <v>2025</v>
      </c>
      <c r="D89">
        <v>1</v>
      </c>
      <c r="E89" s="2">
        <v>45685</v>
      </c>
      <c r="F89" s="97" t="s">
        <v>7</v>
      </c>
      <c r="G89" s="97" t="s">
        <v>8</v>
      </c>
      <c r="H89" s="97" t="s">
        <v>74</v>
      </c>
      <c r="I89" s="97" t="s">
        <v>84</v>
      </c>
      <c r="J89" s="97" t="s">
        <v>85</v>
      </c>
      <c r="K89" s="97" t="s">
        <v>73</v>
      </c>
      <c r="L89">
        <v>701000</v>
      </c>
      <c r="M89" s="97" t="s">
        <v>62</v>
      </c>
      <c r="N89" s="97" t="s">
        <v>33</v>
      </c>
      <c r="O89">
        <v>2611</v>
      </c>
      <c r="P89">
        <v>0.95</v>
      </c>
      <c r="Q89">
        <v>2.48</v>
      </c>
      <c r="R89" s="97" t="s">
        <v>1202</v>
      </c>
      <c r="S89" s="97" t="s">
        <v>195</v>
      </c>
    </row>
    <row r="90" spans="1:19" x14ac:dyDescent="0.3">
      <c r="A90" s="97" t="s">
        <v>283</v>
      </c>
      <c r="B90" s="97" t="s">
        <v>22</v>
      </c>
      <c r="C90">
        <v>2025</v>
      </c>
      <c r="D90">
        <v>1</v>
      </c>
      <c r="E90" s="2">
        <v>45685</v>
      </c>
      <c r="F90" s="97" t="s">
        <v>7</v>
      </c>
      <c r="G90" s="97" t="s">
        <v>8</v>
      </c>
      <c r="H90" s="97" t="s">
        <v>74</v>
      </c>
      <c r="I90" s="97" t="s">
        <v>84</v>
      </c>
      <c r="J90" s="97" t="s">
        <v>85</v>
      </c>
      <c r="K90" s="97" t="s">
        <v>73</v>
      </c>
      <c r="L90">
        <v>701000</v>
      </c>
      <c r="M90" s="97" t="s">
        <v>62</v>
      </c>
      <c r="N90" s="97" t="s">
        <v>33</v>
      </c>
      <c r="O90">
        <v>1640</v>
      </c>
      <c r="P90">
        <v>0.95</v>
      </c>
      <c r="Q90">
        <v>1.56</v>
      </c>
      <c r="R90" s="97" t="s">
        <v>1205</v>
      </c>
      <c r="S90" s="97" t="s">
        <v>195</v>
      </c>
    </row>
    <row r="91" spans="1:19" x14ac:dyDescent="0.3">
      <c r="A91" s="97" t="s">
        <v>284</v>
      </c>
      <c r="B91" s="97" t="s">
        <v>22</v>
      </c>
      <c r="C91">
        <v>2025</v>
      </c>
      <c r="D91">
        <v>1</v>
      </c>
      <c r="E91" s="2">
        <v>45685</v>
      </c>
      <c r="F91" s="97" t="s">
        <v>7</v>
      </c>
      <c r="G91" s="97" t="s">
        <v>8</v>
      </c>
      <c r="H91" s="97" t="s">
        <v>74</v>
      </c>
      <c r="I91" s="97" t="s">
        <v>84</v>
      </c>
      <c r="J91" s="97" t="s">
        <v>85</v>
      </c>
      <c r="K91" s="97" t="s">
        <v>73</v>
      </c>
      <c r="L91">
        <v>701000</v>
      </c>
      <c r="M91" s="97" t="s">
        <v>62</v>
      </c>
      <c r="N91" s="97" t="s">
        <v>33</v>
      </c>
      <c r="O91">
        <v>1854</v>
      </c>
      <c r="P91">
        <v>0.95</v>
      </c>
      <c r="Q91">
        <v>1.76</v>
      </c>
      <c r="R91" s="97" t="s">
        <v>1203</v>
      </c>
      <c r="S91" s="97" t="s">
        <v>195</v>
      </c>
    </row>
    <row r="92" spans="1:19" x14ac:dyDescent="0.3">
      <c r="A92" s="97" t="s">
        <v>285</v>
      </c>
      <c r="B92" s="97" t="s">
        <v>22</v>
      </c>
      <c r="C92">
        <v>2025</v>
      </c>
      <c r="D92">
        <v>1</v>
      </c>
      <c r="E92" s="2">
        <v>45667</v>
      </c>
      <c r="F92" s="97" t="s">
        <v>7</v>
      </c>
      <c r="G92" s="97" t="s">
        <v>8</v>
      </c>
      <c r="H92" s="97" t="s">
        <v>70</v>
      </c>
      <c r="I92" s="97" t="s">
        <v>84</v>
      </c>
      <c r="J92" s="97" t="s">
        <v>85</v>
      </c>
      <c r="K92" s="97" t="s">
        <v>73</v>
      </c>
      <c r="L92">
        <v>701000</v>
      </c>
      <c r="M92" s="97" t="s">
        <v>62</v>
      </c>
      <c r="N92" s="97" t="s">
        <v>33</v>
      </c>
      <c r="O92">
        <v>4194</v>
      </c>
      <c r="P92">
        <v>0.95</v>
      </c>
      <c r="Q92">
        <v>3.98</v>
      </c>
      <c r="R92" s="97" t="s">
        <v>1197</v>
      </c>
      <c r="S92" s="97" t="s">
        <v>195</v>
      </c>
    </row>
    <row r="93" spans="1:19" x14ac:dyDescent="0.3">
      <c r="A93" s="97" t="s">
        <v>286</v>
      </c>
      <c r="B93" s="97" t="s">
        <v>22</v>
      </c>
      <c r="C93">
        <v>2025</v>
      </c>
      <c r="D93">
        <v>1</v>
      </c>
      <c r="E93" s="2">
        <v>45667</v>
      </c>
      <c r="F93" s="97" t="s">
        <v>7</v>
      </c>
      <c r="G93" s="97" t="s">
        <v>8</v>
      </c>
      <c r="H93" s="97" t="s">
        <v>70</v>
      </c>
      <c r="I93" s="97" t="s">
        <v>84</v>
      </c>
      <c r="J93" s="97" t="s">
        <v>85</v>
      </c>
      <c r="K93" s="97" t="s">
        <v>73</v>
      </c>
      <c r="L93">
        <v>701000</v>
      </c>
      <c r="M93" s="97" t="s">
        <v>62</v>
      </c>
      <c r="N93" s="97" t="s">
        <v>33</v>
      </c>
      <c r="O93">
        <v>2837</v>
      </c>
      <c r="P93">
        <v>0.95</v>
      </c>
      <c r="Q93">
        <v>2.69</v>
      </c>
      <c r="R93" s="97" t="s">
        <v>1200</v>
      </c>
      <c r="S93" s="97" t="s">
        <v>195</v>
      </c>
    </row>
    <row r="94" spans="1:19" x14ac:dyDescent="0.3">
      <c r="A94" s="97" t="s">
        <v>287</v>
      </c>
      <c r="B94" s="97" t="s">
        <v>22</v>
      </c>
      <c r="C94">
        <v>2025</v>
      </c>
      <c r="D94">
        <v>1</v>
      </c>
      <c r="E94" s="2">
        <v>45667</v>
      </c>
      <c r="F94" s="97" t="s">
        <v>7</v>
      </c>
      <c r="G94" s="97" t="s">
        <v>8</v>
      </c>
      <c r="H94" s="97" t="s">
        <v>70</v>
      </c>
      <c r="I94" s="97" t="s">
        <v>84</v>
      </c>
      <c r="J94" s="97" t="s">
        <v>85</v>
      </c>
      <c r="K94" s="97" t="s">
        <v>73</v>
      </c>
      <c r="L94">
        <v>701000</v>
      </c>
      <c r="M94" s="97" t="s">
        <v>62</v>
      </c>
      <c r="N94" s="97" t="s">
        <v>33</v>
      </c>
      <c r="O94">
        <v>2001</v>
      </c>
      <c r="P94">
        <v>0.95</v>
      </c>
      <c r="Q94">
        <v>1.9</v>
      </c>
      <c r="R94" s="97" t="s">
        <v>1204</v>
      </c>
      <c r="S94" s="97" t="s">
        <v>195</v>
      </c>
    </row>
    <row r="95" spans="1:19" x14ac:dyDescent="0.3">
      <c r="A95" s="97" t="s">
        <v>288</v>
      </c>
      <c r="B95" s="97" t="s">
        <v>22</v>
      </c>
      <c r="C95">
        <v>2025</v>
      </c>
      <c r="D95">
        <v>1</v>
      </c>
      <c r="E95" s="2">
        <v>45667</v>
      </c>
      <c r="F95" s="97" t="s">
        <v>7</v>
      </c>
      <c r="G95" s="97" t="s">
        <v>8</v>
      </c>
      <c r="H95" s="97" t="s">
        <v>70</v>
      </c>
      <c r="I95" s="97" t="s">
        <v>84</v>
      </c>
      <c r="J95" s="97" t="s">
        <v>85</v>
      </c>
      <c r="K95" s="97" t="s">
        <v>73</v>
      </c>
      <c r="L95">
        <v>701000</v>
      </c>
      <c r="M95" s="97" t="s">
        <v>62</v>
      </c>
      <c r="N95" s="97" t="s">
        <v>33</v>
      </c>
      <c r="O95">
        <v>2323</v>
      </c>
      <c r="P95">
        <v>0.95</v>
      </c>
      <c r="Q95">
        <v>2.21</v>
      </c>
      <c r="R95" s="97" t="s">
        <v>1202</v>
      </c>
      <c r="S95" s="97" t="s">
        <v>195</v>
      </c>
    </row>
    <row r="96" spans="1:19" x14ac:dyDescent="0.3">
      <c r="A96" s="97" t="s">
        <v>289</v>
      </c>
      <c r="B96" s="97" t="s">
        <v>22</v>
      </c>
      <c r="C96">
        <v>2025</v>
      </c>
      <c r="D96">
        <v>1</v>
      </c>
      <c r="E96" s="2">
        <v>45667</v>
      </c>
      <c r="F96" s="97" t="s">
        <v>7</v>
      </c>
      <c r="G96" s="97" t="s">
        <v>8</v>
      </c>
      <c r="H96" s="97" t="s">
        <v>70</v>
      </c>
      <c r="I96" s="97" t="s">
        <v>84</v>
      </c>
      <c r="J96" s="97" t="s">
        <v>85</v>
      </c>
      <c r="K96" s="97" t="s">
        <v>73</v>
      </c>
      <c r="L96">
        <v>701000</v>
      </c>
      <c r="M96" s="97" t="s">
        <v>62</v>
      </c>
      <c r="N96" s="97" t="s">
        <v>33</v>
      </c>
      <c r="O96">
        <v>1077</v>
      </c>
      <c r="P96">
        <v>0.96</v>
      </c>
      <c r="Q96">
        <v>1.03</v>
      </c>
      <c r="R96" s="97" t="s">
        <v>1198</v>
      </c>
      <c r="S96" s="97" t="s">
        <v>195</v>
      </c>
    </row>
    <row r="97" spans="1:19" x14ac:dyDescent="0.3">
      <c r="A97" s="97" t="s">
        <v>290</v>
      </c>
      <c r="B97" s="97" t="s">
        <v>22</v>
      </c>
      <c r="C97">
        <v>2025</v>
      </c>
      <c r="D97">
        <v>1</v>
      </c>
      <c r="E97" s="2">
        <v>45667</v>
      </c>
      <c r="F97" s="97" t="s">
        <v>7</v>
      </c>
      <c r="G97" s="97" t="s">
        <v>8</v>
      </c>
      <c r="H97" s="97" t="s">
        <v>70</v>
      </c>
      <c r="I97" s="97" t="s">
        <v>84</v>
      </c>
      <c r="J97" s="97" t="s">
        <v>85</v>
      </c>
      <c r="K97" s="97" t="s">
        <v>73</v>
      </c>
      <c r="L97">
        <v>701000</v>
      </c>
      <c r="M97" s="97" t="s">
        <v>62</v>
      </c>
      <c r="N97" s="97" t="s">
        <v>33</v>
      </c>
      <c r="O97">
        <v>690</v>
      </c>
      <c r="P97">
        <v>0.96</v>
      </c>
      <c r="Q97">
        <v>0.66</v>
      </c>
      <c r="R97" s="97" t="s">
        <v>1203</v>
      </c>
      <c r="S97" s="97" t="s">
        <v>195</v>
      </c>
    </row>
    <row r="98" spans="1:19" x14ac:dyDescent="0.3">
      <c r="A98" s="97" t="s">
        <v>291</v>
      </c>
      <c r="B98" s="97" t="s">
        <v>22</v>
      </c>
      <c r="C98">
        <v>2025</v>
      </c>
      <c r="D98">
        <v>1</v>
      </c>
      <c r="E98" s="2">
        <v>45667</v>
      </c>
      <c r="F98" s="97" t="s">
        <v>7</v>
      </c>
      <c r="G98" s="97" t="s">
        <v>8</v>
      </c>
      <c r="H98" s="97" t="s">
        <v>70</v>
      </c>
      <c r="I98" s="97" t="s">
        <v>84</v>
      </c>
      <c r="J98" s="97" t="s">
        <v>85</v>
      </c>
      <c r="K98" s="97" t="s">
        <v>73</v>
      </c>
      <c r="L98">
        <v>701000</v>
      </c>
      <c r="M98" s="97" t="s">
        <v>62</v>
      </c>
      <c r="N98" s="97" t="s">
        <v>33</v>
      </c>
      <c r="O98">
        <v>1009</v>
      </c>
      <c r="P98">
        <v>0.95</v>
      </c>
      <c r="Q98">
        <v>0.96</v>
      </c>
      <c r="R98" s="97" t="s">
        <v>1199</v>
      </c>
      <c r="S98" s="97" t="s">
        <v>195</v>
      </c>
    </row>
    <row r="99" spans="1:19" x14ac:dyDescent="0.3">
      <c r="A99" s="97" t="s">
        <v>292</v>
      </c>
      <c r="B99" s="97" t="s">
        <v>22</v>
      </c>
      <c r="C99">
        <v>2025</v>
      </c>
      <c r="D99">
        <v>1</v>
      </c>
      <c r="E99" s="2">
        <v>45667</v>
      </c>
      <c r="F99" s="97" t="s">
        <v>7</v>
      </c>
      <c r="G99" s="97" t="s">
        <v>8</v>
      </c>
      <c r="H99" s="97" t="s">
        <v>70</v>
      </c>
      <c r="I99" s="97" t="s">
        <v>84</v>
      </c>
      <c r="J99" s="97" t="s">
        <v>85</v>
      </c>
      <c r="K99" s="97" t="s">
        <v>73</v>
      </c>
      <c r="L99">
        <v>701000</v>
      </c>
      <c r="M99" s="97" t="s">
        <v>62</v>
      </c>
      <c r="N99" s="97" t="s">
        <v>33</v>
      </c>
      <c r="O99">
        <v>1419</v>
      </c>
      <c r="P99">
        <v>0.95</v>
      </c>
      <c r="Q99">
        <v>1.35</v>
      </c>
      <c r="R99" s="97" t="s">
        <v>1205</v>
      </c>
      <c r="S99" s="97" t="s">
        <v>195</v>
      </c>
    </row>
    <row r="100" spans="1:19" x14ac:dyDescent="0.3">
      <c r="A100" s="97" t="s">
        <v>293</v>
      </c>
      <c r="B100" s="97" t="s">
        <v>22</v>
      </c>
      <c r="C100">
        <v>2025</v>
      </c>
      <c r="D100">
        <v>1</v>
      </c>
      <c r="E100" s="2">
        <v>45667</v>
      </c>
      <c r="F100" s="97" t="s">
        <v>7</v>
      </c>
      <c r="G100" s="97" t="s">
        <v>8</v>
      </c>
      <c r="H100" s="97" t="s">
        <v>70</v>
      </c>
      <c r="I100" s="97" t="s">
        <v>84</v>
      </c>
      <c r="J100" s="97" t="s">
        <v>85</v>
      </c>
      <c r="K100" s="97" t="s">
        <v>73</v>
      </c>
      <c r="L100">
        <v>701000</v>
      </c>
      <c r="M100" s="97" t="s">
        <v>62</v>
      </c>
      <c r="N100" s="97" t="s">
        <v>33</v>
      </c>
      <c r="O100">
        <v>7959</v>
      </c>
      <c r="P100">
        <v>0.95</v>
      </c>
      <c r="Q100">
        <v>7.56</v>
      </c>
      <c r="R100" s="97" t="s">
        <v>1200</v>
      </c>
      <c r="S100" s="97" t="s">
        <v>195</v>
      </c>
    </row>
    <row r="101" spans="1:19" x14ac:dyDescent="0.3">
      <c r="A101" s="97" t="s">
        <v>294</v>
      </c>
      <c r="B101" s="97" t="s">
        <v>22</v>
      </c>
      <c r="C101">
        <v>2025</v>
      </c>
      <c r="D101">
        <v>1</v>
      </c>
      <c r="E101" s="2">
        <v>45667</v>
      </c>
      <c r="F101" s="97" t="s">
        <v>7</v>
      </c>
      <c r="G101" s="97" t="s">
        <v>8</v>
      </c>
      <c r="H101" s="97" t="s">
        <v>70</v>
      </c>
      <c r="I101" s="97" t="s">
        <v>84</v>
      </c>
      <c r="J101" s="97" t="s">
        <v>85</v>
      </c>
      <c r="K101" s="97" t="s">
        <v>73</v>
      </c>
      <c r="L101">
        <v>701000</v>
      </c>
      <c r="M101" s="97" t="s">
        <v>62</v>
      </c>
      <c r="N101" s="97" t="s">
        <v>33</v>
      </c>
      <c r="O101">
        <v>3346</v>
      </c>
      <c r="P101">
        <v>0.95</v>
      </c>
      <c r="Q101">
        <v>3.17</v>
      </c>
      <c r="R101" s="97" t="s">
        <v>1202</v>
      </c>
      <c r="S101" s="97" t="s">
        <v>195</v>
      </c>
    </row>
    <row r="102" spans="1:19" x14ac:dyDescent="0.3">
      <c r="A102" s="97" t="s">
        <v>295</v>
      </c>
      <c r="B102" s="97" t="s">
        <v>22</v>
      </c>
      <c r="C102">
        <v>2025</v>
      </c>
      <c r="D102">
        <v>1</v>
      </c>
      <c r="E102" s="2">
        <v>45673</v>
      </c>
      <c r="F102" s="97" t="s">
        <v>7</v>
      </c>
      <c r="G102" s="97" t="s">
        <v>8</v>
      </c>
      <c r="H102" s="97" t="s">
        <v>70</v>
      </c>
      <c r="I102" s="97" t="s">
        <v>84</v>
      </c>
      <c r="J102" s="97" t="s">
        <v>85</v>
      </c>
      <c r="K102" s="97" t="s">
        <v>73</v>
      </c>
      <c r="L102">
        <v>701000</v>
      </c>
      <c r="M102" s="97" t="s">
        <v>62</v>
      </c>
      <c r="N102" s="97" t="s">
        <v>33</v>
      </c>
      <c r="O102">
        <v>1425</v>
      </c>
      <c r="P102">
        <v>0.95</v>
      </c>
      <c r="Q102">
        <v>1.35</v>
      </c>
      <c r="R102" s="97" t="s">
        <v>1199</v>
      </c>
      <c r="S102" s="97" t="s">
        <v>195</v>
      </c>
    </row>
    <row r="103" spans="1:19" x14ac:dyDescent="0.3">
      <c r="A103" s="97" t="s">
        <v>296</v>
      </c>
      <c r="B103" s="97" t="s">
        <v>22</v>
      </c>
      <c r="C103">
        <v>2025</v>
      </c>
      <c r="D103">
        <v>1</v>
      </c>
      <c r="E103" s="2">
        <v>45673</v>
      </c>
      <c r="F103" s="97" t="s">
        <v>7</v>
      </c>
      <c r="G103" s="97" t="s">
        <v>8</v>
      </c>
      <c r="H103" s="97" t="s">
        <v>70</v>
      </c>
      <c r="I103" s="97" t="s">
        <v>84</v>
      </c>
      <c r="J103" s="97" t="s">
        <v>85</v>
      </c>
      <c r="K103" s="97" t="s">
        <v>73</v>
      </c>
      <c r="L103">
        <v>701000</v>
      </c>
      <c r="M103" s="97" t="s">
        <v>62</v>
      </c>
      <c r="N103" s="97" t="s">
        <v>33</v>
      </c>
      <c r="O103">
        <v>5223</v>
      </c>
      <c r="P103">
        <v>0.95</v>
      </c>
      <c r="Q103">
        <v>4.96</v>
      </c>
      <c r="R103" s="97" t="s">
        <v>1205</v>
      </c>
      <c r="S103" s="97" t="s">
        <v>195</v>
      </c>
    </row>
    <row r="104" spans="1:19" x14ac:dyDescent="0.3">
      <c r="A104" s="97" t="s">
        <v>297</v>
      </c>
      <c r="B104" s="97" t="s">
        <v>22</v>
      </c>
      <c r="C104">
        <v>2025</v>
      </c>
      <c r="D104">
        <v>1</v>
      </c>
      <c r="E104" s="2">
        <v>45673</v>
      </c>
      <c r="F104" s="97" t="s">
        <v>7</v>
      </c>
      <c r="G104" s="97" t="s">
        <v>8</v>
      </c>
      <c r="H104" s="97" t="s">
        <v>70</v>
      </c>
      <c r="I104" s="97" t="s">
        <v>84</v>
      </c>
      <c r="J104" s="97" t="s">
        <v>85</v>
      </c>
      <c r="K104" s="97" t="s">
        <v>73</v>
      </c>
      <c r="L104">
        <v>701000</v>
      </c>
      <c r="M104" s="97" t="s">
        <v>62</v>
      </c>
      <c r="N104" s="97" t="s">
        <v>33</v>
      </c>
      <c r="O104">
        <v>907</v>
      </c>
      <c r="P104">
        <v>0.95</v>
      </c>
      <c r="Q104">
        <v>0.86</v>
      </c>
      <c r="R104" s="97" t="s">
        <v>1202</v>
      </c>
      <c r="S104" s="97" t="s">
        <v>195</v>
      </c>
    </row>
    <row r="105" spans="1:19" x14ac:dyDescent="0.3">
      <c r="A105" s="97" t="s">
        <v>298</v>
      </c>
      <c r="B105" s="97" t="s">
        <v>22</v>
      </c>
      <c r="C105">
        <v>2025</v>
      </c>
      <c r="D105">
        <v>1</v>
      </c>
      <c r="E105" s="2">
        <v>45673</v>
      </c>
      <c r="F105" s="97" t="s">
        <v>7</v>
      </c>
      <c r="G105" s="97" t="s">
        <v>8</v>
      </c>
      <c r="H105" s="97" t="s">
        <v>70</v>
      </c>
      <c r="I105" s="97" t="s">
        <v>84</v>
      </c>
      <c r="J105" s="97" t="s">
        <v>85</v>
      </c>
      <c r="K105" s="97" t="s">
        <v>73</v>
      </c>
      <c r="L105">
        <v>701000</v>
      </c>
      <c r="M105" s="97" t="s">
        <v>62</v>
      </c>
      <c r="N105" s="97" t="s">
        <v>33</v>
      </c>
      <c r="O105">
        <v>2588</v>
      </c>
      <c r="P105">
        <v>0.95</v>
      </c>
      <c r="Q105">
        <v>2.46</v>
      </c>
      <c r="R105" s="97" t="s">
        <v>1204</v>
      </c>
      <c r="S105" s="97" t="s">
        <v>195</v>
      </c>
    </row>
    <row r="106" spans="1:19" x14ac:dyDescent="0.3">
      <c r="A106" s="97" t="s">
        <v>299</v>
      </c>
      <c r="B106" s="97" t="s">
        <v>22</v>
      </c>
      <c r="C106">
        <v>2025</v>
      </c>
      <c r="D106">
        <v>1</v>
      </c>
      <c r="E106" s="2">
        <v>45673</v>
      </c>
      <c r="F106" s="97" t="s">
        <v>7</v>
      </c>
      <c r="G106" s="97" t="s">
        <v>8</v>
      </c>
      <c r="H106" s="97" t="s">
        <v>70</v>
      </c>
      <c r="I106" s="97" t="s">
        <v>84</v>
      </c>
      <c r="J106" s="97" t="s">
        <v>85</v>
      </c>
      <c r="K106" s="97" t="s">
        <v>73</v>
      </c>
      <c r="L106">
        <v>701000</v>
      </c>
      <c r="M106" s="97" t="s">
        <v>62</v>
      </c>
      <c r="N106" s="97" t="s">
        <v>33</v>
      </c>
      <c r="O106">
        <v>581</v>
      </c>
      <c r="P106">
        <v>0.96</v>
      </c>
      <c r="Q106">
        <v>0.56000000000000005</v>
      </c>
      <c r="R106" s="97" t="s">
        <v>1198</v>
      </c>
      <c r="S106" s="97" t="s">
        <v>195</v>
      </c>
    </row>
    <row r="107" spans="1:19" x14ac:dyDescent="0.3">
      <c r="A107" s="97" t="s">
        <v>300</v>
      </c>
      <c r="B107" s="97" t="s">
        <v>22</v>
      </c>
      <c r="C107">
        <v>2025</v>
      </c>
      <c r="D107">
        <v>1</v>
      </c>
      <c r="E107" s="2">
        <v>45668</v>
      </c>
      <c r="F107" s="97" t="s">
        <v>7</v>
      </c>
      <c r="G107" s="97" t="s">
        <v>8</v>
      </c>
      <c r="H107" s="97" t="s">
        <v>70</v>
      </c>
      <c r="I107" s="97" t="s">
        <v>84</v>
      </c>
      <c r="J107" s="97" t="s">
        <v>85</v>
      </c>
      <c r="K107" s="97" t="s">
        <v>73</v>
      </c>
      <c r="L107">
        <v>701000</v>
      </c>
      <c r="M107" s="97" t="s">
        <v>62</v>
      </c>
      <c r="N107" s="97" t="s">
        <v>33</v>
      </c>
      <c r="O107">
        <v>2252</v>
      </c>
      <c r="P107">
        <v>0.95</v>
      </c>
      <c r="Q107">
        <v>2.14</v>
      </c>
      <c r="R107" s="97" t="s">
        <v>1201</v>
      </c>
      <c r="S107" s="97" t="s">
        <v>195</v>
      </c>
    </row>
    <row r="108" spans="1:19" x14ac:dyDescent="0.3">
      <c r="A108" s="97" t="s">
        <v>301</v>
      </c>
      <c r="B108" s="97" t="s">
        <v>22</v>
      </c>
      <c r="C108">
        <v>2025</v>
      </c>
      <c r="D108">
        <v>1</v>
      </c>
      <c r="E108" s="2">
        <v>45668</v>
      </c>
      <c r="F108" s="97" t="s">
        <v>7</v>
      </c>
      <c r="G108" s="97" t="s">
        <v>8</v>
      </c>
      <c r="H108" s="97" t="s">
        <v>70</v>
      </c>
      <c r="I108" s="97" t="s">
        <v>84</v>
      </c>
      <c r="J108" s="97" t="s">
        <v>85</v>
      </c>
      <c r="K108" s="97" t="s">
        <v>73</v>
      </c>
      <c r="L108">
        <v>701000</v>
      </c>
      <c r="M108" s="97" t="s">
        <v>62</v>
      </c>
      <c r="N108" s="97" t="s">
        <v>33</v>
      </c>
      <c r="O108">
        <v>3551</v>
      </c>
      <c r="P108">
        <v>0.95</v>
      </c>
      <c r="Q108">
        <v>3.37</v>
      </c>
      <c r="R108" s="97" t="s">
        <v>1200</v>
      </c>
      <c r="S108" s="97" t="s">
        <v>195</v>
      </c>
    </row>
    <row r="109" spans="1:19" x14ac:dyDescent="0.3">
      <c r="A109" s="97" t="s">
        <v>302</v>
      </c>
      <c r="B109" s="97" t="s">
        <v>22</v>
      </c>
      <c r="C109">
        <v>2025</v>
      </c>
      <c r="D109">
        <v>1</v>
      </c>
      <c r="E109" s="2">
        <v>45668</v>
      </c>
      <c r="F109" s="97" t="s">
        <v>7</v>
      </c>
      <c r="G109" s="97" t="s">
        <v>8</v>
      </c>
      <c r="H109" s="97" t="s">
        <v>70</v>
      </c>
      <c r="I109" s="97" t="s">
        <v>84</v>
      </c>
      <c r="J109" s="97" t="s">
        <v>85</v>
      </c>
      <c r="K109" s="97" t="s">
        <v>73</v>
      </c>
      <c r="L109">
        <v>701000</v>
      </c>
      <c r="M109" s="97" t="s">
        <v>62</v>
      </c>
      <c r="N109" s="97" t="s">
        <v>33</v>
      </c>
      <c r="O109">
        <v>2263</v>
      </c>
      <c r="P109">
        <v>0.95</v>
      </c>
      <c r="Q109">
        <v>2.15</v>
      </c>
      <c r="R109" s="97" t="s">
        <v>1199</v>
      </c>
      <c r="S109" s="97" t="s">
        <v>195</v>
      </c>
    </row>
    <row r="110" spans="1:19" x14ac:dyDescent="0.3">
      <c r="A110" s="97" t="s">
        <v>303</v>
      </c>
      <c r="B110" s="97" t="s">
        <v>22</v>
      </c>
      <c r="C110">
        <v>2025</v>
      </c>
      <c r="D110">
        <v>1</v>
      </c>
      <c r="E110" s="2">
        <v>45668</v>
      </c>
      <c r="F110" s="97" t="s">
        <v>7</v>
      </c>
      <c r="G110" s="97" t="s">
        <v>8</v>
      </c>
      <c r="H110" s="97" t="s">
        <v>70</v>
      </c>
      <c r="I110" s="97" t="s">
        <v>84</v>
      </c>
      <c r="J110" s="97" t="s">
        <v>85</v>
      </c>
      <c r="K110" s="97" t="s">
        <v>73</v>
      </c>
      <c r="L110">
        <v>701000</v>
      </c>
      <c r="M110" s="97" t="s">
        <v>62</v>
      </c>
      <c r="N110" s="97" t="s">
        <v>33</v>
      </c>
      <c r="O110">
        <v>1891</v>
      </c>
      <c r="P110">
        <v>0.95</v>
      </c>
      <c r="Q110">
        <v>1.8</v>
      </c>
      <c r="R110" s="97" t="s">
        <v>1204</v>
      </c>
      <c r="S110" s="97" t="s">
        <v>195</v>
      </c>
    </row>
    <row r="111" spans="1:19" x14ac:dyDescent="0.3">
      <c r="A111" s="97" t="s">
        <v>304</v>
      </c>
      <c r="B111" s="97" t="s">
        <v>22</v>
      </c>
      <c r="C111">
        <v>2025</v>
      </c>
      <c r="D111">
        <v>1</v>
      </c>
      <c r="E111" s="2">
        <v>45668</v>
      </c>
      <c r="F111" s="97" t="s">
        <v>7</v>
      </c>
      <c r="G111" s="97" t="s">
        <v>8</v>
      </c>
      <c r="H111" s="97" t="s">
        <v>70</v>
      </c>
      <c r="I111" s="97" t="s">
        <v>84</v>
      </c>
      <c r="J111" s="97" t="s">
        <v>85</v>
      </c>
      <c r="K111" s="97" t="s">
        <v>73</v>
      </c>
      <c r="L111">
        <v>701000</v>
      </c>
      <c r="M111" s="97" t="s">
        <v>62</v>
      </c>
      <c r="N111" s="97" t="s">
        <v>33</v>
      </c>
      <c r="O111">
        <v>888</v>
      </c>
      <c r="P111">
        <v>0.95</v>
      </c>
      <c r="Q111">
        <v>0.84</v>
      </c>
      <c r="R111" s="97" t="s">
        <v>1202</v>
      </c>
      <c r="S111" s="97" t="s">
        <v>195</v>
      </c>
    </row>
    <row r="112" spans="1:19" x14ac:dyDescent="0.3">
      <c r="A112" s="97" t="s">
        <v>305</v>
      </c>
      <c r="B112" s="97" t="s">
        <v>22</v>
      </c>
      <c r="C112">
        <v>2025</v>
      </c>
      <c r="D112">
        <v>1</v>
      </c>
      <c r="E112" s="2">
        <v>45671</v>
      </c>
      <c r="F112" s="97" t="s">
        <v>7</v>
      </c>
      <c r="G112" s="97" t="s">
        <v>8</v>
      </c>
      <c r="H112" s="97" t="s">
        <v>70</v>
      </c>
      <c r="I112" s="97" t="s">
        <v>84</v>
      </c>
      <c r="J112" s="97" t="s">
        <v>85</v>
      </c>
      <c r="K112" s="97" t="s">
        <v>73</v>
      </c>
      <c r="L112">
        <v>701000</v>
      </c>
      <c r="M112" s="97" t="s">
        <v>62</v>
      </c>
      <c r="N112" s="97" t="s">
        <v>33</v>
      </c>
      <c r="O112">
        <v>1621</v>
      </c>
      <c r="P112">
        <v>0.95</v>
      </c>
      <c r="Q112">
        <v>1.54</v>
      </c>
      <c r="R112" s="97" t="s">
        <v>1203</v>
      </c>
      <c r="S112" s="97" t="s">
        <v>195</v>
      </c>
    </row>
    <row r="113" spans="1:19" x14ac:dyDescent="0.3">
      <c r="A113" s="97" t="s">
        <v>306</v>
      </c>
      <c r="B113" s="97" t="s">
        <v>22</v>
      </c>
      <c r="C113">
        <v>2025</v>
      </c>
      <c r="D113">
        <v>1</v>
      </c>
      <c r="E113" s="2">
        <v>45671</v>
      </c>
      <c r="F113" s="97" t="s">
        <v>7</v>
      </c>
      <c r="G113" s="97" t="s">
        <v>8</v>
      </c>
      <c r="H113" s="97" t="s">
        <v>70</v>
      </c>
      <c r="I113" s="97" t="s">
        <v>84</v>
      </c>
      <c r="J113" s="97" t="s">
        <v>85</v>
      </c>
      <c r="K113" s="97" t="s">
        <v>73</v>
      </c>
      <c r="L113">
        <v>701000</v>
      </c>
      <c r="M113" s="97" t="s">
        <v>62</v>
      </c>
      <c r="N113" s="97" t="s">
        <v>33</v>
      </c>
      <c r="O113">
        <v>1359</v>
      </c>
      <c r="P113">
        <v>0.95</v>
      </c>
      <c r="Q113">
        <v>1.29</v>
      </c>
      <c r="R113" s="97" t="s">
        <v>1198</v>
      </c>
      <c r="S113" s="97" t="s">
        <v>195</v>
      </c>
    </row>
    <row r="114" spans="1:19" x14ac:dyDescent="0.3">
      <c r="A114" s="97" t="s">
        <v>307</v>
      </c>
      <c r="B114" s="97" t="s">
        <v>22</v>
      </c>
      <c r="C114">
        <v>2025</v>
      </c>
      <c r="D114">
        <v>1</v>
      </c>
      <c r="E114" s="2">
        <v>45671</v>
      </c>
      <c r="F114" s="97" t="s">
        <v>7</v>
      </c>
      <c r="G114" s="97" t="s">
        <v>8</v>
      </c>
      <c r="H114" s="97" t="s">
        <v>70</v>
      </c>
      <c r="I114" s="97" t="s">
        <v>84</v>
      </c>
      <c r="J114" s="97" t="s">
        <v>85</v>
      </c>
      <c r="K114" s="97" t="s">
        <v>73</v>
      </c>
      <c r="L114">
        <v>701000</v>
      </c>
      <c r="M114" s="97" t="s">
        <v>62</v>
      </c>
      <c r="N114" s="97" t="s">
        <v>33</v>
      </c>
      <c r="O114">
        <v>2894</v>
      </c>
      <c r="P114">
        <v>0.95</v>
      </c>
      <c r="Q114">
        <v>2.75</v>
      </c>
      <c r="R114" s="97" t="s">
        <v>1205</v>
      </c>
      <c r="S114" s="97" t="s">
        <v>195</v>
      </c>
    </row>
    <row r="115" spans="1:19" x14ac:dyDescent="0.3">
      <c r="A115" s="97" t="s">
        <v>308</v>
      </c>
      <c r="B115" s="97" t="s">
        <v>22</v>
      </c>
      <c r="C115">
        <v>2025</v>
      </c>
      <c r="D115">
        <v>1</v>
      </c>
      <c r="E115" s="2">
        <v>45671</v>
      </c>
      <c r="F115" s="97" t="s">
        <v>7</v>
      </c>
      <c r="G115" s="97" t="s">
        <v>8</v>
      </c>
      <c r="H115" s="97" t="s">
        <v>70</v>
      </c>
      <c r="I115" s="97" t="s">
        <v>84</v>
      </c>
      <c r="J115" s="97" t="s">
        <v>85</v>
      </c>
      <c r="K115" s="97" t="s">
        <v>73</v>
      </c>
      <c r="L115">
        <v>701000</v>
      </c>
      <c r="M115" s="97" t="s">
        <v>62</v>
      </c>
      <c r="N115" s="97" t="s">
        <v>33</v>
      </c>
      <c r="O115">
        <v>3443</v>
      </c>
      <c r="P115">
        <v>0.95</v>
      </c>
      <c r="Q115">
        <v>3.27</v>
      </c>
      <c r="R115" s="97" t="s">
        <v>1204</v>
      </c>
      <c r="S115" s="97" t="s">
        <v>195</v>
      </c>
    </row>
    <row r="116" spans="1:19" x14ac:dyDescent="0.3">
      <c r="A116" s="97" t="s">
        <v>309</v>
      </c>
      <c r="B116" s="97" t="s">
        <v>22</v>
      </c>
      <c r="C116">
        <v>2025</v>
      </c>
      <c r="D116">
        <v>1</v>
      </c>
      <c r="E116" s="2">
        <v>45671</v>
      </c>
      <c r="F116" s="97" t="s">
        <v>7</v>
      </c>
      <c r="G116" s="97" t="s">
        <v>8</v>
      </c>
      <c r="H116" s="97" t="s">
        <v>70</v>
      </c>
      <c r="I116" s="97" t="s">
        <v>84</v>
      </c>
      <c r="J116" s="97" t="s">
        <v>85</v>
      </c>
      <c r="K116" s="97" t="s">
        <v>73</v>
      </c>
      <c r="L116">
        <v>701000</v>
      </c>
      <c r="M116" s="97" t="s">
        <v>62</v>
      </c>
      <c r="N116" s="97" t="s">
        <v>33</v>
      </c>
      <c r="O116">
        <v>1871</v>
      </c>
      <c r="P116">
        <v>0.95</v>
      </c>
      <c r="Q116">
        <v>1.78</v>
      </c>
      <c r="R116" s="97" t="s">
        <v>1200</v>
      </c>
      <c r="S116" s="97" t="s">
        <v>195</v>
      </c>
    </row>
    <row r="117" spans="1:19" x14ac:dyDescent="0.3">
      <c r="A117" s="97" t="s">
        <v>310</v>
      </c>
      <c r="B117" s="97" t="s">
        <v>22</v>
      </c>
      <c r="C117">
        <v>2025</v>
      </c>
      <c r="D117">
        <v>1</v>
      </c>
      <c r="E117" s="2">
        <v>45685</v>
      </c>
      <c r="F117" s="97" t="s">
        <v>7</v>
      </c>
      <c r="G117" s="97" t="s">
        <v>8</v>
      </c>
      <c r="H117" s="97" t="s">
        <v>74</v>
      </c>
      <c r="I117" s="97" t="s">
        <v>84</v>
      </c>
      <c r="J117" s="97" t="s">
        <v>85</v>
      </c>
      <c r="K117" s="97" t="s">
        <v>73</v>
      </c>
      <c r="L117">
        <v>701000</v>
      </c>
      <c r="M117" s="97" t="s">
        <v>62</v>
      </c>
      <c r="N117" s="97" t="s">
        <v>33</v>
      </c>
      <c r="O117">
        <v>2233</v>
      </c>
      <c r="P117">
        <v>0.95</v>
      </c>
      <c r="Q117">
        <v>2.12</v>
      </c>
      <c r="R117" s="97" t="s">
        <v>1205</v>
      </c>
      <c r="S117" s="97" t="s">
        <v>195</v>
      </c>
    </row>
    <row r="118" spans="1:19" x14ac:dyDescent="0.3">
      <c r="A118" s="97" t="s">
        <v>311</v>
      </c>
      <c r="B118" s="97" t="s">
        <v>22</v>
      </c>
      <c r="C118">
        <v>2025</v>
      </c>
      <c r="D118">
        <v>1</v>
      </c>
      <c r="E118" s="2">
        <v>45685</v>
      </c>
      <c r="F118" s="97" t="s">
        <v>7</v>
      </c>
      <c r="G118" s="97" t="s">
        <v>8</v>
      </c>
      <c r="H118" s="97" t="s">
        <v>74</v>
      </c>
      <c r="I118" s="97" t="s">
        <v>84</v>
      </c>
      <c r="J118" s="97" t="s">
        <v>85</v>
      </c>
      <c r="K118" s="97" t="s">
        <v>73</v>
      </c>
      <c r="L118">
        <v>701000</v>
      </c>
      <c r="M118" s="97" t="s">
        <v>62</v>
      </c>
      <c r="N118" s="97" t="s">
        <v>33</v>
      </c>
      <c r="O118">
        <v>2146</v>
      </c>
      <c r="P118">
        <v>0.95</v>
      </c>
      <c r="Q118">
        <v>2.04</v>
      </c>
      <c r="R118" s="97" t="s">
        <v>1200</v>
      </c>
      <c r="S118" s="97" t="s">
        <v>195</v>
      </c>
    </row>
    <row r="119" spans="1:19" x14ac:dyDescent="0.3">
      <c r="A119" s="97" t="s">
        <v>312</v>
      </c>
      <c r="B119" s="97" t="s">
        <v>22</v>
      </c>
      <c r="C119">
        <v>2025</v>
      </c>
      <c r="D119">
        <v>1</v>
      </c>
      <c r="E119" s="2">
        <v>45685</v>
      </c>
      <c r="F119" s="97" t="s">
        <v>7</v>
      </c>
      <c r="G119" s="97" t="s">
        <v>8</v>
      </c>
      <c r="H119" s="97" t="s">
        <v>74</v>
      </c>
      <c r="I119" s="97" t="s">
        <v>84</v>
      </c>
      <c r="J119" s="97" t="s">
        <v>85</v>
      </c>
      <c r="K119" s="97" t="s">
        <v>73</v>
      </c>
      <c r="L119">
        <v>701000</v>
      </c>
      <c r="M119" s="97" t="s">
        <v>62</v>
      </c>
      <c r="N119" s="97" t="s">
        <v>33</v>
      </c>
      <c r="O119">
        <v>4237</v>
      </c>
      <c r="P119">
        <v>0.95</v>
      </c>
      <c r="Q119">
        <v>4.03</v>
      </c>
      <c r="R119" s="97" t="s">
        <v>1204</v>
      </c>
      <c r="S119" s="97" t="s">
        <v>195</v>
      </c>
    </row>
    <row r="120" spans="1:19" x14ac:dyDescent="0.3">
      <c r="A120" s="97" t="s">
        <v>313</v>
      </c>
      <c r="B120" s="97" t="s">
        <v>22</v>
      </c>
      <c r="C120">
        <v>2025</v>
      </c>
      <c r="D120">
        <v>1</v>
      </c>
      <c r="E120" s="2">
        <v>45685</v>
      </c>
      <c r="F120" s="97" t="s">
        <v>7</v>
      </c>
      <c r="G120" s="97" t="s">
        <v>8</v>
      </c>
      <c r="H120" s="97" t="s">
        <v>74</v>
      </c>
      <c r="I120" s="97" t="s">
        <v>84</v>
      </c>
      <c r="J120" s="97" t="s">
        <v>85</v>
      </c>
      <c r="K120" s="97" t="s">
        <v>73</v>
      </c>
      <c r="L120">
        <v>701000</v>
      </c>
      <c r="M120" s="97" t="s">
        <v>62</v>
      </c>
      <c r="N120" s="97" t="s">
        <v>33</v>
      </c>
      <c r="O120">
        <v>1414</v>
      </c>
      <c r="P120">
        <v>0.95</v>
      </c>
      <c r="Q120">
        <v>1.34</v>
      </c>
      <c r="R120" s="97" t="s">
        <v>1203</v>
      </c>
      <c r="S120" s="97" t="s">
        <v>195</v>
      </c>
    </row>
    <row r="121" spans="1:19" x14ac:dyDescent="0.3">
      <c r="A121" s="97" t="s">
        <v>314</v>
      </c>
      <c r="B121" s="97" t="s">
        <v>22</v>
      </c>
      <c r="C121">
        <v>2025</v>
      </c>
      <c r="D121">
        <v>1</v>
      </c>
      <c r="E121" s="2">
        <v>45685</v>
      </c>
      <c r="F121" s="97" t="s">
        <v>7</v>
      </c>
      <c r="G121" s="97" t="s">
        <v>8</v>
      </c>
      <c r="H121" s="97" t="s">
        <v>74</v>
      </c>
      <c r="I121" s="97" t="s">
        <v>84</v>
      </c>
      <c r="J121" s="97" t="s">
        <v>85</v>
      </c>
      <c r="K121" s="97" t="s">
        <v>73</v>
      </c>
      <c r="L121">
        <v>701000</v>
      </c>
      <c r="M121" s="97" t="s">
        <v>62</v>
      </c>
      <c r="N121" s="97" t="s">
        <v>33</v>
      </c>
      <c r="O121">
        <v>1473</v>
      </c>
      <c r="P121">
        <v>0.95</v>
      </c>
      <c r="Q121">
        <v>1.4</v>
      </c>
      <c r="R121" s="97" t="s">
        <v>1199</v>
      </c>
      <c r="S121" s="97" t="s">
        <v>195</v>
      </c>
    </row>
    <row r="122" spans="1:19" x14ac:dyDescent="0.3">
      <c r="A122" s="97" t="s">
        <v>315</v>
      </c>
      <c r="B122" s="97" t="s">
        <v>22</v>
      </c>
      <c r="C122">
        <v>2025</v>
      </c>
      <c r="D122">
        <v>1</v>
      </c>
      <c r="E122" s="2">
        <v>45680</v>
      </c>
      <c r="F122" s="97" t="s">
        <v>7</v>
      </c>
      <c r="G122" s="97" t="s">
        <v>8</v>
      </c>
      <c r="H122" s="97" t="s">
        <v>74</v>
      </c>
      <c r="I122" s="97" t="s">
        <v>84</v>
      </c>
      <c r="J122" s="97" t="s">
        <v>85</v>
      </c>
      <c r="K122" s="97" t="s">
        <v>73</v>
      </c>
      <c r="L122">
        <v>701000</v>
      </c>
      <c r="M122" s="97" t="s">
        <v>62</v>
      </c>
      <c r="N122" s="97" t="s">
        <v>33</v>
      </c>
      <c r="O122">
        <v>1239</v>
      </c>
      <c r="P122">
        <v>0.95</v>
      </c>
      <c r="Q122">
        <v>1.18</v>
      </c>
      <c r="R122" s="97" t="s">
        <v>1198</v>
      </c>
      <c r="S122" s="97" t="s">
        <v>195</v>
      </c>
    </row>
    <row r="123" spans="1:19" x14ac:dyDescent="0.3">
      <c r="A123" s="97" t="s">
        <v>316</v>
      </c>
      <c r="B123" s="97" t="s">
        <v>22</v>
      </c>
      <c r="C123">
        <v>2025</v>
      </c>
      <c r="D123">
        <v>1</v>
      </c>
      <c r="E123" s="2">
        <v>45680</v>
      </c>
      <c r="F123" s="97" t="s">
        <v>7</v>
      </c>
      <c r="G123" s="97" t="s">
        <v>8</v>
      </c>
      <c r="H123" s="97" t="s">
        <v>74</v>
      </c>
      <c r="I123" s="97" t="s">
        <v>84</v>
      </c>
      <c r="J123" s="97" t="s">
        <v>85</v>
      </c>
      <c r="K123" s="97" t="s">
        <v>73</v>
      </c>
      <c r="L123">
        <v>701000</v>
      </c>
      <c r="M123" s="97" t="s">
        <v>62</v>
      </c>
      <c r="N123" s="97" t="s">
        <v>33</v>
      </c>
      <c r="O123">
        <v>2115</v>
      </c>
      <c r="P123">
        <v>0.95</v>
      </c>
      <c r="Q123">
        <v>2.0099999999999998</v>
      </c>
      <c r="R123" s="97" t="s">
        <v>1205</v>
      </c>
      <c r="S123" s="97" t="s">
        <v>195</v>
      </c>
    </row>
    <row r="124" spans="1:19" x14ac:dyDescent="0.3">
      <c r="A124" s="97" t="s">
        <v>317</v>
      </c>
      <c r="B124" s="97" t="s">
        <v>22</v>
      </c>
      <c r="C124">
        <v>2025</v>
      </c>
      <c r="D124">
        <v>1</v>
      </c>
      <c r="E124" s="2">
        <v>45680</v>
      </c>
      <c r="F124" s="97" t="s">
        <v>7</v>
      </c>
      <c r="G124" s="97" t="s">
        <v>8</v>
      </c>
      <c r="H124" s="97" t="s">
        <v>74</v>
      </c>
      <c r="I124" s="97" t="s">
        <v>84</v>
      </c>
      <c r="J124" s="97" t="s">
        <v>85</v>
      </c>
      <c r="K124" s="97" t="s">
        <v>73</v>
      </c>
      <c r="L124">
        <v>701000</v>
      </c>
      <c r="M124" s="97" t="s">
        <v>62</v>
      </c>
      <c r="N124" s="97" t="s">
        <v>33</v>
      </c>
      <c r="O124">
        <v>3947</v>
      </c>
      <c r="P124">
        <v>0.95</v>
      </c>
      <c r="Q124">
        <v>3.75</v>
      </c>
      <c r="R124" s="97" t="s">
        <v>1199</v>
      </c>
      <c r="S124" s="97" t="s">
        <v>195</v>
      </c>
    </row>
    <row r="125" spans="1:19" x14ac:dyDescent="0.3">
      <c r="A125" s="97" t="s">
        <v>318</v>
      </c>
      <c r="B125" s="97" t="s">
        <v>22</v>
      </c>
      <c r="C125">
        <v>2025</v>
      </c>
      <c r="D125">
        <v>1</v>
      </c>
      <c r="E125" s="2">
        <v>45680</v>
      </c>
      <c r="F125" s="97" t="s">
        <v>7</v>
      </c>
      <c r="G125" s="97" t="s">
        <v>8</v>
      </c>
      <c r="H125" s="97" t="s">
        <v>74</v>
      </c>
      <c r="I125" s="97" t="s">
        <v>84</v>
      </c>
      <c r="J125" s="97" t="s">
        <v>85</v>
      </c>
      <c r="K125" s="97" t="s">
        <v>73</v>
      </c>
      <c r="L125">
        <v>701000</v>
      </c>
      <c r="M125" s="97" t="s">
        <v>62</v>
      </c>
      <c r="N125" s="97" t="s">
        <v>33</v>
      </c>
      <c r="O125">
        <v>2452</v>
      </c>
      <c r="P125">
        <v>0.95</v>
      </c>
      <c r="Q125">
        <v>2.33</v>
      </c>
      <c r="R125" s="97" t="s">
        <v>1202</v>
      </c>
      <c r="S125" s="97" t="s">
        <v>195</v>
      </c>
    </row>
    <row r="126" spans="1:19" x14ac:dyDescent="0.3">
      <c r="A126" s="97" t="s">
        <v>319</v>
      </c>
      <c r="B126" s="97" t="s">
        <v>22</v>
      </c>
      <c r="C126">
        <v>2025</v>
      </c>
      <c r="D126">
        <v>1</v>
      </c>
      <c r="E126" s="2">
        <v>45680</v>
      </c>
      <c r="F126" s="97" t="s">
        <v>7</v>
      </c>
      <c r="G126" s="97" t="s">
        <v>8</v>
      </c>
      <c r="H126" s="97" t="s">
        <v>74</v>
      </c>
      <c r="I126" s="97" t="s">
        <v>84</v>
      </c>
      <c r="J126" s="97" t="s">
        <v>85</v>
      </c>
      <c r="K126" s="97" t="s">
        <v>73</v>
      </c>
      <c r="L126">
        <v>701000</v>
      </c>
      <c r="M126" s="97" t="s">
        <v>62</v>
      </c>
      <c r="N126" s="97" t="s">
        <v>33</v>
      </c>
      <c r="O126">
        <v>1939</v>
      </c>
      <c r="P126">
        <v>0.95</v>
      </c>
      <c r="Q126">
        <v>1.84</v>
      </c>
      <c r="R126" s="97" t="s">
        <v>1197</v>
      </c>
      <c r="S126" s="97" t="s">
        <v>195</v>
      </c>
    </row>
    <row r="127" spans="1:19" x14ac:dyDescent="0.3">
      <c r="A127" s="97" t="s">
        <v>320</v>
      </c>
      <c r="B127" s="97" t="s">
        <v>22</v>
      </c>
      <c r="C127">
        <v>2025</v>
      </c>
      <c r="D127">
        <v>1</v>
      </c>
      <c r="E127" s="2">
        <v>45676</v>
      </c>
      <c r="F127" s="97" t="s">
        <v>7</v>
      </c>
      <c r="G127" s="97" t="s">
        <v>8</v>
      </c>
      <c r="H127" s="97" t="s">
        <v>70</v>
      </c>
      <c r="I127" s="97" t="s">
        <v>84</v>
      </c>
      <c r="J127" s="97" t="s">
        <v>85</v>
      </c>
      <c r="K127" s="97" t="s">
        <v>73</v>
      </c>
      <c r="L127">
        <v>701000</v>
      </c>
      <c r="M127" s="97" t="s">
        <v>62</v>
      </c>
      <c r="N127" s="97" t="s">
        <v>33</v>
      </c>
      <c r="O127">
        <v>1769</v>
      </c>
      <c r="P127">
        <v>0.95</v>
      </c>
      <c r="Q127">
        <v>1.68</v>
      </c>
      <c r="R127" s="97" t="s">
        <v>1199</v>
      </c>
      <c r="S127" s="97" t="s">
        <v>195</v>
      </c>
    </row>
    <row r="128" spans="1:19" x14ac:dyDescent="0.3">
      <c r="A128" s="97" t="s">
        <v>321</v>
      </c>
      <c r="B128" s="97" t="s">
        <v>22</v>
      </c>
      <c r="C128">
        <v>2025</v>
      </c>
      <c r="D128">
        <v>1</v>
      </c>
      <c r="E128" s="2">
        <v>45676</v>
      </c>
      <c r="F128" s="97" t="s">
        <v>7</v>
      </c>
      <c r="G128" s="97" t="s">
        <v>8</v>
      </c>
      <c r="H128" s="97" t="s">
        <v>70</v>
      </c>
      <c r="I128" s="97" t="s">
        <v>84</v>
      </c>
      <c r="J128" s="97" t="s">
        <v>85</v>
      </c>
      <c r="K128" s="97" t="s">
        <v>73</v>
      </c>
      <c r="L128">
        <v>701000</v>
      </c>
      <c r="M128" s="97" t="s">
        <v>62</v>
      </c>
      <c r="N128" s="97" t="s">
        <v>33</v>
      </c>
      <c r="O128">
        <v>2670</v>
      </c>
      <c r="P128">
        <v>0.95</v>
      </c>
      <c r="Q128">
        <v>2.54</v>
      </c>
      <c r="R128" s="97" t="s">
        <v>1200</v>
      </c>
      <c r="S128" s="97" t="s">
        <v>195</v>
      </c>
    </row>
    <row r="129" spans="1:19" x14ac:dyDescent="0.3">
      <c r="A129" s="97" t="s">
        <v>322</v>
      </c>
      <c r="B129" s="97" t="s">
        <v>22</v>
      </c>
      <c r="C129">
        <v>2025</v>
      </c>
      <c r="D129">
        <v>1</v>
      </c>
      <c r="E129" s="2">
        <v>45676</v>
      </c>
      <c r="F129" s="97" t="s">
        <v>7</v>
      </c>
      <c r="G129" s="97" t="s">
        <v>8</v>
      </c>
      <c r="H129" s="97" t="s">
        <v>70</v>
      </c>
      <c r="I129" s="97" t="s">
        <v>84</v>
      </c>
      <c r="J129" s="97" t="s">
        <v>85</v>
      </c>
      <c r="K129" s="97" t="s">
        <v>73</v>
      </c>
      <c r="L129">
        <v>701000</v>
      </c>
      <c r="M129" s="97" t="s">
        <v>62</v>
      </c>
      <c r="N129" s="97" t="s">
        <v>33</v>
      </c>
      <c r="O129">
        <v>3695</v>
      </c>
      <c r="P129">
        <v>0.95</v>
      </c>
      <c r="Q129">
        <v>3.51</v>
      </c>
      <c r="R129" s="97" t="s">
        <v>1201</v>
      </c>
      <c r="S129" s="97" t="s">
        <v>195</v>
      </c>
    </row>
    <row r="130" spans="1:19" x14ac:dyDescent="0.3">
      <c r="A130" s="97" t="s">
        <v>323</v>
      </c>
      <c r="B130" s="97" t="s">
        <v>22</v>
      </c>
      <c r="C130">
        <v>2025</v>
      </c>
      <c r="D130">
        <v>1</v>
      </c>
      <c r="E130" s="2">
        <v>45676</v>
      </c>
      <c r="F130" s="97" t="s">
        <v>7</v>
      </c>
      <c r="G130" s="97" t="s">
        <v>8</v>
      </c>
      <c r="H130" s="97" t="s">
        <v>70</v>
      </c>
      <c r="I130" s="97" t="s">
        <v>84</v>
      </c>
      <c r="J130" s="97" t="s">
        <v>85</v>
      </c>
      <c r="K130" s="97" t="s">
        <v>73</v>
      </c>
      <c r="L130">
        <v>701000</v>
      </c>
      <c r="M130" s="97" t="s">
        <v>62</v>
      </c>
      <c r="N130" s="97" t="s">
        <v>33</v>
      </c>
      <c r="O130">
        <v>1467</v>
      </c>
      <c r="P130">
        <v>0.95</v>
      </c>
      <c r="Q130">
        <v>1.39</v>
      </c>
      <c r="R130" s="97" t="s">
        <v>1202</v>
      </c>
      <c r="S130" s="97" t="s">
        <v>195</v>
      </c>
    </row>
    <row r="131" spans="1:19" x14ac:dyDescent="0.3">
      <c r="A131" s="97" t="s">
        <v>324</v>
      </c>
      <c r="B131" s="97" t="s">
        <v>22</v>
      </c>
      <c r="C131">
        <v>2025</v>
      </c>
      <c r="D131">
        <v>1</v>
      </c>
      <c r="E131" s="2">
        <v>45676</v>
      </c>
      <c r="F131" s="97" t="s">
        <v>7</v>
      </c>
      <c r="G131" s="97" t="s">
        <v>8</v>
      </c>
      <c r="H131" s="97" t="s">
        <v>70</v>
      </c>
      <c r="I131" s="97" t="s">
        <v>84</v>
      </c>
      <c r="J131" s="97" t="s">
        <v>85</v>
      </c>
      <c r="K131" s="97" t="s">
        <v>73</v>
      </c>
      <c r="L131">
        <v>701000</v>
      </c>
      <c r="M131" s="97" t="s">
        <v>62</v>
      </c>
      <c r="N131" s="97" t="s">
        <v>33</v>
      </c>
      <c r="O131">
        <v>3397</v>
      </c>
      <c r="P131">
        <v>0.95</v>
      </c>
      <c r="Q131">
        <v>3.23</v>
      </c>
      <c r="R131" s="97" t="s">
        <v>1204</v>
      </c>
      <c r="S131" s="97" t="s">
        <v>195</v>
      </c>
    </row>
    <row r="132" spans="1:19" x14ac:dyDescent="0.3">
      <c r="A132" s="97" t="s">
        <v>325</v>
      </c>
      <c r="B132" s="97" t="s">
        <v>22</v>
      </c>
      <c r="C132">
        <v>2025</v>
      </c>
      <c r="D132">
        <v>1</v>
      </c>
      <c r="E132" s="2">
        <v>45665</v>
      </c>
      <c r="F132" s="97" t="s">
        <v>7</v>
      </c>
      <c r="G132" s="97" t="s">
        <v>8</v>
      </c>
      <c r="H132" s="97" t="s">
        <v>70</v>
      </c>
      <c r="I132" s="97" t="s">
        <v>84</v>
      </c>
      <c r="J132" s="97" t="s">
        <v>85</v>
      </c>
      <c r="K132" s="97" t="s">
        <v>73</v>
      </c>
      <c r="L132">
        <v>701000</v>
      </c>
      <c r="M132" s="97" t="s">
        <v>62</v>
      </c>
      <c r="N132" s="97" t="s">
        <v>33</v>
      </c>
      <c r="O132">
        <v>2497</v>
      </c>
      <c r="P132">
        <v>0.95</v>
      </c>
      <c r="Q132">
        <v>2.37</v>
      </c>
      <c r="R132" s="97" t="s">
        <v>1202</v>
      </c>
      <c r="S132" s="97" t="s">
        <v>195</v>
      </c>
    </row>
    <row r="133" spans="1:19" x14ac:dyDescent="0.3">
      <c r="A133" s="97" t="s">
        <v>326</v>
      </c>
      <c r="B133" s="97" t="s">
        <v>22</v>
      </c>
      <c r="C133">
        <v>2025</v>
      </c>
      <c r="D133">
        <v>1</v>
      </c>
      <c r="E133" s="2">
        <v>45665</v>
      </c>
      <c r="F133" s="97" t="s">
        <v>7</v>
      </c>
      <c r="G133" s="97" t="s">
        <v>8</v>
      </c>
      <c r="H133" s="97" t="s">
        <v>70</v>
      </c>
      <c r="I133" s="97" t="s">
        <v>84</v>
      </c>
      <c r="J133" s="97" t="s">
        <v>85</v>
      </c>
      <c r="K133" s="97" t="s">
        <v>73</v>
      </c>
      <c r="L133">
        <v>701000</v>
      </c>
      <c r="M133" s="97" t="s">
        <v>62</v>
      </c>
      <c r="N133" s="97" t="s">
        <v>33</v>
      </c>
      <c r="O133">
        <v>492</v>
      </c>
      <c r="P133">
        <v>0.96</v>
      </c>
      <c r="Q133">
        <v>0.47</v>
      </c>
      <c r="R133" s="97" t="s">
        <v>1201</v>
      </c>
      <c r="S133" s="97" t="s">
        <v>195</v>
      </c>
    </row>
    <row r="134" spans="1:19" x14ac:dyDescent="0.3">
      <c r="A134" s="97" t="s">
        <v>327</v>
      </c>
      <c r="B134" s="97" t="s">
        <v>22</v>
      </c>
      <c r="C134">
        <v>2025</v>
      </c>
      <c r="D134">
        <v>1</v>
      </c>
      <c r="E134" s="2">
        <v>45665</v>
      </c>
      <c r="F134" s="97" t="s">
        <v>7</v>
      </c>
      <c r="G134" s="97" t="s">
        <v>8</v>
      </c>
      <c r="H134" s="97" t="s">
        <v>70</v>
      </c>
      <c r="I134" s="97" t="s">
        <v>84</v>
      </c>
      <c r="J134" s="97" t="s">
        <v>85</v>
      </c>
      <c r="K134" s="97" t="s">
        <v>73</v>
      </c>
      <c r="L134">
        <v>701000</v>
      </c>
      <c r="M134" s="97" t="s">
        <v>62</v>
      </c>
      <c r="N134" s="97" t="s">
        <v>33</v>
      </c>
      <c r="O134">
        <v>2414</v>
      </c>
      <c r="P134">
        <v>0.95</v>
      </c>
      <c r="Q134">
        <v>2.29</v>
      </c>
      <c r="R134" s="97" t="s">
        <v>1204</v>
      </c>
      <c r="S134" s="97" t="s">
        <v>195</v>
      </c>
    </row>
    <row r="135" spans="1:19" x14ac:dyDescent="0.3">
      <c r="A135" s="97" t="s">
        <v>328</v>
      </c>
      <c r="B135" s="97" t="s">
        <v>22</v>
      </c>
      <c r="C135">
        <v>2025</v>
      </c>
      <c r="D135">
        <v>1</v>
      </c>
      <c r="E135" s="2">
        <v>45665</v>
      </c>
      <c r="F135" s="97" t="s">
        <v>7</v>
      </c>
      <c r="G135" s="97" t="s">
        <v>8</v>
      </c>
      <c r="H135" s="97" t="s">
        <v>70</v>
      </c>
      <c r="I135" s="97" t="s">
        <v>84</v>
      </c>
      <c r="J135" s="97" t="s">
        <v>85</v>
      </c>
      <c r="K135" s="97" t="s">
        <v>73</v>
      </c>
      <c r="L135">
        <v>701000</v>
      </c>
      <c r="M135" s="97" t="s">
        <v>62</v>
      </c>
      <c r="N135" s="97" t="s">
        <v>33</v>
      </c>
      <c r="O135">
        <v>2780</v>
      </c>
      <c r="P135">
        <v>0.95</v>
      </c>
      <c r="Q135">
        <v>2.64</v>
      </c>
      <c r="R135" s="97" t="s">
        <v>1197</v>
      </c>
      <c r="S135" s="97" t="s">
        <v>195</v>
      </c>
    </row>
    <row r="136" spans="1:19" x14ac:dyDescent="0.3">
      <c r="A136" s="97" t="s">
        <v>329</v>
      </c>
      <c r="B136" s="97" t="s">
        <v>22</v>
      </c>
      <c r="C136">
        <v>2025</v>
      </c>
      <c r="D136">
        <v>1</v>
      </c>
      <c r="E136" s="2">
        <v>45665</v>
      </c>
      <c r="F136" s="97" t="s">
        <v>7</v>
      </c>
      <c r="G136" s="97" t="s">
        <v>8</v>
      </c>
      <c r="H136" s="97" t="s">
        <v>70</v>
      </c>
      <c r="I136" s="97" t="s">
        <v>84</v>
      </c>
      <c r="J136" s="97" t="s">
        <v>85</v>
      </c>
      <c r="K136" s="97" t="s">
        <v>73</v>
      </c>
      <c r="L136">
        <v>701000</v>
      </c>
      <c r="M136" s="97" t="s">
        <v>62</v>
      </c>
      <c r="N136" s="97" t="s">
        <v>33</v>
      </c>
      <c r="O136">
        <v>4548</v>
      </c>
      <c r="P136">
        <v>0.95</v>
      </c>
      <c r="Q136">
        <v>4.32</v>
      </c>
      <c r="R136" s="97" t="s">
        <v>1203</v>
      </c>
      <c r="S136" s="97" t="s">
        <v>195</v>
      </c>
    </row>
    <row r="137" spans="1:19" x14ac:dyDescent="0.3">
      <c r="A137" s="97" t="s">
        <v>330</v>
      </c>
      <c r="B137" s="97" t="s">
        <v>22</v>
      </c>
      <c r="C137">
        <v>2025</v>
      </c>
      <c r="D137">
        <v>1</v>
      </c>
      <c r="E137" s="2">
        <v>45664</v>
      </c>
      <c r="F137" s="97" t="s">
        <v>7</v>
      </c>
      <c r="G137" s="97" t="s">
        <v>8</v>
      </c>
      <c r="H137" s="97" t="s">
        <v>74</v>
      </c>
      <c r="I137" s="97" t="s">
        <v>84</v>
      </c>
      <c r="J137" s="97" t="s">
        <v>85</v>
      </c>
      <c r="K137" s="97" t="s">
        <v>73</v>
      </c>
      <c r="L137">
        <v>706000</v>
      </c>
      <c r="M137" s="97" t="s">
        <v>63</v>
      </c>
      <c r="N137" s="97" t="s">
        <v>33</v>
      </c>
      <c r="O137">
        <v>4552</v>
      </c>
      <c r="P137">
        <v>0.95</v>
      </c>
      <c r="Q137">
        <v>4.32</v>
      </c>
      <c r="R137" s="97" t="s">
        <v>1205</v>
      </c>
      <c r="S137" s="97" t="s">
        <v>195</v>
      </c>
    </row>
    <row r="138" spans="1:19" x14ac:dyDescent="0.3">
      <c r="A138" s="97" t="s">
        <v>331</v>
      </c>
      <c r="B138" s="97" t="s">
        <v>22</v>
      </c>
      <c r="C138">
        <v>2025</v>
      </c>
      <c r="D138">
        <v>1</v>
      </c>
      <c r="E138" s="2">
        <v>45664</v>
      </c>
      <c r="F138" s="97" t="s">
        <v>7</v>
      </c>
      <c r="G138" s="97" t="s">
        <v>8</v>
      </c>
      <c r="H138" s="97" t="s">
        <v>74</v>
      </c>
      <c r="I138" s="97" t="s">
        <v>84</v>
      </c>
      <c r="J138" s="97" t="s">
        <v>85</v>
      </c>
      <c r="K138" s="97" t="s">
        <v>73</v>
      </c>
      <c r="L138">
        <v>706000</v>
      </c>
      <c r="M138" s="97" t="s">
        <v>63</v>
      </c>
      <c r="N138" s="97" t="s">
        <v>33</v>
      </c>
      <c r="O138">
        <v>4137</v>
      </c>
      <c r="P138">
        <v>0.95</v>
      </c>
      <c r="Q138">
        <v>3.93</v>
      </c>
      <c r="R138" s="97" t="s">
        <v>1200</v>
      </c>
      <c r="S138" s="97" t="s">
        <v>195</v>
      </c>
    </row>
    <row r="139" spans="1:19" x14ac:dyDescent="0.3">
      <c r="A139" s="97" t="s">
        <v>332</v>
      </c>
      <c r="B139" s="97" t="s">
        <v>22</v>
      </c>
      <c r="C139">
        <v>2025</v>
      </c>
      <c r="D139">
        <v>1</v>
      </c>
      <c r="E139" s="2">
        <v>45664</v>
      </c>
      <c r="F139" s="97" t="s">
        <v>7</v>
      </c>
      <c r="G139" s="97" t="s">
        <v>8</v>
      </c>
      <c r="H139" s="97" t="s">
        <v>74</v>
      </c>
      <c r="I139" s="97" t="s">
        <v>84</v>
      </c>
      <c r="J139" s="97" t="s">
        <v>85</v>
      </c>
      <c r="K139" s="97" t="s">
        <v>73</v>
      </c>
      <c r="L139">
        <v>706000</v>
      </c>
      <c r="M139" s="97" t="s">
        <v>63</v>
      </c>
      <c r="N139" s="97" t="s">
        <v>33</v>
      </c>
      <c r="O139">
        <v>4831</v>
      </c>
      <c r="P139">
        <v>0.95</v>
      </c>
      <c r="Q139">
        <v>4.59</v>
      </c>
      <c r="R139" s="97" t="s">
        <v>1197</v>
      </c>
      <c r="S139" s="97" t="s">
        <v>195</v>
      </c>
    </row>
    <row r="140" spans="1:19" x14ac:dyDescent="0.3">
      <c r="A140" s="97" t="s">
        <v>333</v>
      </c>
      <c r="B140" s="97" t="s">
        <v>22</v>
      </c>
      <c r="C140">
        <v>2025</v>
      </c>
      <c r="D140">
        <v>1</v>
      </c>
      <c r="E140" s="2">
        <v>45664</v>
      </c>
      <c r="F140" s="97" t="s">
        <v>7</v>
      </c>
      <c r="G140" s="97" t="s">
        <v>8</v>
      </c>
      <c r="H140" s="97" t="s">
        <v>74</v>
      </c>
      <c r="I140" s="97" t="s">
        <v>84</v>
      </c>
      <c r="J140" s="97" t="s">
        <v>85</v>
      </c>
      <c r="K140" s="97" t="s">
        <v>73</v>
      </c>
      <c r="L140">
        <v>706000</v>
      </c>
      <c r="M140" s="97" t="s">
        <v>63</v>
      </c>
      <c r="N140" s="97" t="s">
        <v>33</v>
      </c>
      <c r="O140">
        <v>1189</v>
      </c>
      <c r="P140">
        <v>0.95</v>
      </c>
      <c r="Q140">
        <v>1.1299999999999999</v>
      </c>
      <c r="R140" s="97" t="s">
        <v>1202</v>
      </c>
      <c r="S140" s="97" t="s">
        <v>195</v>
      </c>
    </row>
    <row r="141" spans="1:19" x14ac:dyDescent="0.3">
      <c r="A141" s="97" t="s">
        <v>334</v>
      </c>
      <c r="B141" s="97" t="s">
        <v>22</v>
      </c>
      <c r="C141">
        <v>2025</v>
      </c>
      <c r="D141">
        <v>1</v>
      </c>
      <c r="E141" s="2">
        <v>45664</v>
      </c>
      <c r="F141" s="97" t="s">
        <v>7</v>
      </c>
      <c r="G141" s="97" t="s">
        <v>8</v>
      </c>
      <c r="H141" s="97" t="s">
        <v>74</v>
      </c>
      <c r="I141" s="97" t="s">
        <v>84</v>
      </c>
      <c r="J141" s="97" t="s">
        <v>85</v>
      </c>
      <c r="K141" s="97" t="s">
        <v>73</v>
      </c>
      <c r="L141">
        <v>706000</v>
      </c>
      <c r="M141" s="97" t="s">
        <v>63</v>
      </c>
      <c r="N141" s="97" t="s">
        <v>33</v>
      </c>
      <c r="O141">
        <v>325</v>
      </c>
      <c r="P141">
        <v>0.95</v>
      </c>
      <c r="Q141">
        <v>0.31</v>
      </c>
      <c r="R141" s="97" t="s">
        <v>1198</v>
      </c>
      <c r="S141" s="97" t="s">
        <v>195</v>
      </c>
    </row>
    <row r="142" spans="1:19" x14ac:dyDescent="0.3">
      <c r="A142" s="97" t="s">
        <v>335</v>
      </c>
      <c r="B142" s="97" t="s">
        <v>22</v>
      </c>
      <c r="C142">
        <v>2025</v>
      </c>
      <c r="D142">
        <v>1</v>
      </c>
      <c r="E142" s="2">
        <v>45669</v>
      </c>
      <c r="F142" s="97" t="s">
        <v>7</v>
      </c>
      <c r="G142" s="97" t="s">
        <v>8</v>
      </c>
      <c r="H142" s="97" t="s">
        <v>70</v>
      </c>
      <c r="I142" s="97" t="s">
        <v>84</v>
      </c>
      <c r="J142" s="97" t="s">
        <v>85</v>
      </c>
      <c r="K142" s="97" t="s">
        <v>73</v>
      </c>
      <c r="L142">
        <v>701000</v>
      </c>
      <c r="M142" s="97" t="s">
        <v>62</v>
      </c>
      <c r="N142" s="97" t="s">
        <v>33</v>
      </c>
      <c r="O142">
        <v>1379</v>
      </c>
      <c r="P142">
        <v>0.95</v>
      </c>
      <c r="Q142">
        <v>1.31</v>
      </c>
      <c r="R142" s="97" t="s">
        <v>1202</v>
      </c>
      <c r="S142" s="97" t="s">
        <v>195</v>
      </c>
    </row>
    <row r="143" spans="1:19" x14ac:dyDescent="0.3">
      <c r="A143" s="97" t="s">
        <v>336</v>
      </c>
      <c r="B143" s="97" t="s">
        <v>22</v>
      </c>
      <c r="C143">
        <v>2025</v>
      </c>
      <c r="D143">
        <v>1</v>
      </c>
      <c r="E143" s="2">
        <v>45669</v>
      </c>
      <c r="F143" s="97" t="s">
        <v>7</v>
      </c>
      <c r="G143" s="97" t="s">
        <v>8</v>
      </c>
      <c r="H143" s="97" t="s">
        <v>70</v>
      </c>
      <c r="I143" s="97" t="s">
        <v>84</v>
      </c>
      <c r="J143" s="97" t="s">
        <v>85</v>
      </c>
      <c r="K143" s="97" t="s">
        <v>73</v>
      </c>
      <c r="L143">
        <v>701000</v>
      </c>
      <c r="M143" s="97" t="s">
        <v>62</v>
      </c>
      <c r="N143" s="97" t="s">
        <v>33</v>
      </c>
      <c r="O143">
        <v>2406</v>
      </c>
      <c r="P143">
        <v>0.95</v>
      </c>
      <c r="Q143">
        <v>2.29</v>
      </c>
      <c r="R143" s="97" t="s">
        <v>1197</v>
      </c>
      <c r="S143" s="97" t="s">
        <v>195</v>
      </c>
    </row>
    <row r="144" spans="1:19" x14ac:dyDescent="0.3">
      <c r="A144" s="97" t="s">
        <v>337</v>
      </c>
      <c r="B144" s="97" t="s">
        <v>22</v>
      </c>
      <c r="C144">
        <v>2025</v>
      </c>
      <c r="D144">
        <v>1</v>
      </c>
      <c r="E144" s="2">
        <v>45669</v>
      </c>
      <c r="F144" s="97" t="s">
        <v>7</v>
      </c>
      <c r="G144" s="97" t="s">
        <v>8</v>
      </c>
      <c r="H144" s="97" t="s">
        <v>70</v>
      </c>
      <c r="I144" s="97" t="s">
        <v>84</v>
      </c>
      <c r="J144" s="97" t="s">
        <v>85</v>
      </c>
      <c r="K144" s="97" t="s">
        <v>73</v>
      </c>
      <c r="L144">
        <v>701000</v>
      </c>
      <c r="M144" s="97" t="s">
        <v>62</v>
      </c>
      <c r="N144" s="97" t="s">
        <v>33</v>
      </c>
      <c r="O144">
        <v>4097</v>
      </c>
      <c r="P144">
        <v>0.95</v>
      </c>
      <c r="Q144">
        <v>3.89</v>
      </c>
      <c r="R144" s="97" t="s">
        <v>1203</v>
      </c>
      <c r="S144" s="97" t="s">
        <v>195</v>
      </c>
    </row>
    <row r="145" spans="1:19" x14ac:dyDescent="0.3">
      <c r="A145" s="97" t="s">
        <v>338</v>
      </c>
      <c r="B145" s="97" t="s">
        <v>22</v>
      </c>
      <c r="C145">
        <v>2025</v>
      </c>
      <c r="D145">
        <v>1</v>
      </c>
      <c r="E145" s="2">
        <v>45669</v>
      </c>
      <c r="F145" s="97" t="s">
        <v>7</v>
      </c>
      <c r="G145" s="97" t="s">
        <v>8</v>
      </c>
      <c r="H145" s="97" t="s">
        <v>70</v>
      </c>
      <c r="I145" s="97" t="s">
        <v>84</v>
      </c>
      <c r="J145" s="97" t="s">
        <v>85</v>
      </c>
      <c r="K145" s="97" t="s">
        <v>73</v>
      </c>
      <c r="L145">
        <v>701000</v>
      </c>
      <c r="M145" s="97" t="s">
        <v>62</v>
      </c>
      <c r="N145" s="97" t="s">
        <v>33</v>
      </c>
      <c r="O145">
        <v>4030</v>
      </c>
      <c r="P145">
        <v>0.95</v>
      </c>
      <c r="Q145">
        <v>3.83</v>
      </c>
      <c r="R145" s="97" t="s">
        <v>1204</v>
      </c>
      <c r="S145" s="97" t="s">
        <v>195</v>
      </c>
    </row>
    <row r="146" spans="1:19" x14ac:dyDescent="0.3">
      <c r="A146" s="97" t="s">
        <v>339</v>
      </c>
      <c r="B146" s="97" t="s">
        <v>22</v>
      </c>
      <c r="C146">
        <v>2025</v>
      </c>
      <c r="D146">
        <v>1</v>
      </c>
      <c r="E146" s="2">
        <v>45669</v>
      </c>
      <c r="F146" s="97" t="s">
        <v>7</v>
      </c>
      <c r="G146" s="97" t="s">
        <v>8</v>
      </c>
      <c r="H146" s="97" t="s">
        <v>70</v>
      </c>
      <c r="I146" s="97" t="s">
        <v>84</v>
      </c>
      <c r="J146" s="97" t="s">
        <v>85</v>
      </c>
      <c r="K146" s="97" t="s">
        <v>73</v>
      </c>
      <c r="L146">
        <v>701000</v>
      </c>
      <c r="M146" s="97" t="s">
        <v>62</v>
      </c>
      <c r="N146" s="97" t="s">
        <v>33</v>
      </c>
      <c r="O146">
        <v>1349</v>
      </c>
      <c r="P146">
        <v>0.95</v>
      </c>
      <c r="Q146">
        <v>1.28</v>
      </c>
      <c r="R146" s="97" t="s">
        <v>1198</v>
      </c>
      <c r="S146" s="97" t="s">
        <v>195</v>
      </c>
    </row>
    <row r="147" spans="1:19" x14ac:dyDescent="0.3">
      <c r="A147" s="97" t="s">
        <v>340</v>
      </c>
      <c r="B147" s="97" t="s">
        <v>22</v>
      </c>
      <c r="C147">
        <v>2025</v>
      </c>
      <c r="D147">
        <v>1</v>
      </c>
      <c r="E147" s="2">
        <v>45678</v>
      </c>
      <c r="F147" s="97" t="s">
        <v>7</v>
      </c>
      <c r="G147" s="97" t="s">
        <v>8</v>
      </c>
      <c r="H147" s="97" t="s">
        <v>74</v>
      </c>
      <c r="I147" s="97" t="s">
        <v>84</v>
      </c>
      <c r="J147" s="97" t="s">
        <v>85</v>
      </c>
      <c r="K147" s="97" t="s">
        <v>73</v>
      </c>
      <c r="L147">
        <v>701000</v>
      </c>
      <c r="M147" s="97" t="s">
        <v>62</v>
      </c>
      <c r="N147" s="97" t="s">
        <v>33</v>
      </c>
      <c r="O147">
        <v>4290</v>
      </c>
      <c r="P147">
        <v>0.95</v>
      </c>
      <c r="Q147">
        <v>4.08</v>
      </c>
      <c r="R147" s="97" t="s">
        <v>1204</v>
      </c>
      <c r="S147" s="97" t="s">
        <v>195</v>
      </c>
    </row>
    <row r="148" spans="1:19" x14ac:dyDescent="0.3">
      <c r="A148" s="97" t="s">
        <v>341</v>
      </c>
      <c r="B148" s="97" t="s">
        <v>22</v>
      </c>
      <c r="C148">
        <v>2025</v>
      </c>
      <c r="D148">
        <v>1</v>
      </c>
      <c r="E148" s="2">
        <v>45678</v>
      </c>
      <c r="F148" s="97" t="s">
        <v>7</v>
      </c>
      <c r="G148" s="97" t="s">
        <v>8</v>
      </c>
      <c r="H148" s="97" t="s">
        <v>74</v>
      </c>
      <c r="I148" s="97" t="s">
        <v>84</v>
      </c>
      <c r="J148" s="97" t="s">
        <v>85</v>
      </c>
      <c r="K148" s="97" t="s">
        <v>73</v>
      </c>
      <c r="L148">
        <v>701000</v>
      </c>
      <c r="M148" s="97" t="s">
        <v>62</v>
      </c>
      <c r="N148" s="97" t="s">
        <v>33</v>
      </c>
      <c r="O148">
        <v>2606</v>
      </c>
      <c r="P148">
        <v>0.95</v>
      </c>
      <c r="Q148">
        <v>2.48</v>
      </c>
      <c r="R148" s="97" t="s">
        <v>1205</v>
      </c>
      <c r="S148" s="97" t="s">
        <v>195</v>
      </c>
    </row>
    <row r="149" spans="1:19" x14ac:dyDescent="0.3">
      <c r="A149" s="97" t="s">
        <v>342</v>
      </c>
      <c r="B149" s="97" t="s">
        <v>22</v>
      </c>
      <c r="C149">
        <v>2025</v>
      </c>
      <c r="D149">
        <v>1</v>
      </c>
      <c r="E149" s="2">
        <v>45678</v>
      </c>
      <c r="F149" s="97" t="s">
        <v>7</v>
      </c>
      <c r="G149" s="97" t="s">
        <v>8</v>
      </c>
      <c r="H149" s="97" t="s">
        <v>74</v>
      </c>
      <c r="I149" s="97" t="s">
        <v>84</v>
      </c>
      <c r="J149" s="97" t="s">
        <v>85</v>
      </c>
      <c r="K149" s="97" t="s">
        <v>73</v>
      </c>
      <c r="L149">
        <v>701000</v>
      </c>
      <c r="M149" s="97" t="s">
        <v>62</v>
      </c>
      <c r="N149" s="97" t="s">
        <v>33</v>
      </c>
      <c r="O149">
        <v>1892</v>
      </c>
      <c r="P149">
        <v>0.95</v>
      </c>
      <c r="Q149">
        <v>1.8</v>
      </c>
      <c r="R149" s="97" t="s">
        <v>1197</v>
      </c>
      <c r="S149" s="97" t="s">
        <v>195</v>
      </c>
    </row>
    <row r="150" spans="1:19" x14ac:dyDescent="0.3">
      <c r="A150" s="97" t="s">
        <v>343</v>
      </c>
      <c r="B150" s="97" t="s">
        <v>22</v>
      </c>
      <c r="C150">
        <v>2025</v>
      </c>
      <c r="D150">
        <v>1</v>
      </c>
      <c r="E150" s="2">
        <v>45678</v>
      </c>
      <c r="F150" s="97" t="s">
        <v>7</v>
      </c>
      <c r="G150" s="97" t="s">
        <v>8</v>
      </c>
      <c r="H150" s="97" t="s">
        <v>74</v>
      </c>
      <c r="I150" s="97" t="s">
        <v>84</v>
      </c>
      <c r="J150" s="97" t="s">
        <v>85</v>
      </c>
      <c r="K150" s="97" t="s">
        <v>73</v>
      </c>
      <c r="L150">
        <v>701000</v>
      </c>
      <c r="M150" s="97" t="s">
        <v>62</v>
      </c>
      <c r="N150" s="97" t="s">
        <v>33</v>
      </c>
      <c r="O150">
        <v>2131</v>
      </c>
      <c r="P150">
        <v>0.95</v>
      </c>
      <c r="Q150">
        <v>2.02</v>
      </c>
      <c r="R150" s="97" t="s">
        <v>1201</v>
      </c>
      <c r="S150" s="97" t="s">
        <v>195</v>
      </c>
    </row>
    <row r="151" spans="1:19" x14ac:dyDescent="0.3">
      <c r="A151" s="97" t="s">
        <v>344</v>
      </c>
      <c r="B151" s="97" t="s">
        <v>22</v>
      </c>
      <c r="C151">
        <v>2025</v>
      </c>
      <c r="D151">
        <v>1</v>
      </c>
      <c r="E151" s="2">
        <v>45678</v>
      </c>
      <c r="F151" s="97" t="s">
        <v>7</v>
      </c>
      <c r="G151" s="97" t="s">
        <v>8</v>
      </c>
      <c r="H151" s="97" t="s">
        <v>74</v>
      </c>
      <c r="I151" s="97" t="s">
        <v>84</v>
      </c>
      <c r="J151" s="97" t="s">
        <v>85</v>
      </c>
      <c r="K151" s="97" t="s">
        <v>73</v>
      </c>
      <c r="L151">
        <v>701000</v>
      </c>
      <c r="M151" s="97" t="s">
        <v>62</v>
      </c>
      <c r="N151" s="97" t="s">
        <v>33</v>
      </c>
      <c r="O151">
        <v>2289</v>
      </c>
      <c r="P151">
        <v>0.95</v>
      </c>
      <c r="Q151">
        <v>2.17</v>
      </c>
      <c r="R151" s="97" t="s">
        <v>1202</v>
      </c>
      <c r="S151" s="97" t="s">
        <v>195</v>
      </c>
    </row>
    <row r="152" spans="1:19" x14ac:dyDescent="0.3">
      <c r="A152" s="97" t="s">
        <v>345</v>
      </c>
      <c r="B152" s="97" t="s">
        <v>22</v>
      </c>
      <c r="C152">
        <v>2025</v>
      </c>
      <c r="D152">
        <v>1</v>
      </c>
      <c r="E152" s="2">
        <v>45677</v>
      </c>
      <c r="F152" s="97" t="s">
        <v>7</v>
      </c>
      <c r="G152" s="97" t="s">
        <v>8</v>
      </c>
      <c r="H152" s="97" t="s">
        <v>70</v>
      </c>
      <c r="I152" s="97" t="s">
        <v>84</v>
      </c>
      <c r="J152" s="97" t="s">
        <v>85</v>
      </c>
      <c r="K152" s="97" t="s">
        <v>73</v>
      </c>
      <c r="L152">
        <v>707000</v>
      </c>
      <c r="M152" s="97" t="s">
        <v>81</v>
      </c>
      <c r="N152" s="97" t="s">
        <v>33</v>
      </c>
      <c r="O152">
        <v>1935</v>
      </c>
      <c r="P152">
        <v>0.95</v>
      </c>
      <c r="Q152">
        <v>1.84</v>
      </c>
      <c r="R152" s="97" t="s">
        <v>1204</v>
      </c>
      <c r="S152" s="97" t="s">
        <v>195</v>
      </c>
    </row>
    <row r="153" spans="1:19" x14ac:dyDescent="0.3">
      <c r="A153" s="97" t="s">
        <v>346</v>
      </c>
      <c r="B153" s="97" t="s">
        <v>22</v>
      </c>
      <c r="C153">
        <v>2025</v>
      </c>
      <c r="D153">
        <v>1</v>
      </c>
      <c r="E153" s="2">
        <v>45677</v>
      </c>
      <c r="F153" s="97" t="s">
        <v>7</v>
      </c>
      <c r="G153" s="97" t="s">
        <v>8</v>
      </c>
      <c r="H153" s="97" t="s">
        <v>70</v>
      </c>
      <c r="I153" s="97" t="s">
        <v>84</v>
      </c>
      <c r="J153" s="97" t="s">
        <v>85</v>
      </c>
      <c r="K153" s="97" t="s">
        <v>73</v>
      </c>
      <c r="L153">
        <v>707000</v>
      </c>
      <c r="M153" s="97" t="s">
        <v>81</v>
      </c>
      <c r="N153" s="97" t="s">
        <v>33</v>
      </c>
      <c r="O153">
        <v>2788</v>
      </c>
      <c r="P153">
        <v>0.95</v>
      </c>
      <c r="Q153">
        <v>2.65</v>
      </c>
      <c r="R153" s="97" t="s">
        <v>1202</v>
      </c>
      <c r="S153" s="97" t="s">
        <v>195</v>
      </c>
    </row>
    <row r="154" spans="1:19" x14ac:dyDescent="0.3">
      <c r="A154" s="97" t="s">
        <v>347</v>
      </c>
      <c r="B154" s="97" t="s">
        <v>22</v>
      </c>
      <c r="C154">
        <v>2025</v>
      </c>
      <c r="D154">
        <v>1</v>
      </c>
      <c r="E154" s="2">
        <v>45677</v>
      </c>
      <c r="F154" s="97" t="s">
        <v>7</v>
      </c>
      <c r="G154" s="97" t="s">
        <v>8</v>
      </c>
      <c r="H154" s="97" t="s">
        <v>70</v>
      </c>
      <c r="I154" s="97" t="s">
        <v>84</v>
      </c>
      <c r="J154" s="97" t="s">
        <v>85</v>
      </c>
      <c r="K154" s="97" t="s">
        <v>73</v>
      </c>
      <c r="L154">
        <v>707000</v>
      </c>
      <c r="M154" s="97" t="s">
        <v>81</v>
      </c>
      <c r="N154" s="97" t="s">
        <v>33</v>
      </c>
      <c r="O154">
        <v>4748</v>
      </c>
      <c r="P154">
        <v>0.95</v>
      </c>
      <c r="Q154">
        <v>4.51</v>
      </c>
      <c r="R154" s="97" t="s">
        <v>1201</v>
      </c>
      <c r="S154" s="97" t="s">
        <v>195</v>
      </c>
    </row>
    <row r="155" spans="1:19" x14ac:dyDescent="0.3">
      <c r="A155" s="97" t="s">
        <v>348</v>
      </c>
      <c r="B155" s="97" t="s">
        <v>22</v>
      </c>
      <c r="C155">
        <v>2025</v>
      </c>
      <c r="D155">
        <v>1</v>
      </c>
      <c r="E155" s="2">
        <v>45677</v>
      </c>
      <c r="F155" s="97" t="s">
        <v>7</v>
      </c>
      <c r="G155" s="97" t="s">
        <v>8</v>
      </c>
      <c r="H155" s="97" t="s">
        <v>70</v>
      </c>
      <c r="I155" s="97" t="s">
        <v>84</v>
      </c>
      <c r="J155" s="97" t="s">
        <v>85</v>
      </c>
      <c r="K155" s="97" t="s">
        <v>73</v>
      </c>
      <c r="L155">
        <v>707000</v>
      </c>
      <c r="M155" s="97" t="s">
        <v>81</v>
      </c>
      <c r="N155" s="97" t="s">
        <v>33</v>
      </c>
      <c r="O155">
        <v>2143</v>
      </c>
      <c r="P155">
        <v>0.95</v>
      </c>
      <c r="Q155">
        <v>2.04</v>
      </c>
      <c r="R155" s="97" t="s">
        <v>1198</v>
      </c>
      <c r="S155" s="97" t="s">
        <v>195</v>
      </c>
    </row>
    <row r="156" spans="1:19" x14ac:dyDescent="0.3">
      <c r="A156" s="97" t="s">
        <v>349</v>
      </c>
      <c r="B156" s="97" t="s">
        <v>22</v>
      </c>
      <c r="C156">
        <v>2025</v>
      </c>
      <c r="D156">
        <v>1</v>
      </c>
      <c r="E156" s="2">
        <v>45677</v>
      </c>
      <c r="F156" s="97" t="s">
        <v>7</v>
      </c>
      <c r="G156" s="97" t="s">
        <v>8</v>
      </c>
      <c r="H156" s="97" t="s">
        <v>70</v>
      </c>
      <c r="I156" s="97" t="s">
        <v>84</v>
      </c>
      <c r="J156" s="97" t="s">
        <v>85</v>
      </c>
      <c r="K156" s="97" t="s">
        <v>73</v>
      </c>
      <c r="L156">
        <v>707000</v>
      </c>
      <c r="M156" s="97" t="s">
        <v>81</v>
      </c>
      <c r="N156" s="97" t="s">
        <v>33</v>
      </c>
      <c r="O156">
        <v>3464</v>
      </c>
      <c r="P156">
        <v>0.95</v>
      </c>
      <c r="Q156">
        <v>3.28</v>
      </c>
      <c r="R156" s="97" t="s">
        <v>1200</v>
      </c>
      <c r="S156" s="97" t="s">
        <v>195</v>
      </c>
    </row>
    <row r="157" spans="1:19" x14ac:dyDescent="0.3">
      <c r="A157" s="97" t="s">
        <v>350</v>
      </c>
      <c r="B157" s="97" t="s">
        <v>22</v>
      </c>
      <c r="C157">
        <v>2025</v>
      </c>
      <c r="D157">
        <v>1</v>
      </c>
      <c r="E157" s="2">
        <v>45662</v>
      </c>
      <c r="F157" s="97" t="s">
        <v>7</v>
      </c>
      <c r="G157" s="97" t="s">
        <v>8</v>
      </c>
      <c r="H157" s="97" t="s">
        <v>70</v>
      </c>
      <c r="I157" s="97" t="s">
        <v>84</v>
      </c>
      <c r="J157" s="97" t="s">
        <v>85</v>
      </c>
      <c r="K157" s="97" t="s">
        <v>73</v>
      </c>
      <c r="L157">
        <v>706000</v>
      </c>
      <c r="M157" s="97" t="s">
        <v>63</v>
      </c>
      <c r="N157" s="97" t="s">
        <v>33</v>
      </c>
      <c r="O157">
        <v>4952</v>
      </c>
      <c r="P157">
        <v>0.95</v>
      </c>
      <c r="Q157">
        <v>4.7</v>
      </c>
      <c r="R157" s="97" t="s">
        <v>1202</v>
      </c>
      <c r="S157" s="97" t="s">
        <v>195</v>
      </c>
    </row>
    <row r="158" spans="1:19" x14ac:dyDescent="0.3">
      <c r="A158" s="97" t="s">
        <v>351</v>
      </c>
      <c r="B158" s="97" t="s">
        <v>22</v>
      </c>
      <c r="C158">
        <v>2025</v>
      </c>
      <c r="D158">
        <v>1</v>
      </c>
      <c r="E158" s="2">
        <v>45662</v>
      </c>
      <c r="F158" s="97" t="s">
        <v>7</v>
      </c>
      <c r="G158" s="97" t="s">
        <v>8</v>
      </c>
      <c r="H158" s="97" t="s">
        <v>70</v>
      </c>
      <c r="I158" s="97" t="s">
        <v>84</v>
      </c>
      <c r="J158" s="97" t="s">
        <v>85</v>
      </c>
      <c r="K158" s="97" t="s">
        <v>73</v>
      </c>
      <c r="L158">
        <v>706000</v>
      </c>
      <c r="M158" s="97" t="s">
        <v>63</v>
      </c>
      <c r="N158" s="97" t="s">
        <v>33</v>
      </c>
      <c r="O158">
        <v>1392</v>
      </c>
      <c r="P158">
        <v>0.95</v>
      </c>
      <c r="Q158">
        <v>1.32</v>
      </c>
      <c r="R158" s="97" t="s">
        <v>1197</v>
      </c>
      <c r="S158" s="97" t="s">
        <v>195</v>
      </c>
    </row>
    <row r="159" spans="1:19" x14ac:dyDescent="0.3">
      <c r="A159" s="97" t="s">
        <v>352</v>
      </c>
      <c r="B159" s="97" t="s">
        <v>22</v>
      </c>
      <c r="C159">
        <v>2025</v>
      </c>
      <c r="D159">
        <v>1</v>
      </c>
      <c r="E159" s="2">
        <v>45662</v>
      </c>
      <c r="F159" s="97" t="s">
        <v>7</v>
      </c>
      <c r="G159" s="97" t="s">
        <v>8</v>
      </c>
      <c r="H159" s="97" t="s">
        <v>70</v>
      </c>
      <c r="I159" s="97" t="s">
        <v>84</v>
      </c>
      <c r="J159" s="97" t="s">
        <v>85</v>
      </c>
      <c r="K159" s="97" t="s">
        <v>73</v>
      </c>
      <c r="L159">
        <v>706000</v>
      </c>
      <c r="M159" s="97" t="s">
        <v>63</v>
      </c>
      <c r="N159" s="97" t="s">
        <v>33</v>
      </c>
      <c r="O159">
        <v>1940</v>
      </c>
      <c r="P159">
        <v>0.95</v>
      </c>
      <c r="Q159">
        <v>1.84</v>
      </c>
      <c r="R159" s="97" t="s">
        <v>1200</v>
      </c>
      <c r="S159" s="97" t="s">
        <v>195</v>
      </c>
    </row>
    <row r="160" spans="1:19" x14ac:dyDescent="0.3">
      <c r="A160" s="97" t="s">
        <v>353</v>
      </c>
      <c r="B160" s="97" t="s">
        <v>22</v>
      </c>
      <c r="C160">
        <v>2025</v>
      </c>
      <c r="D160">
        <v>1</v>
      </c>
      <c r="E160" s="2">
        <v>45662</v>
      </c>
      <c r="F160" s="97" t="s">
        <v>7</v>
      </c>
      <c r="G160" s="97" t="s">
        <v>8</v>
      </c>
      <c r="H160" s="97" t="s">
        <v>70</v>
      </c>
      <c r="I160" s="97" t="s">
        <v>84</v>
      </c>
      <c r="J160" s="97" t="s">
        <v>85</v>
      </c>
      <c r="K160" s="97" t="s">
        <v>73</v>
      </c>
      <c r="L160">
        <v>706000</v>
      </c>
      <c r="M160" s="97" t="s">
        <v>63</v>
      </c>
      <c r="N160" s="97" t="s">
        <v>33</v>
      </c>
      <c r="O160">
        <v>3288</v>
      </c>
      <c r="P160">
        <v>0.95</v>
      </c>
      <c r="Q160">
        <v>3.12</v>
      </c>
      <c r="R160" s="97" t="s">
        <v>1205</v>
      </c>
      <c r="S160" s="97" t="s">
        <v>195</v>
      </c>
    </row>
    <row r="161" spans="1:19" x14ac:dyDescent="0.3">
      <c r="A161" s="97" t="s">
        <v>354</v>
      </c>
      <c r="B161" s="97" t="s">
        <v>22</v>
      </c>
      <c r="C161">
        <v>2025</v>
      </c>
      <c r="D161">
        <v>1</v>
      </c>
      <c r="E161" s="2">
        <v>45662</v>
      </c>
      <c r="F161" s="97" t="s">
        <v>7</v>
      </c>
      <c r="G161" s="97" t="s">
        <v>8</v>
      </c>
      <c r="H161" s="97" t="s">
        <v>70</v>
      </c>
      <c r="I161" s="97" t="s">
        <v>84</v>
      </c>
      <c r="J161" s="97" t="s">
        <v>85</v>
      </c>
      <c r="K161" s="97" t="s">
        <v>73</v>
      </c>
      <c r="L161">
        <v>706000</v>
      </c>
      <c r="M161" s="97" t="s">
        <v>63</v>
      </c>
      <c r="N161" s="97" t="s">
        <v>33</v>
      </c>
      <c r="O161">
        <v>1774</v>
      </c>
      <c r="P161">
        <v>0.96</v>
      </c>
      <c r="Q161">
        <v>1.7</v>
      </c>
      <c r="R161" s="97" t="s">
        <v>1198</v>
      </c>
      <c r="S161" s="97" t="s">
        <v>195</v>
      </c>
    </row>
    <row r="162" spans="1:19" x14ac:dyDescent="0.3">
      <c r="A162" s="97" t="s">
        <v>355</v>
      </c>
      <c r="B162" s="97" t="s">
        <v>22</v>
      </c>
      <c r="C162">
        <v>2025</v>
      </c>
      <c r="D162">
        <v>1</v>
      </c>
      <c r="E162" s="2">
        <v>45683</v>
      </c>
      <c r="F162" s="97" t="s">
        <v>7</v>
      </c>
      <c r="G162" s="97" t="s">
        <v>8</v>
      </c>
      <c r="H162" s="97" t="s">
        <v>70</v>
      </c>
      <c r="I162" s="97" t="s">
        <v>71</v>
      </c>
      <c r="J162" s="97" t="s">
        <v>72</v>
      </c>
      <c r="K162" s="97" t="s">
        <v>73</v>
      </c>
      <c r="L162">
        <v>707000</v>
      </c>
      <c r="M162" s="97" t="s">
        <v>81</v>
      </c>
      <c r="N162" s="97" t="s">
        <v>33</v>
      </c>
      <c r="O162">
        <v>2145</v>
      </c>
      <c r="P162">
        <v>1.05</v>
      </c>
      <c r="Q162">
        <v>2.25</v>
      </c>
      <c r="R162" s="97" t="s">
        <v>1205</v>
      </c>
      <c r="S162" s="97" t="s">
        <v>195</v>
      </c>
    </row>
    <row r="163" spans="1:19" x14ac:dyDescent="0.3">
      <c r="A163" s="97" t="s">
        <v>356</v>
      </c>
      <c r="B163" s="97" t="s">
        <v>22</v>
      </c>
      <c r="C163">
        <v>2025</v>
      </c>
      <c r="D163">
        <v>1</v>
      </c>
      <c r="E163" s="2">
        <v>45683</v>
      </c>
      <c r="F163" s="97" t="s">
        <v>7</v>
      </c>
      <c r="G163" s="97" t="s">
        <v>8</v>
      </c>
      <c r="H163" s="97" t="s">
        <v>70</v>
      </c>
      <c r="I163" s="97" t="s">
        <v>71</v>
      </c>
      <c r="J163" s="97" t="s">
        <v>72</v>
      </c>
      <c r="K163" s="97" t="s">
        <v>73</v>
      </c>
      <c r="L163">
        <v>707000</v>
      </c>
      <c r="M163" s="97" t="s">
        <v>81</v>
      </c>
      <c r="N163" s="97" t="s">
        <v>33</v>
      </c>
      <c r="O163">
        <v>2162</v>
      </c>
      <c r="P163">
        <v>1.05</v>
      </c>
      <c r="Q163">
        <v>2.27</v>
      </c>
      <c r="R163" s="97" t="s">
        <v>1204</v>
      </c>
      <c r="S163" s="97" t="s">
        <v>195</v>
      </c>
    </row>
    <row r="164" spans="1:19" x14ac:dyDescent="0.3">
      <c r="A164" s="97" t="s">
        <v>357</v>
      </c>
      <c r="B164" s="97" t="s">
        <v>22</v>
      </c>
      <c r="C164">
        <v>2025</v>
      </c>
      <c r="D164">
        <v>1</v>
      </c>
      <c r="E164" s="2">
        <v>45683</v>
      </c>
      <c r="F164" s="97" t="s">
        <v>7</v>
      </c>
      <c r="G164" s="97" t="s">
        <v>8</v>
      </c>
      <c r="H164" s="97" t="s">
        <v>70</v>
      </c>
      <c r="I164" s="97" t="s">
        <v>71</v>
      </c>
      <c r="J164" s="97" t="s">
        <v>72</v>
      </c>
      <c r="K164" s="97" t="s">
        <v>73</v>
      </c>
      <c r="L164">
        <v>707000</v>
      </c>
      <c r="M164" s="97" t="s">
        <v>81</v>
      </c>
      <c r="N164" s="97" t="s">
        <v>33</v>
      </c>
      <c r="O164">
        <v>3008</v>
      </c>
      <c r="P164">
        <v>1.05</v>
      </c>
      <c r="Q164">
        <v>3.16</v>
      </c>
      <c r="R164" s="97" t="s">
        <v>1202</v>
      </c>
      <c r="S164" s="97" t="s">
        <v>195</v>
      </c>
    </row>
    <row r="165" spans="1:19" x14ac:dyDescent="0.3">
      <c r="A165" s="97" t="s">
        <v>358</v>
      </c>
      <c r="B165" s="97" t="s">
        <v>22</v>
      </c>
      <c r="C165">
        <v>2025</v>
      </c>
      <c r="D165">
        <v>1</v>
      </c>
      <c r="E165" s="2">
        <v>45683</v>
      </c>
      <c r="F165" s="97" t="s">
        <v>7</v>
      </c>
      <c r="G165" s="97" t="s">
        <v>8</v>
      </c>
      <c r="H165" s="97" t="s">
        <v>70</v>
      </c>
      <c r="I165" s="97" t="s">
        <v>71</v>
      </c>
      <c r="J165" s="97" t="s">
        <v>72</v>
      </c>
      <c r="K165" s="97" t="s">
        <v>73</v>
      </c>
      <c r="L165">
        <v>707000</v>
      </c>
      <c r="M165" s="97" t="s">
        <v>81</v>
      </c>
      <c r="N165" s="97" t="s">
        <v>33</v>
      </c>
      <c r="O165">
        <v>2322</v>
      </c>
      <c r="P165">
        <v>1.05</v>
      </c>
      <c r="Q165">
        <v>2.44</v>
      </c>
      <c r="R165" s="97" t="s">
        <v>1203</v>
      </c>
      <c r="S165" s="97" t="s">
        <v>195</v>
      </c>
    </row>
    <row r="166" spans="1:19" x14ac:dyDescent="0.3">
      <c r="A166" s="97" t="s">
        <v>359</v>
      </c>
      <c r="B166" s="97" t="s">
        <v>22</v>
      </c>
      <c r="C166">
        <v>2025</v>
      </c>
      <c r="D166">
        <v>1</v>
      </c>
      <c r="E166" s="2">
        <v>45683</v>
      </c>
      <c r="F166" s="97" t="s">
        <v>7</v>
      </c>
      <c r="G166" s="97" t="s">
        <v>8</v>
      </c>
      <c r="H166" s="97" t="s">
        <v>70</v>
      </c>
      <c r="I166" s="97" t="s">
        <v>71</v>
      </c>
      <c r="J166" s="97" t="s">
        <v>72</v>
      </c>
      <c r="K166" s="97" t="s">
        <v>73</v>
      </c>
      <c r="L166">
        <v>707000</v>
      </c>
      <c r="M166" s="97" t="s">
        <v>81</v>
      </c>
      <c r="N166" s="97" t="s">
        <v>33</v>
      </c>
      <c r="O166">
        <v>2141</v>
      </c>
      <c r="P166">
        <v>1.05</v>
      </c>
      <c r="Q166">
        <v>2.25</v>
      </c>
      <c r="R166" s="97" t="s">
        <v>1197</v>
      </c>
      <c r="S166" s="97" t="s">
        <v>195</v>
      </c>
    </row>
    <row r="167" spans="1:19" x14ac:dyDescent="0.3">
      <c r="A167" s="97" t="s">
        <v>360</v>
      </c>
      <c r="B167" s="97" t="s">
        <v>22</v>
      </c>
      <c r="C167">
        <v>2025</v>
      </c>
      <c r="D167">
        <v>1</v>
      </c>
      <c r="E167" s="2">
        <v>45679</v>
      </c>
      <c r="F167" s="97" t="s">
        <v>7</v>
      </c>
      <c r="G167" s="97" t="s">
        <v>8</v>
      </c>
      <c r="H167" s="97" t="s">
        <v>74</v>
      </c>
      <c r="I167" s="97" t="s">
        <v>71</v>
      </c>
      <c r="J167" s="97" t="s">
        <v>72</v>
      </c>
      <c r="K167" s="97" t="s">
        <v>73</v>
      </c>
      <c r="L167">
        <v>701000</v>
      </c>
      <c r="M167" s="97" t="s">
        <v>62</v>
      </c>
      <c r="N167" s="97" t="s">
        <v>33</v>
      </c>
      <c r="O167">
        <v>1874</v>
      </c>
      <c r="P167">
        <v>1.05</v>
      </c>
      <c r="Q167">
        <v>1.97</v>
      </c>
      <c r="R167" s="97" t="s">
        <v>1204</v>
      </c>
      <c r="S167" s="97" t="s">
        <v>195</v>
      </c>
    </row>
    <row r="168" spans="1:19" x14ac:dyDescent="0.3">
      <c r="A168" s="97" t="s">
        <v>361</v>
      </c>
      <c r="B168" s="97" t="s">
        <v>22</v>
      </c>
      <c r="C168">
        <v>2025</v>
      </c>
      <c r="D168">
        <v>1</v>
      </c>
      <c r="E168" s="2">
        <v>45679</v>
      </c>
      <c r="F168" s="97" t="s">
        <v>7</v>
      </c>
      <c r="G168" s="97" t="s">
        <v>8</v>
      </c>
      <c r="H168" s="97" t="s">
        <v>74</v>
      </c>
      <c r="I168" s="97" t="s">
        <v>71</v>
      </c>
      <c r="J168" s="97" t="s">
        <v>72</v>
      </c>
      <c r="K168" s="97" t="s">
        <v>73</v>
      </c>
      <c r="L168">
        <v>701000</v>
      </c>
      <c r="M168" s="97" t="s">
        <v>62</v>
      </c>
      <c r="N168" s="97" t="s">
        <v>33</v>
      </c>
      <c r="O168">
        <v>3777</v>
      </c>
      <c r="P168">
        <v>1.05</v>
      </c>
      <c r="Q168">
        <v>3.97</v>
      </c>
      <c r="R168" s="97" t="s">
        <v>1197</v>
      </c>
      <c r="S168" s="97" t="s">
        <v>195</v>
      </c>
    </row>
    <row r="169" spans="1:19" x14ac:dyDescent="0.3">
      <c r="A169" s="97" t="s">
        <v>362</v>
      </c>
      <c r="B169" s="97" t="s">
        <v>22</v>
      </c>
      <c r="C169">
        <v>2025</v>
      </c>
      <c r="D169">
        <v>1</v>
      </c>
      <c r="E169" s="2">
        <v>45679</v>
      </c>
      <c r="F169" s="97" t="s">
        <v>7</v>
      </c>
      <c r="G169" s="97" t="s">
        <v>8</v>
      </c>
      <c r="H169" s="97" t="s">
        <v>74</v>
      </c>
      <c r="I169" s="97" t="s">
        <v>71</v>
      </c>
      <c r="J169" s="97" t="s">
        <v>72</v>
      </c>
      <c r="K169" s="97" t="s">
        <v>73</v>
      </c>
      <c r="L169">
        <v>701000</v>
      </c>
      <c r="M169" s="97" t="s">
        <v>62</v>
      </c>
      <c r="N169" s="97" t="s">
        <v>33</v>
      </c>
      <c r="O169">
        <v>902</v>
      </c>
      <c r="P169">
        <v>1.05</v>
      </c>
      <c r="Q169">
        <v>0.95</v>
      </c>
      <c r="R169" s="97" t="s">
        <v>1202</v>
      </c>
      <c r="S169" s="97" t="s">
        <v>195</v>
      </c>
    </row>
    <row r="170" spans="1:19" x14ac:dyDescent="0.3">
      <c r="A170" s="97" t="s">
        <v>363</v>
      </c>
      <c r="B170" s="97" t="s">
        <v>22</v>
      </c>
      <c r="C170">
        <v>2025</v>
      </c>
      <c r="D170">
        <v>1</v>
      </c>
      <c r="E170" s="2">
        <v>45679</v>
      </c>
      <c r="F170" s="97" t="s">
        <v>7</v>
      </c>
      <c r="G170" s="97" t="s">
        <v>8</v>
      </c>
      <c r="H170" s="97" t="s">
        <v>74</v>
      </c>
      <c r="I170" s="97" t="s">
        <v>71</v>
      </c>
      <c r="J170" s="97" t="s">
        <v>72</v>
      </c>
      <c r="K170" s="97" t="s">
        <v>73</v>
      </c>
      <c r="L170">
        <v>701000</v>
      </c>
      <c r="M170" s="97" t="s">
        <v>62</v>
      </c>
      <c r="N170" s="97" t="s">
        <v>33</v>
      </c>
      <c r="O170">
        <v>2888</v>
      </c>
      <c r="P170">
        <v>1.05</v>
      </c>
      <c r="Q170">
        <v>3.03</v>
      </c>
      <c r="R170" s="97" t="s">
        <v>1205</v>
      </c>
      <c r="S170" s="97" t="s">
        <v>195</v>
      </c>
    </row>
    <row r="171" spans="1:19" x14ac:dyDescent="0.3">
      <c r="A171" s="97" t="s">
        <v>364</v>
      </c>
      <c r="B171" s="97" t="s">
        <v>22</v>
      </c>
      <c r="C171">
        <v>2025</v>
      </c>
      <c r="D171">
        <v>1</v>
      </c>
      <c r="E171" s="2">
        <v>45679</v>
      </c>
      <c r="F171" s="97" t="s">
        <v>7</v>
      </c>
      <c r="G171" s="97" t="s">
        <v>8</v>
      </c>
      <c r="H171" s="97" t="s">
        <v>74</v>
      </c>
      <c r="I171" s="97" t="s">
        <v>71</v>
      </c>
      <c r="J171" s="97" t="s">
        <v>72</v>
      </c>
      <c r="K171" s="97" t="s">
        <v>73</v>
      </c>
      <c r="L171">
        <v>701000</v>
      </c>
      <c r="M171" s="97" t="s">
        <v>62</v>
      </c>
      <c r="N171" s="97" t="s">
        <v>33</v>
      </c>
      <c r="O171">
        <v>416</v>
      </c>
      <c r="P171">
        <v>1.03</v>
      </c>
      <c r="Q171">
        <v>0.43</v>
      </c>
      <c r="R171" s="97" t="s">
        <v>1201</v>
      </c>
      <c r="S171" s="97" t="s">
        <v>195</v>
      </c>
    </row>
    <row r="172" spans="1:19" x14ac:dyDescent="0.3">
      <c r="A172" s="97" t="s">
        <v>365</v>
      </c>
      <c r="B172" s="97" t="s">
        <v>22</v>
      </c>
      <c r="C172">
        <v>2025</v>
      </c>
      <c r="D172">
        <v>1</v>
      </c>
      <c r="E172" s="2">
        <v>45672</v>
      </c>
      <c r="F172" s="97" t="s">
        <v>7</v>
      </c>
      <c r="G172" s="97" t="s">
        <v>8</v>
      </c>
      <c r="H172" s="97" t="s">
        <v>74</v>
      </c>
      <c r="I172" s="97" t="s">
        <v>71</v>
      </c>
      <c r="J172" s="97" t="s">
        <v>72</v>
      </c>
      <c r="K172" s="97" t="s">
        <v>73</v>
      </c>
      <c r="L172">
        <v>701000</v>
      </c>
      <c r="M172" s="97" t="s">
        <v>62</v>
      </c>
      <c r="N172" s="97" t="s">
        <v>33</v>
      </c>
      <c r="O172">
        <v>3808</v>
      </c>
      <c r="P172">
        <v>1.05</v>
      </c>
      <c r="Q172">
        <v>4</v>
      </c>
      <c r="R172" s="97" t="s">
        <v>1201</v>
      </c>
      <c r="S172" s="97" t="s">
        <v>195</v>
      </c>
    </row>
    <row r="173" spans="1:19" x14ac:dyDescent="0.3">
      <c r="A173" s="97" t="s">
        <v>366</v>
      </c>
      <c r="B173" s="97" t="s">
        <v>22</v>
      </c>
      <c r="C173">
        <v>2025</v>
      </c>
      <c r="D173">
        <v>1</v>
      </c>
      <c r="E173" s="2">
        <v>45672</v>
      </c>
      <c r="F173" s="97" t="s">
        <v>7</v>
      </c>
      <c r="G173" s="97" t="s">
        <v>8</v>
      </c>
      <c r="H173" s="97" t="s">
        <v>74</v>
      </c>
      <c r="I173" s="97" t="s">
        <v>71</v>
      </c>
      <c r="J173" s="97" t="s">
        <v>72</v>
      </c>
      <c r="K173" s="97" t="s">
        <v>73</v>
      </c>
      <c r="L173">
        <v>701000</v>
      </c>
      <c r="M173" s="97" t="s">
        <v>62</v>
      </c>
      <c r="N173" s="97" t="s">
        <v>33</v>
      </c>
      <c r="O173">
        <v>1737</v>
      </c>
      <c r="P173">
        <v>1.05</v>
      </c>
      <c r="Q173">
        <v>1.82</v>
      </c>
      <c r="R173" s="97" t="s">
        <v>1198</v>
      </c>
      <c r="S173" s="97" t="s">
        <v>195</v>
      </c>
    </row>
    <row r="174" spans="1:19" x14ac:dyDescent="0.3">
      <c r="A174" s="97" t="s">
        <v>367</v>
      </c>
      <c r="B174" s="97" t="s">
        <v>22</v>
      </c>
      <c r="C174">
        <v>2025</v>
      </c>
      <c r="D174">
        <v>1</v>
      </c>
      <c r="E174" s="2">
        <v>45672</v>
      </c>
      <c r="F174" s="97" t="s">
        <v>7</v>
      </c>
      <c r="G174" s="97" t="s">
        <v>8</v>
      </c>
      <c r="H174" s="97" t="s">
        <v>74</v>
      </c>
      <c r="I174" s="97" t="s">
        <v>71</v>
      </c>
      <c r="J174" s="97" t="s">
        <v>72</v>
      </c>
      <c r="K174" s="97" t="s">
        <v>73</v>
      </c>
      <c r="L174">
        <v>701000</v>
      </c>
      <c r="M174" s="97" t="s">
        <v>62</v>
      </c>
      <c r="N174" s="97" t="s">
        <v>33</v>
      </c>
      <c r="O174">
        <v>4516</v>
      </c>
      <c r="P174">
        <v>1.05</v>
      </c>
      <c r="Q174">
        <v>4.74</v>
      </c>
      <c r="R174" s="97" t="s">
        <v>1203</v>
      </c>
      <c r="S174" s="97" t="s">
        <v>195</v>
      </c>
    </row>
    <row r="175" spans="1:19" x14ac:dyDescent="0.3">
      <c r="A175" s="97" t="s">
        <v>368</v>
      </c>
      <c r="B175" s="97" t="s">
        <v>22</v>
      </c>
      <c r="C175">
        <v>2025</v>
      </c>
      <c r="D175">
        <v>1</v>
      </c>
      <c r="E175" s="2">
        <v>45672</v>
      </c>
      <c r="F175" s="97" t="s">
        <v>7</v>
      </c>
      <c r="G175" s="97" t="s">
        <v>8</v>
      </c>
      <c r="H175" s="97" t="s">
        <v>74</v>
      </c>
      <c r="I175" s="97" t="s">
        <v>71</v>
      </c>
      <c r="J175" s="97" t="s">
        <v>72</v>
      </c>
      <c r="K175" s="97" t="s">
        <v>73</v>
      </c>
      <c r="L175">
        <v>701000</v>
      </c>
      <c r="M175" s="97" t="s">
        <v>62</v>
      </c>
      <c r="N175" s="97" t="s">
        <v>33</v>
      </c>
      <c r="O175">
        <v>1055</v>
      </c>
      <c r="P175">
        <v>1.05</v>
      </c>
      <c r="Q175">
        <v>1.1100000000000001</v>
      </c>
      <c r="R175" s="97" t="s">
        <v>1204</v>
      </c>
      <c r="S175" s="97" t="s">
        <v>195</v>
      </c>
    </row>
    <row r="176" spans="1:19" x14ac:dyDescent="0.3">
      <c r="A176" s="97" t="s">
        <v>369</v>
      </c>
      <c r="B176" s="97" t="s">
        <v>22</v>
      </c>
      <c r="C176">
        <v>2025</v>
      </c>
      <c r="D176">
        <v>1</v>
      </c>
      <c r="E176" s="2">
        <v>45672</v>
      </c>
      <c r="F176" s="97" t="s">
        <v>7</v>
      </c>
      <c r="G176" s="97" t="s">
        <v>8</v>
      </c>
      <c r="H176" s="97" t="s">
        <v>74</v>
      </c>
      <c r="I176" s="97" t="s">
        <v>71</v>
      </c>
      <c r="J176" s="97" t="s">
        <v>72</v>
      </c>
      <c r="K176" s="97" t="s">
        <v>73</v>
      </c>
      <c r="L176">
        <v>701000</v>
      </c>
      <c r="M176" s="97" t="s">
        <v>62</v>
      </c>
      <c r="N176" s="97" t="s">
        <v>33</v>
      </c>
      <c r="O176">
        <v>1159</v>
      </c>
      <c r="P176">
        <v>1.05</v>
      </c>
      <c r="Q176">
        <v>1.22</v>
      </c>
      <c r="R176" s="97" t="s">
        <v>1205</v>
      </c>
      <c r="S176" s="97" t="s">
        <v>195</v>
      </c>
    </row>
    <row r="177" spans="1:19" x14ac:dyDescent="0.3">
      <c r="A177" s="97" t="s">
        <v>370</v>
      </c>
      <c r="B177" s="97" t="s">
        <v>22</v>
      </c>
      <c r="C177">
        <v>2025</v>
      </c>
      <c r="D177">
        <v>1</v>
      </c>
      <c r="E177" s="2">
        <v>45673</v>
      </c>
      <c r="F177" s="97" t="s">
        <v>7</v>
      </c>
      <c r="G177" s="97" t="s">
        <v>8</v>
      </c>
      <c r="H177" s="97" t="s">
        <v>70</v>
      </c>
      <c r="I177" s="97" t="s">
        <v>71</v>
      </c>
      <c r="J177" s="97" t="s">
        <v>72</v>
      </c>
      <c r="K177" s="97" t="s">
        <v>73</v>
      </c>
      <c r="L177">
        <v>701000</v>
      </c>
      <c r="M177" s="97" t="s">
        <v>62</v>
      </c>
      <c r="N177" s="97" t="s">
        <v>33</v>
      </c>
      <c r="O177">
        <v>2308</v>
      </c>
      <c r="P177">
        <v>1.05</v>
      </c>
      <c r="Q177">
        <v>2.42</v>
      </c>
      <c r="R177" s="97" t="s">
        <v>1204</v>
      </c>
      <c r="S177" s="97" t="s">
        <v>195</v>
      </c>
    </row>
    <row r="178" spans="1:19" x14ac:dyDescent="0.3">
      <c r="A178" s="97" t="s">
        <v>371</v>
      </c>
      <c r="B178" s="97" t="s">
        <v>22</v>
      </c>
      <c r="C178">
        <v>2025</v>
      </c>
      <c r="D178">
        <v>1</v>
      </c>
      <c r="E178" s="2">
        <v>45673</v>
      </c>
      <c r="F178" s="97" t="s">
        <v>7</v>
      </c>
      <c r="G178" s="97" t="s">
        <v>8</v>
      </c>
      <c r="H178" s="97" t="s">
        <v>70</v>
      </c>
      <c r="I178" s="97" t="s">
        <v>71</v>
      </c>
      <c r="J178" s="97" t="s">
        <v>72</v>
      </c>
      <c r="K178" s="97" t="s">
        <v>73</v>
      </c>
      <c r="L178">
        <v>701000</v>
      </c>
      <c r="M178" s="97" t="s">
        <v>62</v>
      </c>
      <c r="N178" s="97" t="s">
        <v>33</v>
      </c>
      <c r="O178">
        <v>2159</v>
      </c>
      <c r="P178">
        <v>1.05</v>
      </c>
      <c r="Q178">
        <v>2.27</v>
      </c>
      <c r="R178" s="97" t="s">
        <v>1198</v>
      </c>
      <c r="S178" s="97" t="s">
        <v>195</v>
      </c>
    </row>
    <row r="179" spans="1:19" x14ac:dyDescent="0.3">
      <c r="A179" s="97" t="s">
        <v>372</v>
      </c>
      <c r="B179" s="97" t="s">
        <v>22</v>
      </c>
      <c r="C179">
        <v>2025</v>
      </c>
      <c r="D179">
        <v>1</v>
      </c>
      <c r="E179" s="2">
        <v>45673</v>
      </c>
      <c r="F179" s="97" t="s">
        <v>7</v>
      </c>
      <c r="G179" s="97" t="s">
        <v>8</v>
      </c>
      <c r="H179" s="97" t="s">
        <v>70</v>
      </c>
      <c r="I179" s="97" t="s">
        <v>71</v>
      </c>
      <c r="J179" s="97" t="s">
        <v>72</v>
      </c>
      <c r="K179" s="97" t="s">
        <v>73</v>
      </c>
      <c r="L179">
        <v>701000</v>
      </c>
      <c r="M179" s="97" t="s">
        <v>62</v>
      </c>
      <c r="N179" s="97" t="s">
        <v>33</v>
      </c>
      <c r="O179">
        <v>1519</v>
      </c>
      <c r="P179">
        <v>1.05</v>
      </c>
      <c r="Q179">
        <v>1.6</v>
      </c>
      <c r="R179" s="97" t="s">
        <v>1199</v>
      </c>
      <c r="S179" s="97" t="s">
        <v>195</v>
      </c>
    </row>
    <row r="180" spans="1:19" x14ac:dyDescent="0.3">
      <c r="A180" s="97" t="s">
        <v>373</v>
      </c>
      <c r="B180" s="97" t="s">
        <v>22</v>
      </c>
      <c r="C180">
        <v>2025</v>
      </c>
      <c r="D180">
        <v>1</v>
      </c>
      <c r="E180" s="2">
        <v>45673</v>
      </c>
      <c r="F180" s="97" t="s">
        <v>7</v>
      </c>
      <c r="G180" s="97" t="s">
        <v>8</v>
      </c>
      <c r="H180" s="97" t="s">
        <v>70</v>
      </c>
      <c r="I180" s="97" t="s">
        <v>71</v>
      </c>
      <c r="J180" s="97" t="s">
        <v>72</v>
      </c>
      <c r="K180" s="97" t="s">
        <v>73</v>
      </c>
      <c r="L180">
        <v>701000</v>
      </c>
      <c r="M180" s="97" t="s">
        <v>62</v>
      </c>
      <c r="N180" s="97" t="s">
        <v>33</v>
      </c>
      <c r="O180">
        <v>1578</v>
      </c>
      <c r="P180">
        <v>1.05</v>
      </c>
      <c r="Q180">
        <v>1.66</v>
      </c>
      <c r="R180" s="97" t="s">
        <v>1203</v>
      </c>
      <c r="S180" s="97" t="s">
        <v>195</v>
      </c>
    </row>
    <row r="181" spans="1:19" x14ac:dyDescent="0.3">
      <c r="A181" s="97" t="s">
        <v>374</v>
      </c>
      <c r="B181" s="97" t="s">
        <v>22</v>
      </c>
      <c r="C181">
        <v>2025</v>
      </c>
      <c r="D181">
        <v>1</v>
      </c>
      <c r="E181" s="2">
        <v>45673</v>
      </c>
      <c r="F181" s="97" t="s">
        <v>7</v>
      </c>
      <c r="G181" s="97" t="s">
        <v>8</v>
      </c>
      <c r="H181" s="97" t="s">
        <v>70</v>
      </c>
      <c r="I181" s="97" t="s">
        <v>71</v>
      </c>
      <c r="J181" s="97" t="s">
        <v>72</v>
      </c>
      <c r="K181" s="97" t="s">
        <v>73</v>
      </c>
      <c r="L181">
        <v>701000</v>
      </c>
      <c r="M181" s="97" t="s">
        <v>62</v>
      </c>
      <c r="N181" s="97" t="s">
        <v>33</v>
      </c>
      <c r="O181">
        <v>3473</v>
      </c>
      <c r="P181">
        <v>1.05</v>
      </c>
      <c r="Q181">
        <v>3.64</v>
      </c>
      <c r="R181" s="97" t="s">
        <v>1202</v>
      </c>
      <c r="S181" s="97" t="s">
        <v>195</v>
      </c>
    </row>
    <row r="182" spans="1:19" x14ac:dyDescent="0.3">
      <c r="A182" s="97" t="s">
        <v>375</v>
      </c>
      <c r="B182" s="97" t="s">
        <v>22</v>
      </c>
      <c r="C182">
        <v>2025</v>
      </c>
      <c r="D182">
        <v>1</v>
      </c>
      <c r="E182" s="2">
        <v>45684</v>
      </c>
      <c r="F182" s="97" t="s">
        <v>7</v>
      </c>
      <c r="G182" s="97" t="s">
        <v>8</v>
      </c>
      <c r="H182" s="97" t="s">
        <v>70</v>
      </c>
      <c r="I182" s="97" t="s">
        <v>71</v>
      </c>
      <c r="J182" s="97" t="s">
        <v>72</v>
      </c>
      <c r="K182" s="97" t="s">
        <v>73</v>
      </c>
      <c r="L182">
        <v>707000</v>
      </c>
      <c r="M182" s="97" t="s">
        <v>81</v>
      </c>
      <c r="N182" s="97" t="s">
        <v>33</v>
      </c>
      <c r="O182">
        <v>4424</v>
      </c>
      <c r="P182">
        <v>1.05</v>
      </c>
      <c r="Q182">
        <v>4.6399999999999997</v>
      </c>
      <c r="R182" s="97" t="s">
        <v>1198</v>
      </c>
      <c r="S182" s="97" t="s">
        <v>195</v>
      </c>
    </row>
    <row r="183" spans="1:19" x14ac:dyDescent="0.3">
      <c r="A183" s="97" t="s">
        <v>376</v>
      </c>
      <c r="B183" s="97" t="s">
        <v>22</v>
      </c>
      <c r="C183">
        <v>2025</v>
      </c>
      <c r="D183">
        <v>1</v>
      </c>
      <c r="E183" s="2">
        <v>45684</v>
      </c>
      <c r="F183" s="97" t="s">
        <v>7</v>
      </c>
      <c r="G183" s="97" t="s">
        <v>8</v>
      </c>
      <c r="H183" s="97" t="s">
        <v>70</v>
      </c>
      <c r="I183" s="97" t="s">
        <v>71</v>
      </c>
      <c r="J183" s="97" t="s">
        <v>72</v>
      </c>
      <c r="K183" s="97" t="s">
        <v>73</v>
      </c>
      <c r="L183">
        <v>707000</v>
      </c>
      <c r="M183" s="97" t="s">
        <v>81</v>
      </c>
      <c r="N183" s="97" t="s">
        <v>33</v>
      </c>
      <c r="O183">
        <v>1212</v>
      </c>
      <c r="P183">
        <v>1.05</v>
      </c>
      <c r="Q183">
        <v>1.27</v>
      </c>
      <c r="R183" s="97" t="s">
        <v>1199</v>
      </c>
      <c r="S183" s="97" t="s">
        <v>195</v>
      </c>
    </row>
    <row r="184" spans="1:19" x14ac:dyDescent="0.3">
      <c r="A184" s="97" t="s">
        <v>377</v>
      </c>
      <c r="B184" s="97" t="s">
        <v>22</v>
      </c>
      <c r="C184">
        <v>2025</v>
      </c>
      <c r="D184">
        <v>1</v>
      </c>
      <c r="E184" s="2">
        <v>45684</v>
      </c>
      <c r="F184" s="97" t="s">
        <v>7</v>
      </c>
      <c r="G184" s="97" t="s">
        <v>8</v>
      </c>
      <c r="H184" s="97" t="s">
        <v>70</v>
      </c>
      <c r="I184" s="97" t="s">
        <v>71</v>
      </c>
      <c r="J184" s="97" t="s">
        <v>72</v>
      </c>
      <c r="K184" s="97" t="s">
        <v>73</v>
      </c>
      <c r="L184">
        <v>707000</v>
      </c>
      <c r="M184" s="97" t="s">
        <v>81</v>
      </c>
      <c r="N184" s="97" t="s">
        <v>33</v>
      </c>
      <c r="O184">
        <v>2253</v>
      </c>
      <c r="P184">
        <v>1.05</v>
      </c>
      <c r="Q184">
        <v>2.37</v>
      </c>
      <c r="R184" s="97" t="s">
        <v>1203</v>
      </c>
      <c r="S184" s="97" t="s">
        <v>195</v>
      </c>
    </row>
    <row r="185" spans="1:19" x14ac:dyDescent="0.3">
      <c r="A185" s="97" t="s">
        <v>378</v>
      </c>
      <c r="B185" s="97" t="s">
        <v>22</v>
      </c>
      <c r="C185">
        <v>2025</v>
      </c>
      <c r="D185">
        <v>1</v>
      </c>
      <c r="E185" s="2">
        <v>45684</v>
      </c>
      <c r="F185" s="97" t="s">
        <v>7</v>
      </c>
      <c r="G185" s="97" t="s">
        <v>8</v>
      </c>
      <c r="H185" s="97" t="s">
        <v>70</v>
      </c>
      <c r="I185" s="97" t="s">
        <v>71</v>
      </c>
      <c r="J185" s="97" t="s">
        <v>72</v>
      </c>
      <c r="K185" s="97" t="s">
        <v>73</v>
      </c>
      <c r="L185">
        <v>707000</v>
      </c>
      <c r="M185" s="97" t="s">
        <v>81</v>
      </c>
      <c r="N185" s="97" t="s">
        <v>33</v>
      </c>
      <c r="O185">
        <v>568</v>
      </c>
      <c r="P185">
        <v>1.06</v>
      </c>
      <c r="Q185">
        <v>0.6</v>
      </c>
      <c r="R185" s="97" t="s">
        <v>1205</v>
      </c>
      <c r="S185" s="97" t="s">
        <v>195</v>
      </c>
    </row>
    <row r="186" spans="1:19" x14ac:dyDescent="0.3">
      <c r="A186" s="97" t="s">
        <v>379</v>
      </c>
      <c r="B186" s="97" t="s">
        <v>22</v>
      </c>
      <c r="C186">
        <v>2025</v>
      </c>
      <c r="D186">
        <v>1</v>
      </c>
      <c r="E186" s="2">
        <v>45684</v>
      </c>
      <c r="F186" s="97" t="s">
        <v>7</v>
      </c>
      <c r="G186" s="97" t="s">
        <v>8</v>
      </c>
      <c r="H186" s="97" t="s">
        <v>70</v>
      </c>
      <c r="I186" s="97" t="s">
        <v>71</v>
      </c>
      <c r="J186" s="97" t="s">
        <v>72</v>
      </c>
      <c r="K186" s="97" t="s">
        <v>73</v>
      </c>
      <c r="L186">
        <v>707000</v>
      </c>
      <c r="M186" s="97" t="s">
        <v>81</v>
      </c>
      <c r="N186" s="97" t="s">
        <v>33</v>
      </c>
      <c r="O186">
        <v>1553</v>
      </c>
      <c r="P186">
        <v>1.05</v>
      </c>
      <c r="Q186">
        <v>1.63</v>
      </c>
      <c r="R186" s="97" t="s">
        <v>1200</v>
      </c>
      <c r="S186" s="97" t="s">
        <v>195</v>
      </c>
    </row>
    <row r="187" spans="1:19" x14ac:dyDescent="0.3">
      <c r="A187" s="97" t="s">
        <v>380</v>
      </c>
      <c r="B187" s="97" t="s">
        <v>22</v>
      </c>
      <c r="C187">
        <v>2025</v>
      </c>
      <c r="D187">
        <v>1</v>
      </c>
      <c r="E187" s="2">
        <v>45672</v>
      </c>
      <c r="F187" s="97" t="s">
        <v>7</v>
      </c>
      <c r="G187" s="97" t="s">
        <v>8</v>
      </c>
      <c r="H187" s="97" t="s">
        <v>74</v>
      </c>
      <c r="I187" s="97" t="s">
        <v>71</v>
      </c>
      <c r="J187" s="97" t="s">
        <v>72</v>
      </c>
      <c r="K187" s="97" t="s">
        <v>73</v>
      </c>
      <c r="L187">
        <v>701000</v>
      </c>
      <c r="M187" s="97" t="s">
        <v>62</v>
      </c>
      <c r="N187" s="97" t="s">
        <v>33</v>
      </c>
      <c r="O187">
        <v>907</v>
      </c>
      <c r="P187">
        <v>1.05</v>
      </c>
      <c r="Q187">
        <v>0.95</v>
      </c>
      <c r="R187" s="97" t="s">
        <v>1205</v>
      </c>
      <c r="S187" s="97" t="s">
        <v>195</v>
      </c>
    </row>
    <row r="188" spans="1:19" x14ac:dyDescent="0.3">
      <c r="A188" s="97" t="s">
        <v>381</v>
      </c>
      <c r="B188" s="97" t="s">
        <v>22</v>
      </c>
      <c r="C188">
        <v>2025</v>
      </c>
      <c r="D188">
        <v>1</v>
      </c>
      <c r="E188" s="2">
        <v>45672</v>
      </c>
      <c r="F188" s="97" t="s">
        <v>7</v>
      </c>
      <c r="G188" s="97" t="s">
        <v>8</v>
      </c>
      <c r="H188" s="97" t="s">
        <v>74</v>
      </c>
      <c r="I188" s="97" t="s">
        <v>71</v>
      </c>
      <c r="J188" s="97" t="s">
        <v>72</v>
      </c>
      <c r="K188" s="97" t="s">
        <v>73</v>
      </c>
      <c r="L188">
        <v>701000</v>
      </c>
      <c r="M188" s="97" t="s">
        <v>62</v>
      </c>
      <c r="N188" s="97" t="s">
        <v>33</v>
      </c>
      <c r="O188">
        <v>1836</v>
      </c>
      <c r="P188">
        <v>1.05</v>
      </c>
      <c r="Q188">
        <v>1.93</v>
      </c>
      <c r="R188" s="97" t="s">
        <v>1197</v>
      </c>
      <c r="S188" s="97" t="s">
        <v>195</v>
      </c>
    </row>
    <row r="189" spans="1:19" x14ac:dyDescent="0.3">
      <c r="A189" s="97" t="s">
        <v>382</v>
      </c>
      <c r="B189" s="97" t="s">
        <v>22</v>
      </c>
      <c r="C189">
        <v>2025</v>
      </c>
      <c r="D189">
        <v>1</v>
      </c>
      <c r="E189" s="2">
        <v>45672</v>
      </c>
      <c r="F189" s="97" t="s">
        <v>7</v>
      </c>
      <c r="G189" s="97" t="s">
        <v>8</v>
      </c>
      <c r="H189" s="97" t="s">
        <v>74</v>
      </c>
      <c r="I189" s="97" t="s">
        <v>71</v>
      </c>
      <c r="J189" s="97" t="s">
        <v>72</v>
      </c>
      <c r="K189" s="97" t="s">
        <v>73</v>
      </c>
      <c r="L189">
        <v>701000</v>
      </c>
      <c r="M189" s="97" t="s">
        <v>62</v>
      </c>
      <c r="N189" s="97" t="s">
        <v>33</v>
      </c>
      <c r="O189">
        <v>4741</v>
      </c>
      <c r="P189">
        <v>1.05</v>
      </c>
      <c r="Q189">
        <v>4.9800000000000004</v>
      </c>
      <c r="R189" s="97" t="s">
        <v>1201</v>
      </c>
      <c r="S189" s="97" t="s">
        <v>195</v>
      </c>
    </row>
    <row r="190" spans="1:19" x14ac:dyDescent="0.3">
      <c r="A190" s="97" t="s">
        <v>383</v>
      </c>
      <c r="B190" s="97" t="s">
        <v>22</v>
      </c>
      <c r="C190">
        <v>2025</v>
      </c>
      <c r="D190">
        <v>1</v>
      </c>
      <c r="E190" s="2">
        <v>45672</v>
      </c>
      <c r="F190" s="97" t="s">
        <v>7</v>
      </c>
      <c r="G190" s="97" t="s">
        <v>8</v>
      </c>
      <c r="H190" s="97" t="s">
        <v>74</v>
      </c>
      <c r="I190" s="97" t="s">
        <v>71</v>
      </c>
      <c r="J190" s="97" t="s">
        <v>72</v>
      </c>
      <c r="K190" s="97" t="s">
        <v>73</v>
      </c>
      <c r="L190">
        <v>701000</v>
      </c>
      <c r="M190" s="97" t="s">
        <v>62</v>
      </c>
      <c r="N190" s="97" t="s">
        <v>33</v>
      </c>
      <c r="O190">
        <v>582</v>
      </c>
      <c r="P190">
        <v>1.05</v>
      </c>
      <c r="Q190">
        <v>0.61</v>
      </c>
      <c r="R190" s="97" t="s">
        <v>1198</v>
      </c>
      <c r="S190" s="97" t="s">
        <v>195</v>
      </c>
    </row>
    <row r="191" spans="1:19" x14ac:dyDescent="0.3">
      <c r="A191" s="97" t="s">
        <v>384</v>
      </c>
      <c r="B191" s="97" t="s">
        <v>22</v>
      </c>
      <c r="C191">
        <v>2025</v>
      </c>
      <c r="D191">
        <v>1</v>
      </c>
      <c r="E191" s="2">
        <v>45672</v>
      </c>
      <c r="F191" s="97" t="s">
        <v>7</v>
      </c>
      <c r="G191" s="97" t="s">
        <v>8</v>
      </c>
      <c r="H191" s="97" t="s">
        <v>74</v>
      </c>
      <c r="I191" s="97" t="s">
        <v>71</v>
      </c>
      <c r="J191" s="97" t="s">
        <v>72</v>
      </c>
      <c r="K191" s="97" t="s">
        <v>73</v>
      </c>
      <c r="L191">
        <v>701000</v>
      </c>
      <c r="M191" s="97" t="s">
        <v>62</v>
      </c>
      <c r="N191" s="97" t="s">
        <v>33</v>
      </c>
      <c r="O191">
        <v>3986</v>
      </c>
      <c r="P191">
        <v>1.05</v>
      </c>
      <c r="Q191">
        <v>4.18</v>
      </c>
      <c r="R191" s="97" t="s">
        <v>1204</v>
      </c>
      <c r="S191" s="97" t="s">
        <v>195</v>
      </c>
    </row>
    <row r="192" spans="1:19" x14ac:dyDescent="0.3">
      <c r="A192" s="97" t="s">
        <v>385</v>
      </c>
      <c r="B192" s="97" t="s">
        <v>22</v>
      </c>
      <c r="C192">
        <v>2025</v>
      </c>
      <c r="D192">
        <v>1</v>
      </c>
      <c r="E192" s="2">
        <v>45675</v>
      </c>
      <c r="F192" s="97" t="s">
        <v>7</v>
      </c>
      <c r="G192" s="97" t="s">
        <v>8</v>
      </c>
      <c r="H192" s="97" t="s">
        <v>70</v>
      </c>
      <c r="I192" s="97" t="s">
        <v>71</v>
      </c>
      <c r="J192" s="97" t="s">
        <v>72</v>
      </c>
      <c r="K192" s="97" t="s">
        <v>73</v>
      </c>
      <c r="L192">
        <v>701000</v>
      </c>
      <c r="M192" s="97" t="s">
        <v>62</v>
      </c>
      <c r="N192" s="97" t="s">
        <v>33</v>
      </c>
      <c r="O192">
        <v>4082</v>
      </c>
      <c r="P192">
        <v>1.05</v>
      </c>
      <c r="Q192">
        <v>4.29</v>
      </c>
      <c r="R192" s="97" t="s">
        <v>1201</v>
      </c>
      <c r="S192" s="97" t="s">
        <v>195</v>
      </c>
    </row>
    <row r="193" spans="1:19" x14ac:dyDescent="0.3">
      <c r="A193" s="97" t="s">
        <v>386</v>
      </c>
      <c r="B193" s="97" t="s">
        <v>22</v>
      </c>
      <c r="C193">
        <v>2025</v>
      </c>
      <c r="D193">
        <v>1</v>
      </c>
      <c r="E193" s="2">
        <v>45675</v>
      </c>
      <c r="F193" s="97" t="s">
        <v>7</v>
      </c>
      <c r="G193" s="97" t="s">
        <v>8</v>
      </c>
      <c r="H193" s="97" t="s">
        <v>70</v>
      </c>
      <c r="I193" s="97" t="s">
        <v>71</v>
      </c>
      <c r="J193" s="97" t="s">
        <v>72</v>
      </c>
      <c r="K193" s="97" t="s">
        <v>73</v>
      </c>
      <c r="L193">
        <v>701000</v>
      </c>
      <c r="M193" s="97" t="s">
        <v>62</v>
      </c>
      <c r="N193" s="97" t="s">
        <v>33</v>
      </c>
      <c r="O193">
        <v>1221</v>
      </c>
      <c r="P193">
        <v>1.05</v>
      </c>
      <c r="Q193">
        <v>1.28</v>
      </c>
      <c r="R193" s="97" t="s">
        <v>1200</v>
      </c>
      <c r="S193" s="97" t="s">
        <v>195</v>
      </c>
    </row>
    <row r="194" spans="1:19" x14ac:dyDescent="0.3">
      <c r="A194" s="97" t="s">
        <v>387</v>
      </c>
      <c r="B194" s="97" t="s">
        <v>22</v>
      </c>
      <c r="C194">
        <v>2025</v>
      </c>
      <c r="D194">
        <v>1</v>
      </c>
      <c r="E194" s="2">
        <v>45675</v>
      </c>
      <c r="F194" s="97" t="s">
        <v>7</v>
      </c>
      <c r="G194" s="97" t="s">
        <v>8</v>
      </c>
      <c r="H194" s="97" t="s">
        <v>70</v>
      </c>
      <c r="I194" s="97" t="s">
        <v>71</v>
      </c>
      <c r="J194" s="97" t="s">
        <v>72</v>
      </c>
      <c r="K194" s="97" t="s">
        <v>73</v>
      </c>
      <c r="L194">
        <v>701000</v>
      </c>
      <c r="M194" s="97" t="s">
        <v>62</v>
      </c>
      <c r="N194" s="97" t="s">
        <v>33</v>
      </c>
      <c r="O194">
        <v>2181</v>
      </c>
      <c r="P194">
        <v>1.05</v>
      </c>
      <c r="Q194">
        <v>2.29</v>
      </c>
      <c r="R194" s="97" t="s">
        <v>1203</v>
      </c>
      <c r="S194" s="97" t="s">
        <v>195</v>
      </c>
    </row>
    <row r="195" spans="1:19" x14ac:dyDescent="0.3">
      <c r="A195" s="97" t="s">
        <v>388</v>
      </c>
      <c r="B195" s="97" t="s">
        <v>22</v>
      </c>
      <c r="C195">
        <v>2025</v>
      </c>
      <c r="D195">
        <v>1</v>
      </c>
      <c r="E195" s="2">
        <v>45675</v>
      </c>
      <c r="F195" s="97" t="s">
        <v>7</v>
      </c>
      <c r="G195" s="97" t="s">
        <v>8</v>
      </c>
      <c r="H195" s="97" t="s">
        <v>70</v>
      </c>
      <c r="I195" s="97" t="s">
        <v>71</v>
      </c>
      <c r="J195" s="97" t="s">
        <v>72</v>
      </c>
      <c r="K195" s="97" t="s">
        <v>73</v>
      </c>
      <c r="L195">
        <v>701000</v>
      </c>
      <c r="M195" s="97" t="s">
        <v>62</v>
      </c>
      <c r="N195" s="97" t="s">
        <v>33</v>
      </c>
      <c r="O195">
        <v>2411</v>
      </c>
      <c r="P195">
        <v>1.05</v>
      </c>
      <c r="Q195">
        <v>2.5299999999999998</v>
      </c>
      <c r="R195" s="97" t="s">
        <v>1205</v>
      </c>
      <c r="S195" s="97" t="s">
        <v>195</v>
      </c>
    </row>
    <row r="196" spans="1:19" x14ac:dyDescent="0.3">
      <c r="A196" s="97" t="s">
        <v>389</v>
      </c>
      <c r="B196" s="97" t="s">
        <v>22</v>
      </c>
      <c r="C196">
        <v>2025</v>
      </c>
      <c r="D196">
        <v>1</v>
      </c>
      <c r="E196" s="2">
        <v>45675</v>
      </c>
      <c r="F196" s="97" t="s">
        <v>7</v>
      </c>
      <c r="G196" s="97" t="s">
        <v>8</v>
      </c>
      <c r="H196" s="97" t="s">
        <v>70</v>
      </c>
      <c r="I196" s="97" t="s">
        <v>71</v>
      </c>
      <c r="J196" s="97" t="s">
        <v>72</v>
      </c>
      <c r="K196" s="97" t="s">
        <v>73</v>
      </c>
      <c r="L196">
        <v>701000</v>
      </c>
      <c r="M196" s="97" t="s">
        <v>62</v>
      </c>
      <c r="N196" s="97" t="s">
        <v>33</v>
      </c>
      <c r="O196">
        <v>2077</v>
      </c>
      <c r="P196">
        <v>1.05</v>
      </c>
      <c r="Q196">
        <v>2.1800000000000002</v>
      </c>
      <c r="R196" s="97" t="s">
        <v>1202</v>
      </c>
      <c r="S196" s="97" t="s">
        <v>195</v>
      </c>
    </row>
    <row r="197" spans="1:19" x14ac:dyDescent="0.3">
      <c r="A197" s="97" t="s">
        <v>390</v>
      </c>
      <c r="B197" s="97" t="s">
        <v>22</v>
      </c>
      <c r="C197">
        <v>2025</v>
      </c>
      <c r="D197">
        <v>1</v>
      </c>
      <c r="E197" s="2">
        <v>45660</v>
      </c>
      <c r="F197" s="97" t="s">
        <v>7</v>
      </c>
      <c r="G197" s="97" t="s">
        <v>8</v>
      </c>
      <c r="H197" s="97" t="s">
        <v>70</v>
      </c>
      <c r="I197" s="97" t="s">
        <v>71</v>
      </c>
      <c r="J197" s="97" t="s">
        <v>72</v>
      </c>
      <c r="K197" s="97" t="s">
        <v>73</v>
      </c>
      <c r="L197">
        <v>707000</v>
      </c>
      <c r="M197" s="97" t="s">
        <v>81</v>
      </c>
      <c r="N197" s="97" t="s">
        <v>33</v>
      </c>
      <c r="O197">
        <v>1239</v>
      </c>
      <c r="P197">
        <v>1.05</v>
      </c>
      <c r="Q197">
        <v>1.3</v>
      </c>
      <c r="R197" s="97" t="s">
        <v>1199</v>
      </c>
      <c r="S197" s="97" t="s">
        <v>195</v>
      </c>
    </row>
    <row r="198" spans="1:19" x14ac:dyDescent="0.3">
      <c r="A198" s="97" t="s">
        <v>391</v>
      </c>
      <c r="B198" s="97" t="s">
        <v>22</v>
      </c>
      <c r="C198">
        <v>2025</v>
      </c>
      <c r="D198">
        <v>1</v>
      </c>
      <c r="E198" s="2">
        <v>45660</v>
      </c>
      <c r="F198" s="97" t="s">
        <v>7</v>
      </c>
      <c r="G198" s="97" t="s">
        <v>8</v>
      </c>
      <c r="H198" s="97" t="s">
        <v>70</v>
      </c>
      <c r="I198" s="97" t="s">
        <v>71</v>
      </c>
      <c r="J198" s="97" t="s">
        <v>72</v>
      </c>
      <c r="K198" s="97" t="s">
        <v>73</v>
      </c>
      <c r="L198">
        <v>707000</v>
      </c>
      <c r="M198" s="97" t="s">
        <v>81</v>
      </c>
      <c r="N198" s="97" t="s">
        <v>33</v>
      </c>
      <c r="O198">
        <v>2376</v>
      </c>
      <c r="P198">
        <v>1.05</v>
      </c>
      <c r="Q198">
        <v>2.4900000000000002</v>
      </c>
      <c r="R198" s="97" t="s">
        <v>1204</v>
      </c>
      <c r="S198" s="97" t="s">
        <v>195</v>
      </c>
    </row>
    <row r="199" spans="1:19" x14ac:dyDescent="0.3">
      <c r="A199" s="97" t="s">
        <v>392</v>
      </c>
      <c r="B199" s="97" t="s">
        <v>22</v>
      </c>
      <c r="C199">
        <v>2025</v>
      </c>
      <c r="D199">
        <v>1</v>
      </c>
      <c r="E199" s="2">
        <v>45660</v>
      </c>
      <c r="F199" s="97" t="s">
        <v>7</v>
      </c>
      <c r="G199" s="97" t="s">
        <v>8</v>
      </c>
      <c r="H199" s="97" t="s">
        <v>70</v>
      </c>
      <c r="I199" s="97" t="s">
        <v>71</v>
      </c>
      <c r="J199" s="97" t="s">
        <v>72</v>
      </c>
      <c r="K199" s="97" t="s">
        <v>73</v>
      </c>
      <c r="L199">
        <v>707000</v>
      </c>
      <c r="M199" s="97" t="s">
        <v>81</v>
      </c>
      <c r="N199" s="97" t="s">
        <v>33</v>
      </c>
      <c r="O199">
        <v>1163</v>
      </c>
      <c r="P199">
        <v>1.05</v>
      </c>
      <c r="Q199">
        <v>1.22</v>
      </c>
      <c r="R199" s="97" t="s">
        <v>1200</v>
      </c>
      <c r="S199" s="97" t="s">
        <v>195</v>
      </c>
    </row>
    <row r="200" spans="1:19" x14ac:dyDescent="0.3">
      <c r="A200" s="97" t="s">
        <v>393</v>
      </c>
      <c r="B200" s="97" t="s">
        <v>22</v>
      </c>
      <c r="C200">
        <v>2025</v>
      </c>
      <c r="D200">
        <v>1</v>
      </c>
      <c r="E200" s="2">
        <v>45660</v>
      </c>
      <c r="F200" s="97" t="s">
        <v>7</v>
      </c>
      <c r="G200" s="97" t="s">
        <v>8</v>
      </c>
      <c r="H200" s="97" t="s">
        <v>70</v>
      </c>
      <c r="I200" s="97" t="s">
        <v>71</v>
      </c>
      <c r="J200" s="97" t="s">
        <v>72</v>
      </c>
      <c r="K200" s="97" t="s">
        <v>73</v>
      </c>
      <c r="L200">
        <v>707000</v>
      </c>
      <c r="M200" s="97" t="s">
        <v>81</v>
      </c>
      <c r="N200" s="97" t="s">
        <v>33</v>
      </c>
      <c r="O200">
        <v>4312</v>
      </c>
      <c r="P200">
        <v>1.05</v>
      </c>
      <c r="Q200">
        <v>4.53</v>
      </c>
      <c r="R200" s="97" t="s">
        <v>1203</v>
      </c>
      <c r="S200" s="97" t="s">
        <v>195</v>
      </c>
    </row>
    <row r="201" spans="1:19" x14ac:dyDescent="0.3">
      <c r="A201" s="97" t="s">
        <v>394</v>
      </c>
      <c r="B201" s="97" t="s">
        <v>22</v>
      </c>
      <c r="C201">
        <v>2025</v>
      </c>
      <c r="D201">
        <v>1</v>
      </c>
      <c r="E201" s="2">
        <v>45660</v>
      </c>
      <c r="F201" s="97" t="s">
        <v>7</v>
      </c>
      <c r="G201" s="97" t="s">
        <v>8</v>
      </c>
      <c r="H201" s="97" t="s">
        <v>70</v>
      </c>
      <c r="I201" s="97" t="s">
        <v>71</v>
      </c>
      <c r="J201" s="97" t="s">
        <v>72</v>
      </c>
      <c r="K201" s="97" t="s">
        <v>73</v>
      </c>
      <c r="L201">
        <v>707000</v>
      </c>
      <c r="M201" s="97" t="s">
        <v>81</v>
      </c>
      <c r="N201" s="97" t="s">
        <v>33</v>
      </c>
      <c r="O201">
        <v>1512</v>
      </c>
      <c r="P201">
        <v>1.05</v>
      </c>
      <c r="Q201">
        <v>1.59</v>
      </c>
      <c r="R201" s="97" t="s">
        <v>1197</v>
      </c>
      <c r="S201" s="97" t="s">
        <v>195</v>
      </c>
    </row>
    <row r="202" spans="1:19" x14ac:dyDescent="0.3">
      <c r="A202" s="97" t="s">
        <v>395</v>
      </c>
      <c r="B202" s="97" t="s">
        <v>22</v>
      </c>
      <c r="C202">
        <v>2025</v>
      </c>
      <c r="D202">
        <v>1</v>
      </c>
      <c r="E202" s="2">
        <v>45660</v>
      </c>
      <c r="F202" s="97" t="s">
        <v>7</v>
      </c>
      <c r="G202" s="97" t="s">
        <v>8</v>
      </c>
      <c r="H202" s="97" t="s">
        <v>70</v>
      </c>
      <c r="I202" s="97" t="s">
        <v>71</v>
      </c>
      <c r="J202" s="97" t="s">
        <v>72</v>
      </c>
      <c r="K202" s="97" t="s">
        <v>73</v>
      </c>
      <c r="L202">
        <v>701000</v>
      </c>
      <c r="M202" s="97" t="s">
        <v>62</v>
      </c>
      <c r="N202" s="97" t="s">
        <v>33</v>
      </c>
      <c r="O202">
        <v>932</v>
      </c>
      <c r="P202">
        <v>1.05</v>
      </c>
      <c r="Q202">
        <v>0.98</v>
      </c>
      <c r="R202" s="97" t="s">
        <v>1204</v>
      </c>
      <c r="S202" s="97" t="s">
        <v>195</v>
      </c>
    </row>
    <row r="203" spans="1:19" x14ac:dyDescent="0.3">
      <c r="A203" s="97" t="s">
        <v>396</v>
      </c>
      <c r="B203" s="97" t="s">
        <v>22</v>
      </c>
      <c r="C203">
        <v>2025</v>
      </c>
      <c r="D203">
        <v>1</v>
      </c>
      <c r="E203" s="2">
        <v>45660</v>
      </c>
      <c r="F203" s="97" t="s">
        <v>7</v>
      </c>
      <c r="G203" s="97" t="s">
        <v>8</v>
      </c>
      <c r="H203" s="97" t="s">
        <v>70</v>
      </c>
      <c r="I203" s="97" t="s">
        <v>71</v>
      </c>
      <c r="J203" s="97" t="s">
        <v>72</v>
      </c>
      <c r="K203" s="97" t="s">
        <v>73</v>
      </c>
      <c r="L203">
        <v>701000</v>
      </c>
      <c r="M203" s="97" t="s">
        <v>62</v>
      </c>
      <c r="N203" s="97" t="s">
        <v>33</v>
      </c>
      <c r="O203">
        <v>2327</v>
      </c>
      <c r="P203">
        <v>1.05</v>
      </c>
      <c r="Q203">
        <v>2.44</v>
      </c>
      <c r="R203" s="97" t="s">
        <v>1203</v>
      </c>
      <c r="S203" s="97" t="s">
        <v>195</v>
      </c>
    </row>
    <row r="204" spans="1:19" x14ac:dyDescent="0.3">
      <c r="A204" s="97" t="s">
        <v>397</v>
      </c>
      <c r="B204" s="97" t="s">
        <v>22</v>
      </c>
      <c r="C204">
        <v>2025</v>
      </c>
      <c r="D204">
        <v>1</v>
      </c>
      <c r="E204" s="2">
        <v>45660</v>
      </c>
      <c r="F204" s="97" t="s">
        <v>7</v>
      </c>
      <c r="G204" s="97" t="s">
        <v>8</v>
      </c>
      <c r="H204" s="97" t="s">
        <v>70</v>
      </c>
      <c r="I204" s="97" t="s">
        <v>71</v>
      </c>
      <c r="J204" s="97" t="s">
        <v>72</v>
      </c>
      <c r="K204" s="97" t="s">
        <v>73</v>
      </c>
      <c r="L204">
        <v>701000</v>
      </c>
      <c r="M204" s="97" t="s">
        <v>62</v>
      </c>
      <c r="N204" s="97" t="s">
        <v>33</v>
      </c>
      <c r="O204">
        <v>3402</v>
      </c>
      <c r="P204">
        <v>1.05</v>
      </c>
      <c r="Q204">
        <v>3.57</v>
      </c>
      <c r="R204" s="97" t="s">
        <v>1201</v>
      </c>
      <c r="S204" s="97" t="s">
        <v>195</v>
      </c>
    </row>
    <row r="205" spans="1:19" x14ac:dyDescent="0.3">
      <c r="A205" s="97" t="s">
        <v>398</v>
      </c>
      <c r="B205" s="97" t="s">
        <v>22</v>
      </c>
      <c r="C205">
        <v>2025</v>
      </c>
      <c r="D205">
        <v>1</v>
      </c>
      <c r="E205" s="2">
        <v>45660</v>
      </c>
      <c r="F205" s="97" t="s">
        <v>7</v>
      </c>
      <c r="G205" s="97" t="s">
        <v>8</v>
      </c>
      <c r="H205" s="97" t="s">
        <v>70</v>
      </c>
      <c r="I205" s="97" t="s">
        <v>71</v>
      </c>
      <c r="J205" s="97" t="s">
        <v>72</v>
      </c>
      <c r="K205" s="97" t="s">
        <v>73</v>
      </c>
      <c r="L205">
        <v>701000</v>
      </c>
      <c r="M205" s="97" t="s">
        <v>62</v>
      </c>
      <c r="N205" s="97" t="s">
        <v>33</v>
      </c>
      <c r="O205">
        <v>2395</v>
      </c>
      <c r="P205">
        <v>1.05</v>
      </c>
      <c r="Q205">
        <v>2.5099999999999998</v>
      </c>
      <c r="R205" s="97" t="s">
        <v>1197</v>
      </c>
      <c r="S205" s="97" t="s">
        <v>195</v>
      </c>
    </row>
    <row r="206" spans="1:19" x14ac:dyDescent="0.3">
      <c r="A206" s="97" t="s">
        <v>399</v>
      </c>
      <c r="B206" s="97" t="s">
        <v>22</v>
      </c>
      <c r="C206">
        <v>2025</v>
      </c>
      <c r="D206">
        <v>1</v>
      </c>
      <c r="E206" s="2">
        <v>45660</v>
      </c>
      <c r="F206" s="97" t="s">
        <v>7</v>
      </c>
      <c r="G206" s="97" t="s">
        <v>8</v>
      </c>
      <c r="H206" s="97" t="s">
        <v>70</v>
      </c>
      <c r="I206" s="97" t="s">
        <v>71</v>
      </c>
      <c r="J206" s="97" t="s">
        <v>72</v>
      </c>
      <c r="K206" s="97" t="s">
        <v>73</v>
      </c>
      <c r="L206">
        <v>701000</v>
      </c>
      <c r="M206" s="97" t="s">
        <v>62</v>
      </c>
      <c r="N206" s="97" t="s">
        <v>33</v>
      </c>
      <c r="O206">
        <v>913</v>
      </c>
      <c r="P206">
        <v>1.06</v>
      </c>
      <c r="Q206">
        <v>0.97</v>
      </c>
      <c r="R206" s="97" t="s">
        <v>1200</v>
      </c>
      <c r="S206" s="97" t="s">
        <v>195</v>
      </c>
    </row>
    <row r="207" spans="1:19" x14ac:dyDescent="0.3">
      <c r="A207" s="97" t="s">
        <v>400</v>
      </c>
      <c r="B207" s="97" t="s">
        <v>22</v>
      </c>
      <c r="C207">
        <v>2025</v>
      </c>
      <c r="D207">
        <v>1</v>
      </c>
      <c r="E207" s="2">
        <v>45683</v>
      </c>
      <c r="F207" s="97" t="s">
        <v>7</v>
      </c>
      <c r="G207" s="97" t="s">
        <v>8</v>
      </c>
      <c r="H207" s="97" t="s">
        <v>70</v>
      </c>
      <c r="I207" s="97" t="s">
        <v>71</v>
      </c>
      <c r="J207" s="97" t="s">
        <v>72</v>
      </c>
      <c r="K207" s="97" t="s">
        <v>73</v>
      </c>
      <c r="L207">
        <v>706000</v>
      </c>
      <c r="M207" s="97" t="s">
        <v>63</v>
      </c>
      <c r="N207" s="97" t="s">
        <v>33</v>
      </c>
      <c r="O207">
        <v>949</v>
      </c>
      <c r="P207">
        <v>1.05</v>
      </c>
      <c r="Q207">
        <v>1</v>
      </c>
      <c r="R207" s="97" t="s">
        <v>1205</v>
      </c>
      <c r="S207" s="97" t="s">
        <v>195</v>
      </c>
    </row>
    <row r="208" spans="1:19" x14ac:dyDescent="0.3">
      <c r="A208" s="97" t="s">
        <v>401</v>
      </c>
      <c r="B208" s="97" t="s">
        <v>22</v>
      </c>
      <c r="C208">
        <v>2025</v>
      </c>
      <c r="D208">
        <v>1</v>
      </c>
      <c r="E208" s="2">
        <v>45683</v>
      </c>
      <c r="F208" s="97" t="s">
        <v>7</v>
      </c>
      <c r="G208" s="97" t="s">
        <v>8</v>
      </c>
      <c r="H208" s="97" t="s">
        <v>70</v>
      </c>
      <c r="I208" s="97" t="s">
        <v>71</v>
      </c>
      <c r="J208" s="97" t="s">
        <v>72</v>
      </c>
      <c r="K208" s="97" t="s">
        <v>73</v>
      </c>
      <c r="L208">
        <v>706000</v>
      </c>
      <c r="M208" s="97" t="s">
        <v>63</v>
      </c>
      <c r="N208" s="97" t="s">
        <v>33</v>
      </c>
      <c r="O208">
        <v>2720</v>
      </c>
      <c r="P208">
        <v>1.05</v>
      </c>
      <c r="Q208">
        <v>2.86</v>
      </c>
      <c r="R208" s="97" t="s">
        <v>1197</v>
      </c>
      <c r="S208" s="97" t="s">
        <v>195</v>
      </c>
    </row>
    <row r="209" spans="1:19" x14ac:dyDescent="0.3">
      <c r="A209" s="97" t="s">
        <v>402</v>
      </c>
      <c r="B209" s="97" t="s">
        <v>22</v>
      </c>
      <c r="C209">
        <v>2025</v>
      </c>
      <c r="D209">
        <v>1</v>
      </c>
      <c r="E209" s="2">
        <v>45683</v>
      </c>
      <c r="F209" s="97" t="s">
        <v>7</v>
      </c>
      <c r="G209" s="97" t="s">
        <v>8</v>
      </c>
      <c r="H209" s="97" t="s">
        <v>70</v>
      </c>
      <c r="I209" s="97" t="s">
        <v>71</v>
      </c>
      <c r="J209" s="97" t="s">
        <v>72</v>
      </c>
      <c r="K209" s="97" t="s">
        <v>73</v>
      </c>
      <c r="L209">
        <v>706000</v>
      </c>
      <c r="M209" s="97" t="s">
        <v>63</v>
      </c>
      <c r="N209" s="97" t="s">
        <v>33</v>
      </c>
      <c r="O209">
        <v>1640</v>
      </c>
      <c r="P209">
        <v>1.05</v>
      </c>
      <c r="Q209">
        <v>1.72</v>
      </c>
      <c r="R209" s="97" t="s">
        <v>1204</v>
      </c>
      <c r="S209" s="97" t="s">
        <v>195</v>
      </c>
    </row>
    <row r="210" spans="1:19" x14ac:dyDescent="0.3">
      <c r="A210" s="97" t="s">
        <v>403</v>
      </c>
      <c r="B210" s="97" t="s">
        <v>22</v>
      </c>
      <c r="C210">
        <v>2025</v>
      </c>
      <c r="D210">
        <v>1</v>
      </c>
      <c r="E210" s="2">
        <v>45683</v>
      </c>
      <c r="F210" s="97" t="s">
        <v>7</v>
      </c>
      <c r="G210" s="97" t="s">
        <v>8</v>
      </c>
      <c r="H210" s="97" t="s">
        <v>70</v>
      </c>
      <c r="I210" s="97" t="s">
        <v>71</v>
      </c>
      <c r="J210" s="97" t="s">
        <v>72</v>
      </c>
      <c r="K210" s="97" t="s">
        <v>73</v>
      </c>
      <c r="L210">
        <v>706000</v>
      </c>
      <c r="M210" s="97" t="s">
        <v>63</v>
      </c>
      <c r="N210" s="97" t="s">
        <v>33</v>
      </c>
      <c r="O210">
        <v>1773</v>
      </c>
      <c r="P210">
        <v>1.05</v>
      </c>
      <c r="Q210">
        <v>1.86</v>
      </c>
      <c r="R210" s="97" t="s">
        <v>1203</v>
      </c>
      <c r="S210" s="97" t="s">
        <v>195</v>
      </c>
    </row>
    <row r="211" spans="1:19" x14ac:dyDescent="0.3">
      <c r="A211" s="97" t="s">
        <v>404</v>
      </c>
      <c r="B211" s="97" t="s">
        <v>22</v>
      </c>
      <c r="C211">
        <v>2025</v>
      </c>
      <c r="D211">
        <v>1</v>
      </c>
      <c r="E211" s="2">
        <v>45683</v>
      </c>
      <c r="F211" s="97" t="s">
        <v>7</v>
      </c>
      <c r="G211" s="97" t="s">
        <v>8</v>
      </c>
      <c r="H211" s="97" t="s">
        <v>70</v>
      </c>
      <c r="I211" s="97" t="s">
        <v>71</v>
      </c>
      <c r="J211" s="97" t="s">
        <v>72</v>
      </c>
      <c r="K211" s="97" t="s">
        <v>73</v>
      </c>
      <c r="L211">
        <v>706000</v>
      </c>
      <c r="M211" s="97" t="s">
        <v>63</v>
      </c>
      <c r="N211" s="97" t="s">
        <v>33</v>
      </c>
      <c r="O211">
        <v>5337</v>
      </c>
      <c r="P211">
        <v>1.05</v>
      </c>
      <c r="Q211">
        <v>5.6</v>
      </c>
      <c r="R211" s="97" t="s">
        <v>1202</v>
      </c>
      <c r="S211" s="97" t="s">
        <v>195</v>
      </c>
    </row>
    <row r="212" spans="1:19" x14ac:dyDescent="0.3">
      <c r="A212" s="97" t="s">
        <v>405</v>
      </c>
      <c r="B212" s="97" t="s">
        <v>22</v>
      </c>
      <c r="C212">
        <v>2025</v>
      </c>
      <c r="D212">
        <v>1</v>
      </c>
      <c r="E212" s="2">
        <v>45684</v>
      </c>
      <c r="F212" s="97" t="s">
        <v>7</v>
      </c>
      <c r="G212" s="97" t="s">
        <v>8</v>
      </c>
      <c r="H212" s="97" t="s">
        <v>70</v>
      </c>
      <c r="I212" s="97" t="s">
        <v>71</v>
      </c>
      <c r="J212" s="97" t="s">
        <v>72</v>
      </c>
      <c r="K212" s="97" t="s">
        <v>73</v>
      </c>
      <c r="L212">
        <v>707000</v>
      </c>
      <c r="M212" s="97" t="s">
        <v>81</v>
      </c>
      <c r="N212" s="97" t="s">
        <v>33</v>
      </c>
      <c r="O212">
        <v>3150</v>
      </c>
      <c r="P212">
        <v>1.05</v>
      </c>
      <c r="Q212">
        <v>3.31</v>
      </c>
      <c r="R212" s="97" t="s">
        <v>1200</v>
      </c>
      <c r="S212" s="97" t="s">
        <v>195</v>
      </c>
    </row>
    <row r="213" spans="1:19" x14ac:dyDescent="0.3">
      <c r="A213" s="97" t="s">
        <v>406</v>
      </c>
      <c r="B213" s="97" t="s">
        <v>22</v>
      </c>
      <c r="C213">
        <v>2025</v>
      </c>
      <c r="D213">
        <v>1</v>
      </c>
      <c r="E213" s="2">
        <v>45684</v>
      </c>
      <c r="F213" s="97" t="s">
        <v>7</v>
      </c>
      <c r="G213" s="97" t="s">
        <v>8</v>
      </c>
      <c r="H213" s="97" t="s">
        <v>70</v>
      </c>
      <c r="I213" s="97" t="s">
        <v>71</v>
      </c>
      <c r="J213" s="97" t="s">
        <v>72</v>
      </c>
      <c r="K213" s="97" t="s">
        <v>73</v>
      </c>
      <c r="L213">
        <v>707000</v>
      </c>
      <c r="M213" s="97" t="s">
        <v>81</v>
      </c>
      <c r="N213" s="97" t="s">
        <v>33</v>
      </c>
      <c r="O213">
        <v>1461</v>
      </c>
      <c r="P213">
        <v>1.05</v>
      </c>
      <c r="Q213">
        <v>1.53</v>
      </c>
      <c r="R213" s="97" t="s">
        <v>1202</v>
      </c>
      <c r="S213" s="97" t="s">
        <v>195</v>
      </c>
    </row>
    <row r="214" spans="1:19" x14ac:dyDescent="0.3">
      <c r="A214" s="97" t="s">
        <v>407</v>
      </c>
      <c r="B214" s="97" t="s">
        <v>22</v>
      </c>
      <c r="C214">
        <v>2025</v>
      </c>
      <c r="D214">
        <v>1</v>
      </c>
      <c r="E214" s="2">
        <v>45684</v>
      </c>
      <c r="F214" s="97" t="s">
        <v>7</v>
      </c>
      <c r="G214" s="97" t="s">
        <v>8</v>
      </c>
      <c r="H214" s="97" t="s">
        <v>70</v>
      </c>
      <c r="I214" s="97" t="s">
        <v>71</v>
      </c>
      <c r="J214" s="97" t="s">
        <v>72</v>
      </c>
      <c r="K214" s="97" t="s">
        <v>73</v>
      </c>
      <c r="L214">
        <v>707000</v>
      </c>
      <c r="M214" s="97" t="s">
        <v>81</v>
      </c>
      <c r="N214" s="97" t="s">
        <v>33</v>
      </c>
      <c r="O214">
        <v>2898</v>
      </c>
      <c r="P214">
        <v>1.05</v>
      </c>
      <c r="Q214">
        <v>3.04</v>
      </c>
      <c r="R214" s="97" t="s">
        <v>1201</v>
      </c>
      <c r="S214" s="97" t="s">
        <v>195</v>
      </c>
    </row>
    <row r="215" spans="1:19" x14ac:dyDescent="0.3">
      <c r="A215" s="97" t="s">
        <v>408</v>
      </c>
      <c r="B215" s="97" t="s">
        <v>22</v>
      </c>
      <c r="C215">
        <v>2025</v>
      </c>
      <c r="D215">
        <v>1</v>
      </c>
      <c r="E215" s="2">
        <v>45684</v>
      </c>
      <c r="F215" s="97" t="s">
        <v>7</v>
      </c>
      <c r="G215" s="97" t="s">
        <v>8</v>
      </c>
      <c r="H215" s="97" t="s">
        <v>70</v>
      </c>
      <c r="I215" s="97" t="s">
        <v>71</v>
      </c>
      <c r="J215" s="97" t="s">
        <v>72</v>
      </c>
      <c r="K215" s="97" t="s">
        <v>73</v>
      </c>
      <c r="L215">
        <v>707000</v>
      </c>
      <c r="M215" s="97" t="s">
        <v>81</v>
      </c>
      <c r="N215" s="97" t="s">
        <v>33</v>
      </c>
      <c r="O215">
        <v>994</v>
      </c>
      <c r="P215">
        <v>1.05</v>
      </c>
      <c r="Q215">
        <v>1.04</v>
      </c>
      <c r="R215" s="97" t="s">
        <v>1203</v>
      </c>
      <c r="S215" s="97" t="s">
        <v>195</v>
      </c>
    </row>
    <row r="216" spans="1:19" x14ac:dyDescent="0.3">
      <c r="A216" s="97" t="s">
        <v>409</v>
      </c>
      <c r="B216" s="97" t="s">
        <v>22</v>
      </c>
      <c r="C216">
        <v>2025</v>
      </c>
      <c r="D216">
        <v>1</v>
      </c>
      <c r="E216" s="2">
        <v>45684</v>
      </c>
      <c r="F216" s="97" t="s">
        <v>7</v>
      </c>
      <c r="G216" s="97" t="s">
        <v>8</v>
      </c>
      <c r="H216" s="97" t="s">
        <v>70</v>
      </c>
      <c r="I216" s="97" t="s">
        <v>71</v>
      </c>
      <c r="J216" s="97" t="s">
        <v>72</v>
      </c>
      <c r="K216" s="97" t="s">
        <v>73</v>
      </c>
      <c r="L216">
        <v>707000</v>
      </c>
      <c r="M216" s="97" t="s">
        <v>81</v>
      </c>
      <c r="N216" s="97" t="s">
        <v>33</v>
      </c>
      <c r="O216">
        <v>1247</v>
      </c>
      <c r="P216">
        <v>1.06</v>
      </c>
      <c r="Q216">
        <v>1.32</v>
      </c>
      <c r="R216" s="97" t="s">
        <v>1199</v>
      </c>
      <c r="S216" s="97" t="s">
        <v>195</v>
      </c>
    </row>
    <row r="217" spans="1:19" x14ac:dyDescent="0.3">
      <c r="A217" s="97" t="s">
        <v>410</v>
      </c>
      <c r="B217" s="97" t="s">
        <v>22</v>
      </c>
      <c r="C217">
        <v>2025</v>
      </c>
      <c r="D217">
        <v>1</v>
      </c>
      <c r="E217" s="2">
        <v>45659</v>
      </c>
      <c r="F217" s="97" t="s">
        <v>7</v>
      </c>
      <c r="G217" s="97" t="s">
        <v>8</v>
      </c>
      <c r="H217" s="97" t="s">
        <v>70</v>
      </c>
      <c r="I217" s="97" t="s">
        <v>71</v>
      </c>
      <c r="J217" s="97" t="s">
        <v>72</v>
      </c>
      <c r="K217" s="97" t="s">
        <v>73</v>
      </c>
      <c r="L217">
        <v>701000</v>
      </c>
      <c r="M217" s="97" t="s">
        <v>62</v>
      </c>
      <c r="N217" s="97" t="s">
        <v>33</v>
      </c>
      <c r="O217">
        <v>500</v>
      </c>
      <c r="P217">
        <v>1.04</v>
      </c>
      <c r="Q217">
        <v>0.52</v>
      </c>
      <c r="R217" s="97" t="s">
        <v>1201</v>
      </c>
      <c r="S217" s="97" t="s">
        <v>195</v>
      </c>
    </row>
    <row r="218" spans="1:19" x14ac:dyDescent="0.3">
      <c r="A218" s="97" t="s">
        <v>411</v>
      </c>
      <c r="B218" s="97" t="s">
        <v>22</v>
      </c>
      <c r="C218">
        <v>2025</v>
      </c>
      <c r="D218">
        <v>1</v>
      </c>
      <c r="E218" s="2">
        <v>45659</v>
      </c>
      <c r="F218" s="97" t="s">
        <v>7</v>
      </c>
      <c r="G218" s="97" t="s">
        <v>8</v>
      </c>
      <c r="H218" s="97" t="s">
        <v>70</v>
      </c>
      <c r="I218" s="97" t="s">
        <v>71</v>
      </c>
      <c r="J218" s="97" t="s">
        <v>72</v>
      </c>
      <c r="K218" s="97" t="s">
        <v>73</v>
      </c>
      <c r="L218">
        <v>701000</v>
      </c>
      <c r="M218" s="97" t="s">
        <v>62</v>
      </c>
      <c r="N218" s="97" t="s">
        <v>33</v>
      </c>
      <c r="O218">
        <v>3216</v>
      </c>
      <c r="P218">
        <v>1.05</v>
      </c>
      <c r="Q218">
        <v>3.38</v>
      </c>
      <c r="R218" s="97" t="s">
        <v>1198</v>
      </c>
      <c r="S218" s="97" t="s">
        <v>195</v>
      </c>
    </row>
    <row r="219" spans="1:19" x14ac:dyDescent="0.3">
      <c r="A219" s="97" t="s">
        <v>412</v>
      </c>
      <c r="B219" s="97" t="s">
        <v>22</v>
      </c>
      <c r="C219">
        <v>2025</v>
      </c>
      <c r="D219">
        <v>1</v>
      </c>
      <c r="E219" s="2">
        <v>45659</v>
      </c>
      <c r="F219" s="97" t="s">
        <v>7</v>
      </c>
      <c r="G219" s="97" t="s">
        <v>8</v>
      </c>
      <c r="H219" s="97" t="s">
        <v>70</v>
      </c>
      <c r="I219" s="97" t="s">
        <v>71</v>
      </c>
      <c r="J219" s="97" t="s">
        <v>72</v>
      </c>
      <c r="K219" s="97" t="s">
        <v>73</v>
      </c>
      <c r="L219">
        <v>701000</v>
      </c>
      <c r="M219" s="97" t="s">
        <v>62</v>
      </c>
      <c r="N219" s="97" t="s">
        <v>33</v>
      </c>
      <c r="O219">
        <v>3297</v>
      </c>
      <c r="P219">
        <v>1.05</v>
      </c>
      <c r="Q219">
        <v>3.46</v>
      </c>
      <c r="R219" s="97" t="s">
        <v>1200</v>
      </c>
      <c r="S219" s="97" t="s">
        <v>195</v>
      </c>
    </row>
    <row r="220" spans="1:19" x14ac:dyDescent="0.3">
      <c r="A220" s="97" t="s">
        <v>413</v>
      </c>
      <c r="B220" s="97" t="s">
        <v>22</v>
      </c>
      <c r="C220">
        <v>2025</v>
      </c>
      <c r="D220">
        <v>1</v>
      </c>
      <c r="E220" s="2">
        <v>45659</v>
      </c>
      <c r="F220" s="97" t="s">
        <v>7</v>
      </c>
      <c r="G220" s="97" t="s">
        <v>8</v>
      </c>
      <c r="H220" s="97" t="s">
        <v>70</v>
      </c>
      <c r="I220" s="97" t="s">
        <v>71</v>
      </c>
      <c r="J220" s="97" t="s">
        <v>72</v>
      </c>
      <c r="K220" s="97" t="s">
        <v>73</v>
      </c>
      <c r="L220">
        <v>701000</v>
      </c>
      <c r="M220" s="97" t="s">
        <v>62</v>
      </c>
      <c r="N220" s="97" t="s">
        <v>33</v>
      </c>
      <c r="O220">
        <v>2134</v>
      </c>
      <c r="P220">
        <v>1.05</v>
      </c>
      <c r="Q220">
        <v>2.2400000000000002</v>
      </c>
      <c r="R220" s="97" t="s">
        <v>1205</v>
      </c>
      <c r="S220" s="97" t="s">
        <v>195</v>
      </c>
    </row>
    <row r="221" spans="1:19" x14ac:dyDescent="0.3">
      <c r="A221" s="97" t="s">
        <v>414</v>
      </c>
      <c r="B221" s="97" t="s">
        <v>22</v>
      </c>
      <c r="C221">
        <v>2025</v>
      </c>
      <c r="D221">
        <v>1</v>
      </c>
      <c r="E221" s="2">
        <v>45659</v>
      </c>
      <c r="F221" s="97" t="s">
        <v>7</v>
      </c>
      <c r="G221" s="97" t="s">
        <v>8</v>
      </c>
      <c r="H221" s="97" t="s">
        <v>70</v>
      </c>
      <c r="I221" s="97" t="s">
        <v>71</v>
      </c>
      <c r="J221" s="97" t="s">
        <v>72</v>
      </c>
      <c r="K221" s="97" t="s">
        <v>73</v>
      </c>
      <c r="L221">
        <v>701000</v>
      </c>
      <c r="M221" s="97" t="s">
        <v>62</v>
      </c>
      <c r="N221" s="97" t="s">
        <v>33</v>
      </c>
      <c r="O221">
        <v>3175</v>
      </c>
      <c r="P221">
        <v>1.05</v>
      </c>
      <c r="Q221">
        <v>3.34</v>
      </c>
      <c r="R221" s="97" t="s">
        <v>1203</v>
      </c>
      <c r="S221" s="97" t="s">
        <v>195</v>
      </c>
    </row>
    <row r="222" spans="1:19" x14ac:dyDescent="0.3">
      <c r="A222" s="97" t="s">
        <v>415</v>
      </c>
      <c r="B222" s="97" t="s">
        <v>22</v>
      </c>
      <c r="C222">
        <v>2025</v>
      </c>
      <c r="D222">
        <v>1</v>
      </c>
      <c r="E222" s="2">
        <v>45664</v>
      </c>
      <c r="F222" s="97" t="s">
        <v>7</v>
      </c>
      <c r="G222" s="97" t="s">
        <v>8</v>
      </c>
      <c r="H222" s="97" t="s">
        <v>74</v>
      </c>
      <c r="I222" s="97" t="s">
        <v>71</v>
      </c>
      <c r="J222" s="97" t="s">
        <v>72</v>
      </c>
      <c r="K222" s="97" t="s">
        <v>73</v>
      </c>
      <c r="L222">
        <v>701000</v>
      </c>
      <c r="M222" s="97" t="s">
        <v>62</v>
      </c>
      <c r="N222" s="97" t="s">
        <v>33</v>
      </c>
      <c r="O222">
        <v>3767</v>
      </c>
      <c r="P222">
        <v>1.05</v>
      </c>
      <c r="Q222">
        <v>3.96</v>
      </c>
      <c r="R222" s="97" t="s">
        <v>1205</v>
      </c>
      <c r="S222" s="97" t="s">
        <v>195</v>
      </c>
    </row>
    <row r="223" spans="1:19" x14ac:dyDescent="0.3">
      <c r="A223" s="97" t="s">
        <v>416</v>
      </c>
      <c r="B223" s="97" t="s">
        <v>22</v>
      </c>
      <c r="C223">
        <v>2025</v>
      </c>
      <c r="D223">
        <v>1</v>
      </c>
      <c r="E223" s="2">
        <v>45664</v>
      </c>
      <c r="F223" s="97" t="s">
        <v>7</v>
      </c>
      <c r="G223" s="97" t="s">
        <v>8</v>
      </c>
      <c r="H223" s="97" t="s">
        <v>74</v>
      </c>
      <c r="I223" s="97" t="s">
        <v>71</v>
      </c>
      <c r="J223" s="97" t="s">
        <v>72</v>
      </c>
      <c r="K223" s="97" t="s">
        <v>73</v>
      </c>
      <c r="L223">
        <v>701000</v>
      </c>
      <c r="M223" s="97" t="s">
        <v>62</v>
      </c>
      <c r="N223" s="97" t="s">
        <v>33</v>
      </c>
      <c r="O223">
        <v>3347</v>
      </c>
      <c r="P223">
        <v>1.05</v>
      </c>
      <c r="Q223">
        <v>3.52</v>
      </c>
      <c r="R223" s="97" t="s">
        <v>1204</v>
      </c>
      <c r="S223" s="97" t="s">
        <v>195</v>
      </c>
    </row>
    <row r="224" spans="1:19" x14ac:dyDescent="0.3">
      <c r="A224" s="97" t="s">
        <v>417</v>
      </c>
      <c r="B224" s="97" t="s">
        <v>22</v>
      </c>
      <c r="C224">
        <v>2025</v>
      </c>
      <c r="D224">
        <v>1</v>
      </c>
      <c r="E224" s="2">
        <v>45664</v>
      </c>
      <c r="F224" s="97" t="s">
        <v>7</v>
      </c>
      <c r="G224" s="97" t="s">
        <v>8</v>
      </c>
      <c r="H224" s="97" t="s">
        <v>74</v>
      </c>
      <c r="I224" s="97" t="s">
        <v>71</v>
      </c>
      <c r="J224" s="97" t="s">
        <v>72</v>
      </c>
      <c r="K224" s="97" t="s">
        <v>73</v>
      </c>
      <c r="L224">
        <v>701000</v>
      </c>
      <c r="M224" s="97" t="s">
        <v>62</v>
      </c>
      <c r="N224" s="97" t="s">
        <v>33</v>
      </c>
      <c r="O224">
        <v>823</v>
      </c>
      <c r="P224">
        <v>1.04</v>
      </c>
      <c r="Q224">
        <v>0.86</v>
      </c>
      <c r="R224" s="97" t="s">
        <v>1200</v>
      </c>
      <c r="S224" s="97" t="s">
        <v>195</v>
      </c>
    </row>
    <row r="225" spans="1:19" x14ac:dyDescent="0.3">
      <c r="A225" s="97" t="s">
        <v>418</v>
      </c>
      <c r="B225" s="97" t="s">
        <v>22</v>
      </c>
      <c r="C225">
        <v>2025</v>
      </c>
      <c r="D225">
        <v>1</v>
      </c>
      <c r="E225" s="2">
        <v>45664</v>
      </c>
      <c r="F225" s="97" t="s">
        <v>7</v>
      </c>
      <c r="G225" s="97" t="s">
        <v>8</v>
      </c>
      <c r="H225" s="97" t="s">
        <v>74</v>
      </c>
      <c r="I225" s="97" t="s">
        <v>71</v>
      </c>
      <c r="J225" s="97" t="s">
        <v>72</v>
      </c>
      <c r="K225" s="97" t="s">
        <v>73</v>
      </c>
      <c r="L225">
        <v>701000</v>
      </c>
      <c r="M225" s="97" t="s">
        <v>62</v>
      </c>
      <c r="N225" s="97" t="s">
        <v>33</v>
      </c>
      <c r="O225">
        <v>535</v>
      </c>
      <c r="P225">
        <v>1.05</v>
      </c>
      <c r="Q225">
        <v>0.56000000000000005</v>
      </c>
      <c r="R225" s="97" t="s">
        <v>1203</v>
      </c>
      <c r="S225" s="97" t="s">
        <v>195</v>
      </c>
    </row>
    <row r="226" spans="1:19" x14ac:dyDescent="0.3">
      <c r="A226" s="97" t="s">
        <v>419</v>
      </c>
      <c r="B226" s="97" t="s">
        <v>22</v>
      </c>
      <c r="C226">
        <v>2025</v>
      </c>
      <c r="D226">
        <v>1</v>
      </c>
      <c r="E226" s="2">
        <v>45664</v>
      </c>
      <c r="F226" s="97" t="s">
        <v>7</v>
      </c>
      <c r="G226" s="97" t="s">
        <v>8</v>
      </c>
      <c r="H226" s="97" t="s">
        <v>74</v>
      </c>
      <c r="I226" s="97" t="s">
        <v>71</v>
      </c>
      <c r="J226" s="97" t="s">
        <v>72</v>
      </c>
      <c r="K226" s="97" t="s">
        <v>73</v>
      </c>
      <c r="L226">
        <v>701000</v>
      </c>
      <c r="M226" s="97" t="s">
        <v>62</v>
      </c>
      <c r="N226" s="97" t="s">
        <v>33</v>
      </c>
      <c r="O226">
        <v>821</v>
      </c>
      <c r="P226">
        <v>1.05</v>
      </c>
      <c r="Q226">
        <v>0.86</v>
      </c>
      <c r="R226" s="97" t="s">
        <v>1198</v>
      </c>
      <c r="S226" s="97" t="s">
        <v>195</v>
      </c>
    </row>
    <row r="227" spans="1:19" x14ac:dyDescent="0.3">
      <c r="A227" s="97" t="s">
        <v>420</v>
      </c>
      <c r="B227" s="97" t="s">
        <v>22</v>
      </c>
      <c r="C227">
        <v>2025</v>
      </c>
      <c r="D227">
        <v>1</v>
      </c>
      <c r="E227" s="2">
        <v>45658</v>
      </c>
      <c r="F227" s="97" t="s">
        <v>7</v>
      </c>
      <c r="G227" s="97" t="s">
        <v>8</v>
      </c>
      <c r="H227" s="97" t="s">
        <v>70</v>
      </c>
      <c r="I227" s="97" t="s">
        <v>71</v>
      </c>
      <c r="J227" s="97" t="s">
        <v>72</v>
      </c>
      <c r="K227" s="97" t="s">
        <v>73</v>
      </c>
      <c r="L227">
        <v>701000</v>
      </c>
      <c r="M227" s="97" t="s">
        <v>62</v>
      </c>
      <c r="N227" s="97" t="s">
        <v>33</v>
      </c>
      <c r="O227">
        <v>1516</v>
      </c>
      <c r="P227">
        <v>1.05</v>
      </c>
      <c r="Q227">
        <v>1.59</v>
      </c>
      <c r="R227" s="97" t="s">
        <v>1204</v>
      </c>
      <c r="S227" s="97" t="s">
        <v>195</v>
      </c>
    </row>
    <row r="228" spans="1:19" x14ac:dyDescent="0.3">
      <c r="A228" s="97" t="s">
        <v>421</v>
      </c>
      <c r="B228" s="97" t="s">
        <v>22</v>
      </c>
      <c r="C228">
        <v>2025</v>
      </c>
      <c r="D228">
        <v>1</v>
      </c>
      <c r="E228" s="2">
        <v>45658</v>
      </c>
      <c r="F228" s="97" t="s">
        <v>7</v>
      </c>
      <c r="G228" s="97" t="s">
        <v>8</v>
      </c>
      <c r="H228" s="97" t="s">
        <v>70</v>
      </c>
      <c r="I228" s="97" t="s">
        <v>71</v>
      </c>
      <c r="J228" s="97" t="s">
        <v>72</v>
      </c>
      <c r="K228" s="97" t="s">
        <v>73</v>
      </c>
      <c r="L228">
        <v>701000</v>
      </c>
      <c r="M228" s="97" t="s">
        <v>62</v>
      </c>
      <c r="N228" s="97" t="s">
        <v>33</v>
      </c>
      <c r="O228">
        <v>362</v>
      </c>
      <c r="P228">
        <v>1.05</v>
      </c>
      <c r="Q228">
        <v>0.38</v>
      </c>
      <c r="R228" s="97" t="s">
        <v>1198</v>
      </c>
      <c r="S228" s="97" t="s">
        <v>195</v>
      </c>
    </row>
    <row r="229" spans="1:19" x14ac:dyDescent="0.3">
      <c r="A229" s="97" t="s">
        <v>422</v>
      </c>
      <c r="B229" s="97" t="s">
        <v>22</v>
      </c>
      <c r="C229">
        <v>2025</v>
      </c>
      <c r="D229">
        <v>1</v>
      </c>
      <c r="E229" s="2">
        <v>45658</v>
      </c>
      <c r="F229" s="97" t="s">
        <v>7</v>
      </c>
      <c r="G229" s="97" t="s">
        <v>8</v>
      </c>
      <c r="H229" s="97" t="s">
        <v>70</v>
      </c>
      <c r="I229" s="97" t="s">
        <v>71</v>
      </c>
      <c r="J229" s="97" t="s">
        <v>72</v>
      </c>
      <c r="K229" s="97" t="s">
        <v>73</v>
      </c>
      <c r="L229">
        <v>701000</v>
      </c>
      <c r="M229" s="97" t="s">
        <v>62</v>
      </c>
      <c r="N229" s="97" t="s">
        <v>33</v>
      </c>
      <c r="O229">
        <v>4154</v>
      </c>
      <c r="P229">
        <v>1.05</v>
      </c>
      <c r="Q229">
        <v>4.3600000000000003</v>
      </c>
      <c r="R229" s="97" t="s">
        <v>1203</v>
      </c>
      <c r="S229" s="97" t="s">
        <v>195</v>
      </c>
    </row>
    <row r="230" spans="1:19" x14ac:dyDescent="0.3">
      <c r="A230" s="97" t="s">
        <v>423</v>
      </c>
      <c r="B230" s="97" t="s">
        <v>22</v>
      </c>
      <c r="C230">
        <v>2025</v>
      </c>
      <c r="D230">
        <v>1</v>
      </c>
      <c r="E230" s="2">
        <v>45658</v>
      </c>
      <c r="F230" s="97" t="s">
        <v>7</v>
      </c>
      <c r="G230" s="97" t="s">
        <v>8</v>
      </c>
      <c r="H230" s="97" t="s">
        <v>70</v>
      </c>
      <c r="I230" s="97" t="s">
        <v>71</v>
      </c>
      <c r="J230" s="97" t="s">
        <v>72</v>
      </c>
      <c r="K230" s="97" t="s">
        <v>73</v>
      </c>
      <c r="L230">
        <v>701000</v>
      </c>
      <c r="M230" s="97" t="s">
        <v>62</v>
      </c>
      <c r="N230" s="97" t="s">
        <v>33</v>
      </c>
      <c r="O230">
        <v>2957</v>
      </c>
      <c r="P230">
        <v>1.05</v>
      </c>
      <c r="Q230">
        <v>3.1</v>
      </c>
      <c r="R230" s="97" t="s">
        <v>1202</v>
      </c>
      <c r="S230" s="97" t="s">
        <v>195</v>
      </c>
    </row>
    <row r="231" spans="1:19" x14ac:dyDescent="0.3">
      <c r="A231" s="97" t="s">
        <v>424</v>
      </c>
      <c r="B231" s="97" t="s">
        <v>22</v>
      </c>
      <c r="C231">
        <v>2025</v>
      </c>
      <c r="D231">
        <v>1</v>
      </c>
      <c r="E231" s="2">
        <v>45658</v>
      </c>
      <c r="F231" s="97" t="s">
        <v>7</v>
      </c>
      <c r="G231" s="97" t="s">
        <v>8</v>
      </c>
      <c r="H231" s="97" t="s">
        <v>70</v>
      </c>
      <c r="I231" s="97" t="s">
        <v>71</v>
      </c>
      <c r="J231" s="97" t="s">
        <v>72</v>
      </c>
      <c r="K231" s="97" t="s">
        <v>73</v>
      </c>
      <c r="L231">
        <v>701000</v>
      </c>
      <c r="M231" s="97" t="s">
        <v>62</v>
      </c>
      <c r="N231" s="97" t="s">
        <v>33</v>
      </c>
      <c r="O231">
        <v>2337</v>
      </c>
      <c r="P231">
        <v>1.05</v>
      </c>
      <c r="Q231">
        <v>2.46</v>
      </c>
      <c r="R231" s="97" t="s">
        <v>1205</v>
      </c>
      <c r="S231" s="97" t="s">
        <v>195</v>
      </c>
    </row>
    <row r="232" spans="1:19" x14ac:dyDescent="0.3">
      <c r="A232" s="97" t="s">
        <v>425</v>
      </c>
      <c r="B232" s="97" t="s">
        <v>22</v>
      </c>
      <c r="C232">
        <v>2025</v>
      </c>
      <c r="D232">
        <v>1</v>
      </c>
      <c r="E232" s="2">
        <v>45670</v>
      </c>
      <c r="F232" s="97" t="s">
        <v>7</v>
      </c>
      <c r="G232" s="97" t="s">
        <v>8</v>
      </c>
      <c r="H232" s="97" t="s">
        <v>74</v>
      </c>
      <c r="I232" s="97" t="s">
        <v>71</v>
      </c>
      <c r="J232" s="97" t="s">
        <v>72</v>
      </c>
      <c r="K232" s="97" t="s">
        <v>73</v>
      </c>
      <c r="L232">
        <v>701000</v>
      </c>
      <c r="M232" s="97" t="s">
        <v>62</v>
      </c>
      <c r="N232" s="97" t="s">
        <v>33</v>
      </c>
      <c r="O232">
        <v>1589</v>
      </c>
      <c r="P232">
        <v>1.05</v>
      </c>
      <c r="Q232">
        <v>1.67</v>
      </c>
      <c r="R232" s="97" t="s">
        <v>1199</v>
      </c>
      <c r="S232" s="97" t="s">
        <v>195</v>
      </c>
    </row>
    <row r="233" spans="1:19" x14ac:dyDescent="0.3">
      <c r="A233" s="97" t="s">
        <v>426</v>
      </c>
      <c r="B233" s="97" t="s">
        <v>22</v>
      </c>
      <c r="C233">
        <v>2025</v>
      </c>
      <c r="D233">
        <v>1</v>
      </c>
      <c r="E233" s="2">
        <v>45670</v>
      </c>
      <c r="F233" s="97" t="s">
        <v>7</v>
      </c>
      <c r="G233" s="97" t="s">
        <v>8</v>
      </c>
      <c r="H233" s="97" t="s">
        <v>74</v>
      </c>
      <c r="I233" s="97" t="s">
        <v>71</v>
      </c>
      <c r="J233" s="97" t="s">
        <v>72</v>
      </c>
      <c r="K233" s="97" t="s">
        <v>73</v>
      </c>
      <c r="L233">
        <v>701000</v>
      </c>
      <c r="M233" s="97" t="s">
        <v>62</v>
      </c>
      <c r="N233" s="97" t="s">
        <v>33</v>
      </c>
      <c r="O233">
        <v>1358</v>
      </c>
      <c r="P233">
        <v>1.05</v>
      </c>
      <c r="Q233">
        <v>1.43</v>
      </c>
      <c r="R233" s="97" t="s">
        <v>1204</v>
      </c>
      <c r="S233" s="97" t="s">
        <v>195</v>
      </c>
    </row>
    <row r="234" spans="1:19" x14ac:dyDescent="0.3">
      <c r="A234" s="97" t="s">
        <v>427</v>
      </c>
      <c r="B234" s="97" t="s">
        <v>22</v>
      </c>
      <c r="C234">
        <v>2025</v>
      </c>
      <c r="D234">
        <v>1</v>
      </c>
      <c r="E234" s="2">
        <v>45670</v>
      </c>
      <c r="F234" s="97" t="s">
        <v>7</v>
      </c>
      <c r="G234" s="97" t="s">
        <v>8</v>
      </c>
      <c r="H234" s="97" t="s">
        <v>74</v>
      </c>
      <c r="I234" s="97" t="s">
        <v>71</v>
      </c>
      <c r="J234" s="97" t="s">
        <v>72</v>
      </c>
      <c r="K234" s="97" t="s">
        <v>73</v>
      </c>
      <c r="L234">
        <v>701000</v>
      </c>
      <c r="M234" s="97" t="s">
        <v>62</v>
      </c>
      <c r="N234" s="97" t="s">
        <v>33</v>
      </c>
      <c r="O234">
        <v>1228</v>
      </c>
      <c r="P234">
        <v>1.05</v>
      </c>
      <c r="Q234">
        <v>1.29</v>
      </c>
      <c r="R234" s="97" t="s">
        <v>1201</v>
      </c>
      <c r="S234" s="97" t="s">
        <v>195</v>
      </c>
    </row>
    <row r="235" spans="1:19" x14ac:dyDescent="0.3">
      <c r="A235" s="97" t="s">
        <v>428</v>
      </c>
      <c r="B235" s="97" t="s">
        <v>22</v>
      </c>
      <c r="C235">
        <v>2025</v>
      </c>
      <c r="D235">
        <v>1</v>
      </c>
      <c r="E235" s="2">
        <v>45670</v>
      </c>
      <c r="F235" s="97" t="s">
        <v>7</v>
      </c>
      <c r="G235" s="97" t="s">
        <v>8</v>
      </c>
      <c r="H235" s="97" t="s">
        <v>74</v>
      </c>
      <c r="I235" s="97" t="s">
        <v>71</v>
      </c>
      <c r="J235" s="97" t="s">
        <v>72</v>
      </c>
      <c r="K235" s="97" t="s">
        <v>73</v>
      </c>
      <c r="L235">
        <v>701000</v>
      </c>
      <c r="M235" s="97" t="s">
        <v>62</v>
      </c>
      <c r="N235" s="97" t="s">
        <v>33</v>
      </c>
      <c r="O235">
        <v>2715</v>
      </c>
      <c r="P235">
        <v>1.05</v>
      </c>
      <c r="Q235">
        <v>2.85</v>
      </c>
      <c r="R235" s="97" t="s">
        <v>1205</v>
      </c>
      <c r="S235" s="97" t="s">
        <v>195</v>
      </c>
    </row>
    <row r="236" spans="1:19" x14ac:dyDescent="0.3">
      <c r="A236" s="97" t="s">
        <v>429</v>
      </c>
      <c r="B236" s="97" t="s">
        <v>22</v>
      </c>
      <c r="C236">
        <v>2025</v>
      </c>
      <c r="D236">
        <v>1</v>
      </c>
      <c r="E236" s="2">
        <v>45670</v>
      </c>
      <c r="F236" s="97" t="s">
        <v>7</v>
      </c>
      <c r="G236" s="97" t="s">
        <v>8</v>
      </c>
      <c r="H236" s="97" t="s">
        <v>74</v>
      </c>
      <c r="I236" s="97" t="s">
        <v>71</v>
      </c>
      <c r="J236" s="97" t="s">
        <v>72</v>
      </c>
      <c r="K236" s="97" t="s">
        <v>73</v>
      </c>
      <c r="L236">
        <v>701000</v>
      </c>
      <c r="M236" s="97" t="s">
        <v>62</v>
      </c>
      <c r="N236" s="97" t="s">
        <v>33</v>
      </c>
      <c r="O236">
        <v>5695</v>
      </c>
      <c r="P236">
        <v>1.05</v>
      </c>
      <c r="Q236">
        <v>5.97</v>
      </c>
      <c r="R236" s="97" t="s">
        <v>1197</v>
      </c>
      <c r="S236" s="97" t="s">
        <v>195</v>
      </c>
    </row>
    <row r="237" spans="1:19" x14ac:dyDescent="0.3">
      <c r="A237" s="97" t="s">
        <v>430</v>
      </c>
      <c r="B237" s="97" t="s">
        <v>22</v>
      </c>
      <c r="C237">
        <v>2025</v>
      </c>
      <c r="D237">
        <v>1</v>
      </c>
      <c r="E237" s="2">
        <v>45681</v>
      </c>
      <c r="F237" s="97" t="s">
        <v>7</v>
      </c>
      <c r="G237" s="97" t="s">
        <v>8</v>
      </c>
      <c r="H237" s="97" t="s">
        <v>70</v>
      </c>
      <c r="I237" s="97" t="s">
        <v>71</v>
      </c>
      <c r="J237" s="97" t="s">
        <v>72</v>
      </c>
      <c r="K237" s="97" t="s">
        <v>73</v>
      </c>
      <c r="L237">
        <v>701000</v>
      </c>
      <c r="M237" s="97" t="s">
        <v>62</v>
      </c>
      <c r="N237" s="97" t="s">
        <v>33</v>
      </c>
      <c r="O237">
        <v>1542</v>
      </c>
      <c r="P237">
        <v>1.05</v>
      </c>
      <c r="Q237">
        <v>1.62</v>
      </c>
      <c r="R237" s="97" t="s">
        <v>1199</v>
      </c>
      <c r="S237" s="97" t="s">
        <v>195</v>
      </c>
    </row>
    <row r="238" spans="1:19" x14ac:dyDescent="0.3">
      <c r="A238" s="97" t="s">
        <v>431</v>
      </c>
      <c r="B238" s="97" t="s">
        <v>22</v>
      </c>
      <c r="C238">
        <v>2025</v>
      </c>
      <c r="D238">
        <v>1</v>
      </c>
      <c r="E238" s="2">
        <v>45681</v>
      </c>
      <c r="F238" s="97" t="s">
        <v>7</v>
      </c>
      <c r="G238" s="97" t="s">
        <v>8</v>
      </c>
      <c r="H238" s="97" t="s">
        <v>70</v>
      </c>
      <c r="I238" s="97" t="s">
        <v>71</v>
      </c>
      <c r="J238" s="97" t="s">
        <v>72</v>
      </c>
      <c r="K238" s="97" t="s">
        <v>73</v>
      </c>
      <c r="L238">
        <v>701000</v>
      </c>
      <c r="M238" s="97" t="s">
        <v>62</v>
      </c>
      <c r="N238" s="97" t="s">
        <v>33</v>
      </c>
      <c r="O238">
        <v>1063</v>
      </c>
      <c r="P238">
        <v>1.05</v>
      </c>
      <c r="Q238">
        <v>1.1200000000000001</v>
      </c>
      <c r="R238" s="97" t="s">
        <v>1198</v>
      </c>
      <c r="S238" s="97" t="s">
        <v>195</v>
      </c>
    </row>
    <row r="239" spans="1:19" x14ac:dyDescent="0.3">
      <c r="A239" s="97" t="s">
        <v>432</v>
      </c>
      <c r="B239" s="97" t="s">
        <v>22</v>
      </c>
      <c r="C239">
        <v>2025</v>
      </c>
      <c r="D239">
        <v>1</v>
      </c>
      <c r="E239" s="2">
        <v>45681</v>
      </c>
      <c r="F239" s="97" t="s">
        <v>7</v>
      </c>
      <c r="G239" s="97" t="s">
        <v>8</v>
      </c>
      <c r="H239" s="97" t="s">
        <v>70</v>
      </c>
      <c r="I239" s="97" t="s">
        <v>71</v>
      </c>
      <c r="J239" s="97" t="s">
        <v>72</v>
      </c>
      <c r="K239" s="97" t="s">
        <v>73</v>
      </c>
      <c r="L239">
        <v>701000</v>
      </c>
      <c r="M239" s="97" t="s">
        <v>62</v>
      </c>
      <c r="N239" s="97" t="s">
        <v>33</v>
      </c>
      <c r="O239">
        <v>2635</v>
      </c>
      <c r="P239">
        <v>1.05</v>
      </c>
      <c r="Q239">
        <v>2.77</v>
      </c>
      <c r="R239" s="97" t="s">
        <v>1200</v>
      </c>
      <c r="S239" s="97" t="s">
        <v>195</v>
      </c>
    </row>
    <row r="240" spans="1:19" x14ac:dyDescent="0.3">
      <c r="A240" s="97" t="s">
        <v>433</v>
      </c>
      <c r="B240" s="97" t="s">
        <v>22</v>
      </c>
      <c r="C240">
        <v>2025</v>
      </c>
      <c r="D240">
        <v>1</v>
      </c>
      <c r="E240" s="2">
        <v>45681</v>
      </c>
      <c r="F240" s="97" t="s">
        <v>7</v>
      </c>
      <c r="G240" s="97" t="s">
        <v>8</v>
      </c>
      <c r="H240" s="97" t="s">
        <v>70</v>
      </c>
      <c r="I240" s="97" t="s">
        <v>71</v>
      </c>
      <c r="J240" s="97" t="s">
        <v>72</v>
      </c>
      <c r="K240" s="97" t="s">
        <v>73</v>
      </c>
      <c r="L240">
        <v>701000</v>
      </c>
      <c r="M240" s="97" t="s">
        <v>62</v>
      </c>
      <c r="N240" s="97" t="s">
        <v>33</v>
      </c>
      <c r="O240">
        <v>3187</v>
      </c>
      <c r="P240">
        <v>1.05</v>
      </c>
      <c r="Q240">
        <v>3.35</v>
      </c>
      <c r="R240" s="97" t="s">
        <v>1202</v>
      </c>
      <c r="S240" s="97" t="s">
        <v>195</v>
      </c>
    </row>
    <row r="241" spans="1:19" x14ac:dyDescent="0.3">
      <c r="A241" s="97" t="s">
        <v>434</v>
      </c>
      <c r="B241" s="97" t="s">
        <v>22</v>
      </c>
      <c r="C241">
        <v>2025</v>
      </c>
      <c r="D241">
        <v>1</v>
      </c>
      <c r="E241" s="2">
        <v>45681</v>
      </c>
      <c r="F241" s="97" t="s">
        <v>7</v>
      </c>
      <c r="G241" s="97" t="s">
        <v>8</v>
      </c>
      <c r="H241" s="97" t="s">
        <v>70</v>
      </c>
      <c r="I241" s="97" t="s">
        <v>71</v>
      </c>
      <c r="J241" s="97" t="s">
        <v>72</v>
      </c>
      <c r="K241" s="97" t="s">
        <v>73</v>
      </c>
      <c r="L241">
        <v>701000</v>
      </c>
      <c r="M241" s="97" t="s">
        <v>62</v>
      </c>
      <c r="N241" s="97" t="s">
        <v>33</v>
      </c>
      <c r="O241">
        <v>962</v>
      </c>
      <c r="P241">
        <v>1.04</v>
      </c>
      <c r="Q241">
        <v>1</v>
      </c>
      <c r="R241" s="97" t="s">
        <v>1204</v>
      </c>
      <c r="S241" s="97" t="s">
        <v>195</v>
      </c>
    </row>
    <row r="242" spans="1:19" x14ac:dyDescent="0.3">
      <c r="A242" s="97" t="s">
        <v>435</v>
      </c>
      <c r="B242" s="97" t="s">
        <v>22</v>
      </c>
      <c r="C242">
        <v>2025</v>
      </c>
      <c r="D242">
        <v>1</v>
      </c>
      <c r="E242" s="2">
        <v>45658</v>
      </c>
      <c r="F242" s="97" t="s">
        <v>7</v>
      </c>
      <c r="G242" s="97" t="s">
        <v>8</v>
      </c>
      <c r="H242" s="97" t="s">
        <v>74</v>
      </c>
      <c r="I242" s="97" t="s">
        <v>71</v>
      </c>
      <c r="J242" s="97" t="s">
        <v>72</v>
      </c>
      <c r="K242" s="97" t="s">
        <v>73</v>
      </c>
      <c r="L242">
        <v>701000</v>
      </c>
      <c r="M242" s="97" t="s">
        <v>62</v>
      </c>
      <c r="N242" s="97" t="s">
        <v>33</v>
      </c>
      <c r="O242">
        <v>733</v>
      </c>
      <c r="P242">
        <v>1.05</v>
      </c>
      <c r="Q242">
        <v>0.77</v>
      </c>
      <c r="R242" s="97" t="s">
        <v>1202</v>
      </c>
      <c r="S242" s="97" t="s">
        <v>195</v>
      </c>
    </row>
    <row r="243" spans="1:19" x14ac:dyDescent="0.3">
      <c r="A243" s="97" t="s">
        <v>436</v>
      </c>
      <c r="B243" s="97" t="s">
        <v>22</v>
      </c>
      <c r="C243">
        <v>2025</v>
      </c>
      <c r="D243">
        <v>1</v>
      </c>
      <c r="E243" s="2">
        <v>45658</v>
      </c>
      <c r="F243" s="97" t="s">
        <v>7</v>
      </c>
      <c r="G243" s="97" t="s">
        <v>8</v>
      </c>
      <c r="H243" s="97" t="s">
        <v>74</v>
      </c>
      <c r="I243" s="97" t="s">
        <v>71</v>
      </c>
      <c r="J243" s="97" t="s">
        <v>72</v>
      </c>
      <c r="K243" s="97" t="s">
        <v>73</v>
      </c>
      <c r="L243">
        <v>701000</v>
      </c>
      <c r="M243" s="97" t="s">
        <v>62</v>
      </c>
      <c r="N243" s="97" t="s">
        <v>33</v>
      </c>
      <c r="O243">
        <v>1837</v>
      </c>
      <c r="P243">
        <v>1.05</v>
      </c>
      <c r="Q243">
        <v>1.93</v>
      </c>
      <c r="R243" s="97" t="s">
        <v>1205</v>
      </c>
      <c r="S243" s="97" t="s">
        <v>195</v>
      </c>
    </row>
    <row r="244" spans="1:19" x14ac:dyDescent="0.3">
      <c r="A244" s="97" t="s">
        <v>437</v>
      </c>
      <c r="B244" s="97" t="s">
        <v>22</v>
      </c>
      <c r="C244">
        <v>2025</v>
      </c>
      <c r="D244">
        <v>1</v>
      </c>
      <c r="E244" s="2">
        <v>45658</v>
      </c>
      <c r="F244" s="97" t="s">
        <v>7</v>
      </c>
      <c r="G244" s="97" t="s">
        <v>8</v>
      </c>
      <c r="H244" s="97" t="s">
        <v>74</v>
      </c>
      <c r="I244" s="97" t="s">
        <v>71</v>
      </c>
      <c r="J244" s="97" t="s">
        <v>72</v>
      </c>
      <c r="K244" s="97" t="s">
        <v>73</v>
      </c>
      <c r="L244">
        <v>701000</v>
      </c>
      <c r="M244" s="97" t="s">
        <v>62</v>
      </c>
      <c r="N244" s="97" t="s">
        <v>33</v>
      </c>
      <c r="O244">
        <v>2489</v>
      </c>
      <c r="P244">
        <v>1.05</v>
      </c>
      <c r="Q244">
        <v>2.61</v>
      </c>
      <c r="R244" s="97" t="s">
        <v>1201</v>
      </c>
      <c r="S244" s="97" t="s">
        <v>195</v>
      </c>
    </row>
    <row r="245" spans="1:19" x14ac:dyDescent="0.3">
      <c r="A245" s="97" t="s">
        <v>438</v>
      </c>
      <c r="B245" s="97" t="s">
        <v>22</v>
      </c>
      <c r="C245">
        <v>2025</v>
      </c>
      <c r="D245">
        <v>1</v>
      </c>
      <c r="E245" s="2">
        <v>45658</v>
      </c>
      <c r="F245" s="97" t="s">
        <v>7</v>
      </c>
      <c r="G245" s="97" t="s">
        <v>8</v>
      </c>
      <c r="H245" s="97" t="s">
        <v>74</v>
      </c>
      <c r="I245" s="97" t="s">
        <v>71</v>
      </c>
      <c r="J245" s="97" t="s">
        <v>72</v>
      </c>
      <c r="K245" s="97" t="s">
        <v>73</v>
      </c>
      <c r="L245">
        <v>701000</v>
      </c>
      <c r="M245" s="97" t="s">
        <v>62</v>
      </c>
      <c r="N245" s="97" t="s">
        <v>33</v>
      </c>
      <c r="O245">
        <v>1803</v>
      </c>
      <c r="P245">
        <v>1.05</v>
      </c>
      <c r="Q245">
        <v>1.89</v>
      </c>
      <c r="R245" s="97" t="s">
        <v>1203</v>
      </c>
      <c r="S245" s="97" t="s">
        <v>195</v>
      </c>
    </row>
    <row r="246" spans="1:19" x14ac:dyDescent="0.3">
      <c r="A246" s="97" t="s">
        <v>439</v>
      </c>
      <c r="B246" s="97" t="s">
        <v>22</v>
      </c>
      <c r="C246">
        <v>2025</v>
      </c>
      <c r="D246">
        <v>1</v>
      </c>
      <c r="E246" s="2">
        <v>45658</v>
      </c>
      <c r="F246" s="97" t="s">
        <v>7</v>
      </c>
      <c r="G246" s="97" t="s">
        <v>8</v>
      </c>
      <c r="H246" s="97" t="s">
        <v>74</v>
      </c>
      <c r="I246" s="97" t="s">
        <v>71</v>
      </c>
      <c r="J246" s="97" t="s">
        <v>72</v>
      </c>
      <c r="K246" s="97" t="s">
        <v>73</v>
      </c>
      <c r="L246">
        <v>701000</v>
      </c>
      <c r="M246" s="97" t="s">
        <v>62</v>
      </c>
      <c r="N246" s="97" t="s">
        <v>33</v>
      </c>
      <c r="O246">
        <v>2764</v>
      </c>
      <c r="P246">
        <v>1.05</v>
      </c>
      <c r="Q246">
        <v>2.91</v>
      </c>
      <c r="R246" s="97" t="s">
        <v>1204</v>
      </c>
      <c r="S246" s="97" t="s">
        <v>195</v>
      </c>
    </row>
    <row r="247" spans="1:19" x14ac:dyDescent="0.3">
      <c r="A247" s="97" t="s">
        <v>440</v>
      </c>
      <c r="B247" s="97" t="s">
        <v>22</v>
      </c>
      <c r="C247">
        <v>2025</v>
      </c>
      <c r="D247">
        <v>1</v>
      </c>
      <c r="E247" s="2">
        <v>45667</v>
      </c>
      <c r="F247" s="97" t="s">
        <v>7</v>
      </c>
      <c r="G247" s="97" t="s">
        <v>8</v>
      </c>
      <c r="H247" s="97" t="s">
        <v>70</v>
      </c>
      <c r="I247" s="97" t="s">
        <v>71</v>
      </c>
      <c r="J247" s="97" t="s">
        <v>72</v>
      </c>
      <c r="K247" s="97" t="s">
        <v>73</v>
      </c>
      <c r="L247">
        <v>701000</v>
      </c>
      <c r="M247" s="97" t="s">
        <v>62</v>
      </c>
      <c r="N247" s="97" t="s">
        <v>33</v>
      </c>
      <c r="O247">
        <v>2311</v>
      </c>
      <c r="P247">
        <v>1.05</v>
      </c>
      <c r="Q247">
        <v>2.4300000000000002</v>
      </c>
      <c r="R247" s="97" t="s">
        <v>1205</v>
      </c>
      <c r="S247" s="97" t="s">
        <v>195</v>
      </c>
    </row>
    <row r="248" spans="1:19" x14ac:dyDescent="0.3">
      <c r="A248" s="97" t="s">
        <v>441</v>
      </c>
      <c r="B248" s="97" t="s">
        <v>22</v>
      </c>
      <c r="C248">
        <v>2025</v>
      </c>
      <c r="D248">
        <v>1</v>
      </c>
      <c r="E248" s="2">
        <v>45667</v>
      </c>
      <c r="F248" s="97" t="s">
        <v>7</v>
      </c>
      <c r="G248" s="97" t="s">
        <v>8</v>
      </c>
      <c r="H248" s="97" t="s">
        <v>70</v>
      </c>
      <c r="I248" s="97" t="s">
        <v>71</v>
      </c>
      <c r="J248" s="97" t="s">
        <v>72</v>
      </c>
      <c r="K248" s="97" t="s">
        <v>73</v>
      </c>
      <c r="L248">
        <v>701000</v>
      </c>
      <c r="M248" s="97" t="s">
        <v>62</v>
      </c>
      <c r="N248" s="97" t="s">
        <v>33</v>
      </c>
      <c r="O248">
        <v>2679</v>
      </c>
      <c r="P248">
        <v>1.05</v>
      </c>
      <c r="Q248">
        <v>2.81</v>
      </c>
      <c r="R248" s="97" t="s">
        <v>1197</v>
      </c>
      <c r="S248" s="97" t="s">
        <v>195</v>
      </c>
    </row>
    <row r="249" spans="1:19" x14ac:dyDescent="0.3">
      <c r="A249" s="97" t="s">
        <v>442</v>
      </c>
      <c r="B249" s="97" t="s">
        <v>22</v>
      </c>
      <c r="C249">
        <v>2025</v>
      </c>
      <c r="D249">
        <v>1</v>
      </c>
      <c r="E249" s="2">
        <v>45667</v>
      </c>
      <c r="F249" s="97" t="s">
        <v>7</v>
      </c>
      <c r="G249" s="97" t="s">
        <v>8</v>
      </c>
      <c r="H249" s="97" t="s">
        <v>70</v>
      </c>
      <c r="I249" s="97" t="s">
        <v>71</v>
      </c>
      <c r="J249" s="97" t="s">
        <v>72</v>
      </c>
      <c r="K249" s="97" t="s">
        <v>73</v>
      </c>
      <c r="L249">
        <v>701000</v>
      </c>
      <c r="M249" s="97" t="s">
        <v>62</v>
      </c>
      <c r="N249" s="97" t="s">
        <v>33</v>
      </c>
      <c r="O249">
        <v>3444</v>
      </c>
      <c r="P249">
        <v>1.05</v>
      </c>
      <c r="Q249">
        <v>3.62</v>
      </c>
      <c r="R249" s="97" t="s">
        <v>1200</v>
      </c>
      <c r="S249" s="97" t="s">
        <v>195</v>
      </c>
    </row>
    <row r="250" spans="1:19" x14ac:dyDescent="0.3">
      <c r="A250" s="97" t="s">
        <v>443</v>
      </c>
      <c r="B250" s="97" t="s">
        <v>22</v>
      </c>
      <c r="C250">
        <v>2025</v>
      </c>
      <c r="D250">
        <v>1</v>
      </c>
      <c r="E250" s="2">
        <v>45667</v>
      </c>
      <c r="F250" s="97" t="s">
        <v>7</v>
      </c>
      <c r="G250" s="97" t="s">
        <v>8</v>
      </c>
      <c r="H250" s="97" t="s">
        <v>70</v>
      </c>
      <c r="I250" s="97" t="s">
        <v>71</v>
      </c>
      <c r="J250" s="97" t="s">
        <v>72</v>
      </c>
      <c r="K250" s="97" t="s">
        <v>73</v>
      </c>
      <c r="L250">
        <v>701000</v>
      </c>
      <c r="M250" s="97" t="s">
        <v>62</v>
      </c>
      <c r="N250" s="97" t="s">
        <v>33</v>
      </c>
      <c r="O250">
        <v>1035</v>
      </c>
      <c r="P250">
        <v>1.05</v>
      </c>
      <c r="Q250">
        <v>1.0900000000000001</v>
      </c>
      <c r="R250" s="97" t="s">
        <v>1199</v>
      </c>
      <c r="S250" s="97" t="s">
        <v>195</v>
      </c>
    </row>
    <row r="251" spans="1:19" x14ac:dyDescent="0.3">
      <c r="A251" s="97" t="s">
        <v>444</v>
      </c>
      <c r="B251" s="97" t="s">
        <v>22</v>
      </c>
      <c r="C251">
        <v>2025</v>
      </c>
      <c r="D251">
        <v>1</v>
      </c>
      <c r="E251" s="2">
        <v>45667</v>
      </c>
      <c r="F251" s="97" t="s">
        <v>7</v>
      </c>
      <c r="G251" s="97" t="s">
        <v>8</v>
      </c>
      <c r="H251" s="97" t="s">
        <v>70</v>
      </c>
      <c r="I251" s="97" t="s">
        <v>71</v>
      </c>
      <c r="J251" s="97" t="s">
        <v>72</v>
      </c>
      <c r="K251" s="97" t="s">
        <v>73</v>
      </c>
      <c r="L251">
        <v>701000</v>
      </c>
      <c r="M251" s="97" t="s">
        <v>62</v>
      </c>
      <c r="N251" s="97" t="s">
        <v>33</v>
      </c>
      <c r="O251">
        <v>1325</v>
      </c>
      <c r="P251">
        <v>1.04</v>
      </c>
      <c r="Q251">
        <v>1.38</v>
      </c>
      <c r="R251" s="97" t="s">
        <v>1201</v>
      </c>
      <c r="S251" s="97" t="s">
        <v>195</v>
      </c>
    </row>
    <row r="252" spans="1:19" x14ac:dyDescent="0.3">
      <c r="A252" s="97" t="s">
        <v>445</v>
      </c>
      <c r="B252" s="97" t="s">
        <v>22</v>
      </c>
      <c r="C252">
        <v>2025</v>
      </c>
      <c r="D252">
        <v>1</v>
      </c>
      <c r="E252" s="2">
        <v>45661</v>
      </c>
      <c r="F252" s="97" t="s">
        <v>7</v>
      </c>
      <c r="G252" s="97" t="s">
        <v>8</v>
      </c>
      <c r="H252" s="97" t="s">
        <v>74</v>
      </c>
      <c r="I252" s="97" t="s">
        <v>71</v>
      </c>
      <c r="J252" s="97" t="s">
        <v>72</v>
      </c>
      <c r="K252" s="97" t="s">
        <v>73</v>
      </c>
      <c r="L252">
        <v>701000</v>
      </c>
      <c r="M252" s="97" t="s">
        <v>62</v>
      </c>
      <c r="N252" s="97" t="s">
        <v>33</v>
      </c>
      <c r="O252">
        <v>3228</v>
      </c>
      <c r="P252">
        <v>1.05</v>
      </c>
      <c r="Q252">
        <v>3.39</v>
      </c>
      <c r="R252" s="97" t="s">
        <v>1202</v>
      </c>
      <c r="S252" s="97" t="s">
        <v>195</v>
      </c>
    </row>
    <row r="253" spans="1:19" x14ac:dyDescent="0.3">
      <c r="A253" s="97" t="s">
        <v>446</v>
      </c>
      <c r="B253" s="97" t="s">
        <v>22</v>
      </c>
      <c r="C253">
        <v>2025</v>
      </c>
      <c r="D253">
        <v>1</v>
      </c>
      <c r="E253" s="2">
        <v>45661</v>
      </c>
      <c r="F253" s="97" t="s">
        <v>7</v>
      </c>
      <c r="G253" s="97" t="s">
        <v>8</v>
      </c>
      <c r="H253" s="97" t="s">
        <v>74</v>
      </c>
      <c r="I253" s="97" t="s">
        <v>71</v>
      </c>
      <c r="J253" s="97" t="s">
        <v>72</v>
      </c>
      <c r="K253" s="97" t="s">
        <v>73</v>
      </c>
      <c r="L253">
        <v>701000</v>
      </c>
      <c r="M253" s="97" t="s">
        <v>62</v>
      </c>
      <c r="N253" s="97" t="s">
        <v>33</v>
      </c>
      <c r="O253">
        <v>1443</v>
      </c>
      <c r="P253">
        <v>1.05</v>
      </c>
      <c r="Q253">
        <v>1.51</v>
      </c>
      <c r="R253" s="97" t="s">
        <v>1197</v>
      </c>
      <c r="S253" s="97" t="s">
        <v>195</v>
      </c>
    </row>
    <row r="254" spans="1:19" x14ac:dyDescent="0.3">
      <c r="A254" s="97" t="s">
        <v>447</v>
      </c>
      <c r="B254" s="97" t="s">
        <v>22</v>
      </c>
      <c r="C254">
        <v>2025</v>
      </c>
      <c r="D254">
        <v>1</v>
      </c>
      <c r="E254" s="2">
        <v>45661</v>
      </c>
      <c r="F254" s="97" t="s">
        <v>7</v>
      </c>
      <c r="G254" s="97" t="s">
        <v>8</v>
      </c>
      <c r="H254" s="97" t="s">
        <v>74</v>
      </c>
      <c r="I254" s="97" t="s">
        <v>71</v>
      </c>
      <c r="J254" s="97" t="s">
        <v>72</v>
      </c>
      <c r="K254" s="97" t="s">
        <v>73</v>
      </c>
      <c r="L254">
        <v>701000</v>
      </c>
      <c r="M254" s="97" t="s">
        <v>62</v>
      </c>
      <c r="N254" s="97" t="s">
        <v>33</v>
      </c>
      <c r="O254">
        <v>2838</v>
      </c>
      <c r="P254">
        <v>1.05</v>
      </c>
      <c r="Q254">
        <v>2.98</v>
      </c>
      <c r="R254" s="97" t="s">
        <v>1203</v>
      </c>
      <c r="S254" s="97" t="s">
        <v>195</v>
      </c>
    </row>
    <row r="255" spans="1:19" x14ac:dyDescent="0.3">
      <c r="A255" s="97" t="s">
        <v>448</v>
      </c>
      <c r="B255" s="97" t="s">
        <v>22</v>
      </c>
      <c r="C255">
        <v>2025</v>
      </c>
      <c r="D255">
        <v>1</v>
      </c>
      <c r="E255" s="2">
        <v>45661</v>
      </c>
      <c r="F255" s="97" t="s">
        <v>7</v>
      </c>
      <c r="G255" s="97" t="s">
        <v>8</v>
      </c>
      <c r="H255" s="97" t="s">
        <v>74</v>
      </c>
      <c r="I255" s="97" t="s">
        <v>71</v>
      </c>
      <c r="J255" s="97" t="s">
        <v>72</v>
      </c>
      <c r="K255" s="97" t="s">
        <v>73</v>
      </c>
      <c r="L255">
        <v>701000</v>
      </c>
      <c r="M255" s="97" t="s">
        <v>62</v>
      </c>
      <c r="N255" s="97" t="s">
        <v>33</v>
      </c>
      <c r="O255">
        <v>1094</v>
      </c>
      <c r="P255">
        <v>1.05</v>
      </c>
      <c r="Q255">
        <v>1.1499999999999999</v>
      </c>
      <c r="R255" s="97" t="s">
        <v>1205</v>
      </c>
      <c r="S255" s="97" t="s">
        <v>195</v>
      </c>
    </row>
    <row r="256" spans="1:19" x14ac:dyDescent="0.3">
      <c r="A256" s="97" t="s">
        <v>449</v>
      </c>
      <c r="B256" s="97" t="s">
        <v>22</v>
      </c>
      <c r="C256">
        <v>2025</v>
      </c>
      <c r="D256">
        <v>1</v>
      </c>
      <c r="E256" s="2">
        <v>45661</v>
      </c>
      <c r="F256" s="97" t="s">
        <v>7</v>
      </c>
      <c r="G256" s="97" t="s">
        <v>8</v>
      </c>
      <c r="H256" s="97" t="s">
        <v>74</v>
      </c>
      <c r="I256" s="97" t="s">
        <v>71</v>
      </c>
      <c r="J256" s="97" t="s">
        <v>72</v>
      </c>
      <c r="K256" s="97" t="s">
        <v>73</v>
      </c>
      <c r="L256">
        <v>701000</v>
      </c>
      <c r="M256" s="97" t="s">
        <v>62</v>
      </c>
      <c r="N256" s="97" t="s">
        <v>33</v>
      </c>
      <c r="O256">
        <v>1448</v>
      </c>
      <c r="P256">
        <v>1.05</v>
      </c>
      <c r="Q256">
        <v>1.52</v>
      </c>
      <c r="R256" s="97" t="s">
        <v>1199</v>
      </c>
      <c r="S256" s="97" t="s">
        <v>195</v>
      </c>
    </row>
    <row r="257" spans="1:19" x14ac:dyDescent="0.3">
      <c r="A257" s="97" t="s">
        <v>450</v>
      </c>
      <c r="B257" s="97" t="s">
        <v>22</v>
      </c>
      <c r="C257">
        <v>2025</v>
      </c>
      <c r="D257">
        <v>1</v>
      </c>
      <c r="E257" s="2">
        <v>45681</v>
      </c>
      <c r="F257" s="97" t="s">
        <v>7</v>
      </c>
      <c r="G257" s="97" t="s">
        <v>8</v>
      </c>
      <c r="H257" s="97" t="s">
        <v>74</v>
      </c>
      <c r="I257" s="97" t="s">
        <v>71</v>
      </c>
      <c r="J257" s="97" t="s">
        <v>72</v>
      </c>
      <c r="K257" s="97" t="s">
        <v>73</v>
      </c>
      <c r="L257">
        <v>701000</v>
      </c>
      <c r="M257" s="97" t="s">
        <v>62</v>
      </c>
      <c r="N257" s="97" t="s">
        <v>33</v>
      </c>
      <c r="O257">
        <v>4229</v>
      </c>
      <c r="P257">
        <v>1.05</v>
      </c>
      <c r="Q257">
        <v>4.4400000000000004</v>
      </c>
      <c r="R257" s="97" t="s">
        <v>1203</v>
      </c>
      <c r="S257" s="97" t="s">
        <v>195</v>
      </c>
    </row>
    <row r="258" spans="1:19" x14ac:dyDescent="0.3">
      <c r="A258" s="97" t="s">
        <v>451</v>
      </c>
      <c r="B258" s="97" t="s">
        <v>22</v>
      </c>
      <c r="C258">
        <v>2025</v>
      </c>
      <c r="D258">
        <v>1</v>
      </c>
      <c r="E258" s="2">
        <v>45681</v>
      </c>
      <c r="F258" s="97" t="s">
        <v>7</v>
      </c>
      <c r="G258" s="97" t="s">
        <v>8</v>
      </c>
      <c r="H258" s="97" t="s">
        <v>74</v>
      </c>
      <c r="I258" s="97" t="s">
        <v>71</v>
      </c>
      <c r="J258" s="97" t="s">
        <v>72</v>
      </c>
      <c r="K258" s="97" t="s">
        <v>73</v>
      </c>
      <c r="L258">
        <v>701000</v>
      </c>
      <c r="M258" s="97" t="s">
        <v>62</v>
      </c>
      <c r="N258" s="97" t="s">
        <v>33</v>
      </c>
      <c r="O258">
        <v>3198</v>
      </c>
      <c r="P258">
        <v>1.05</v>
      </c>
      <c r="Q258">
        <v>3.36</v>
      </c>
      <c r="R258" s="97" t="s">
        <v>1197</v>
      </c>
      <c r="S258" s="97" t="s">
        <v>195</v>
      </c>
    </row>
    <row r="259" spans="1:19" x14ac:dyDescent="0.3">
      <c r="A259" s="97" t="s">
        <v>452</v>
      </c>
      <c r="B259" s="97" t="s">
        <v>22</v>
      </c>
      <c r="C259">
        <v>2025</v>
      </c>
      <c r="D259">
        <v>1</v>
      </c>
      <c r="E259" s="2">
        <v>45681</v>
      </c>
      <c r="F259" s="97" t="s">
        <v>7</v>
      </c>
      <c r="G259" s="97" t="s">
        <v>8</v>
      </c>
      <c r="H259" s="97" t="s">
        <v>74</v>
      </c>
      <c r="I259" s="97" t="s">
        <v>71</v>
      </c>
      <c r="J259" s="97" t="s">
        <v>72</v>
      </c>
      <c r="K259" s="97" t="s">
        <v>73</v>
      </c>
      <c r="L259">
        <v>701000</v>
      </c>
      <c r="M259" s="97" t="s">
        <v>62</v>
      </c>
      <c r="N259" s="97" t="s">
        <v>33</v>
      </c>
      <c r="O259">
        <v>995</v>
      </c>
      <c r="P259">
        <v>1.05</v>
      </c>
      <c r="Q259">
        <v>1.04</v>
      </c>
      <c r="R259" s="97" t="s">
        <v>1205</v>
      </c>
      <c r="S259" s="97" t="s">
        <v>195</v>
      </c>
    </row>
    <row r="260" spans="1:19" x14ac:dyDescent="0.3">
      <c r="A260" s="97" t="s">
        <v>453</v>
      </c>
      <c r="B260" s="97" t="s">
        <v>22</v>
      </c>
      <c r="C260">
        <v>2025</v>
      </c>
      <c r="D260">
        <v>1</v>
      </c>
      <c r="E260" s="2">
        <v>45681</v>
      </c>
      <c r="F260" s="97" t="s">
        <v>7</v>
      </c>
      <c r="G260" s="97" t="s">
        <v>8</v>
      </c>
      <c r="H260" s="97" t="s">
        <v>74</v>
      </c>
      <c r="I260" s="97" t="s">
        <v>71</v>
      </c>
      <c r="J260" s="97" t="s">
        <v>72</v>
      </c>
      <c r="K260" s="97" t="s">
        <v>73</v>
      </c>
      <c r="L260">
        <v>701000</v>
      </c>
      <c r="M260" s="97" t="s">
        <v>62</v>
      </c>
      <c r="N260" s="97" t="s">
        <v>33</v>
      </c>
      <c r="O260">
        <v>1669</v>
      </c>
      <c r="P260">
        <v>1.05</v>
      </c>
      <c r="Q260">
        <v>1.75</v>
      </c>
      <c r="R260" s="97" t="s">
        <v>1198</v>
      </c>
      <c r="S260" s="97" t="s">
        <v>195</v>
      </c>
    </row>
    <row r="261" spans="1:19" x14ac:dyDescent="0.3">
      <c r="A261" s="97" t="s">
        <v>454</v>
      </c>
      <c r="B261" s="97" t="s">
        <v>22</v>
      </c>
      <c r="C261">
        <v>2025</v>
      </c>
      <c r="D261">
        <v>1</v>
      </c>
      <c r="E261" s="2">
        <v>45681</v>
      </c>
      <c r="F261" s="97" t="s">
        <v>7</v>
      </c>
      <c r="G261" s="97" t="s">
        <v>8</v>
      </c>
      <c r="H261" s="97" t="s">
        <v>74</v>
      </c>
      <c r="I261" s="97" t="s">
        <v>71</v>
      </c>
      <c r="J261" s="97" t="s">
        <v>72</v>
      </c>
      <c r="K261" s="97" t="s">
        <v>73</v>
      </c>
      <c r="L261">
        <v>701000</v>
      </c>
      <c r="M261" s="97" t="s">
        <v>62</v>
      </c>
      <c r="N261" s="97" t="s">
        <v>33</v>
      </c>
      <c r="O261">
        <v>1041</v>
      </c>
      <c r="P261">
        <v>1.06</v>
      </c>
      <c r="Q261">
        <v>1.1000000000000001</v>
      </c>
      <c r="R261" s="97" t="s">
        <v>1201</v>
      </c>
      <c r="S261" s="97" t="s">
        <v>195</v>
      </c>
    </row>
    <row r="262" spans="1:19" x14ac:dyDescent="0.3">
      <c r="A262" s="97" t="s">
        <v>455</v>
      </c>
      <c r="B262" s="97" t="s">
        <v>22</v>
      </c>
      <c r="C262">
        <v>2025</v>
      </c>
      <c r="D262">
        <v>1</v>
      </c>
      <c r="E262" s="2">
        <v>45664</v>
      </c>
      <c r="F262" s="97" t="s">
        <v>7</v>
      </c>
      <c r="G262" s="97" t="s">
        <v>8</v>
      </c>
      <c r="H262" s="97" t="s">
        <v>74</v>
      </c>
      <c r="I262" s="97" t="s">
        <v>71</v>
      </c>
      <c r="J262" s="97" t="s">
        <v>72</v>
      </c>
      <c r="K262" s="97" t="s">
        <v>73</v>
      </c>
      <c r="L262">
        <v>706000</v>
      </c>
      <c r="M262" s="97" t="s">
        <v>63</v>
      </c>
      <c r="N262" s="97" t="s">
        <v>33</v>
      </c>
      <c r="O262">
        <v>1601</v>
      </c>
      <c r="P262">
        <v>1.05</v>
      </c>
      <c r="Q262">
        <v>1.68</v>
      </c>
      <c r="R262" s="97" t="s">
        <v>1201</v>
      </c>
      <c r="S262" s="97" t="s">
        <v>195</v>
      </c>
    </row>
    <row r="263" spans="1:19" x14ac:dyDescent="0.3">
      <c r="A263" s="97" t="s">
        <v>456</v>
      </c>
      <c r="B263" s="97" t="s">
        <v>22</v>
      </c>
      <c r="C263">
        <v>2025</v>
      </c>
      <c r="D263">
        <v>1</v>
      </c>
      <c r="E263" s="2">
        <v>45664</v>
      </c>
      <c r="F263" s="97" t="s">
        <v>7</v>
      </c>
      <c r="G263" s="97" t="s">
        <v>8</v>
      </c>
      <c r="H263" s="97" t="s">
        <v>74</v>
      </c>
      <c r="I263" s="97" t="s">
        <v>71</v>
      </c>
      <c r="J263" s="97" t="s">
        <v>72</v>
      </c>
      <c r="K263" s="97" t="s">
        <v>73</v>
      </c>
      <c r="L263">
        <v>706000</v>
      </c>
      <c r="M263" s="97" t="s">
        <v>63</v>
      </c>
      <c r="N263" s="97" t="s">
        <v>33</v>
      </c>
      <c r="O263">
        <v>707</v>
      </c>
      <c r="P263">
        <v>1.05</v>
      </c>
      <c r="Q263">
        <v>0.74</v>
      </c>
      <c r="R263" s="97" t="s">
        <v>1204</v>
      </c>
      <c r="S263" s="97" t="s">
        <v>195</v>
      </c>
    </row>
    <row r="264" spans="1:19" x14ac:dyDescent="0.3">
      <c r="A264" s="97" t="s">
        <v>457</v>
      </c>
      <c r="B264" s="97" t="s">
        <v>22</v>
      </c>
      <c r="C264">
        <v>2025</v>
      </c>
      <c r="D264">
        <v>1</v>
      </c>
      <c r="E264" s="2">
        <v>45664</v>
      </c>
      <c r="F264" s="97" t="s">
        <v>7</v>
      </c>
      <c r="G264" s="97" t="s">
        <v>8</v>
      </c>
      <c r="H264" s="97" t="s">
        <v>74</v>
      </c>
      <c r="I264" s="97" t="s">
        <v>71</v>
      </c>
      <c r="J264" s="97" t="s">
        <v>72</v>
      </c>
      <c r="K264" s="97" t="s">
        <v>73</v>
      </c>
      <c r="L264">
        <v>706000</v>
      </c>
      <c r="M264" s="97" t="s">
        <v>63</v>
      </c>
      <c r="N264" s="97" t="s">
        <v>33</v>
      </c>
      <c r="O264">
        <v>1999</v>
      </c>
      <c r="P264">
        <v>1.05</v>
      </c>
      <c r="Q264">
        <v>2.1</v>
      </c>
      <c r="R264" s="97" t="s">
        <v>1200</v>
      </c>
      <c r="S264" s="97" t="s">
        <v>195</v>
      </c>
    </row>
    <row r="265" spans="1:19" x14ac:dyDescent="0.3">
      <c r="A265" s="97" t="s">
        <v>458</v>
      </c>
      <c r="B265" s="97" t="s">
        <v>22</v>
      </c>
      <c r="C265">
        <v>2025</v>
      </c>
      <c r="D265">
        <v>1</v>
      </c>
      <c r="E265" s="2">
        <v>45664</v>
      </c>
      <c r="F265" s="97" t="s">
        <v>7</v>
      </c>
      <c r="G265" s="97" t="s">
        <v>8</v>
      </c>
      <c r="H265" s="97" t="s">
        <v>74</v>
      </c>
      <c r="I265" s="97" t="s">
        <v>71</v>
      </c>
      <c r="J265" s="97" t="s">
        <v>72</v>
      </c>
      <c r="K265" s="97" t="s">
        <v>73</v>
      </c>
      <c r="L265">
        <v>706000</v>
      </c>
      <c r="M265" s="97" t="s">
        <v>63</v>
      </c>
      <c r="N265" s="97" t="s">
        <v>33</v>
      </c>
      <c r="O265">
        <v>4083</v>
      </c>
      <c r="P265">
        <v>1.05</v>
      </c>
      <c r="Q265">
        <v>4.29</v>
      </c>
      <c r="R265" s="97" t="s">
        <v>1202</v>
      </c>
      <c r="S265" s="97" t="s">
        <v>195</v>
      </c>
    </row>
    <row r="266" spans="1:19" x14ac:dyDescent="0.3">
      <c r="A266" s="97" t="s">
        <v>459</v>
      </c>
      <c r="B266" s="97" t="s">
        <v>22</v>
      </c>
      <c r="C266">
        <v>2025</v>
      </c>
      <c r="D266">
        <v>1</v>
      </c>
      <c r="E266" s="2">
        <v>45664</v>
      </c>
      <c r="F266" s="97" t="s">
        <v>7</v>
      </c>
      <c r="G266" s="97" t="s">
        <v>8</v>
      </c>
      <c r="H266" s="97" t="s">
        <v>74</v>
      </c>
      <c r="I266" s="97" t="s">
        <v>71</v>
      </c>
      <c r="J266" s="97" t="s">
        <v>72</v>
      </c>
      <c r="K266" s="97" t="s">
        <v>73</v>
      </c>
      <c r="L266">
        <v>706000</v>
      </c>
      <c r="M266" s="97" t="s">
        <v>63</v>
      </c>
      <c r="N266" s="97" t="s">
        <v>33</v>
      </c>
      <c r="O266">
        <v>2173</v>
      </c>
      <c r="P266">
        <v>1.05</v>
      </c>
      <c r="Q266">
        <v>2.2799999999999998</v>
      </c>
      <c r="R266" s="97" t="s">
        <v>1205</v>
      </c>
      <c r="S266" s="97" t="s">
        <v>195</v>
      </c>
    </row>
    <row r="267" spans="1:19" x14ac:dyDescent="0.3">
      <c r="A267" s="97" t="s">
        <v>460</v>
      </c>
      <c r="B267" s="97" t="s">
        <v>22</v>
      </c>
      <c r="C267">
        <v>2025</v>
      </c>
      <c r="D267">
        <v>1</v>
      </c>
      <c r="E267" s="2">
        <v>45659</v>
      </c>
      <c r="F267" s="97" t="s">
        <v>7</v>
      </c>
      <c r="G267" s="97" t="s">
        <v>8</v>
      </c>
      <c r="H267" s="97" t="s">
        <v>74</v>
      </c>
      <c r="I267" s="97" t="s">
        <v>71</v>
      </c>
      <c r="J267" s="97" t="s">
        <v>72</v>
      </c>
      <c r="K267" s="97" t="s">
        <v>73</v>
      </c>
      <c r="L267">
        <v>701000</v>
      </c>
      <c r="M267" s="97" t="s">
        <v>62</v>
      </c>
      <c r="N267" s="97" t="s">
        <v>33</v>
      </c>
      <c r="O267">
        <v>482</v>
      </c>
      <c r="P267">
        <v>1.06</v>
      </c>
      <c r="Q267">
        <v>0.51</v>
      </c>
      <c r="R267" s="97" t="s">
        <v>1197</v>
      </c>
      <c r="S267" s="97" t="s">
        <v>195</v>
      </c>
    </row>
    <row r="268" spans="1:19" x14ac:dyDescent="0.3">
      <c r="A268" s="97" t="s">
        <v>461</v>
      </c>
      <c r="B268" s="97" t="s">
        <v>22</v>
      </c>
      <c r="C268">
        <v>2025</v>
      </c>
      <c r="D268">
        <v>1</v>
      </c>
      <c r="E268" s="2">
        <v>45659</v>
      </c>
      <c r="F268" s="97" t="s">
        <v>7</v>
      </c>
      <c r="G268" s="97" t="s">
        <v>8</v>
      </c>
      <c r="H268" s="97" t="s">
        <v>74</v>
      </c>
      <c r="I268" s="97" t="s">
        <v>71</v>
      </c>
      <c r="J268" s="97" t="s">
        <v>72</v>
      </c>
      <c r="K268" s="97" t="s">
        <v>73</v>
      </c>
      <c r="L268">
        <v>701000</v>
      </c>
      <c r="M268" s="97" t="s">
        <v>62</v>
      </c>
      <c r="N268" s="97" t="s">
        <v>33</v>
      </c>
      <c r="O268">
        <v>4942</v>
      </c>
      <c r="P268">
        <v>1.05</v>
      </c>
      <c r="Q268">
        <v>5.19</v>
      </c>
      <c r="R268" s="97" t="s">
        <v>1198</v>
      </c>
      <c r="S268" s="97" t="s">
        <v>195</v>
      </c>
    </row>
    <row r="269" spans="1:19" x14ac:dyDescent="0.3">
      <c r="A269" s="97" t="s">
        <v>462</v>
      </c>
      <c r="B269" s="97" t="s">
        <v>22</v>
      </c>
      <c r="C269">
        <v>2025</v>
      </c>
      <c r="D269">
        <v>1</v>
      </c>
      <c r="E269" s="2">
        <v>45659</v>
      </c>
      <c r="F269" s="97" t="s">
        <v>7</v>
      </c>
      <c r="G269" s="97" t="s">
        <v>8</v>
      </c>
      <c r="H269" s="97" t="s">
        <v>74</v>
      </c>
      <c r="I269" s="97" t="s">
        <v>71</v>
      </c>
      <c r="J269" s="97" t="s">
        <v>72</v>
      </c>
      <c r="K269" s="97" t="s">
        <v>73</v>
      </c>
      <c r="L269">
        <v>701000</v>
      </c>
      <c r="M269" s="97" t="s">
        <v>62</v>
      </c>
      <c r="N269" s="97" t="s">
        <v>33</v>
      </c>
      <c r="O269">
        <v>2110</v>
      </c>
      <c r="P269">
        <v>1.05</v>
      </c>
      <c r="Q269">
        <v>2.2200000000000002</v>
      </c>
      <c r="R269" s="97" t="s">
        <v>1202</v>
      </c>
      <c r="S269" s="97" t="s">
        <v>195</v>
      </c>
    </row>
    <row r="270" spans="1:19" x14ac:dyDescent="0.3">
      <c r="A270" s="97" t="s">
        <v>463</v>
      </c>
      <c r="B270" s="97" t="s">
        <v>22</v>
      </c>
      <c r="C270">
        <v>2025</v>
      </c>
      <c r="D270">
        <v>1</v>
      </c>
      <c r="E270" s="2">
        <v>45659</v>
      </c>
      <c r="F270" s="97" t="s">
        <v>7</v>
      </c>
      <c r="G270" s="97" t="s">
        <v>8</v>
      </c>
      <c r="H270" s="97" t="s">
        <v>74</v>
      </c>
      <c r="I270" s="97" t="s">
        <v>71</v>
      </c>
      <c r="J270" s="97" t="s">
        <v>72</v>
      </c>
      <c r="K270" s="97" t="s">
        <v>73</v>
      </c>
      <c r="L270">
        <v>701000</v>
      </c>
      <c r="M270" s="97" t="s">
        <v>62</v>
      </c>
      <c r="N270" s="97" t="s">
        <v>33</v>
      </c>
      <c r="O270">
        <v>1005</v>
      </c>
      <c r="P270">
        <v>1.04</v>
      </c>
      <c r="Q270">
        <v>1.05</v>
      </c>
      <c r="R270" s="97" t="s">
        <v>1204</v>
      </c>
      <c r="S270" s="97" t="s">
        <v>195</v>
      </c>
    </row>
    <row r="271" spans="1:19" x14ac:dyDescent="0.3">
      <c r="A271" s="97" t="s">
        <v>464</v>
      </c>
      <c r="B271" s="97" t="s">
        <v>22</v>
      </c>
      <c r="C271">
        <v>2025</v>
      </c>
      <c r="D271">
        <v>1</v>
      </c>
      <c r="E271" s="2">
        <v>45659</v>
      </c>
      <c r="F271" s="97" t="s">
        <v>7</v>
      </c>
      <c r="G271" s="97" t="s">
        <v>8</v>
      </c>
      <c r="H271" s="97" t="s">
        <v>74</v>
      </c>
      <c r="I271" s="97" t="s">
        <v>71</v>
      </c>
      <c r="J271" s="97" t="s">
        <v>72</v>
      </c>
      <c r="K271" s="97" t="s">
        <v>73</v>
      </c>
      <c r="L271">
        <v>701000</v>
      </c>
      <c r="M271" s="97" t="s">
        <v>62</v>
      </c>
      <c r="N271" s="97" t="s">
        <v>33</v>
      </c>
      <c r="O271">
        <v>1623</v>
      </c>
      <c r="P271">
        <v>1.05</v>
      </c>
      <c r="Q271">
        <v>1.7</v>
      </c>
      <c r="R271" s="97" t="s">
        <v>1201</v>
      </c>
      <c r="S271" s="97" t="s">
        <v>195</v>
      </c>
    </row>
    <row r="272" spans="1:19" x14ac:dyDescent="0.3">
      <c r="A272" s="97" t="s">
        <v>465</v>
      </c>
      <c r="B272" s="97" t="s">
        <v>22</v>
      </c>
      <c r="C272">
        <v>2025</v>
      </c>
      <c r="D272">
        <v>1</v>
      </c>
      <c r="E272" s="2">
        <v>45661</v>
      </c>
      <c r="F272" s="97" t="s">
        <v>7</v>
      </c>
      <c r="G272" s="97" t="s">
        <v>8</v>
      </c>
      <c r="H272" s="97" t="s">
        <v>70</v>
      </c>
      <c r="I272" s="97" t="s">
        <v>71</v>
      </c>
      <c r="J272" s="97" t="s">
        <v>72</v>
      </c>
      <c r="K272" s="97" t="s">
        <v>73</v>
      </c>
      <c r="L272">
        <v>701000</v>
      </c>
      <c r="M272" s="97" t="s">
        <v>62</v>
      </c>
      <c r="N272" s="97" t="s">
        <v>33</v>
      </c>
      <c r="O272">
        <v>3615</v>
      </c>
      <c r="P272">
        <v>1.05</v>
      </c>
      <c r="Q272">
        <v>3.8</v>
      </c>
      <c r="R272" s="97" t="s">
        <v>1205</v>
      </c>
      <c r="S272" s="97" t="s">
        <v>195</v>
      </c>
    </row>
    <row r="273" spans="1:19" x14ac:dyDescent="0.3">
      <c r="A273" s="97" t="s">
        <v>466</v>
      </c>
      <c r="B273" s="97" t="s">
        <v>22</v>
      </c>
      <c r="C273">
        <v>2025</v>
      </c>
      <c r="D273">
        <v>1</v>
      </c>
      <c r="E273" s="2">
        <v>45661</v>
      </c>
      <c r="F273" s="97" t="s">
        <v>7</v>
      </c>
      <c r="G273" s="97" t="s">
        <v>8</v>
      </c>
      <c r="H273" s="97" t="s">
        <v>70</v>
      </c>
      <c r="I273" s="97" t="s">
        <v>71</v>
      </c>
      <c r="J273" s="97" t="s">
        <v>72</v>
      </c>
      <c r="K273" s="97" t="s">
        <v>73</v>
      </c>
      <c r="L273">
        <v>701000</v>
      </c>
      <c r="M273" s="97" t="s">
        <v>62</v>
      </c>
      <c r="N273" s="97" t="s">
        <v>33</v>
      </c>
      <c r="O273">
        <v>2214</v>
      </c>
      <c r="P273">
        <v>1.05</v>
      </c>
      <c r="Q273">
        <v>2.33</v>
      </c>
      <c r="R273" s="97" t="s">
        <v>1204</v>
      </c>
      <c r="S273" s="97" t="s">
        <v>195</v>
      </c>
    </row>
    <row r="274" spans="1:19" x14ac:dyDescent="0.3">
      <c r="A274" s="97" t="s">
        <v>467</v>
      </c>
      <c r="B274" s="97" t="s">
        <v>22</v>
      </c>
      <c r="C274">
        <v>2025</v>
      </c>
      <c r="D274">
        <v>1</v>
      </c>
      <c r="E274" s="2">
        <v>45661</v>
      </c>
      <c r="F274" s="97" t="s">
        <v>7</v>
      </c>
      <c r="G274" s="97" t="s">
        <v>8</v>
      </c>
      <c r="H274" s="97" t="s">
        <v>70</v>
      </c>
      <c r="I274" s="97" t="s">
        <v>71</v>
      </c>
      <c r="J274" s="97" t="s">
        <v>72</v>
      </c>
      <c r="K274" s="97" t="s">
        <v>73</v>
      </c>
      <c r="L274">
        <v>701000</v>
      </c>
      <c r="M274" s="97" t="s">
        <v>62</v>
      </c>
      <c r="N274" s="97" t="s">
        <v>33</v>
      </c>
      <c r="O274">
        <v>1500</v>
      </c>
      <c r="P274">
        <v>1.05</v>
      </c>
      <c r="Q274">
        <v>1.58</v>
      </c>
      <c r="R274" s="97" t="s">
        <v>1198</v>
      </c>
      <c r="S274" s="97" t="s">
        <v>195</v>
      </c>
    </row>
    <row r="275" spans="1:19" x14ac:dyDescent="0.3">
      <c r="A275" s="97" t="s">
        <v>468</v>
      </c>
      <c r="B275" s="97" t="s">
        <v>22</v>
      </c>
      <c r="C275">
        <v>2025</v>
      </c>
      <c r="D275">
        <v>1</v>
      </c>
      <c r="E275" s="2">
        <v>45661</v>
      </c>
      <c r="F275" s="97" t="s">
        <v>7</v>
      </c>
      <c r="G275" s="97" t="s">
        <v>8</v>
      </c>
      <c r="H275" s="97" t="s">
        <v>70</v>
      </c>
      <c r="I275" s="97" t="s">
        <v>71</v>
      </c>
      <c r="J275" s="97" t="s">
        <v>72</v>
      </c>
      <c r="K275" s="97" t="s">
        <v>73</v>
      </c>
      <c r="L275">
        <v>701000</v>
      </c>
      <c r="M275" s="97" t="s">
        <v>62</v>
      </c>
      <c r="N275" s="97" t="s">
        <v>33</v>
      </c>
      <c r="O275">
        <v>1499</v>
      </c>
      <c r="P275">
        <v>1.05</v>
      </c>
      <c r="Q275">
        <v>1.57</v>
      </c>
      <c r="R275" s="97" t="s">
        <v>1199</v>
      </c>
      <c r="S275" s="97" t="s">
        <v>195</v>
      </c>
    </row>
    <row r="276" spans="1:19" x14ac:dyDescent="0.3">
      <c r="A276" s="97" t="s">
        <v>469</v>
      </c>
      <c r="B276" s="97" t="s">
        <v>22</v>
      </c>
      <c r="C276">
        <v>2025</v>
      </c>
      <c r="D276">
        <v>1</v>
      </c>
      <c r="E276" s="2">
        <v>45661</v>
      </c>
      <c r="F276" s="97" t="s">
        <v>7</v>
      </c>
      <c r="G276" s="97" t="s">
        <v>8</v>
      </c>
      <c r="H276" s="97" t="s">
        <v>70</v>
      </c>
      <c r="I276" s="97" t="s">
        <v>71</v>
      </c>
      <c r="J276" s="97" t="s">
        <v>72</v>
      </c>
      <c r="K276" s="97" t="s">
        <v>73</v>
      </c>
      <c r="L276">
        <v>701000</v>
      </c>
      <c r="M276" s="97" t="s">
        <v>62</v>
      </c>
      <c r="N276" s="97" t="s">
        <v>33</v>
      </c>
      <c r="O276">
        <v>3054</v>
      </c>
      <c r="P276">
        <v>1.05</v>
      </c>
      <c r="Q276">
        <v>3.2</v>
      </c>
      <c r="R276" s="97" t="s">
        <v>1197</v>
      </c>
      <c r="S276" s="97" t="s">
        <v>195</v>
      </c>
    </row>
    <row r="277" spans="1:19" x14ac:dyDescent="0.3">
      <c r="A277" s="97" t="s">
        <v>470</v>
      </c>
      <c r="B277" s="97" t="s">
        <v>22</v>
      </c>
      <c r="C277">
        <v>2025</v>
      </c>
      <c r="D277">
        <v>1</v>
      </c>
      <c r="E277" s="2">
        <v>45673</v>
      </c>
      <c r="F277" s="97" t="s">
        <v>7</v>
      </c>
      <c r="G277" s="97" t="s">
        <v>8</v>
      </c>
      <c r="H277" s="97" t="s">
        <v>74</v>
      </c>
      <c r="I277" s="97" t="s">
        <v>71</v>
      </c>
      <c r="J277" s="97" t="s">
        <v>72</v>
      </c>
      <c r="K277" s="97" t="s">
        <v>73</v>
      </c>
      <c r="L277">
        <v>701000</v>
      </c>
      <c r="M277" s="97" t="s">
        <v>62</v>
      </c>
      <c r="N277" s="97" t="s">
        <v>33</v>
      </c>
      <c r="O277">
        <v>1979</v>
      </c>
      <c r="P277">
        <v>1.05</v>
      </c>
      <c r="Q277">
        <v>2.08</v>
      </c>
      <c r="R277" s="97" t="s">
        <v>1200</v>
      </c>
      <c r="S277" s="97" t="s">
        <v>195</v>
      </c>
    </row>
    <row r="278" spans="1:19" x14ac:dyDescent="0.3">
      <c r="A278" s="97" t="s">
        <v>471</v>
      </c>
      <c r="B278" s="97" t="s">
        <v>22</v>
      </c>
      <c r="C278">
        <v>2025</v>
      </c>
      <c r="D278">
        <v>1</v>
      </c>
      <c r="E278" s="2">
        <v>45673</v>
      </c>
      <c r="F278" s="97" t="s">
        <v>7</v>
      </c>
      <c r="G278" s="97" t="s">
        <v>8</v>
      </c>
      <c r="H278" s="97" t="s">
        <v>74</v>
      </c>
      <c r="I278" s="97" t="s">
        <v>71</v>
      </c>
      <c r="J278" s="97" t="s">
        <v>72</v>
      </c>
      <c r="K278" s="97" t="s">
        <v>73</v>
      </c>
      <c r="L278">
        <v>701000</v>
      </c>
      <c r="M278" s="97" t="s">
        <v>62</v>
      </c>
      <c r="N278" s="97" t="s">
        <v>33</v>
      </c>
      <c r="O278">
        <v>2332</v>
      </c>
      <c r="P278">
        <v>1.05</v>
      </c>
      <c r="Q278">
        <v>2.4500000000000002</v>
      </c>
      <c r="R278" s="97" t="s">
        <v>1203</v>
      </c>
      <c r="S278" s="97" t="s">
        <v>195</v>
      </c>
    </row>
    <row r="279" spans="1:19" x14ac:dyDescent="0.3">
      <c r="A279" s="97" t="s">
        <v>472</v>
      </c>
      <c r="B279" s="97" t="s">
        <v>22</v>
      </c>
      <c r="C279">
        <v>2025</v>
      </c>
      <c r="D279">
        <v>1</v>
      </c>
      <c r="E279" s="2">
        <v>45673</v>
      </c>
      <c r="F279" s="97" t="s">
        <v>7</v>
      </c>
      <c r="G279" s="97" t="s">
        <v>8</v>
      </c>
      <c r="H279" s="97" t="s">
        <v>74</v>
      </c>
      <c r="I279" s="97" t="s">
        <v>71</v>
      </c>
      <c r="J279" s="97" t="s">
        <v>72</v>
      </c>
      <c r="K279" s="97" t="s">
        <v>73</v>
      </c>
      <c r="L279">
        <v>701000</v>
      </c>
      <c r="M279" s="97" t="s">
        <v>62</v>
      </c>
      <c r="N279" s="97" t="s">
        <v>33</v>
      </c>
      <c r="O279">
        <v>1087</v>
      </c>
      <c r="P279">
        <v>1.05</v>
      </c>
      <c r="Q279">
        <v>1.1399999999999999</v>
      </c>
      <c r="R279" s="97" t="s">
        <v>1201</v>
      </c>
      <c r="S279" s="97" t="s">
        <v>195</v>
      </c>
    </row>
    <row r="280" spans="1:19" x14ac:dyDescent="0.3">
      <c r="A280" s="97" t="s">
        <v>473</v>
      </c>
      <c r="B280" s="97" t="s">
        <v>22</v>
      </c>
      <c r="C280">
        <v>2025</v>
      </c>
      <c r="D280">
        <v>1</v>
      </c>
      <c r="E280" s="2">
        <v>45673</v>
      </c>
      <c r="F280" s="97" t="s">
        <v>7</v>
      </c>
      <c r="G280" s="97" t="s">
        <v>8</v>
      </c>
      <c r="H280" s="97" t="s">
        <v>74</v>
      </c>
      <c r="I280" s="97" t="s">
        <v>71</v>
      </c>
      <c r="J280" s="97" t="s">
        <v>72</v>
      </c>
      <c r="K280" s="97" t="s">
        <v>73</v>
      </c>
      <c r="L280">
        <v>701000</v>
      </c>
      <c r="M280" s="97" t="s">
        <v>62</v>
      </c>
      <c r="N280" s="97" t="s">
        <v>33</v>
      </c>
      <c r="O280">
        <v>2084</v>
      </c>
      <c r="P280">
        <v>1.05</v>
      </c>
      <c r="Q280">
        <v>2.19</v>
      </c>
      <c r="R280" s="97" t="s">
        <v>1204</v>
      </c>
      <c r="S280" s="97" t="s">
        <v>195</v>
      </c>
    </row>
    <row r="281" spans="1:19" x14ac:dyDescent="0.3">
      <c r="A281" s="97" t="s">
        <v>474</v>
      </c>
      <c r="B281" s="97" t="s">
        <v>22</v>
      </c>
      <c r="C281">
        <v>2025</v>
      </c>
      <c r="D281">
        <v>1</v>
      </c>
      <c r="E281" s="2">
        <v>45673</v>
      </c>
      <c r="F281" s="97" t="s">
        <v>7</v>
      </c>
      <c r="G281" s="97" t="s">
        <v>8</v>
      </c>
      <c r="H281" s="97" t="s">
        <v>74</v>
      </c>
      <c r="I281" s="97" t="s">
        <v>71</v>
      </c>
      <c r="J281" s="97" t="s">
        <v>72</v>
      </c>
      <c r="K281" s="97" t="s">
        <v>73</v>
      </c>
      <c r="L281">
        <v>701000</v>
      </c>
      <c r="M281" s="97" t="s">
        <v>62</v>
      </c>
      <c r="N281" s="97" t="s">
        <v>33</v>
      </c>
      <c r="O281">
        <v>2139</v>
      </c>
      <c r="P281">
        <v>1.05</v>
      </c>
      <c r="Q281">
        <v>2.2400000000000002</v>
      </c>
      <c r="R281" s="97" t="s">
        <v>1197</v>
      </c>
      <c r="S281" s="97" t="s">
        <v>195</v>
      </c>
    </row>
    <row r="282" spans="1:19" x14ac:dyDescent="0.3">
      <c r="A282" s="97" t="s">
        <v>475</v>
      </c>
      <c r="B282" s="97" t="s">
        <v>22</v>
      </c>
      <c r="C282">
        <v>2025</v>
      </c>
      <c r="D282">
        <v>1</v>
      </c>
      <c r="E282" s="2">
        <v>45679</v>
      </c>
      <c r="F282" s="97" t="s">
        <v>7</v>
      </c>
      <c r="G282" s="97" t="s">
        <v>8</v>
      </c>
      <c r="H282" s="97" t="s">
        <v>70</v>
      </c>
      <c r="I282" s="97" t="s">
        <v>75</v>
      </c>
      <c r="J282" s="97" t="s">
        <v>76</v>
      </c>
      <c r="K282" s="97" t="s">
        <v>73</v>
      </c>
      <c r="L282">
        <v>707000</v>
      </c>
      <c r="M282" s="97" t="s">
        <v>81</v>
      </c>
      <c r="N282" s="97" t="s">
        <v>33</v>
      </c>
      <c r="O282">
        <v>1148</v>
      </c>
      <c r="P282">
        <v>1.4</v>
      </c>
      <c r="Q282">
        <v>1.61</v>
      </c>
      <c r="R282" s="97" t="s">
        <v>1204</v>
      </c>
      <c r="S282" s="97" t="s">
        <v>195</v>
      </c>
    </row>
    <row r="283" spans="1:19" x14ac:dyDescent="0.3">
      <c r="A283" s="97" t="s">
        <v>476</v>
      </c>
      <c r="B283" s="97" t="s">
        <v>22</v>
      </c>
      <c r="C283">
        <v>2025</v>
      </c>
      <c r="D283">
        <v>1</v>
      </c>
      <c r="E283" s="2">
        <v>45679</v>
      </c>
      <c r="F283" s="97" t="s">
        <v>7</v>
      </c>
      <c r="G283" s="97" t="s">
        <v>8</v>
      </c>
      <c r="H283" s="97" t="s">
        <v>70</v>
      </c>
      <c r="I283" s="97" t="s">
        <v>75</v>
      </c>
      <c r="J283" s="97" t="s">
        <v>76</v>
      </c>
      <c r="K283" s="97" t="s">
        <v>73</v>
      </c>
      <c r="L283">
        <v>707000</v>
      </c>
      <c r="M283" s="97" t="s">
        <v>81</v>
      </c>
      <c r="N283" s="97" t="s">
        <v>33</v>
      </c>
      <c r="O283">
        <v>1098</v>
      </c>
      <c r="P283">
        <v>1.4</v>
      </c>
      <c r="Q283">
        <v>1.54</v>
      </c>
      <c r="R283" s="97" t="s">
        <v>1197</v>
      </c>
      <c r="S283" s="97" t="s">
        <v>195</v>
      </c>
    </row>
    <row r="284" spans="1:19" x14ac:dyDescent="0.3">
      <c r="A284" s="97" t="s">
        <v>477</v>
      </c>
      <c r="B284" s="97" t="s">
        <v>22</v>
      </c>
      <c r="C284">
        <v>2025</v>
      </c>
      <c r="D284">
        <v>1</v>
      </c>
      <c r="E284" s="2">
        <v>45679</v>
      </c>
      <c r="F284" s="97" t="s">
        <v>7</v>
      </c>
      <c r="G284" s="97" t="s">
        <v>8</v>
      </c>
      <c r="H284" s="97" t="s">
        <v>70</v>
      </c>
      <c r="I284" s="97" t="s">
        <v>75</v>
      </c>
      <c r="J284" s="97" t="s">
        <v>76</v>
      </c>
      <c r="K284" s="97" t="s">
        <v>73</v>
      </c>
      <c r="L284">
        <v>707000</v>
      </c>
      <c r="M284" s="97" t="s">
        <v>81</v>
      </c>
      <c r="N284" s="97" t="s">
        <v>33</v>
      </c>
      <c r="O284">
        <v>3063</v>
      </c>
      <c r="P284">
        <v>1.4</v>
      </c>
      <c r="Q284">
        <v>4.29</v>
      </c>
      <c r="R284" s="97" t="s">
        <v>1205</v>
      </c>
      <c r="S284" s="97" t="s">
        <v>195</v>
      </c>
    </row>
    <row r="285" spans="1:19" x14ac:dyDescent="0.3">
      <c r="A285" s="97" t="s">
        <v>478</v>
      </c>
      <c r="B285" s="97" t="s">
        <v>22</v>
      </c>
      <c r="C285">
        <v>2025</v>
      </c>
      <c r="D285">
        <v>1</v>
      </c>
      <c r="E285" s="2">
        <v>45679</v>
      </c>
      <c r="F285" s="97" t="s">
        <v>7</v>
      </c>
      <c r="G285" s="97" t="s">
        <v>8</v>
      </c>
      <c r="H285" s="97" t="s">
        <v>70</v>
      </c>
      <c r="I285" s="97" t="s">
        <v>75</v>
      </c>
      <c r="J285" s="97" t="s">
        <v>76</v>
      </c>
      <c r="K285" s="97" t="s">
        <v>73</v>
      </c>
      <c r="L285">
        <v>707000</v>
      </c>
      <c r="M285" s="97" t="s">
        <v>81</v>
      </c>
      <c r="N285" s="97" t="s">
        <v>33</v>
      </c>
      <c r="O285">
        <v>1189</v>
      </c>
      <c r="P285">
        <v>1.4</v>
      </c>
      <c r="Q285">
        <v>1.66</v>
      </c>
      <c r="R285" s="97" t="s">
        <v>1199</v>
      </c>
      <c r="S285" s="97" t="s">
        <v>195</v>
      </c>
    </row>
    <row r="286" spans="1:19" x14ac:dyDescent="0.3">
      <c r="A286" s="97" t="s">
        <v>479</v>
      </c>
      <c r="B286" s="97" t="s">
        <v>22</v>
      </c>
      <c r="C286">
        <v>2025</v>
      </c>
      <c r="D286">
        <v>1</v>
      </c>
      <c r="E286" s="2">
        <v>45679</v>
      </c>
      <c r="F286" s="97" t="s">
        <v>7</v>
      </c>
      <c r="G286" s="97" t="s">
        <v>8</v>
      </c>
      <c r="H286" s="97" t="s">
        <v>70</v>
      </c>
      <c r="I286" s="97" t="s">
        <v>75</v>
      </c>
      <c r="J286" s="97" t="s">
        <v>76</v>
      </c>
      <c r="K286" s="97" t="s">
        <v>73</v>
      </c>
      <c r="L286">
        <v>707000</v>
      </c>
      <c r="M286" s="97" t="s">
        <v>81</v>
      </c>
      <c r="N286" s="97" t="s">
        <v>33</v>
      </c>
      <c r="O286">
        <v>1360</v>
      </c>
      <c r="P286">
        <v>1.4</v>
      </c>
      <c r="Q286">
        <v>1.9</v>
      </c>
      <c r="R286" s="97" t="s">
        <v>1201</v>
      </c>
      <c r="S286" s="97" t="s">
        <v>195</v>
      </c>
    </row>
    <row r="287" spans="1:19" x14ac:dyDescent="0.3">
      <c r="A287" s="97" t="s">
        <v>480</v>
      </c>
      <c r="B287" s="97" t="s">
        <v>22</v>
      </c>
      <c r="C287">
        <v>2025</v>
      </c>
      <c r="D287">
        <v>1</v>
      </c>
      <c r="E287" s="2">
        <v>45672</v>
      </c>
      <c r="F287" s="97" t="s">
        <v>7</v>
      </c>
      <c r="G287" s="97" t="s">
        <v>8</v>
      </c>
      <c r="H287" s="97" t="s">
        <v>70</v>
      </c>
      <c r="I287" s="97" t="s">
        <v>75</v>
      </c>
      <c r="J287" s="97" t="s">
        <v>76</v>
      </c>
      <c r="K287" s="97" t="s">
        <v>73</v>
      </c>
      <c r="L287">
        <v>701000</v>
      </c>
      <c r="M287" s="97" t="s">
        <v>62</v>
      </c>
      <c r="N287" s="97" t="s">
        <v>33</v>
      </c>
      <c r="O287">
        <v>1505</v>
      </c>
      <c r="P287">
        <v>1.4</v>
      </c>
      <c r="Q287">
        <v>2.11</v>
      </c>
      <c r="R287" s="97" t="s">
        <v>1202</v>
      </c>
      <c r="S287" s="97" t="s">
        <v>195</v>
      </c>
    </row>
    <row r="288" spans="1:19" x14ac:dyDescent="0.3">
      <c r="A288" s="97" t="s">
        <v>481</v>
      </c>
      <c r="B288" s="97" t="s">
        <v>22</v>
      </c>
      <c r="C288">
        <v>2025</v>
      </c>
      <c r="D288">
        <v>1</v>
      </c>
      <c r="E288" s="2">
        <v>45672</v>
      </c>
      <c r="F288" s="97" t="s">
        <v>7</v>
      </c>
      <c r="G288" s="97" t="s">
        <v>8</v>
      </c>
      <c r="H288" s="97" t="s">
        <v>70</v>
      </c>
      <c r="I288" s="97" t="s">
        <v>75</v>
      </c>
      <c r="J288" s="97" t="s">
        <v>76</v>
      </c>
      <c r="K288" s="97" t="s">
        <v>73</v>
      </c>
      <c r="L288">
        <v>701000</v>
      </c>
      <c r="M288" s="97" t="s">
        <v>62</v>
      </c>
      <c r="N288" s="97" t="s">
        <v>33</v>
      </c>
      <c r="O288">
        <v>533</v>
      </c>
      <c r="P288">
        <v>1.41</v>
      </c>
      <c r="Q288">
        <v>0.75</v>
      </c>
      <c r="R288" s="97" t="s">
        <v>1203</v>
      </c>
      <c r="S288" s="97" t="s">
        <v>195</v>
      </c>
    </row>
    <row r="289" spans="1:19" x14ac:dyDescent="0.3">
      <c r="A289" s="97" t="s">
        <v>482</v>
      </c>
      <c r="B289" s="97" t="s">
        <v>22</v>
      </c>
      <c r="C289">
        <v>2025</v>
      </c>
      <c r="D289">
        <v>1</v>
      </c>
      <c r="E289" s="2">
        <v>45672</v>
      </c>
      <c r="F289" s="97" t="s">
        <v>7</v>
      </c>
      <c r="G289" s="97" t="s">
        <v>8</v>
      </c>
      <c r="H289" s="97" t="s">
        <v>70</v>
      </c>
      <c r="I289" s="97" t="s">
        <v>75</v>
      </c>
      <c r="J289" s="97" t="s">
        <v>76</v>
      </c>
      <c r="K289" s="97" t="s">
        <v>73</v>
      </c>
      <c r="L289">
        <v>701000</v>
      </c>
      <c r="M289" s="97" t="s">
        <v>62</v>
      </c>
      <c r="N289" s="97" t="s">
        <v>33</v>
      </c>
      <c r="O289">
        <v>2385</v>
      </c>
      <c r="P289">
        <v>1.4</v>
      </c>
      <c r="Q289">
        <v>3.34</v>
      </c>
      <c r="R289" s="97" t="s">
        <v>1205</v>
      </c>
      <c r="S289" s="97" t="s">
        <v>195</v>
      </c>
    </row>
    <row r="290" spans="1:19" x14ac:dyDescent="0.3">
      <c r="A290" s="97" t="s">
        <v>483</v>
      </c>
      <c r="B290" s="97" t="s">
        <v>22</v>
      </c>
      <c r="C290">
        <v>2025</v>
      </c>
      <c r="D290">
        <v>1</v>
      </c>
      <c r="E290" s="2">
        <v>45672</v>
      </c>
      <c r="F290" s="97" t="s">
        <v>7</v>
      </c>
      <c r="G290" s="97" t="s">
        <v>8</v>
      </c>
      <c r="H290" s="97" t="s">
        <v>70</v>
      </c>
      <c r="I290" s="97" t="s">
        <v>75</v>
      </c>
      <c r="J290" s="97" t="s">
        <v>76</v>
      </c>
      <c r="K290" s="97" t="s">
        <v>73</v>
      </c>
      <c r="L290">
        <v>701000</v>
      </c>
      <c r="M290" s="97" t="s">
        <v>62</v>
      </c>
      <c r="N290" s="97" t="s">
        <v>33</v>
      </c>
      <c r="O290">
        <v>1541</v>
      </c>
      <c r="P290">
        <v>1.4</v>
      </c>
      <c r="Q290">
        <v>2.16</v>
      </c>
      <c r="R290" s="97" t="s">
        <v>1199</v>
      </c>
      <c r="S290" s="97" t="s">
        <v>195</v>
      </c>
    </row>
    <row r="291" spans="1:19" x14ac:dyDescent="0.3">
      <c r="A291" s="97" t="s">
        <v>484</v>
      </c>
      <c r="B291" s="97" t="s">
        <v>22</v>
      </c>
      <c r="C291">
        <v>2025</v>
      </c>
      <c r="D291">
        <v>1</v>
      </c>
      <c r="E291" s="2">
        <v>45672</v>
      </c>
      <c r="F291" s="97" t="s">
        <v>7</v>
      </c>
      <c r="G291" s="97" t="s">
        <v>8</v>
      </c>
      <c r="H291" s="97" t="s">
        <v>70</v>
      </c>
      <c r="I291" s="97" t="s">
        <v>75</v>
      </c>
      <c r="J291" s="97" t="s">
        <v>76</v>
      </c>
      <c r="K291" s="97" t="s">
        <v>73</v>
      </c>
      <c r="L291">
        <v>701000</v>
      </c>
      <c r="M291" s="97" t="s">
        <v>62</v>
      </c>
      <c r="N291" s="97" t="s">
        <v>33</v>
      </c>
      <c r="O291">
        <v>2439</v>
      </c>
      <c r="P291">
        <v>1.39</v>
      </c>
      <c r="Q291">
        <v>3.4</v>
      </c>
      <c r="R291" s="97" t="s">
        <v>1200</v>
      </c>
      <c r="S291" s="97" t="s">
        <v>195</v>
      </c>
    </row>
    <row r="292" spans="1:19" x14ac:dyDescent="0.3">
      <c r="A292" s="97" t="s">
        <v>485</v>
      </c>
      <c r="B292" s="97" t="s">
        <v>22</v>
      </c>
      <c r="C292">
        <v>2025</v>
      </c>
      <c r="D292">
        <v>1</v>
      </c>
      <c r="E292" s="2">
        <v>45673</v>
      </c>
      <c r="F292" s="97" t="s">
        <v>7</v>
      </c>
      <c r="G292" s="97" t="s">
        <v>8</v>
      </c>
      <c r="H292" s="97" t="s">
        <v>74</v>
      </c>
      <c r="I292" s="97" t="s">
        <v>75</v>
      </c>
      <c r="J292" s="97" t="s">
        <v>76</v>
      </c>
      <c r="K292" s="97" t="s">
        <v>73</v>
      </c>
      <c r="L292">
        <v>701000</v>
      </c>
      <c r="M292" s="97" t="s">
        <v>62</v>
      </c>
      <c r="N292" s="97" t="s">
        <v>33</v>
      </c>
      <c r="O292">
        <v>986</v>
      </c>
      <c r="P292">
        <v>1.4</v>
      </c>
      <c r="Q292">
        <v>1.38</v>
      </c>
      <c r="R292" s="97" t="s">
        <v>1198</v>
      </c>
      <c r="S292" s="97" t="s">
        <v>195</v>
      </c>
    </row>
    <row r="293" spans="1:19" x14ac:dyDescent="0.3">
      <c r="A293" s="97" t="s">
        <v>486</v>
      </c>
      <c r="B293" s="97" t="s">
        <v>22</v>
      </c>
      <c r="C293">
        <v>2025</v>
      </c>
      <c r="D293">
        <v>1</v>
      </c>
      <c r="E293" s="2">
        <v>45673</v>
      </c>
      <c r="F293" s="97" t="s">
        <v>7</v>
      </c>
      <c r="G293" s="97" t="s">
        <v>8</v>
      </c>
      <c r="H293" s="97" t="s">
        <v>74</v>
      </c>
      <c r="I293" s="97" t="s">
        <v>75</v>
      </c>
      <c r="J293" s="97" t="s">
        <v>76</v>
      </c>
      <c r="K293" s="97" t="s">
        <v>73</v>
      </c>
      <c r="L293">
        <v>701000</v>
      </c>
      <c r="M293" s="97" t="s">
        <v>62</v>
      </c>
      <c r="N293" s="97" t="s">
        <v>33</v>
      </c>
      <c r="O293">
        <v>2395</v>
      </c>
      <c r="P293">
        <v>1.4</v>
      </c>
      <c r="Q293">
        <v>3.35</v>
      </c>
      <c r="R293" s="97" t="s">
        <v>1197</v>
      </c>
      <c r="S293" s="97" t="s">
        <v>195</v>
      </c>
    </row>
    <row r="294" spans="1:19" x14ac:dyDescent="0.3">
      <c r="A294" s="97" t="s">
        <v>487</v>
      </c>
      <c r="B294" s="97" t="s">
        <v>22</v>
      </c>
      <c r="C294">
        <v>2025</v>
      </c>
      <c r="D294">
        <v>1</v>
      </c>
      <c r="E294" s="2">
        <v>45673</v>
      </c>
      <c r="F294" s="97" t="s">
        <v>7</v>
      </c>
      <c r="G294" s="97" t="s">
        <v>8</v>
      </c>
      <c r="H294" s="97" t="s">
        <v>74</v>
      </c>
      <c r="I294" s="97" t="s">
        <v>75</v>
      </c>
      <c r="J294" s="97" t="s">
        <v>76</v>
      </c>
      <c r="K294" s="97" t="s">
        <v>73</v>
      </c>
      <c r="L294">
        <v>701000</v>
      </c>
      <c r="M294" s="97" t="s">
        <v>62</v>
      </c>
      <c r="N294" s="97" t="s">
        <v>33</v>
      </c>
      <c r="O294">
        <v>1446</v>
      </c>
      <c r="P294">
        <v>1.4</v>
      </c>
      <c r="Q294">
        <v>2.0299999999999998</v>
      </c>
      <c r="R294" s="97" t="s">
        <v>1199</v>
      </c>
      <c r="S294" s="97" t="s">
        <v>195</v>
      </c>
    </row>
    <row r="295" spans="1:19" x14ac:dyDescent="0.3">
      <c r="A295" s="97" t="s">
        <v>488</v>
      </c>
      <c r="B295" s="97" t="s">
        <v>22</v>
      </c>
      <c r="C295">
        <v>2025</v>
      </c>
      <c r="D295">
        <v>1</v>
      </c>
      <c r="E295" s="2">
        <v>45673</v>
      </c>
      <c r="F295" s="97" t="s">
        <v>7</v>
      </c>
      <c r="G295" s="97" t="s">
        <v>8</v>
      </c>
      <c r="H295" s="97" t="s">
        <v>74</v>
      </c>
      <c r="I295" s="97" t="s">
        <v>75</v>
      </c>
      <c r="J295" s="97" t="s">
        <v>76</v>
      </c>
      <c r="K295" s="97" t="s">
        <v>73</v>
      </c>
      <c r="L295">
        <v>701000</v>
      </c>
      <c r="M295" s="97" t="s">
        <v>62</v>
      </c>
      <c r="N295" s="97" t="s">
        <v>33</v>
      </c>
      <c r="O295">
        <v>2511</v>
      </c>
      <c r="P295">
        <v>1.4</v>
      </c>
      <c r="Q295">
        <v>3.52</v>
      </c>
      <c r="R295" s="97" t="s">
        <v>1201</v>
      </c>
      <c r="S295" s="97" t="s">
        <v>195</v>
      </c>
    </row>
    <row r="296" spans="1:19" x14ac:dyDescent="0.3">
      <c r="A296" s="97" t="s">
        <v>489</v>
      </c>
      <c r="B296" s="97" t="s">
        <v>22</v>
      </c>
      <c r="C296">
        <v>2025</v>
      </c>
      <c r="D296">
        <v>1</v>
      </c>
      <c r="E296" s="2">
        <v>45673</v>
      </c>
      <c r="F296" s="97" t="s">
        <v>7</v>
      </c>
      <c r="G296" s="97" t="s">
        <v>8</v>
      </c>
      <c r="H296" s="97" t="s">
        <v>74</v>
      </c>
      <c r="I296" s="97" t="s">
        <v>75</v>
      </c>
      <c r="J296" s="97" t="s">
        <v>76</v>
      </c>
      <c r="K296" s="97" t="s">
        <v>73</v>
      </c>
      <c r="L296">
        <v>701000</v>
      </c>
      <c r="M296" s="97" t="s">
        <v>62</v>
      </c>
      <c r="N296" s="97" t="s">
        <v>33</v>
      </c>
      <c r="O296">
        <v>1380</v>
      </c>
      <c r="P296">
        <v>1.4</v>
      </c>
      <c r="Q296">
        <v>1.93</v>
      </c>
      <c r="R296" s="97" t="s">
        <v>1202</v>
      </c>
      <c r="S296" s="97" t="s">
        <v>195</v>
      </c>
    </row>
    <row r="297" spans="1:19" x14ac:dyDescent="0.3">
      <c r="A297" s="97" t="s">
        <v>490</v>
      </c>
      <c r="B297" s="97" t="s">
        <v>22</v>
      </c>
      <c r="C297">
        <v>2025</v>
      </c>
      <c r="D297">
        <v>1</v>
      </c>
      <c r="E297" s="2">
        <v>45671</v>
      </c>
      <c r="F297" s="97" t="s">
        <v>7</v>
      </c>
      <c r="G297" s="97" t="s">
        <v>8</v>
      </c>
      <c r="H297" s="97" t="s">
        <v>74</v>
      </c>
      <c r="I297" s="97" t="s">
        <v>75</v>
      </c>
      <c r="J297" s="97" t="s">
        <v>76</v>
      </c>
      <c r="K297" s="97" t="s">
        <v>73</v>
      </c>
      <c r="L297">
        <v>701000</v>
      </c>
      <c r="M297" s="97" t="s">
        <v>62</v>
      </c>
      <c r="N297" s="97" t="s">
        <v>33</v>
      </c>
      <c r="O297">
        <v>4596</v>
      </c>
      <c r="P297">
        <v>1.4</v>
      </c>
      <c r="Q297">
        <v>6.43</v>
      </c>
      <c r="R297" s="97" t="s">
        <v>1201</v>
      </c>
      <c r="S297" s="97" t="s">
        <v>195</v>
      </c>
    </row>
    <row r="298" spans="1:19" x14ac:dyDescent="0.3">
      <c r="A298" s="97" t="s">
        <v>491</v>
      </c>
      <c r="B298" s="97" t="s">
        <v>22</v>
      </c>
      <c r="C298">
        <v>2025</v>
      </c>
      <c r="D298">
        <v>1</v>
      </c>
      <c r="E298" s="2">
        <v>45671</v>
      </c>
      <c r="F298" s="97" t="s">
        <v>7</v>
      </c>
      <c r="G298" s="97" t="s">
        <v>8</v>
      </c>
      <c r="H298" s="97" t="s">
        <v>74</v>
      </c>
      <c r="I298" s="97" t="s">
        <v>75</v>
      </c>
      <c r="J298" s="97" t="s">
        <v>76</v>
      </c>
      <c r="K298" s="97" t="s">
        <v>73</v>
      </c>
      <c r="L298">
        <v>701000</v>
      </c>
      <c r="M298" s="97" t="s">
        <v>62</v>
      </c>
      <c r="N298" s="97" t="s">
        <v>33</v>
      </c>
      <c r="O298">
        <v>694</v>
      </c>
      <c r="P298">
        <v>1.4</v>
      </c>
      <c r="Q298">
        <v>0.97</v>
      </c>
      <c r="R298" s="97" t="s">
        <v>1198</v>
      </c>
      <c r="S298" s="97" t="s">
        <v>195</v>
      </c>
    </row>
    <row r="299" spans="1:19" x14ac:dyDescent="0.3">
      <c r="A299" s="97" t="s">
        <v>492</v>
      </c>
      <c r="B299" s="97" t="s">
        <v>22</v>
      </c>
      <c r="C299">
        <v>2025</v>
      </c>
      <c r="D299">
        <v>1</v>
      </c>
      <c r="E299" s="2">
        <v>45671</v>
      </c>
      <c r="F299" s="97" t="s">
        <v>7</v>
      </c>
      <c r="G299" s="97" t="s">
        <v>8</v>
      </c>
      <c r="H299" s="97" t="s">
        <v>74</v>
      </c>
      <c r="I299" s="97" t="s">
        <v>75</v>
      </c>
      <c r="J299" s="97" t="s">
        <v>76</v>
      </c>
      <c r="K299" s="97" t="s">
        <v>73</v>
      </c>
      <c r="L299">
        <v>701000</v>
      </c>
      <c r="M299" s="97" t="s">
        <v>62</v>
      </c>
      <c r="N299" s="97" t="s">
        <v>33</v>
      </c>
      <c r="O299">
        <v>2330</v>
      </c>
      <c r="P299">
        <v>1.4</v>
      </c>
      <c r="Q299">
        <v>3.26</v>
      </c>
      <c r="R299" s="97" t="s">
        <v>1197</v>
      </c>
      <c r="S299" s="97" t="s">
        <v>195</v>
      </c>
    </row>
    <row r="300" spans="1:19" x14ac:dyDescent="0.3">
      <c r="A300" s="97" t="s">
        <v>493</v>
      </c>
      <c r="B300" s="97" t="s">
        <v>22</v>
      </c>
      <c r="C300">
        <v>2025</v>
      </c>
      <c r="D300">
        <v>1</v>
      </c>
      <c r="E300" s="2">
        <v>45671</v>
      </c>
      <c r="F300" s="97" t="s">
        <v>7</v>
      </c>
      <c r="G300" s="97" t="s">
        <v>8</v>
      </c>
      <c r="H300" s="97" t="s">
        <v>74</v>
      </c>
      <c r="I300" s="97" t="s">
        <v>75</v>
      </c>
      <c r="J300" s="97" t="s">
        <v>76</v>
      </c>
      <c r="K300" s="97" t="s">
        <v>73</v>
      </c>
      <c r="L300">
        <v>701000</v>
      </c>
      <c r="M300" s="97" t="s">
        <v>62</v>
      </c>
      <c r="N300" s="97" t="s">
        <v>33</v>
      </c>
      <c r="O300">
        <v>719</v>
      </c>
      <c r="P300">
        <v>1.4</v>
      </c>
      <c r="Q300">
        <v>1.01</v>
      </c>
      <c r="R300" s="97" t="s">
        <v>1203</v>
      </c>
      <c r="S300" s="97" t="s">
        <v>195</v>
      </c>
    </row>
    <row r="301" spans="1:19" x14ac:dyDescent="0.3">
      <c r="A301" s="97" t="s">
        <v>494</v>
      </c>
      <c r="B301" s="97" t="s">
        <v>22</v>
      </c>
      <c r="C301">
        <v>2025</v>
      </c>
      <c r="D301">
        <v>1</v>
      </c>
      <c r="E301" s="2">
        <v>45671</v>
      </c>
      <c r="F301" s="97" t="s">
        <v>7</v>
      </c>
      <c r="G301" s="97" t="s">
        <v>8</v>
      </c>
      <c r="H301" s="97" t="s">
        <v>74</v>
      </c>
      <c r="I301" s="97" t="s">
        <v>75</v>
      </c>
      <c r="J301" s="97" t="s">
        <v>76</v>
      </c>
      <c r="K301" s="97" t="s">
        <v>73</v>
      </c>
      <c r="L301">
        <v>701000</v>
      </c>
      <c r="M301" s="97" t="s">
        <v>62</v>
      </c>
      <c r="N301" s="97" t="s">
        <v>33</v>
      </c>
      <c r="O301">
        <v>591</v>
      </c>
      <c r="P301">
        <v>1.4</v>
      </c>
      <c r="Q301">
        <v>0.83</v>
      </c>
      <c r="R301" s="97" t="s">
        <v>1204</v>
      </c>
      <c r="S301" s="97" t="s">
        <v>195</v>
      </c>
    </row>
    <row r="302" spans="1:19" x14ac:dyDescent="0.3">
      <c r="A302" s="97" t="s">
        <v>495</v>
      </c>
      <c r="B302" s="97" t="s">
        <v>22</v>
      </c>
      <c r="C302">
        <v>2025</v>
      </c>
      <c r="D302">
        <v>1</v>
      </c>
      <c r="E302" s="2">
        <v>45675</v>
      </c>
      <c r="F302" s="97" t="s">
        <v>7</v>
      </c>
      <c r="G302" s="97" t="s">
        <v>8</v>
      </c>
      <c r="H302" s="97" t="s">
        <v>70</v>
      </c>
      <c r="I302" s="97" t="s">
        <v>75</v>
      </c>
      <c r="J302" s="97" t="s">
        <v>76</v>
      </c>
      <c r="K302" s="97" t="s">
        <v>73</v>
      </c>
      <c r="L302">
        <v>706000</v>
      </c>
      <c r="M302" s="97" t="s">
        <v>63</v>
      </c>
      <c r="N302" s="97" t="s">
        <v>33</v>
      </c>
      <c r="O302">
        <v>766</v>
      </c>
      <c r="P302">
        <v>1.4</v>
      </c>
      <c r="Q302">
        <v>1.07</v>
      </c>
      <c r="R302" s="97" t="s">
        <v>1201</v>
      </c>
      <c r="S302" s="97" t="s">
        <v>195</v>
      </c>
    </row>
    <row r="303" spans="1:19" x14ac:dyDescent="0.3">
      <c r="A303" s="97" t="s">
        <v>496</v>
      </c>
      <c r="B303" s="97" t="s">
        <v>22</v>
      </c>
      <c r="C303">
        <v>2025</v>
      </c>
      <c r="D303">
        <v>1</v>
      </c>
      <c r="E303" s="2">
        <v>45675</v>
      </c>
      <c r="F303" s="97" t="s">
        <v>7</v>
      </c>
      <c r="G303" s="97" t="s">
        <v>8</v>
      </c>
      <c r="H303" s="97" t="s">
        <v>70</v>
      </c>
      <c r="I303" s="97" t="s">
        <v>75</v>
      </c>
      <c r="J303" s="97" t="s">
        <v>76</v>
      </c>
      <c r="K303" s="97" t="s">
        <v>73</v>
      </c>
      <c r="L303">
        <v>706000</v>
      </c>
      <c r="M303" s="97" t="s">
        <v>63</v>
      </c>
      <c r="N303" s="97" t="s">
        <v>33</v>
      </c>
      <c r="O303">
        <v>2225</v>
      </c>
      <c r="P303">
        <v>1.4</v>
      </c>
      <c r="Q303">
        <v>3.12</v>
      </c>
      <c r="R303" s="97" t="s">
        <v>1205</v>
      </c>
      <c r="S303" s="97" t="s">
        <v>195</v>
      </c>
    </row>
    <row r="304" spans="1:19" x14ac:dyDescent="0.3">
      <c r="A304" s="97" t="s">
        <v>497</v>
      </c>
      <c r="B304" s="97" t="s">
        <v>22</v>
      </c>
      <c r="C304">
        <v>2025</v>
      </c>
      <c r="D304">
        <v>1</v>
      </c>
      <c r="E304" s="2">
        <v>45675</v>
      </c>
      <c r="F304" s="97" t="s">
        <v>7</v>
      </c>
      <c r="G304" s="97" t="s">
        <v>8</v>
      </c>
      <c r="H304" s="97" t="s">
        <v>70</v>
      </c>
      <c r="I304" s="97" t="s">
        <v>75</v>
      </c>
      <c r="J304" s="97" t="s">
        <v>76</v>
      </c>
      <c r="K304" s="97" t="s">
        <v>73</v>
      </c>
      <c r="L304">
        <v>706000</v>
      </c>
      <c r="M304" s="97" t="s">
        <v>63</v>
      </c>
      <c r="N304" s="97" t="s">
        <v>33</v>
      </c>
      <c r="O304">
        <v>1837</v>
      </c>
      <c r="P304">
        <v>1.4</v>
      </c>
      <c r="Q304">
        <v>2.57</v>
      </c>
      <c r="R304" s="97" t="s">
        <v>1199</v>
      </c>
      <c r="S304" s="97" t="s">
        <v>195</v>
      </c>
    </row>
    <row r="305" spans="1:19" x14ac:dyDescent="0.3">
      <c r="A305" s="97" t="s">
        <v>498</v>
      </c>
      <c r="B305" s="97" t="s">
        <v>22</v>
      </c>
      <c r="C305">
        <v>2025</v>
      </c>
      <c r="D305">
        <v>1</v>
      </c>
      <c r="E305" s="2">
        <v>45675</v>
      </c>
      <c r="F305" s="97" t="s">
        <v>7</v>
      </c>
      <c r="G305" s="97" t="s">
        <v>8</v>
      </c>
      <c r="H305" s="97" t="s">
        <v>70</v>
      </c>
      <c r="I305" s="97" t="s">
        <v>75</v>
      </c>
      <c r="J305" s="97" t="s">
        <v>76</v>
      </c>
      <c r="K305" s="97" t="s">
        <v>73</v>
      </c>
      <c r="L305">
        <v>706000</v>
      </c>
      <c r="M305" s="97" t="s">
        <v>63</v>
      </c>
      <c r="N305" s="97" t="s">
        <v>33</v>
      </c>
      <c r="O305">
        <v>4232</v>
      </c>
      <c r="P305">
        <v>1.4</v>
      </c>
      <c r="Q305">
        <v>5.92</v>
      </c>
      <c r="R305" s="97" t="s">
        <v>1202</v>
      </c>
      <c r="S305" s="97" t="s">
        <v>195</v>
      </c>
    </row>
    <row r="306" spans="1:19" x14ac:dyDescent="0.3">
      <c r="A306" s="97" t="s">
        <v>499</v>
      </c>
      <c r="B306" s="97" t="s">
        <v>22</v>
      </c>
      <c r="C306">
        <v>2025</v>
      </c>
      <c r="D306">
        <v>1</v>
      </c>
      <c r="E306" s="2">
        <v>45675</v>
      </c>
      <c r="F306" s="97" t="s">
        <v>7</v>
      </c>
      <c r="G306" s="97" t="s">
        <v>8</v>
      </c>
      <c r="H306" s="97" t="s">
        <v>70</v>
      </c>
      <c r="I306" s="97" t="s">
        <v>75</v>
      </c>
      <c r="J306" s="97" t="s">
        <v>76</v>
      </c>
      <c r="K306" s="97" t="s">
        <v>73</v>
      </c>
      <c r="L306">
        <v>706000</v>
      </c>
      <c r="M306" s="97" t="s">
        <v>63</v>
      </c>
      <c r="N306" s="97" t="s">
        <v>33</v>
      </c>
      <c r="O306">
        <v>603</v>
      </c>
      <c r="P306">
        <v>1.41</v>
      </c>
      <c r="Q306">
        <v>0.85</v>
      </c>
      <c r="R306" s="97" t="s">
        <v>1204</v>
      </c>
      <c r="S306" s="97" t="s">
        <v>195</v>
      </c>
    </row>
    <row r="307" spans="1:19" x14ac:dyDescent="0.3">
      <c r="A307" s="97" t="s">
        <v>500</v>
      </c>
      <c r="B307" s="97" t="s">
        <v>22</v>
      </c>
      <c r="C307">
        <v>2025</v>
      </c>
      <c r="D307">
        <v>1</v>
      </c>
      <c r="E307" s="2">
        <v>45670</v>
      </c>
      <c r="F307" s="97" t="s">
        <v>7</v>
      </c>
      <c r="G307" s="97" t="s">
        <v>8</v>
      </c>
      <c r="H307" s="97" t="s">
        <v>70</v>
      </c>
      <c r="I307" s="97" t="s">
        <v>75</v>
      </c>
      <c r="J307" s="97" t="s">
        <v>76</v>
      </c>
      <c r="K307" s="97" t="s">
        <v>73</v>
      </c>
      <c r="L307">
        <v>706000</v>
      </c>
      <c r="M307" s="97" t="s">
        <v>63</v>
      </c>
      <c r="N307" s="97" t="s">
        <v>33</v>
      </c>
      <c r="O307">
        <v>1048</v>
      </c>
      <c r="P307">
        <v>1.4</v>
      </c>
      <c r="Q307">
        <v>1.47</v>
      </c>
      <c r="R307" s="97" t="s">
        <v>1198</v>
      </c>
      <c r="S307" s="97" t="s">
        <v>195</v>
      </c>
    </row>
    <row r="308" spans="1:19" x14ac:dyDescent="0.3">
      <c r="A308" s="97" t="s">
        <v>501</v>
      </c>
      <c r="B308" s="97" t="s">
        <v>22</v>
      </c>
      <c r="C308">
        <v>2025</v>
      </c>
      <c r="D308">
        <v>1</v>
      </c>
      <c r="E308" s="2">
        <v>45670</v>
      </c>
      <c r="F308" s="97" t="s">
        <v>7</v>
      </c>
      <c r="G308" s="97" t="s">
        <v>8</v>
      </c>
      <c r="H308" s="97" t="s">
        <v>70</v>
      </c>
      <c r="I308" s="97" t="s">
        <v>75</v>
      </c>
      <c r="J308" s="97" t="s">
        <v>76</v>
      </c>
      <c r="K308" s="97" t="s">
        <v>73</v>
      </c>
      <c r="L308">
        <v>706000</v>
      </c>
      <c r="M308" s="97" t="s">
        <v>63</v>
      </c>
      <c r="N308" s="97" t="s">
        <v>33</v>
      </c>
      <c r="O308">
        <v>2114</v>
      </c>
      <c r="P308">
        <v>1.4</v>
      </c>
      <c r="Q308">
        <v>2.96</v>
      </c>
      <c r="R308" s="97" t="s">
        <v>1205</v>
      </c>
      <c r="S308" s="97" t="s">
        <v>195</v>
      </c>
    </row>
    <row r="309" spans="1:19" x14ac:dyDescent="0.3">
      <c r="A309" s="97" t="s">
        <v>502</v>
      </c>
      <c r="B309" s="97" t="s">
        <v>22</v>
      </c>
      <c r="C309">
        <v>2025</v>
      </c>
      <c r="D309">
        <v>1</v>
      </c>
      <c r="E309" s="2">
        <v>45670</v>
      </c>
      <c r="F309" s="97" t="s">
        <v>7</v>
      </c>
      <c r="G309" s="97" t="s">
        <v>8</v>
      </c>
      <c r="H309" s="97" t="s">
        <v>70</v>
      </c>
      <c r="I309" s="97" t="s">
        <v>75</v>
      </c>
      <c r="J309" s="97" t="s">
        <v>76</v>
      </c>
      <c r="K309" s="97" t="s">
        <v>73</v>
      </c>
      <c r="L309">
        <v>706000</v>
      </c>
      <c r="M309" s="97" t="s">
        <v>63</v>
      </c>
      <c r="N309" s="97" t="s">
        <v>33</v>
      </c>
      <c r="O309">
        <v>1108</v>
      </c>
      <c r="P309">
        <v>1.4</v>
      </c>
      <c r="Q309">
        <v>1.55</v>
      </c>
      <c r="R309" s="97" t="s">
        <v>1201</v>
      </c>
      <c r="S309" s="97" t="s">
        <v>195</v>
      </c>
    </row>
    <row r="310" spans="1:19" x14ac:dyDescent="0.3">
      <c r="A310" s="97" t="s">
        <v>503</v>
      </c>
      <c r="B310" s="97" t="s">
        <v>22</v>
      </c>
      <c r="C310">
        <v>2025</v>
      </c>
      <c r="D310">
        <v>1</v>
      </c>
      <c r="E310" s="2">
        <v>45670</v>
      </c>
      <c r="F310" s="97" t="s">
        <v>7</v>
      </c>
      <c r="G310" s="97" t="s">
        <v>8</v>
      </c>
      <c r="H310" s="97" t="s">
        <v>70</v>
      </c>
      <c r="I310" s="97" t="s">
        <v>75</v>
      </c>
      <c r="J310" s="97" t="s">
        <v>76</v>
      </c>
      <c r="K310" s="97" t="s">
        <v>73</v>
      </c>
      <c r="L310">
        <v>706000</v>
      </c>
      <c r="M310" s="97" t="s">
        <v>63</v>
      </c>
      <c r="N310" s="97" t="s">
        <v>33</v>
      </c>
      <c r="O310">
        <v>1087</v>
      </c>
      <c r="P310">
        <v>1.4</v>
      </c>
      <c r="Q310">
        <v>1.52</v>
      </c>
      <c r="R310" s="97" t="s">
        <v>1203</v>
      </c>
      <c r="S310" s="97" t="s">
        <v>195</v>
      </c>
    </row>
    <row r="311" spans="1:19" x14ac:dyDescent="0.3">
      <c r="A311" s="97" t="s">
        <v>504</v>
      </c>
      <c r="B311" s="97" t="s">
        <v>22</v>
      </c>
      <c r="C311">
        <v>2025</v>
      </c>
      <c r="D311">
        <v>1</v>
      </c>
      <c r="E311" s="2">
        <v>45670</v>
      </c>
      <c r="F311" s="97" t="s">
        <v>7</v>
      </c>
      <c r="G311" s="97" t="s">
        <v>8</v>
      </c>
      <c r="H311" s="97" t="s">
        <v>70</v>
      </c>
      <c r="I311" s="97" t="s">
        <v>75</v>
      </c>
      <c r="J311" s="97" t="s">
        <v>76</v>
      </c>
      <c r="K311" s="97" t="s">
        <v>73</v>
      </c>
      <c r="L311">
        <v>706000</v>
      </c>
      <c r="M311" s="97" t="s">
        <v>63</v>
      </c>
      <c r="N311" s="97" t="s">
        <v>33</v>
      </c>
      <c r="O311">
        <v>2515</v>
      </c>
      <c r="P311">
        <v>1.4</v>
      </c>
      <c r="Q311">
        <v>3.52</v>
      </c>
      <c r="R311" s="97" t="s">
        <v>1199</v>
      </c>
      <c r="S311" s="97" t="s">
        <v>195</v>
      </c>
    </row>
    <row r="312" spans="1:19" x14ac:dyDescent="0.3">
      <c r="A312" s="97" t="s">
        <v>505</v>
      </c>
      <c r="B312" s="97" t="s">
        <v>22</v>
      </c>
      <c r="C312">
        <v>2025</v>
      </c>
      <c r="D312">
        <v>1</v>
      </c>
      <c r="E312" s="2">
        <v>45681</v>
      </c>
      <c r="F312" s="97" t="s">
        <v>7</v>
      </c>
      <c r="G312" s="97" t="s">
        <v>8</v>
      </c>
      <c r="H312" s="97" t="s">
        <v>70</v>
      </c>
      <c r="I312" s="97" t="s">
        <v>75</v>
      </c>
      <c r="J312" s="97" t="s">
        <v>76</v>
      </c>
      <c r="K312" s="97" t="s">
        <v>73</v>
      </c>
      <c r="L312">
        <v>706000</v>
      </c>
      <c r="M312" s="97" t="s">
        <v>63</v>
      </c>
      <c r="N312" s="97" t="s">
        <v>33</v>
      </c>
      <c r="O312">
        <v>942</v>
      </c>
      <c r="P312">
        <v>1.4</v>
      </c>
      <c r="Q312">
        <v>1.32</v>
      </c>
      <c r="R312" s="97" t="s">
        <v>1204</v>
      </c>
      <c r="S312" s="97" t="s">
        <v>195</v>
      </c>
    </row>
    <row r="313" spans="1:19" x14ac:dyDescent="0.3">
      <c r="A313" s="97" t="s">
        <v>506</v>
      </c>
      <c r="B313" s="97" t="s">
        <v>22</v>
      </c>
      <c r="C313">
        <v>2025</v>
      </c>
      <c r="D313">
        <v>1</v>
      </c>
      <c r="E313" s="2">
        <v>45681</v>
      </c>
      <c r="F313" s="97" t="s">
        <v>7</v>
      </c>
      <c r="G313" s="97" t="s">
        <v>8</v>
      </c>
      <c r="H313" s="97" t="s">
        <v>70</v>
      </c>
      <c r="I313" s="97" t="s">
        <v>75</v>
      </c>
      <c r="J313" s="97" t="s">
        <v>76</v>
      </c>
      <c r="K313" s="97" t="s">
        <v>73</v>
      </c>
      <c r="L313">
        <v>706000</v>
      </c>
      <c r="M313" s="97" t="s">
        <v>63</v>
      </c>
      <c r="N313" s="97" t="s">
        <v>33</v>
      </c>
      <c r="O313">
        <v>1213</v>
      </c>
      <c r="P313">
        <v>1.4</v>
      </c>
      <c r="Q313">
        <v>1.7</v>
      </c>
      <c r="R313" s="97" t="s">
        <v>1197</v>
      </c>
      <c r="S313" s="97" t="s">
        <v>195</v>
      </c>
    </row>
    <row r="314" spans="1:19" x14ac:dyDescent="0.3">
      <c r="A314" s="97" t="s">
        <v>507</v>
      </c>
      <c r="B314" s="97" t="s">
        <v>22</v>
      </c>
      <c r="C314">
        <v>2025</v>
      </c>
      <c r="D314">
        <v>1</v>
      </c>
      <c r="E314" s="2">
        <v>45681</v>
      </c>
      <c r="F314" s="97" t="s">
        <v>7</v>
      </c>
      <c r="G314" s="97" t="s">
        <v>8</v>
      </c>
      <c r="H314" s="97" t="s">
        <v>70</v>
      </c>
      <c r="I314" s="97" t="s">
        <v>75</v>
      </c>
      <c r="J314" s="97" t="s">
        <v>76</v>
      </c>
      <c r="K314" s="97" t="s">
        <v>73</v>
      </c>
      <c r="L314">
        <v>706000</v>
      </c>
      <c r="M314" s="97" t="s">
        <v>63</v>
      </c>
      <c r="N314" s="97" t="s">
        <v>33</v>
      </c>
      <c r="O314">
        <v>826</v>
      </c>
      <c r="P314">
        <v>1.4</v>
      </c>
      <c r="Q314">
        <v>1.1599999999999999</v>
      </c>
      <c r="R314" s="97" t="s">
        <v>1201</v>
      </c>
      <c r="S314" s="97" t="s">
        <v>195</v>
      </c>
    </row>
    <row r="315" spans="1:19" x14ac:dyDescent="0.3">
      <c r="A315" s="97" t="s">
        <v>508</v>
      </c>
      <c r="B315" s="97" t="s">
        <v>22</v>
      </c>
      <c r="C315">
        <v>2025</v>
      </c>
      <c r="D315">
        <v>1</v>
      </c>
      <c r="E315" s="2">
        <v>45681</v>
      </c>
      <c r="F315" s="97" t="s">
        <v>7</v>
      </c>
      <c r="G315" s="97" t="s">
        <v>8</v>
      </c>
      <c r="H315" s="97" t="s">
        <v>70</v>
      </c>
      <c r="I315" s="97" t="s">
        <v>75</v>
      </c>
      <c r="J315" s="97" t="s">
        <v>76</v>
      </c>
      <c r="K315" s="97" t="s">
        <v>73</v>
      </c>
      <c r="L315">
        <v>706000</v>
      </c>
      <c r="M315" s="97" t="s">
        <v>63</v>
      </c>
      <c r="N315" s="97" t="s">
        <v>33</v>
      </c>
      <c r="O315">
        <v>3317</v>
      </c>
      <c r="P315">
        <v>1.4</v>
      </c>
      <c r="Q315">
        <v>4.6399999999999997</v>
      </c>
      <c r="R315" s="97" t="s">
        <v>1202</v>
      </c>
      <c r="S315" s="97" t="s">
        <v>195</v>
      </c>
    </row>
    <row r="316" spans="1:19" x14ac:dyDescent="0.3">
      <c r="A316" s="97" t="s">
        <v>509</v>
      </c>
      <c r="B316" s="97" t="s">
        <v>22</v>
      </c>
      <c r="C316">
        <v>2025</v>
      </c>
      <c r="D316">
        <v>1</v>
      </c>
      <c r="E316" s="2">
        <v>45681</v>
      </c>
      <c r="F316" s="97" t="s">
        <v>7</v>
      </c>
      <c r="G316" s="97" t="s">
        <v>8</v>
      </c>
      <c r="H316" s="97" t="s">
        <v>70</v>
      </c>
      <c r="I316" s="97" t="s">
        <v>75</v>
      </c>
      <c r="J316" s="97" t="s">
        <v>76</v>
      </c>
      <c r="K316" s="97" t="s">
        <v>73</v>
      </c>
      <c r="L316">
        <v>706000</v>
      </c>
      <c r="M316" s="97" t="s">
        <v>63</v>
      </c>
      <c r="N316" s="97" t="s">
        <v>33</v>
      </c>
      <c r="O316">
        <v>1270</v>
      </c>
      <c r="P316">
        <v>1.39</v>
      </c>
      <c r="Q316">
        <v>1.77</v>
      </c>
      <c r="R316" s="97" t="s">
        <v>1203</v>
      </c>
      <c r="S316" s="97" t="s">
        <v>195</v>
      </c>
    </row>
    <row r="317" spans="1:19" x14ac:dyDescent="0.3">
      <c r="A317" s="97" t="s">
        <v>510</v>
      </c>
      <c r="B317" s="97" t="s">
        <v>22</v>
      </c>
      <c r="C317">
        <v>2025</v>
      </c>
      <c r="D317">
        <v>1</v>
      </c>
      <c r="E317" s="2">
        <v>45659</v>
      </c>
      <c r="F317" s="97" t="s">
        <v>7</v>
      </c>
      <c r="G317" s="97" t="s">
        <v>8</v>
      </c>
      <c r="H317" s="97" t="s">
        <v>74</v>
      </c>
      <c r="I317" s="97" t="s">
        <v>75</v>
      </c>
      <c r="J317" s="97" t="s">
        <v>76</v>
      </c>
      <c r="K317" s="97" t="s">
        <v>73</v>
      </c>
      <c r="L317">
        <v>701000</v>
      </c>
      <c r="M317" s="97" t="s">
        <v>62</v>
      </c>
      <c r="N317" s="97" t="s">
        <v>33</v>
      </c>
      <c r="O317">
        <v>1488</v>
      </c>
      <c r="P317">
        <v>1.4</v>
      </c>
      <c r="Q317">
        <v>2.08</v>
      </c>
      <c r="R317" s="97" t="s">
        <v>1203</v>
      </c>
      <c r="S317" s="97" t="s">
        <v>195</v>
      </c>
    </row>
    <row r="318" spans="1:19" x14ac:dyDescent="0.3">
      <c r="A318" s="97" t="s">
        <v>511</v>
      </c>
      <c r="B318" s="97" t="s">
        <v>22</v>
      </c>
      <c r="C318">
        <v>2025</v>
      </c>
      <c r="D318">
        <v>1</v>
      </c>
      <c r="E318" s="2">
        <v>45659</v>
      </c>
      <c r="F318" s="97" t="s">
        <v>7</v>
      </c>
      <c r="G318" s="97" t="s">
        <v>8</v>
      </c>
      <c r="H318" s="97" t="s">
        <v>74</v>
      </c>
      <c r="I318" s="97" t="s">
        <v>75</v>
      </c>
      <c r="J318" s="97" t="s">
        <v>76</v>
      </c>
      <c r="K318" s="97" t="s">
        <v>73</v>
      </c>
      <c r="L318">
        <v>701000</v>
      </c>
      <c r="M318" s="97" t="s">
        <v>62</v>
      </c>
      <c r="N318" s="97" t="s">
        <v>33</v>
      </c>
      <c r="O318">
        <v>152</v>
      </c>
      <c r="P318">
        <v>1.38</v>
      </c>
      <c r="Q318">
        <v>0.21</v>
      </c>
      <c r="R318" s="97" t="s">
        <v>1199</v>
      </c>
      <c r="S318" s="97" t="s">
        <v>195</v>
      </c>
    </row>
    <row r="319" spans="1:19" x14ac:dyDescent="0.3">
      <c r="A319" s="97" t="s">
        <v>512</v>
      </c>
      <c r="B319" s="97" t="s">
        <v>22</v>
      </c>
      <c r="C319">
        <v>2025</v>
      </c>
      <c r="D319">
        <v>1</v>
      </c>
      <c r="E319" s="2">
        <v>45659</v>
      </c>
      <c r="F319" s="97" t="s">
        <v>7</v>
      </c>
      <c r="G319" s="97" t="s">
        <v>8</v>
      </c>
      <c r="H319" s="97" t="s">
        <v>74</v>
      </c>
      <c r="I319" s="97" t="s">
        <v>75</v>
      </c>
      <c r="J319" s="97" t="s">
        <v>76</v>
      </c>
      <c r="K319" s="97" t="s">
        <v>73</v>
      </c>
      <c r="L319">
        <v>701000</v>
      </c>
      <c r="M319" s="97" t="s">
        <v>62</v>
      </c>
      <c r="N319" s="97" t="s">
        <v>33</v>
      </c>
      <c r="O319">
        <v>1237</v>
      </c>
      <c r="P319">
        <v>1.4</v>
      </c>
      <c r="Q319">
        <v>1.73</v>
      </c>
      <c r="R319" s="97" t="s">
        <v>1197</v>
      </c>
      <c r="S319" s="97" t="s">
        <v>195</v>
      </c>
    </row>
    <row r="320" spans="1:19" x14ac:dyDescent="0.3">
      <c r="A320" s="97" t="s">
        <v>513</v>
      </c>
      <c r="B320" s="97" t="s">
        <v>22</v>
      </c>
      <c r="C320">
        <v>2025</v>
      </c>
      <c r="D320">
        <v>1</v>
      </c>
      <c r="E320" s="2">
        <v>45659</v>
      </c>
      <c r="F320" s="97" t="s">
        <v>7</v>
      </c>
      <c r="G320" s="97" t="s">
        <v>8</v>
      </c>
      <c r="H320" s="97" t="s">
        <v>74</v>
      </c>
      <c r="I320" s="97" t="s">
        <v>75</v>
      </c>
      <c r="J320" s="97" t="s">
        <v>76</v>
      </c>
      <c r="K320" s="97" t="s">
        <v>73</v>
      </c>
      <c r="L320">
        <v>701000</v>
      </c>
      <c r="M320" s="97" t="s">
        <v>62</v>
      </c>
      <c r="N320" s="97" t="s">
        <v>33</v>
      </c>
      <c r="O320">
        <v>2846</v>
      </c>
      <c r="P320">
        <v>1.4</v>
      </c>
      <c r="Q320">
        <v>3.98</v>
      </c>
      <c r="R320" s="97" t="s">
        <v>1202</v>
      </c>
      <c r="S320" s="97" t="s">
        <v>195</v>
      </c>
    </row>
    <row r="321" spans="1:19" x14ac:dyDescent="0.3">
      <c r="A321" s="97" t="s">
        <v>514</v>
      </c>
      <c r="B321" s="97" t="s">
        <v>22</v>
      </c>
      <c r="C321">
        <v>2025</v>
      </c>
      <c r="D321">
        <v>1</v>
      </c>
      <c r="E321" s="2">
        <v>45659</v>
      </c>
      <c r="F321" s="97" t="s">
        <v>7</v>
      </c>
      <c r="G321" s="97" t="s">
        <v>8</v>
      </c>
      <c r="H321" s="97" t="s">
        <v>74</v>
      </c>
      <c r="I321" s="97" t="s">
        <v>75</v>
      </c>
      <c r="J321" s="97" t="s">
        <v>76</v>
      </c>
      <c r="K321" s="97" t="s">
        <v>73</v>
      </c>
      <c r="L321">
        <v>701000</v>
      </c>
      <c r="M321" s="97" t="s">
        <v>62</v>
      </c>
      <c r="N321" s="97" t="s">
        <v>33</v>
      </c>
      <c r="O321">
        <v>1834</v>
      </c>
      <c r="P321">
        <v>1.41</v>
      </c>
      <c r="Q321">
        <v>2.58</v>
      </c>
      <c r="R321" s="97" t="s">
        <v>1204</v>
      </c>
      <c r="S321" s="97" t="s">
        <v>195</v>
      </c>
    </row>
    <row r="322" spans="1:19" x14ac:dyDescent="0.3">
      <c r="A322" s="97" t="s">
        <v>515</v>
      </c>
      <c r="B322" s="97" t="s">
        <v>22</v>
      </c>
      <c r="C322">
        <v>2025</v>
      </c>
      <c r="D322">
        <v>1</v>
      </c>
      <c r="E322" s="2">
        <v>45670</v>
      </c>
      <c r="F322" s="97" t="s">
        <v>7</v>
      </c>
      <c r="G322" s="97" t="s">
        <v>8</v>
      </c>
      <c r="H322" s="97" t="s">
        <v>70</v>
      </c>
      <c r="I322" s="97" t="s">
        <v>75</v>
      </c>
      <c r="J322" s="97" t="s">
        <v>76</v>
      </c>
      <c r="K322" s="97" t="s">
        <v>73</v>
      </c>
      <c r="L322">
        <v>701000</v>
      </c>
      <c r="M322" s="97" t="s">
        <v>62</v>
      </c>
      <c r="N322" s="97" t="s">
        <v>33</v>
      </c>
      <c r="O322">
        <v>801</v>
      </c>
      <c r="P322">
        <v>1.4</v>
      </c>
      <c r="Q322">
        <v>1.1200000000000001</v>
      </c>
      <c r="R322" s="97" t="s">
        <v>1199</v>
      </c>
      <c r="S322" s="97" t="s">
        <v>195</v>
      </c>
    </row>
    <row r="323" spans="1:19" x14ac:dyDescent="0.3">
      <c r="A323" s="97" t="s">
        <v>516</v>
      </c>
      <c r="B323" s="97" t="s">
        <v>22</v>
      </c>
      <c r="C323">
        <v>2025</v>
      </c>
      <c r="D323">
        <v>1</v>
      </c>
      <c r="E323" s="2">
        <v>45670</v>
      </c>
      <c r="F323" s="97" t="s">
        <v>7</v>
      </c>
      <c r="G323" s="97" t="s">
        <v>8</v>
      </c>
      <c r="H323" s="97" t="s">
        <v>70</v>
      </c>
      <c r="I323" s="97" t="s">
        <v>75</v>
      </c>
      <c r="J323" s="97" t="s">
        <v>76</v>
      </c>
      <c r="K323" s="97" t="s">
        <v>73</v>
      </c>
      <c r="L323">
        <v>701000</v>
      </c>
      <c r="M323" s="97" t="s">
        <v>62</v>
      </c>
      <c r="N323" s="97" t="s">
        <v>33</v>
      </c>
      <c r="O323">
        <v>1726</v>
      </c>
      <c r="P323">
        <v>1.4</v>
      </c>
      <c r="Q323">
        <v>2.42</v>
      </c>
      <c r="R323" s="97" t="s">
        <v>1203</v>
      </c>
      <c r="S323" s="97" t="s">
        <v>195</v>
      </c>
    </row>
    <row r="324" spans="1:19" x14ac:dyDescent="0.3">
      <c r="A324" s="97" t="s">
        <v>517</v>
      </c>
      <c r="B324" s="97" t="s">
        <v>22</v>
      </c>
      <c r="C324">
        <v>2025</v>
      </c>
      <c r="D324">
        <v>1</v>
      </c>
      <c r="E324" s="2">
        <v>45670</v>
      </c>
      <c r="F324" s="97" t="s">
        <v>7</v>
      </c>
      <c r="G324" s="97" t="s">
        <v>8</v>
      </c>
      <c r="H324" s="97" t="s">
        <v>70</v>
      </c>
      <c r="I324" s="97" t="s">
        <v>75</v>
      </c>
      <c r="J324" s="97" t="s">
        <v>76</v>
      </c>
      <c r="K324" s="97" t="s">
        <v>73</v>
      </c>
      <c r="L324">
        <v>701000</v>
      </c>
      <c r="M324" s="97" t="s">
        <v>62</v>
      </c>
      <c r="N324" s="97" t="s">
        <v>33</v>
      </c>
      <c r="O324">
        <v>1920</v>
      </c>
      <c r="P324">
        <v>1.4</v>
      </c>
      <c r="Q324">
        <v>2.69</v>
      </c>
      <c r="R324" s="97" t="s">
        <v>1201</v>
      </c>
      <c r="S324" s="97" t="s">
        <v>195</v>
      </c>
    </row>
    <row r="325" spans="1:19" x14ac:dyDescent="0.3">
      <c r="A325" s="97" t="s">
        <v>518</v>
      </c>
      <c r="B325" s="97" t="s">
        <v>22</v>
      </c>
      <c r="C325">
        <v>2025</v>
      </c>
      <c r="D325">
        <v>1</v>
      </c>
      <c r="E325" s="2">
        <v>45670</v>
      </c>
      <c r="F325" s="97" t="s">
        <v>7</v>
      </c>
      <c r="G325" s="97" t="s">
        <v>8</v>
      </c>
      <c r="H325" s="97" t="s">
        <v>70</v>
      </c>
      <c r="I325" s="97" t="s">
        <v>75</v>
      </c>
      <c r="J325" s="97" t="s">
        <v>76</v>
      </c>
      <c r="K325" s="97" t="s">
        <v>73</v>
      </c>
      <c r="L325">
        <v>701000</v>
      </c>
      <c r="M325" s="97" t="s">
        <v>62</v>
      </c>
      <c r="N325" s="97" t="s">
        <v>33</v>
      </c>
      <c r="O325">
        <v>3273</v>
      </c>
      <c r="P325">
        <v>1.4</v>
      </c>
      <c r="Q325">
        <v>4.58</v>
      </c>
      <c r="R325" s="97" t="s">
        <v>1200</v>
      </c>
      <c r="S325" s="97" t="s">
        <v>195</v>
      </c>
    </row>
    <row r="326" spans="1:19" x14ac:dyDescent="0.3">
      <c r="A326" s="97" t="s">
        <v>519</v>
      </c>
      <c r="B326" s="97" t="s">
        <v>22</v>
      </c>
      <c r="C326">
        <v>2025</v>
      </c>
      <c r="D326">
        <v>1</v>
      </c>
      <c r="E326" s="2">
        <v>45670</v>
      </c>
      <c r="F326" s="97" t="s">
        <v>7</v>
      </c>
      <c r="G326" s="97" t="s">
        <v>8</v>
      </c>
      <c r="H326" s="97" t="s">
        <v>70</v>
      </c>
      <c r="I326" s="97" t="s">
        <v>75</v>
      </c>
      <c r="J326" s="97" t="s">
        <v>76</v>
      </c>
      <c r="K326" s="97" t="s">
        <v>73</v>
      </c>
      <c r="L326">
        <v>701000</v>
      </c>
      <c r="M326" s="97" t="s">
        <v>62</v>
      </c>
      <c r="N326" s="97" t="s">
        <v>33</v>
      </c>
      <c r="O326">
        <v>457</v>
      </c>
      <c r="P326">
        <v>1.4</v>
      </c>
      <c r="Q326">
        <v>0.64</v>
      </c>
      <c r="R326" s="97" t="s">
        <v>1197</v>
      </c>
      <c r="S326" s="97" t="s">
        <v>195</v>
      </c>
    </row>
    <row r="327" spans="1:19" x14ac:dyDescent="0.3">
      <c r="A327" s="97" t="s">
        <v>520</v>
      </c>
      <c r="B327" s="97" t="s">
        <v>22</v>
      </c>
      <c r="C327">
        <v>2025</v>
      </c>
      <c r="D327">
        <v>1</v>
      </c>
      <c r="E327" s="2">
        <v>45662</v>
      </c>
      <c r="F327" s="97" t="s">
        <v>7</v>
      </c>
      <c r="G327" s="97" t="s">
        <v>8</v>
      </c>
      <c r="H327" s="97" t="s">
        <v>70</v>
      </c>
      <c r="I327" s="97" t="s">
        <v>75</v>
      </c>
      <c r="J327" s="97" t="s">
        <v>76</v>
      </c>
      <c r="K327" s="97" t="s">
        <v>73</v>
      </c>
      <c r="L327">
        <v>701000</v>
      </c>
      <c r="M327" s="97" t="s">
        <v>62</v>
      </c>
      <c r="N327" s="97" t="s">
        <v>33</v>
      </c>
      <c r="O327">
        <v>453</v>
      </c>
      <c r="P327">
        <v>1.39</v>
      </c>
      <c r="Q327">
        <v>0.63</v>
      </c>
      <c r="R327" s="97" t="s">
        <v>1200</v>
      </c>
      <c r="S327" s="97" t="s">
        <v>195</v>
      </c>
    </row>
    <row r="328" spans="1:19" x14ac:dyDescent="0.3">
      <c r="A328" s="97" t="s">
        <v>521</v>
      </c>
      <c r="B328" s="97" t="s">
        <v>22</v>
      </c>
      <c r="C328">
        <v>2025</v>
      </c>
      <c r="D328">
        <v>1</v>
      </c>
      <c r="E328" s="2">
        <v>45662</v>
      </c>
      <c r="F328" s="97" t="s">
        <v>7</v>
      </c>
      <c r="G328" s="97" t="s">
        <v>8</v>
      </c>
      <c r="H328" s="97" t="s">
        <v>70</v>
      </c>
      <c r="I328" s="97" t="s">
        <v>75</v>
      </c>
      <c r="J328" s="97" t="s">
        <v>76</v>
      </c>
      <c r="K328" s="97" t="s">
        <v>73</v>
      </c>
      <c r="L328">
        <v>701000</v>
      </c>
      <c r="M328" s="97" t="s">
        <v>62</v>
      </c>
      <c r="N328" s="97" t="s">
        <v>33</v>
      </c>
      <c r="O328">
        <v>2795</v>
      </c>
      <c r="P328">
        <v>1.4</v>
      </c>
      <c r="Q328">
        <v>3.91</v>
      </c>
      <c r="R328" s="97" t="s">
        <v>1201</v>
      </c>
      <c r="S328" s="97" t="s">
        <v>195</v>
      </c>
    </row>
    <row r="329" spans="1:19" x14ac:dyDescent="0.3">
      <c r="A329" s="97" t="s">
        <v>522</v>
      </c>
      <c r="B329" s="97" t="s">
        <v>22</v>
      </c>
      <c r="C329">
        <v>2025</v>
      </c>
      <c r="D329">
        <v>1</v>
      </c>
      <c r="E329" s="2">
        <v>45662</v>
      </c>
      <c r="F329" s="97" t="s">
        <v>7</v>
      </c>
      <c r="G329" s="97" t="s">
        <v>8</v>
      </c>
      <c r="H329" s="97" t="s">
        <v>70</v>
      </c>
      <c r="I329" s="97" t="s">
        <v>75</v>
      </c>
      <c r="J329" s="97" t="s">
        <v>76</v>
      </c>
      <c r="K329" s="97" t="s">
        <v>73</v>
      </c>
      <c r="L329">
        <v>701000</v>
      </c>
      <c r="M329" s="97" t="s">
        <v>62</v>
      </c>
      <c r="N329" s="97" t="s">
        <v>33</v>
      </c>
      <c r="O329">
        <v>506</v>
      </c>
      <c r="P329">
        <v>1.4</v>
      </c>
      <c r="Q329">
        <v>0.71</v>
      </c>
      <c r="R329" s="97" t="s">
        <v>1197</v>
      </c>
      <c r="S329" s="97" t="s">
        <v>195</v>
      </c>
    </row>
    <row r="330" spans="1:19" x14ac:dyDescent="0.3">
      <c r="A330" s="97" t="s">
        <v>523</v>
      </c>
      <c r="B330" s="97" t="s">
        <v>22</v>
      </c>
      <c r="C330">
        <v>2025</v>
      </c>
      <c r="D330">
        <v>1</v>
      </c>
      <c r="E330" s="2">
        <v>45662</v>
      </c>
      <c r="F330" s="97" t="s">
        <v>7</v>
      </c>
      <c r="G330" s="97" t="s">
        <v>8</v>
      </c>
      <c r="H330" s="97" t="s">
        <v>70</v>
      </c>
      <c r="I330" s="97" t="s">
        <v>75</v>
      </c>
      <c r="J330" s="97" t="s">
        <v>76</v>
      </c>
      <c r="K330" s="97" t="s">
        <v>73</v>
      </c>
      <c r="L330">
        <v>701000</v>
      </c>
      <c r="M330" s="97" t="s">
        <v>62</v>
      </c>
      <c r="N330" s="97" t="s">
        <v>33</v>
      </c>
      <c r="O330">
        <v>3256</v>
      </c>
      <c r="P330">
        <v>1.4</v>
      </c>
      <c r="Q330">
        <v>4.5599999999999996</v>
      </c>
      <c r="R330" s="97" t="s">
        <v>1205</v>
      </c>
      <c r="S330" s="97" t="s">
        <v>195</v>
      </c>
    </row>
    <row r="331" spans="1:19" x14ac:dyDescent="0.3">
      <c r="A331" s="97" t="s">
        <v>524</v>
      </c>
      <c r="B331" s="97" t="s">
        <v>22</v>
      </c>
      <c r="C331">
        <v>2025</v>
      </c>
      <c r="D331">
        <v>1</v>
      </c>
      <c r="E331" s="2">
        <v>45662</v>
      </c>
      <c r="F331" s="97" t="s">
        <v>7</v>
      </c>
      <c r="G331" s="97" t="s">
        <v>8</v>
      </c>
      <c r="H331" s="97" t="s">
        <v>70</v>
      </c>
      <c r="I331" s="97" t="s">
        <v>75</v>
      </c>
      <c r="J331" s="97" t="s">
        <v>76</v>
      </c>
      <c r="K331" s="97" t="s">
        <v>73</v>
      </c>
      <c r="L331">
        <v>701000</v>
      </c>
      <c r="M331" s="97" t="s">
        <v>62</v>
      </c>
      <c r="N331" s="97" t="s">
        <v>33</v>
      </c>
      <c r="O331">
        <v>1342</v>
      </c>
      <c r="P331">
        <v>1.4</v>
      </c>
      <c r="Q331">
        <v>1.88</v>
      </c>
      <c r="R331" s="97" t="s">
        <v>1199</v>
      </c>
      <c r="S331" s="97" t="s">
        <v>195</v>
      </c>
    </row>
    <row r="332" spans="1:19" x14ac:dyDescent="0.3">
      <c r="A332" s="97" t="s">
        <v>525</v>
      </c>
      <c r="B332" s="97" t="s">
        <v>22</v>
      </c>
      <c r="C332">
        <v>2025</v>
      </c>
      <c r="D332">
        <v>1</v>
      </c>
      <c r="E332" s="2">
        <v>45684</v>
      </c>
      <c r="F332" s="97" t="s">
        <v>7</v>
      </c>
      <c r="G332" s="97" t="s">
        <v>8</v>
      </c>
      <c r="H332" s="97" t="s">
        <v>74</v>
      </c>
      <c r="I332" s="97" t="s">
        <v>75</v>
      </c>
      <c r="J332" s="97" t="s">
        <v>76</v>
      </c>
      <c r="K332" s="97" t="s">
        <v>73</v>
      </c>
      <c r="L332">
        <v>701000</v>
      </c>
      <c r="M332" s="97" t="s">
        <v>62</v>
      </c>
      <c r="N332" s="97" t="s">
        <v>33</v>
      </c>
      <c r="O332">
        <v>3571</v>
      </c>
      <c r="P332">
        <v>1.4</v>
      </c>
      <c r="Q332">
        <v>5</v>
      </c>
      <c r="R332" s="97" t="s">
        <v>1202</v>
      </c>
      <c r="S332" s="97" t="s">
        <v>195</v>
      </c>
    </row>
    <row r="333" spans="1:19" x14ac:dyDescent="0.3">
      <c r="A333" s="97" t="s">
        <v>526</v>
      </c>
      <c r="B333" s="97" t="s">
        <v>22</v>
      </c>
      <c r="C333">
        <v>2025</v>
      </c>
      <c r="D333">
        <v>1</v>
      </c>
      <c r="E333" s="2">
        <v>45684</v>
      </c>
      <c r="F333" s="97" t="s">
        <v>7</v>
      </c>
      <c r="G333" s="97" t="s">
        <v>8</v>
      </c>
      <c r="H333" s="97" t="s">
        <v>74</v>
      </c>
      <c r="I333" s="97" t="s">
        <v>75</v>
      </c>
      <c r="J333" s="97" t="s">
        <v>76</v>
      </c>
      <c r="K333" s="97" t="s">
        <v>73</v>
      </c>
      <c r="L333">
        <v>701000</v>
      </c>
      <c r="M333" s="97" t="s">
        <v>62</v>
      </c>
      <c r="N333" s="97" t="s">
        <v>33</v>
      </c>
      <c r="O333">
        <v>1668</v>
      </c>
      <c r="P333">
        <v>1.4</v>
      </c>
      <c r="Q333">
        <v>2.33</v>
      </c>
      <c r="R333" s="97" t="s">
        <v>1204</v>
      </c>
      <c r="S333" s="97" t="s">
        <v>195</v>
      </c>
    </row>
    <row r="334" spans="1:19" x14ac:dyDescent="0.3">
      <c r="A334" s="97" t="s">
        <v>527</v>
      </c>
      <c r="B334" s="97" t="s">
        <v>22</v>
      </c>
      <c r="C334">
        <v>2025</v>
      </c>
      <c r="D334">
        <v>1</v>
      </c>
      <c r="E334" s="2">
        <v>45684</v>
      </c>
      <c r="F334" s="97" t="s">
        <v>7</v>
      </c>
      <c r="G334" s="97" t="s">
        <v>8</v>
      </c>
      <c r="H334" s="97" t="s">
        <v>74</v>
      </c>
      <c r="I334" s="97" t="s">
        <v>75</v>
      </c>
      <c r="J334" s="97" t="s">
        <v>76</v>
      </c>
      <c r="K334" s="97" t="s">
        <v>73</v>
      </c>
      <c r="L334">
        <v>701000</v>
      </c>
      <c r="M334" s="97" t="s">
        <v>62</v>
      </c>
      <c r="N334" s="97" t="s">
        <v>33</v>
      </c>
      <c r="O334">
        <v>568</v>
      </c>
      <c r="P334">
        <v>1.41</v>
      </c>
      <c r="Q334">
        <v>0.8</v>
      </c>
      <c r="R334" s="97" t="s">
        <v>1200</v>
      </c>
      <c r="S334" s="97" t="s">
        <v>195</v>
      </c>
    </row>
    <row r="335" spans="1:19" x14ac:dyDescent="0.3">
      <c r="A335" s="97" t="s">
        <v>528</v>
      </c>
      <c r="B335" s="97" t="s">
        <v>22</v>
      </c>
      <c r="C335">
        <v>2025</v>
      </c>
      <c r="D335">
        <v>1</v>
      </c>
      <c r="E335" s="2">
        <v>45684</v>
      </c>
      <c r="F335" s="97" t="s">
        <v>7</v>
      </c>
      <c r="G335" s="97" t="s">
        <v>8</v>
      </c>
      <c r="H335" s="97" t="s">
        <v>74</v>
      </c>
      <c r="I335" s="97" t="s">
        <v>75</v>
      </c>
      <c r="J335" s="97" t="s">
        <v>76</v>
      </c>
      <c r="K335" s="97" t="s">
        <v>73</v>
      </c>
      <c r="L335">
        <v>701000</v>
      </c>
      <c r="M335" s="97" t="s">
        <v>62</v>
      </c>
      <c r="N335" s="97" t="s">
        <v>33</v>
      </c>
      <c r="O335">
        <v>3383</v>
      </c>
      <c r="P335">
        <v>1.4</v>
      </c>
      <c r="Q335">
        <v>4.7300000000000004</v>
      </c>
      <c r="R335" s="97" t="s">
        <v>1203</v>
      </c>
      <c r="S335" s="97" t="s">
        <v>195</v>
      </c>
    </row>
    <row r="336" spans="1:19" x14ac:dyDescent="0.3">
      <c r="A336" s="97" t="s">
        <v>529</v>
      </c>
      <c r="B336" s="97" t="s">
        <v>22</v>
      </c>
      <c r="C336">
        <v>2025</v>
      </c>
      <c r="D336">
        <v>1</v>
      </c>
      <c r="E336" s="2">
        <v>45684</v>
      </c>
      <c r="F336" s="97" t="s">
        <v>7</v>
      </c>
      <c r="G336" s="97" t="s">
        <v>8</v>
      </c>
      <c r="H336" s="97" t="s">
        <v>74</v>
      </c>
      <c r="I336" s="97" t="s">
        <v>75</v>
      </c>
      <c r="J336" s="97" t="s">
        <v>76</v>
      </c>
      <c r="K336" s="97" t="s">
        <v>73</v>
      </c>
      <c r="L336">
        <v>701000</v>
      </c>
      <c r="M336" s="97" t="s">
        <v>62</v>
      </c>
      <c r="N336" s="97" t="s">
        <v>33</v>
      </c>
      <c r="O336">
        <v>371</v>
      </c>
      <c r="P336">
        <v>1.4</v>
      </c>
      <c r="Q336">
        <v>0.52</v>
      </c>
      <c r="R336" s="97" t="s">
        <v>1205</v>
      </c>
      <c r="S336" s="97" t="s">
        <v>195</v>
      </c>
    </row>
    <row r="337" spans="1:19" x14ac:dyDescent="0.3">
      <c r="A337" s="97" t="s">
        <v>530</v>
      </c>
      <c r="B337" s="97" t="s">
        <v>22</v>
      </c>
      <c r="C337">
        <v>2025</v>
      </c>
      <c r="D337">
        <v>1</v>
      </c>
      <c r="E337" s="2">
        <v>45663</v>
      </c>
      <c r="F337" s="97" t="s">
        <v>7</v>
      </c>
      <c r="G337" s="97" t="s">
        <v>8</v>
      </c>
      <c r="H337" s="97" t="s">
        <v>74</v>
      </c>
      <c r="I337" s="97" t="s">
        <v>75</v>
      </c>
      <c r="J337" s="97" t="s">
        <v>76</v>
      </c>
      <c r="K337" s="97" t="s">
        <v>73</v>
      </c>
      <c r="L337">
        <v>701000</v>
      </c>
      <c r="M337" s="97" t="s">
        <v>62</v>
      </c>
      <c r="N337" s="97" t="s">
        <v>33</v>
      </c>
      <c r="O337">
        <v>2895</v>
      </c>
      <c r="P337">
        <v>1.4</v>
      </c>
      <c r="Q337">
        <v>4.05</v>
      </c>
      <c r="R337" s="97" t="s">
        <v>1204</v>
      </c>
      <c r="S337" s="97" t="s">
        <v>195</v>
      </c>
    </row>
    <row r="338" spans="1:19" x14ac:dyDescent="0.3">
      <c r="A338" s="97" t="s">
        <v>531</v>
      </c>
      <c r="B338" s="97" t="s">
        <v>22</v>
      </c>
      <c r="C338">
        <v>2025</v>
      </c>
      <c r="D338">
        <v>1</v>
      </c>
      <c r="E338" s="2">
        <v>45663</v>
      </c>
      <c r="F338" s="97" t="s">
        <v>7</v>
      </c>
      <c r="G338" s="97" t="s">
        <v>8</v>
      </c>
      <c r="H338" s="97" t="s">
        <v>74</v>
      </c>
      <c r="I338" s="97" t="s">
        <v>75</v>
      </c>
      <c r="J338" s="97" t="s">
        <v>76</v>
      </c>
      <c r="K338" s="97" t="s">
        <v>73</v>
      </c>
      <c r="L338">
        <v>701000</v>
      </c>
      <c r="M338" s="97" t="s">
        <v>62</v>
      </c>
      <c r="N338" s="97" t="s">
        <v>33</v>
      </c>
      <c r="O338">
        <v>1212</v>
      </c>
      <c r="P338">
        <v>1.4</v>
      </c>
      <c r="Q338">
        <v>1.7</v>
      </c>
      <c r="R338" s="97" t="s">
        <v>1200</v>
      </c>
      <c r="S338" s="97" t="s">
        <v>195</v>
      </c>
    </row>
    <row r="339" spans="1:19" x14ac:dyDescent="0.3">
      <c r="A339" s="97" t="s">
        <v>532</v>
      </c>
      <c r="B339" s="97" t="s">
        <v>22</v>
      </c>
      <c r="C339">
        <v>2025</v>
      </c>
      <c r="D339">
        <v>1</v>
      </c>
      <c r="E339" s="2">
        <v>45663</v>
      </c>
      <c r="F339" s="97" t="s">
        <v>7</v>
      </c>
      <c r="G339" s="97" t="s">
        <v>8</v>
      </c>
      <c r="H339" s="97" t="s">
        <v>74</v>
      </c>
      <c r="I339" s="97" t="s">
        <v>75</v>
      </c>
      <c r="J339" s="97" t="s">
        <v>76</v>
      </c>
      <c r="K339" s="97" t="s">
        <v>73</v>
      </c>
      <c r="L339">
        <v>701000</v>
      </c>
      <c r="M339" s="97" t="s">
        <v>62</v>
      </c>
      <c r="N339" s="97" t="s">
        <v>33</v>
      </c>
      <c r="O339">
        <v>1048</v>
      </c>
      <c r="P339">
        <v>1.4</v>
      </c>
      <c r="Q339">
        <v>1.47</v>
      </c>
      <c r="R339" s="97" t="s">
        <v>1203</v>
      </c>
      <c r="S339" s="97" t="s">
        <v>195</v>
      </c>
    </row>
    <row r="340" spans="1:19" x14ac:dyDescent="0.3">
      <c r="A340" s="97" t="s">
        <v>533</v>
      </c>
      <c r="B340" s="97" t="s">
        <v>22</v>
      </c>
      <c r="C340">
        <v>2025</v>
      </c>
      <c r="D340">
        <v>1</v>
      </c>
      <c r="E340" s="2">
        <v>45663</v>
      </c>
      <c r="F340" s="97" t="s">
        <v>7</v>
      </c>
      <c r="G340" s="97" t="s">
        <v>8</v>
      </c>
      <c r="H340" s="97" t="s">
        <v>74</v>
      </c>
      <c r="I340" s="97" t="s">
        <v>75</v>
      </c>
      <c r="J340" s="97" t="s">
        <v>76</v>
      </c>
      <c r="K340" s="97" t="s">
        <v>73</v>
      </c>
      <c r="L340">
        <v>701000</v>
      </c>
      <c r="M340" s="97" t="s">
        <v>62</v>
      </c>
      <c r="N340" s="97" t="s">
        <v>33</v>
      </c>
      <c r="O340">
        <v>1907</v>
      </c>
      <c r="P340">
        <v>1.4</v>
      </c>
      <c r="Q340">
        <v>2.67</v>
      </c>
      <c r="R340" s="97" t="s">
        <v>1199</v>
      </c>
      <c r="S340" s="97" t="s">
        <v>195</v>
      </c>
    </row>
    <row r="341" spans="1:19" x14ac:dyDescent="0.3">
      <c r="A341" s="97" t="s">
        <v>534</v>
      </c>
      <c r="B341" s="97" t="s">
        <v>22</v>
      </c>
      <c r="C341">
        <v>2025</v>
      </c>
      <c r="D341">
        <v>1</v>
      </c>
      <c r="E341" s="2">
        <v>45663</v>
      </c>
      <c r="F341" s="97" t="s">
        <v>7</v>
      </c>
      <c r="G341" s="97" t="s">
        <v>8</v>
      </c>
      <c r="H341" s="97" t="s">
        <v>74</v>
      </c>
      <c r="I341" s="97" t="s">
        <v>75</v>
      </c>
      <c r="J341" s="97" t="s">
        <v>76</v>
      </c>
      <c r="K341" s="97" t="s">
        <v>73</v>
      </c>
      <c r="L341">
        <v>701000</v>
      </c>
      <c r="M341" s="97" t="s">
        <v>62</v>
      </c>
      <c r="N341" s="97" t="s">
        <v>33</v>
      </c>
      <c r="O341">
        <v>1565</v>
      </c>
      <c r="P341">
        <v>1.4</v>
      </c>
      <c r="Q341">
        <v>2.19</v>
      </c>
      <c r="R341" s="97" t="s">
        <v>1202</v>
      </c>
      <c r="S341" s="97" t="s">
        <v>195</v>
      </c>
    </row>
    <row r="342" spans="1:19" x14ac:dyDescent="0.3">
      <c r="A342" s="97" t="s">
        <v>535</v>
      </c>
      <c r="B342" s="97" t="s">
        <v>22</v>
      </c>
      <c r="C342">
        <v>2025</v>
      </c>
      <c r="D342">
        <v>1</v>
      </c>
      <c r="E342" s="2">
        <v>45675</v>
      </c>
      <c r="F342" s="97" t="s">
        <v>7</v>
      </c>
      <c r="G342" s="97" t="s">
        <v>8</v>
      </c>
      <c r="H342" s="97" t="s">
        <v>74</v>
      </c>
      <c r="I342" s="97" t="s">
        <v>75</v>
      </c>
      <c r="J342" s="97" t="s">
        <v>76</v>
      </c>
      <c r="K342" s="97" t="s">
        <v>73</v>
      </c>
      <c r="L342">
        <v>707000</v>
      </c>
      <c r="M342" s="97" t="s">
        <v>81</v>
      </c>
      <c r="N342" s="97" t="s">
        <v>33</v>
      </c>
      <c r="O342">
        <v>537</v>
      </c>
      <c r="P342">
        <v>1.4</v>
      </c>
      <c r="Q342">
        <v>0.75</v>
      </c>
      <c r="R342" s="97" t="s">
        <v>1204</v>
      </c>
      <c r="S342" s="97" t="s">
        <v>195</v>
      </c>
    </row>
    <row r="343" spans="1:19" x14ac:dyDescent="0.3">
      <c r="A343" s="97" t="s">
        <v>536</v>
      </c>
      <c r="B343" s="97" t="s">
        <v>22</v>
      </c>
      <c r="C343">
        <v>2025</v>
      </c>
      <c r="D343">
        <v>1</v>
      </c>
      <c r="E343" s="2">
        <v>45675</v>
      </c>
      <c r="F343" s="97" t="s">
        <v>7</v>
      </c>
      <c r="G343" s="97" t="s">
        <v>8</v>
      </c>
      <c r="H343" s="97" t="s">
        <v>74</v>
      </c>
      <c r="I343" s="97" t="s">
        <v>75</v>
      </c>
      <c r="J343" s="97" t="s">
        <v>76</v>
      </c>
      <c r="K343" s="97" t="s">
        <v>73</v>
      </c>
      <c r="L343">
        <v>707000</v>
      </c>
      <c r="M343" s="97" t="s">
        <v>81</v>
      </c>
      <c r="N343" s="97" t="s">
        <v>33</v>
      </c>
      <c r="O343">
        <v>106</v>
      </c>
      <c r="P343">
        <v>1.42</v>
      </c>
      <c r="Q343">
        <v>0.15</v>
      </c>
      <c r="R343" s="97" t="s">
        <v>1202</v>
      </c>
      <c r="S343" s="97" t="s">
        <v>195</v>
      </c>
    </row>
    <row r="344" spans="1:19" x14ac:dyDescent="0.3">
      <c r="A344" s="97" t="s">
        <v>537</v>
      </c>
      <c r="B344" s="97" t="s">
        <v>22</v>
      </c>
      <c r="C344">
        <v>2025</v>
      </c>
      <c r="D344">
        <v>1</v>
      </c>
      <c r="E344" s="2">
        <v>45675</v>
      </c>
      <c r="F344" s="97" t="s">
        <v>7</v>
      </c>
      <c r="G344" s="97" t="s">
        <v>8</v>
      </c>
      <c r="H344" s="97" t="s">
        <v>74</v>
      </c>
      <c r="I344" s="97" t="s">
        <v>75</v>
      </c>
      <c r="J344" s="97" t="s">
        <v>76</v>
      </c>
      <c r="K344" s="97" t="s">
        <v>73</v>
      </c>
      <c r="L344">
        <v>707000</v>
      </c>
      <c r="M344" s="97" t="s">
        <v>81</v>
      </c>
      <c r="N344" s="97" t="s">
        <v>33</v>
      </c>
      <c r="O344">
        <v>2023</v>
      </c>
      <c r="P344">
        <v>1.4</v>
      </c>
      <c r="Q344">
        <v>2.83</v>
      </c>
      <c r="R344" s="97" t="s">
        <v>1199</v>
      </c>
      <c r="S344" s="97" t="s">
        <v>195</v>
      </c>
    </row>
    <row r="345" spans="1:19" x14ac:dyDescent="0.3">
      <c r="A345" s="97" t="s">
        <v>538</v>
      </c>
      <c r="B345" s="97" t="s">
        <v>22</v>
      </c>
      <c r="C345">
        <v>2025</v>
      </c>
      <c r="D345">
        <v>1</v>
      </c>
      <c r="E345" s="2">
        <v>45675</v>
      </c>
      <c r="F345" s="97" t="s">
        <v>7</v>
      </c>
      <c r="G345" s="97" t="s">
        <v>8</v>
      </c>
      <c r="H345" s="97" t="s">
        <v>74</v>
      </c>
      <c r="I345" s="97" t="s">
        <v>75</v>
      </c>
      <c r="J345" s="97" t="s">
        <v>76</v>
      </c>
      <c r="K345" s="97" t="s">
        <v>73</v>
      </c>
      <c r="L345">
        <v>707000</v>
      </c>
      <c r="M345" s="97" t="s">
        <v>81</v>
      </c>
      <c r="N345" s="97" t="s">
        <v>33</v>
      </c>
      <c r="O345">
        <v>3271</v>
      </c>
      <c r="P345">
        <v>1.4</v>
      </c>
      <c r="Q345">
        <v>4.58</v>
      </c>
      <c r="R345" s="97" t="s">
        <v>1201</v>
      </c>
      <c r="S345" s="97" t="s">
        <v>195</v>
      </c>
    </row>
    <row r="346" spans="1:19" x14ac:dyDescent="0.3">
      <c r="A346" s="97" t="s">
        <v>539</v>
      </c>
      <c r="B346" s="97" t="s">
        <v>22</v>
      </c>
      <c r="C346">
        <v>2025</v>
      </c>
      <c r="D346">
        <v>1</v>
      </c>
      <c r="E346" s="2">
        <v>45675</v>
      </c>
      <c r="F346" s="97" t="s">
        <v>7</v>
      </c>
      <c r="G346" s="97" t="s">
        <v>8</v>
      </c>
      <c r="H346" s="97" t="s">
        <v>74</v>
      </c>
      <c r="I346" s="97" t="s">
        <v>75</v>
      </c>
      <c r="J346" s="97" t="s">
        <v>76</v>
      </c>
      <c r="K346" s="97" t="s">
        <v>73</v>
      </c>
      <c r="L346">
        <v>707000</v>
      </c>
      <c r="M346" s="97" t="s">
        <v>81</v>
      </c>
      <c r="N346" s="97" t="s">
        <v>33</v>
      </c>
      <c r="O346">
        <v>2743</v>
      </c>
      <c r="P346">
        <v>1.4</v>
      </c>
      <c r="Q346">
        <v>3.84</v>
      </c>
      <c r="R346" s="97" t="s">
        <v>1205</v>
      </c>
      <c r="S346" s="97" t="s">
        <v>195</v>
      </c>
    </row>
    <row r="347" spans="1:19" x14ac:dyDescent="0.3">
      <c r="A347" s="97" t="s">
        <v>540</v>
      </c>
      <c r="B347" s="97" t="s">
        <v>22</v>
      </c>
      <c r="C347">
        <v>2025</v>
      </c>
      <c r="D347">
        <v>1</v>
      </c>
      <c r="E347" s="2">
        <v>45669</v>
      </c>
      <c r="F347" s="97" t="s">
        <v>7</v>
      </c>
      <c r="G347" s="97" t="s">
        <v>8</v>
      </c>
      <c r="H347" s="97" t="s">
        <v>70</v>
      </c>
      <c r="I347" s="97" t="s">
        <v>75</v>
      </c>
      <c r="J347" s="97" t="s">
        <v>76</v>
      </c>
      <c r="K347" s="97" t="s">
        <v>73</v>
      </c>
      <c r="L347">
        <v>701000</v>
      </c>
      <c r="M347" s="97" t="s">
        <v>62</v>
      </c>
      <c r="N347" s="97" t="s">
        <v>33</v>
      </c>
      <c r="O347">
        <v>1978</v>
      </c>
      <c r="P347">
        <v>1.4</v>
      </c>
      <c r="Q347">
        <v>2.77</v>
      </c>
      <c r="R347" s="97" t="s">
        <v>1199</v>
      </c>
      <c r="S347" s="97" t="s">
        <v>195</v>
      </c>
    </row>
    <row r="348" spans="1:19" x14ac:dyDescent="0.3">
      <c r="A348" s="97" t="s">
        <v>541</v>
      </c>
      <c r="B348" s="97" t="s">
        <v>22</v>
      </c>
      <c r="C348">
        <v>2025</v>
      </c>
      <c r="D348">
        <v>1</v>
      </c>
      <c r="E348" s="2">
        <v>45669</v>
      </c>
      <c r="F348" s="97" t="s">
        <v>7</v>
      </c>
      <c r="G348" s="97" t="s">
        <v>8</v>
      </c>
      <c r="H348" s="97" t="s">
        <v>70</v>
      </c>
      <c r="I348" s="97" t="s">
        <v>75</v>
      </c>
      <c r="J348" s="97" t="s">
        <v>76</v>
      </c>
      <c r="K348" s="97" t="s">
        <v>73</v>
      </c>
      <c r="L348">
        <v>701000</v>
      </c>
      <c r="M348" s="97" t="s">
        <v>62</v>
      </c>
      <c r="N348" s="97" t="s">
        <v>33</v>
      </c>
      <c r="O348">
        <v>1040</v>
      </c>
      <c r="P348">
        <v>1.4</v>
      </c>
      <c r="Q348">
        <v>1.46</v>
      </c>
      <c r="R348" s="97" t="s">
        <v>1203</v>
      </c>
      <c r="S348" s="97" t="s">
        <v>195</v>
      </c>
    </row>
    <row r="349" spans="1:19" x14ac:dyDescent="0.3">
      <c r="A349" s="97" t="s">
        <v>542</v>
      </c>
      <c r="B349" s="97" t="s">
        <v>22</v>
      </c>
      <c r="C349">
        <v>2025</v>
      </c>
      <c r="D349">
        <v>1</v>
      </c>
      <c r="E349" s="2">
        <v>45669</v>
      </c>
      <c r="F349" s="97" t="s">
        <v>7</v>
      </c>
      <c r="G349" s="97" t="s">
        <v>8</v>
      </c>
      <c r="H349" s="97" t="s">
        <v>70</v>
      </c>
      <c r="I349" s="97" t="s">
        <v>75</v>
      </c>
      <c r="J349" s="97" t="s">
        <v>76</v>
      </c>
      <c r="K349" s="97" t="s">
        <v>73</v>
      </c>
      <c r="L349">
        <v>701000</v>
      </c>
      <c r="M349" s="97" t="s">
        <v>62</v>
      </c>
      <c r="N349" s="97" t="s">
        <v>33</v>
      </c>
      <c r="O349">
        <v>1271</v>
      </c>
      <c r="P349">
        <v>1.4</v>
      </c>
      <c r="Q349">
        <v>1.78</v>
      </c>
      <c r="R349" s="97" t="s">
        <v>1197</v>
      </c>
      <c r="S349" s="97" t="s">
        <v>195</v>
      </c>
    </row>
    <row r="350" spans="1:19" x14ac:dyDescent="0.3">
      <c r="A350" s="97" t="s">
        <v>543</v>
      </c>
      <c r="B350" s="97" t="s">
        <v>22</v>
      </c>
      <c r="C350">
        <v>2025</v>
      </c>
      <c r="D350">
        <v>1</v>
      </c>
      <c r="E350" s="2">
        <v>45669</v>
      </c>
      <c r="F350" s="97" t="s">
        <v>7</v>
      </c>
      <c r="G350" s="97" t="s">
        <v>8</v>
      </c>
      <c r="H350" s="97" t="s">
        <v>70</v>
      </c>
      <c r="I350" s="97" t="s">
        <v>75</v>
      </c>
      <c r="J350" s="97" t="s">
        <v>76</v>
      </c>
      <c r="K350" s="97" t="s">
        <v>73</v>
      </c>
      <c r="L350">
        <v>701000</v>
      </c>
      <c r="M350" s="97" t="s">
        <v>62</v>
      </c>
      <c r="N350" s="97" t="s">
        <v>33</v>
      </c>
      <c r="O350">
        <v>1767</v>
      </c>
      <c r="P350">
        <v>1.4</v>
      </c>
      <c r="Q350">
        <v>2.4700000000000002</v>
      </c>
      <c r="R350" s="97" t="s">
        <v>1205</v>
      </c>
      <c r="S350" s="97" t="s">
        <v>195</v>
      </c>
    </row>
    <row r="351" spans="1:19" x14ac:dyDescent="0.3">
      <c r="A351" s="97" t="s">
        <v>544</v>
      </c>
      <c r="B351" s="97" t="s">
        <v>22</v>
      </c>
      <c r="C351">
        <v>2025</v>
      </c>
      <c r="D351">
        <v>1</v>
      </c>
      <c r="E351" s="2">
        <v>45669</v>
      </c>
      <c r="F351" s="97" t="s">
        <v>7</v>
      </c>
      <c r="G351" s="97" t="s">
        <v>8</v>
      </c>
      <c r="H351" s="97" t="s">
        <v>70</v>
      </c>
      <c r="I351" s="97" t="s">
        <v>75</v>
      </c>
      <c r="J351" s="97" t="s">
        <v>76</v>
      </c>
      <c r="K351" s="97" t="s">
        <v>73</v>
      </c>
      <c r="L351">
        <v>701000</v>
      </c>
      <c r="M351" s="97" t="s">
        <v>62</v>
      </c>
      <c r="N351" s="97" t="s">
        <v>33</v>
      </c>
      <c r="O351">
        <v>1327</v>
      </c>
      <c r="P351">
        <v>1.4</v>
      </c>
      <c r="Q351">
        <v>1.86</v>
      </c>
      <c r="R351" s="97" t="s">
        <v>1202</v>
      </c>
      <c r="S351" s="97" t="s">
        <v>195</v>
      </c>
    </row>
    <row r="352" spans="1:19" x14ac:dyDescent="0.3">
      <c r="A352" s="97" t="s">
        <v>545</v>
      </c>
      <c r="B352" s="97" t="s">
        <v>22</v>
      </c>
      <c r="C352">
        <v>2025</v>
      </c>
      <c r="D352">
        <v>1</v>
      </c>
      <c r="E352" s="2">
        <v>45668</v>
      </c>
      <c r="F352" s="97" t="s">
        <v>7</v>
      </c>
      <c r="G352" s="97" t="s">
        <v>8</v>
      </c>
      <c r="H352" s="97" t="s">
        <v>74</v>
      </c>
      <c r="I352" s="97" t="s">
        <v>75</v>
      </c>
      <c r="J352" s="97" t="s">
        <v>76</v>
      </c>
      <c r="K352" s="97" t="s">
        <v>73</v>
      </c>
      <c r="L352">
        <v>701000</v>
      </c>
      <c r="M352" s="97" t="s">
        <v>62</v>
      </c>
      <c r="N352" s="97" t="s">
        <v>33</v>
      </c>
      <c r="O352">
        <v>1084</v>
      </c>
      <c r="P352">
        <v>1.4</v>
      </c>
      <c r="Q352">
        <v>1.52</v>
      </c>
      <c r="R352" s="97" t="s">
        <v>1203</v>
      </c>
      <c r="S352" s="97" t="s">
        <v>195</v>
      </c>
    </row>
    <row r="353" spans="1:19" x14ac:dyDescent="0.3">
      <c r="A353" s="97" t="s">
        <v>546</v>
      </c>
      <c r="B353" s="97" t="s">
        <v>22</v>
      </c>
      <c r="C353">
        <v>2025</v>
      </c>
      <c r="D353">
        <v>1</v>
      </c>
      <c r="E353" s="2">
        <v>45668</v>
      </c>
      <c r="F353" s="97" t="s">
        <v>7</v>
      </c>
      <c r="G353" s="97" t="s">
        <v>8</v>
      </c>
      <c r="H353" s="97" t="s">
        <v>74</v>
      </c>
      <c r="I353" s="97" t="s">
        <v>75</v>
      </c>
      <c r="J353" s="97" t="s">
        <v>76</v>
      </c>
      <c r="K353" s="97" t="s">
        <v>73</v>
      </c>
      <c r="L353">
        <v>701000</v>
      </c>
      <c r="M353" s="97" t="s">
        <v>62</v>
      </c>
      <c r="N353" s="97" t="s">
        <v>33</v>
      </c>
      <c r="O353">
        <v>576</v>
      </c>
      <c r="P353">
        <v>1.41</v>
      </c>
      <c r="Q353">
        <v>0.81</v>
      </c>
      <c r="R353" s="97" t="s">
        <v>1199</v>
      </c>
      <c r="S353" s="97" t="s">
        <v>195</v>
      </c>
    </row>
    <row r="354" spans="1:19" x14ac:dyDescent="0.3">
      <c r="A354" s="97" t="s">
        <v>547</v>
      </c>
      <c r="B354" s="97" t="s">
        <v>22</v>
      </c>
      <c r="C354">
        <v>2025</v>
      </c>
      <c r="D354">
        <v>1</v>
      </c>
      <c r="E354" s="2">
        <v>45668</v>
      </c>
      <c r="F354" s="97" t="s">
        <v>7</v>
      </c>
      <c r="G354" s="97" t="s">
        <v>8</v>
      </c>
      <c r="H354" s="97" t="s">
        <v>74</v>
      </c>
      <c r="I354" s="97" t="s">
        <v>75</v>
      </c>
      <c r="J354" s="97" t="s">
        <v>76</v>
      </c>
      <c r="K354" s="97" t="s">
        <v>73</v>
      </c>
      <c r="L354">
        <v>701000</v>
      </c>
      <c r="M354" s="97" t="s">
        <v>62</v>
      </c>
      <c r="N354" s="97" t="s">
        <v>33</v>
      </c>
      <c r="O354">
        <v>2159</v>
      </c>
      <c r="P354">
        <v>1.4</v>
      </c>
      <c r="Q354">
        <v>3.02</v>
      </c>
      <c r="R354" s="97" t="s">
        <v>1198</v>
      </c>
      <c r="S354" s="97" t="s">
        <v>195</v>
      </c>
    </row>
    <row r="355" spans="1:19" x14ac:dyDescent="0.3">
      <c r="A355" s="97" t="s">
        <v>548</v>
      </c>
      <c r="B355" s="97" t="s">
        <v>22</v>
      </c>
      <c r="C355">
        <v>2025</v>
      </c>
      <c r="D355">
        <v>1</v>
      </c>
      <c r="E355" s="2">
        <v>45668</v>
      </c>
      <c r="F355" s="97" t="s">
        <v>7</v>
      </c>
      <c r="G355" s="97" t="s">
        <v>8</v>
      </c>
      <c r="H355" s="97" t="s">
        <v>74</v>
      </c>
      <c r="I355" s="97" t="s">
        <v>75</v>
      </c>
      <c r="J355" s="97" t="s">
        <v>76</v>
      </c>
      <c r="K355" s="97" t="s">
        <v>73</v>
      </c>
      <c r="L355">
        <v>701000</v>
      </c>
      <c r="M355" s="97" t="s">
        <v>62</v>
      </c>
      <c r="N355" s="97" t="s">
        <v>33</v>
      </c>
      <c r="O355">
        <v>2714</v>
      </c>
      <c r="P355">
        <v>1.4</v>
      </c>
      <c r="Q355">
        <v>3.8</v>
      </c>
      <c r="R355" s="97" t="s">
        <v>1201</v>
      </c>
      <c r="S355" s="97" t="s">
        <v>195</v>
      </c>
    </row>
    <row r="356" spans="1:19" x14ac:dyDescent="0.3">
      <c r="A356" s="97" t="s">
        <v>549</v>
      </c>
      <c r="B356" s="97" t="s">
        <v>22</v>
      </c>
      <c r="C356">
        <v>2025</v>
      </c>
      <c r="D356">
        <v>1</v>
      </c>
      <c r="E356" s="2">
        <v>45668</v>
      </c>
      <c r="F356" s="97" t="s">
        <v>7</v>
      </c>
      <c r="G356" s="97" t="s">
        <v>8</v>
      </c>
      <c r="H356" s="97" t="s">
        <v>74</v>
      </c>
      <c r="I356" s="97" t="s">
        <v>75</v>
      </c>
      <c r="J356" s="97" t="s">
        <v>76</v>
      </c>
      <c r="K356" s="97" t="s">
        <v>73</v>
      </c>
      <c r="L356">
        <v>701000</v>
      </c>
      <c r="M356" s="97" t="s">
        <v>62</v>
      </c>
      <c r="N356" s="97" t="s">
        <v>33</v>
      </c>
      <c r="O356">
        <v>1497</v>
      </c>
      <c r="P356">
        <v>1.4</v>
      </c>
      <c r="Q356">
        <v>2.09</v>
      </c>
      <c r="R356" s="97" t="s">
        <v>1205</v>
      </c>
      <c r="S356" s="97" t="s">
        <v>195</v>
      </c>
    </row>
    <row r="357" spans="1:19" x14ac:dyDescent="0.3">
      <c r="A357" s="97" t="s">
        <v>550</v>
      </c>
      <c r="B357" s="97" t="s">
        <v>22</v>
      </c>
      <c r="C357">
        <v>2025</v>
      </c>
      <c r="D357">
        <v>1</v>
      </c>
      <c r="E357" s="2">
        <v>45666</v>
      </c>
      <c r="F357" s="97" t="s">
        <v>7</v>
      </c>
      <c r="G357" s="97" t="s">
        <v>8</v>
      </c>
      <c r="H357" s="97" t="s">
        <v>74</v>
      </c>
      <c r="I357" s="97" t="s">
        <v>75</v>
      </c>
      <c r="J357" s="97" t="s">
        <v>76</v>
      </c>
      <c r="K357" s="97" t="s">
        <v>73</v>
      </c>
      <c r="L357">
        <v>701000</v>
      </c>
      <c r="M357" s="97" t="s">
        <v>62</v>
      </c>
      <c r="N357" s="97" t="s">
        <v>33</v>
      </c>
      <c r="O357">
        <v>1733</v>
      </c>
      <c r="P357">
        <v>1.4</v>
      </c>
      <c r="Q357">
        <v>2.4300000000000002</v>
      </c>
      <c r="R357" s="97" t="s">
        <v>1200</v>
      </c>
      <c r="S357" s="97" t="s">
        <v>195</v>
      </c>
    </row>
    <row r="358" spans="1:19" x14ac:dyDescent="0.3">
      <c r="A358" s="97" t="s">
        <v>551</v>
      </c>
      <c r="B358" s="97" t="s">
        <v>22</v>
      </c>
      <c r="C358">
        <v>2025</v>
      </c>
      <c r="D358">
        <v>1</v>
      </c>
      <c r="E358" s="2">
        <v>45666</v>
      </c>
      <c r="F358" s="97" t="s">
        <v>7</v>
      </c>
      <c r="G358" s="97" t="s">
        <v>8</v>
      </c>
      <c r="H358" s="97" t="s">
        <v>74</v>
      </c>
      <c r="I358" s="97" t="s">
        <v>75</v>
      </c>
      <c r="J358" s="97" t="s">
        <v>76</v>
      </c>
      <c r="K358" s="97" t="s">
        <v>73</v>
      </c>
      <c r="L358">
        <v>701000</v>
      </c>
      <c r="M358" s="97" t="s">
        <v>62</v>
      </c>
      <c r="N358" s="97" t="s">
        <v>33</v>
      </c>
      <c r="O358">
        <v>1998</v>
      </c>
      <c r="P358">
        <v>1.4</v>
      </c>
      <c r="Q358">
        <v>2.8</v>
      </c>
      <c r="R358" s="97" t="s">
        <v>1205</v>
      </c>
      <c r="S358" s="97" t="s">
        <v>195</v>
      </c>
    </row>
    <row r="359" spans="1:19" x14ac:dyDescent="0.3">
      <c r="A359" s="97" t="s">
        <v>552</v>
      </c>
      <c r="B359" s="97" t="s">
        <v>22</v>
      </c>
      <c r="C359">
        <v>2025</v>
      </c>
      <c r="D359">
        <v>1</v>
      </c>
      <c r="E359" s="2">
        <v>45666</v>
      </c>
      <c r="F359" s="97" t="s">
        <v>7</v>
      </c>
      <c r="G359" s="97" t="s">
        <v>8</v>
      </c>
      <c r="H359" s="97" t="s">
        <v>74</v>
      </c>
      <c r="I359" s="97" t="s">
        <v>75</v>
      </c>
      <c r="J359" s="97" t="s">
        <v>76</v>
      </c>
      <c r="K359" s="97" t="s">
        <v>73</v>
      </c>
      <c r="L359">
        <v>701000</v>
      </c>
      <c r="M359" s="97" t="s">
        <v>62</v>
      </c>
      <c r="N359" s="97" t="s">
        <v>33</v>
      </c>
      <c r="O359">
        <v>237</v>
      </c>
      <c r="P359">
        <v>1.39</v>
      </c>
      <c r="Q359">
        <v>0.33</v>
      </c>
      <c r="R359" s="97" t="s">
        <v>1202</v>
      </c>
      <c r="S359" s="97" t="s">
        <v>195</v>
      </c>
    </row>
    <row r="360" spans="1:19" x14ac:dyDescent="0.3">
      <c r="A360" s="97" t="s">
        <v>553</v>
      </c>
      <c r="B360" s="97" t="s">
        <v>22</v>
      </c>
      <c r="C360">
        <v>2025</v>
      </c>
      <c r="D360">
        <v>1</v>
      </c>
      <c r="E360" s="2">
        <v>45666</v>
      </c>
      <c r="F360" s="97" t="s">
        <v>7</v>
      </c>
      <c r="G360" s="97" t="s">
        <v>8</v>
      </c>
      <c r="H360" s="97" t="s">
        <v>74</v>
      </c>
      <c r="I360" s="97" t="s">
        <v>75</v>
      </c>
      <c r="J360" s="97" t="s">
        <v>76</v>
      </c>
      <c r="K360" s="97" t="s">
        <v>73</v>
      </c>
      <c r="L360">
        <v>701000</v>
      </c>
      <c r="M360" s="97" t="s">
        <v>62</v>
      </c>
      <c r="N360" s="97" t="s">
        <v>33</v>
      </c>
      <c r="O360">
        <v>1643</v>
      </c>
      <c r="P360">
        <v>1.4</v>
      </c>
      <c r="Q360">
        <v>2.2999999999999998</v>
      </c>
      <c r="R360" s="97" t="s">
        <v>1204</v>
      </c>
      <c r="S360" s="97" t="s">
        <v>195</v>
      </c>
    </row>
    <row r="361" spans="1:19" x14ac:dyDescent="0.3">
      <c r="A361" s="97" t="s">
        <v>554</v>
      </c>
      <c r="B361" s="97" t="s">
        <v>22</v>
      </c>
      <c r="C361">
        <v>2025</v>
      </c>
      <c r="D361">
        <v>1</v>
      </c>
      <c r="E361" s="2">
        <v>45666</v>
      </c>
      <c r="F361" s="97" t="s">
        <v>7</v>
      </c>
      <c r="G361" s="97" t="s">
        <v>8</v>
      </c>
      <c r="H361" s="97" t="s">
        <v>74</v>
      </c>
      <c r="I361" s="97" t="s">
        <v>75</v>
      </c>
      <c r="J361" s="97" t="s">
        <v>76</v>
      </c>
      <c r="K361" s="97" t="s">
        <v>73</v>
      </c>
      <c r="L361">
        <v>701000</v>
      </c>
      <c r="M361" s="97" t="s">
        <v>62</v>
      </c>
      <c r="N361" s="97" t="s">
        <v>33</v>
      </c>
      <c r="O361">
        <v>1687</v>
      </c>
      <c r="P361">
        <v>1.4</v>
      </c>
      <c r="Q361">
        <v>2.36</v>
      </c>
      <c r="R361" s="97" t="s">
        <v>1197</v>
      </c>
      <c r="S361" s="97" t="s">
        <v>195</v>
      </c>
    </row>
    <row r="362" spans="1:19" x14ac:dyDescent="0.3">
      <c r="A362" s="97" t="s">
        <v>555</v>
      </c>
      <c r="B362" s="97" t="s">
        <v>22</v>
      </c>
      <c r="C362">
        <v>2025</v>
      </c>
      <c r="D362">
        <v>1</v>
      </c>
      <c r="E362" s="2">
        <v>45678</v>
      </c>
      <c r="F362" s="97" t="s">
        <v>7</v>
      </c>
      <c r="G362" s="97" t="s">
        <v>8</v>
      </c>
      <c r="H362" s="97" t="s">
        <v>70</v>
      </c>
      <c r="I362" s="97" t="s">
        <v>75</v>
      </c>
      <c r="J362" s="97" t="s">
        <v>76</v>
      </c>
      <c r="K362" s="97" t="s">
        <v>73</v>
      </c>
      <c r="L362">
        <v>706000</v>
      </c>
      <c r="M362" s="97" t="s">
        <v>63</v>
      </c>
      <c r="N362" s="97" t="s">
        <v>33</v>
      </c>
      <c r="O362">
        <v>1688</v>
      </c>
      <c r="P362">
        <v>1.4</v>
      </c>
      <c r="Q362">
        <v>2.36</v>
      </c>
      <c r="R362" s="97" t="s">
        <v>1197</v>
      </c>
      <c r="S362" s="97" t="s">
        <v>195</v>
      </c>
    </row>
    <row r="363" spans="1:19" x14ac:dyDescent="0.3">
      <c r="A363" s="97" t="s">
        <v>556</v>
      </c>
      <c r="B363" s="97" t="s">
        <v>22</v>
      </c>
      <c r="C363">
        <v>2025</v>
      </c>
      <c r="D363">
        <v>1</v>
      </c>
      <c r="E363" s="2">
        <v>45678</v>
      </c>
      <c r="F363" s="97" t="s">
        <v>7</v>
      </c>
      <c r="G363" s="97" t="s">
        <v>8</v>
      </c>
      <c r="H363" s="97" t="s">
        <v>70</v>
      </c>
      <c r="I363" s="97" t="s">
        <v>75</v>
      </c>
      <c r="J363" s="97" t="s">
        <v>76</v>
      </c>
      <c r="K363" s="97" t="s">
        <v>73</v>
      </c>
      <c r="L363">
        <v>706000</v>
      </c>
      <c r="M363" s="97" t="s">
        <v>63</v>
      </c>
      <c r="N363" s="97" t="s">
        <v>33</v>
      </c>
      <c r="O363">
        <v>2261</v>
      </c>
      <c r="P363">
        <v>1.4</v>
      </c>
      <c r="Q363">
        <v>3.16</v>
      </c>
      <c r="R363" s="97" t="s">
        <v>1200</v>
      </c>
      <c r="S363" s="97" t="s">
        <v>195</v>
      </c>
    </row>
    <row r="364" spans="1:19" x14ac:dyDescent="0.3">
      <c r="A364" s="97" t="s">
        <v>557</v>
      </c>
      <c r="B364" s="97" t="s">
        <v>22</v>
      </c>
      <c r="C364">
        <v>2025</v>
      </c>
      <c r="D364">
        <v>1</v>
      </c>
      <c r="E364" s="2">
        <v>45678</v>
      </c>
      <c r="F364" s="97" t="s">
        <v>7</v>
      </c>
      <c r="G364" s="97" t="s">
        <v>8</v>
      </c>
      <c r="H364" s="97" t="s">
        <v>70</v>
      </c>
      <c r="I364" s="97" t="s">
        <v>75</v>
      </c>
      <c r="J364" s="97" t="s">
        <v>76</v>
      </c>
      <c r="K364" s="97" t="s">
        <v>73</v>
      </c>
      <c r="L364">
        <v>706000</v>
      </c>
      <c r="M364" s="97" t="s">
        <v>63</v>
      </c>
      <c r="N364" s="97" t="s">
        <v>33</v>
      </c>
      <c r="O364">
        <v>1653</v>
      </c>
      <c r="P364">
        <v>1.4</v>
      </c>
      <c r="Q364">
        <v>2.31</v>
      </c>
      <c r="R364" s="97" t="s">
        <v>1204</v>
      </c>
      <c r="S364" s="97" t="s">
        <v>195</v>
      </c>
    </row>
    <row r="365" spans="1:19" x14ac:dyDescent="0.3">
      <c r="A365" s="97" t="s">
        <v>558</v>
      </c>
      <c r="B365" s="97" t="s">
        <v>22</v>
      </c>
      <c r="C365">
        <v>2025</v>
      </c>
      <c r="D365">
        <v>1</v>
      </c>
      <c r="E365" s="2">
        <v>45678</v>
      </c>
      <c r="F365" s="97" t="s">
        <v>7</v>
      </c>
      <c r="G365" s="97" t="s">
        <v>8</v>
      </c>
      <c r="H365" s="97" t="s">
        <v>70</v>
      </c>
      <c r="I365" s="97" t="s">
        <v>75</v>
      </c>
      <c r="J365" s="97" t="s">
        <v>76</v>
      </c>
      <c r="K365" s="97" t="s">
        <v>73</v>
      </c>
      <c r="L365">
        <v>706000</v>
      </c>
      <c r="M365" s="97" t="s">
        <v>63</v>
      </c>
      <c r="N365" s="97" t="s">
        <v>33</v>
      </c>
      <c r="O365">
        <v>2250</v>
      </c>
      <c r="P365">
        <v>1.4</v>
      </c>
      <c r="Q365">
        <v>3.15</v>
      </c>
      <c r="R365" s="97" t="s">
        <v>1198</v>
      </c>
      <c r="S365" s="97" t="s">
        <v>195</v>
      </c>
    </row>
    <row r="366" spans="1:19" x14ac:dyDescent="0.3">
      <c r="A366" s="97" t="s">
        <v>559</v>
      </c>
      <c r="B366" s="97" t="s">
        <v>22</v>
      </c>
      <c r="C366">
        <v>2025</v>
      </c>
      <c r="D366">
        <v>1</v>
      </c>
      <c r="E366" s="2">
        <v>45678</v>
      </c>
      <c r="F366" s="97" t="s">
        <v>7</v>
      </c>
      <c r="G366" s="97" t="s">
        <v>8</v>
      </c>
      <c r="H366" s="97" t="s">
        <v>70</v>
      </c>
      <c r="I366" s="97" t="s">
        <v>75</v>
      </c>
      <c r="J366" s="97" t="s">
        <v>76</v>
      </c>
      <c r="K366" s="97" t="s">
        <v>73</v>
      </c>
      <c r="L366">
        <v>706000</v>
      </c>
      <c r="M366" s="97" t="s">
        <v>63</v>
      </c>
      <c r="N366" s="97" t="s">
        <v>33</v>
      </c>
      <c r="O366">
        <v>343</v>
      </c>
      <c r="P366">
        <v>1.43</v>
      </c>
      <c r="Q366">
        <v>0.49</v>
      </c>
      <c r="R366" s="97" t="s">
        <v>1203</v>
      </c>
      <c r="S366" s="97" t="s">
        <v>195</v>
      </c>
    </row>
    <row r="367" spans="1:19" x14ac:dyDescent="0.3">
      <c r="A367" s="97" t="s">
        <v>560</v>
      </c>
      <c r="B367" s="97" t="s">
        <v>22</v>
      </c>
      <c r="C367">
        <v>2025</v>
      </c>
      <c r="D367">
        <v>1</v>
      </c>
      <c r="E367" s="2">
        <v>45672</v>
      </c>
      <c r="F367" s="97" t="s">
        <v>7</v>
      </c>
      <c r="G367" s="97" t="s">
        <v>8</v>
      </c>
      <c r="H367" s="97" t="s">
        <v>70</v>
      </c>
      <c r="I367" s="97" t="s">
        <v>75</v>
      </c>
      <c r="J367" s="97" t="s">
        <v>76</v>
      </c>
      <c r="K367" s="97" t="s">
        <v>73</v>
      </c>
      <c r="L367">
        <v>701000</v>
      </c>
      <c r="M367" s="97" t="s">
        <v>62</v>
      </c>
      <c r="N367" s="97" t="s">
        <v>33</v>
      </c>
      <c r="O367">
        <v>3274</v>
      </c>
      <c r="P367">
        <v>1.4</v>
      </c>
      <c r="Q367">
        <v>4.58</v>
      </c>
      <c r="R367" s="97" t="s">
        <v>1204</v>
      </c>
      <c r="S367" s="97" t="s">
        <v>195</v>
      </c>
    </row>
    <row r="368" spans="1:19" x14ac:dyDescent="0.3">
      <c r="A368" s="97" t="s">
        <v>561</v>
      </c>
      <c r="B368" s="97" t="s">
        <v>22</v>
      </c>
      <c r="C368">
        <v>2025</v>
      </c>
      <c r="D368">
        <v>1</v>
      </c>
      <c r="E368" s="2">
        <v>45672</v>
      </c>
      <c r="F368" s="97" t="s">
        <v>7</v>
      </c>
      <c r="G368" s="97" t="s">
        <v>8</v>
      </c>
      <c r="H368" s="97" t="s">
        <v>70</v>
      </c>
      <c r="I368" s="97" t="s">
        <v>75</v>
      </c>
      <c r="J368" s="97" t="s">
        <v>76</v>
      </c>
      <c r="K368" s="97" t="s">
        <v>73</v>
      </c>
      <c r="L368">
        <v>701000</v>
      </c>
      <c r="M368" s="97" t="s">
        <v>62</v>
      </c>
      <c r="N368" s="97" t="s">
        <v>33</v>
      </c>
      <c r="O368">
        <v>1599</v>
      </c>
      <c r="P368">
        <v>1.4</v>
      </c>
      <c r="Q368">
        <v>2.2400000000000002</v>
      </c>
      <c r="R368" s="97" t="s">
        <v>1199</v>
      </c>
      <c r="S368" s="97" t="s">
        <v>195</v>
      </c>
    </row>
    <row r="369" spans="1:19" x14ac:dyDescent="0.3">
      <c r="A369" s="97" t="s">
        <v>562</v>
      </c>
      <c r="B369" s="97" t="s">
        <v>22</v>
      </c>
      <c r="C369">
        <v>2025</v>
      </c>
      <c r="D369">
        <v>1</v>
      </c>
      <c r="E369" s="2">
        <v>45672</v>
      </c>
      <c r="F369" s="97" t="s">
        <v>7</v>
      </c>
      <c r="G369" s="97" t="s">
        <v>8</v>
      </c>
      <c r="H369" s="97" t="s">
        <v>70</v>
      </c>
      <c r="I369" s="97" t="s">
        <v>75</v>
      </c>
      <c r="J369" s="97" t="s">
        <v>76</v>
      </c>
      <c r="K369" s="97" t="s">
        <v>73</v>
      </c>
      <c r="L369">
        <v>701000</v>
      </c>
      <c r="M369" s="97" t="s">
        <v>62</v>
      </c>
      <c r="N369" s="97" t="s">
        <v>33</v>
      </c>
      <c r="O369">
        <v>1042</v>
      </c>
      <c r="P369">
        <v>1.4</v>
      </c>
      <c r="Q369">
        <v>1.46</v>
      </c>
      <c r="R369" s="97" t="s">
        <v>1203</v>
      </c>
      <c r="S369" s="97" t="s">
        <v>195</v>
      </c>
    </row>
    <row r="370" spans="1:19" x14ac:dyDescent="0.3">
      <c r="A370" s="97" t="s">
        <v>563</v>
      </c>
      <c r="B370" s="97" t="s">
        <v>22</v>
      </c>
      <c r="C370">
        <v>2025</v>
      </c>
      <c r="D370">
        <v>1</v>
      </c>
      <c r="E370" s="2">
        <v>45672</v>
      </c>
      <c r="F370" s="97" t="s">
        <v>7</v>
      </c>
      <c r="G370" s="97" t="s">
        <v>8</v>
      </c>
      <c r="H370" s="97" t="s">
        <v>70</v>
      </c>
      <c r="I370" s="97" t="s">
        <v>75</v>
      </c>
      <c r="J370" s="97" t="s">
        <v>76</v>
      </c>
      <c r="K370" s="97" t="s">
        <v>73</v>
      </c>
      <c r="L370">
        <v>701000</v>
      </c>
      <c r="M370" s="97" t="s">
        <v>62</v>
      </c>
      <c r="N370" s="97" t="s">
        <v>33</v>
      </c>
      <c r="O370">
        <v>1481</v>
      </c>
      <c r="P370">
        <v>1.4</v>
      </c>
      <c r="Q370">
        <v>2.0699999999999998</v>
      </c>
      <c r="R370" s="97" t="s">
        <v>1198</v>
      </c>
      <c r="S370" s="97" t="s">
        <v>195</v>
      </c>
    </row>
    <row r="371" spans="1:19" x14ac:dyDescent="0.3">
      <c r="A371" s="97" t="s">
        <v>564</v>
      </c>
      <c r="B371" s="97" t="s">
        <v>22</v>
      </c>
      <c r="C371">
        <v>2025</v>
      </c>
      <c r="D371">
        <v>1</v>
      </c>
      <c r="E371" s="2">
        <v>45672</v>
      </c>
      <c r="F371" s="97" t="s">
        <v>7</v>
      </c>
      <c r="G371" s="97" t="s">
        <v>8</v>
      </c>
      <c r="H371" s="97" t="s">
        <v>70</v>
      </c>
      <c r="I371" s="97" t="s">
        <v>75</v>
      </c>
      <c r="J371" s="97" t="s">
        <v>76</v>
      </c>
      <c r="K371" s="97" t="s">
        <v>73</v>
      </c>
      <c r="L371">
        <v>701000</v>
      </c>
      <c r="M371" s="97" t="s">
        <v>62</v>
      </c>
      <c r="N371" s="97" t="s">
        <v>33</v>
      </c>
      <c r="O371">
        <v>1063</v>
      </c>
      <c r="P371">
        <v>1.4</v>
      </c>
      <c r="Q371">
        <v>1.49</v>
      </c>
      <c r="R371" s="97" t="s">
        <v>1205</v>
      </c>
      <c r="S371" s="97" t="s">
        <v>195</v>
      </c>
    </row>
    <row r="372" spans="1:19" x14ac:dyDescent="0.3">
      <c r="A372" s="97" t="s">
        <v>565</v>
      </c>
      <c r="B372" s="97" t="s">
        <v>22</v>
      </c>
      <c r="C372">
        <v>2025</v>
      </c>
      <c r="D372">
        <v>1</v>
      </c>
      <c r="E372" s="2">
        <v>45670</v>
      </c>
      <c r="F372" s="97" t="s">
        <v>7</v>
      </c>
      <c r="G372" s="97" t="s">
        <v>8</v>
      </c>
      <c r="H372" s="97" t="s">
        <v>70</v>
      </c>
      <c r="I372" s="97" t="s">
        <v>77</v>
      </c>
      <c r="J372" s="97" t="s">
        <v>78</v>
      </c>
      <c r="K372" s="97" t="s">
        <v>73</v>
      </c>
      <c r="L372">
        <v>701000</v>
      </c>
      <c r="M372" s="97" t="s">
        <v>62</v>
      </c>
      <c r="N372" s="97" t="s">
        <v>33</v>
      </c>
      <c r="O372">
        <v>1383</v>
      </c>
      <c r="P372">
        <v>1.8</v>
      </c>
      <c r="Q372">
        <v>2.4900000000000002</v>
      </c>
      <c r="R372" s="97" t="s">
        <v>1204</v>
      </c>
      <c r="S372" s="97" t="s">
        <v>195</v>
      </c>
    </row>
    <row r="373" spans="1:19" x14ac:dyDescent="0.3">
      <c r="A373" s="97" t="s">
        <v>566</v>
      </c>
      <c r="B373" s="97" t="s">
        <v>22</v>
      </c>
      <c r="C373">
        <v>2025</v>
      </c>
      <c r="D373">
        <v>1</v>
      </c>
      <c r="E373" s="2">
        <v>45670</v>
      </c>
      <c r="F373" s="97" t="s">
        <v>7</v>
      </c>
      <c r="G373" s="97" t="s">
        <v>8</v>
      </c>
      <c r="H373" s="97" t="s">
        <v>70</v>
      </c>
      <c r="I373" s="97" t="s">
        <v>77</v>
      </c>
      <c r="J373" s="97" t="s">
        <v>78</v>
      </c>
      <c r="K373" s="97" t="s">
        <v>73</v>
      </c>
      <c r="L373">
        <v>701000</v>
      </c>
      <c r="M373" s="97" t="s">
        <v>62</v>
      </c>
      <c r="N373" s="97" t="s">
        <v>33</v>
      </c>
      <c r="O373">
        <v>145</v>
      </c>
      <c r="P373">
        <v>1.79</v>
      </c>
      <c r="Q373">
        <v>0.26</v>
      </c>
      <c r="R373" s="97" t="s">
        <v>1198</v>
      </c>
      <c r="S373" s="97" t="s">
        <v>195</v>
      </c>
    </row>
    <row r="374" spans="1:19" x14ac:dyDescent="0.3">
      <c r="A374" s="97" t="s">
        <v>567</v>
      </c>
      <c r="B374" s="97" t="s">
        <v>22</v>
      </c>
      <c r="C374">
        <v>2025</v>
      </c>
      <c r="D374">
        <v>1</v>
      </c>
      <c r="E374" s="2">
        <v>45670</v>
      </c>
      <c r="F374" s="97" t="s">
        <v>7</v>
      </c>
      <c r="G374" s="97" t="s">
        <v>8</v>
      </c>
      <c r="H374" s="97" t="s">
        <v>70</v>
      </c>
      <c r="I374" s="97" t="s">
        <v>77</v>
      </c>
      <c r="J374" s="97" t="s">
        <v>78</v>
      </c>
      <c r="K374" s="97" t="s">
        <v>73</v>
      </c>
      <c r="L374">
        <v>701000</v>
      </c>
      <c r="M374" s="97" t="s">
        <v>62</v>
      </c>
      <c r="N374" s="97" t="s">
        <v>33</v>
      </c>
      <c r="O374">
        <v>1427</v>
      </c>
      <c r="P374">
        <v>1.8</v>
      </c>
      <c r="Q374">
        <v>2.57</v>
      </c>
      <c r="R374" s="97" t="s">
        <v>1202</v>
      </c>
      <c r="S374" s="97" t="s">
        <v>195</v>
      </c>
    </row>
    <row r="375" spans="1:19" x14ac:dyDescent="0.3">
      <c r="A375" s="97" t="s">
        <v>568</v>
      </c>
      <c r="B375" s="97" t="s">
        <v>22</v>
      </c>
      <c r="C375">
        <v>2025</v>
      </c>
      <c r="D375">
        <v>1</v>
      </c>
      <c r="E375" s="2">
        <v>45670</v>
      </c>
      <c r="F375" s="97" t="s">
        <v>7</v>
      </c>
      <c r="G375" s="97" t="s">
        <v>8</v>
      </c>
      <c r="H375" s="97" t="s">
        <v>70</v>
      </c>
      <c r="I375" s="97" t="s">
        <v>77</v>
      </c>
      <c r="J375" s="97" t="s">
        <v>78</v>
      </c>
      <c r="K375" s="97" t="s">
        <v>73</v>
      </c>
      <c r="L375">
        <v>701000</v>
      </c>
      <c r="M375" s="97" t="s">
        <v>62</v>
      </c>
      <c r="N375" s="97" t="s">
        <v>33</v>
      </c>
      <c r="O375">
        <v>520</v>
      </c>
      <c r="P375">
        <v>1.81</v>
      </c>
      <c r="Q375">
        <v>0.94</v>
      </c>
      <c r="R375" s="97" t="s">
        <v>1200</v>
      </c>
      <c r="S375" s="97" t="s">
        <v>195</v>
      </c>
    </row>
    <row r="376" spans="1:19" x14ac:dyDescent="0.3">
      <c r="A376" s="97" t="s">
        <v>569</v>
      </c>
      <c r="B376" s="97" t="s">
        <v>22</v>
      </c>
      <c r="C376">
        <v>2025</v>
      </c>
      <c r="D376">
        <v>1</v>
      </c>
      <c r="E376" s="2">
        <v>45670</v>
      </c>
      <c r="F376" s="97" t="s">
        <v>7</v>
      </c>
      <c r="G376" s="97" t="s">
        <v>8</v>
      </c>
      <c r="H376" s="97" t="s">
        <v>70</v>
      </c>
      <c r="I376" s="97" t="s">
        <v>77</v>
      </c>
      <c r="J376" s="97" t="s">
        <v>78</v>
      </c>
      <c r="K376" s="97" t="s">
        <v>73</v>
      </c>
      <c r="L376">
        <v>701000</v>
      </c>
      <c r="M376" s="97" t="s">
        <v>62</v>
      </c>
      <c r="N376" s="97" t="s">
        <v>33</v>
      </c>
      <c r="O376">
        <v>926</v>
      </c>
      <c r="P376">
        <v>1.79</v>
      </c>
      <c r="Q376">
        <v>1.66</v>
      </c>
      <c r="R376" s="97" t="s">
        <v>1203</v>
      </c>
      <c r="S376" s="97" t="s">
        <v>195</v>
      </c>
    </row>
    <row r="377" spans="1:19" x14ac:dyDescent="0.3">
      <c r="A377" s="97" t="s">
        <v>570</v>
      </c>
      <c r="B377" s="97" t="s">
        <v>22</v>
      </c>
      <c r="C377">
        <v>2025</v>
      </c>
      <c r="D377">
        <v>1</v>
      </c>
      <c r="E377" s="2">
        <v>45680</v>
      </c>
      <c r="F377" s="97" t="s">
        <v>7</v>
      </c>
      <c r="G377" s="97" t="s">
        <v>8</v>
      </c>
      <c r="H377" s="97" t="s">
        <v>70</v>
      </c>
      <c r="I377" s="97" t="s">
        <v>77</v>
      </c>
      <c r="J377" s="97" t="s">
        <v>78</v>
      </c>
      <c r="K377" s="97" t="s">
        <v>73</v>
      </c>
      <c r="L377">
        <v>706000</v>
      </c>
      <c r="M377" s="97" t="s">
        <v>63</v>
      </c>
      <c r="N377" s="97" t="s">
        <v>33</v>
      </c>
      <c r="O377">
        <v>233</v>
      </c>
      <c r="P377">
        <v>1.8</v>
      </c>
      <c r="Q377">
        <v>0.42</v>
      </c>
      <c r="R377" s="97" t="s">
        <v>1205</v>
      </c>
      <c r="S377" s="97" t="s">
        <v>195</v>
      </c>
    </row>
    <row r="378" spans="1:19" x14ac:dyDescent="0.3">
      <c r="A378" s="97" t="s">
        <v>571</v>
      </c>
      <c r="B378" s="97" t="s">
        <v>22</v>
      </c>
      <c r="C378">
        <v>2025</v>
      </c>
      <c r="D378">
        <v>1</v>
      </c>
      <c r="E378" s="2">
        <v>45680</v>
      </c>
      <c r="F378" s="97" t="s">
        <v>7</v>
      </c>
      <c r="G378" s="97" t="s">
        <v>8</v>
      </c>
      <c r="H378" s="97" t="s">
        <v>70</v>
      </c>
      <c r="I378" s="97" t="s">
        <v>77</v>
      </c>
      <c r="J378" s="97" t="s">
        <v>78</v>
      </c>
      <c r="K378" s="97" t="s">
        <v>73</v>
      </c>
      <c r="L378">
        <v>706000</v>
      </c>
      <c r="M378" s="97" t="s">
        <v>63</v>
      </c>
      <c r="N378" s="97" t="s">
        <v>33</v>
      </c>
      <c r="O378">
        <v>2125</v>
      </c>
      <c r="P378">
        <v>1.8</v>
      </c>
      <c r="Q378">
        <v>3.82</v>
      </c>
      <c r="R378" s="97" t="s">
        <v>1200</v>
      </c>
      <c r="S378" s="97" t="s">
        <v>195</v>
      </c>
    </row>
    <row r="379" spans="1:19" x14ac:dyDescent="0.3">
      <c r="A379" s="97" t="s">
        <v>572</v>
      </c>
      <c r="B379" s="97" t="s">
        <v>22</v>
      </c>
      <c r="C379">
        <v>2025</v>
      </c>
      <c r="D379">
        <v>1</v>
      </c>
      <c r="E379" s="2">
        <v>45680</v>
      </c>
      <c r="F379" s="97" t="s">
        <v>7</v>
      </c>
      <c r="G379" s="97" t="s">
        <v>8</v>
      </c>
      <c r="H379" s="97" t="s">
        <v>70</v>
      </c>
      <c r="I379" s="97" t="s">
        <v>77</v>
      </c>
      <c r="J379" s="97" t="s">
        <v>78</v>
      </c>
      <c r="K379" s="97" t="s">
        <v>73</v>
      </c>
      <c r="L379">
        <v>706000</v>
      </c>
      <c r="M379" s="97" t="s">
        <v>63</v>
      </c>
      <c r="N379" s="97" t="s">
        <v>33</v>
      </c>
      <c r="O379">
        <v>692</v>
      </c>
      <c r="P379">
        <v>1.79</v>
      </c>
      <c r="Q379">
        <v>1.24</v>
      </c>
      <c r="R379" s="97" t="s">
        <v>1204</v>
      </c>
      <c r="S379" s="97" t="s">
        <v>195</v>
      </c>
    </row>
    <row r="380" spans="1:19" x14ac:dyDescent="0.3">
      <c r="A380" s="97" t="s">
        <v>573</v>
      </c>
      <c r="B380" s="97" t="s">
        <v>22</v>
      </c>
      <c r="C380">
        <v>2025</v>
      </c>
      <c r="D380">
        <v>1</v>
      </c>
      <c r="E380" s="2">
        <v>45680</v>
      </c>
      <c r="F380" s="97" t="s">
        <v>7</v>
      </c>
      <c r="G380" s="97" t="s">
        <v>8</v>
      </c>
      <c r="H380" s="97" t="s">
        <v>70</v>
      </c>
      <c r="I380" s="97" t="s">
        <v>77</v>
      </c>
      <c r="J380" s="97" t="s">
        <v>78</v>
      </c>
      <c r="K380" s="97" t="s">
        <v>73</v>
      </c>
      <c r="L380">
        <v>706000</v>
      </c>
      <c r="M380" s="97" t="s">
        <v>63</v>
      </c>
      <c r="N380" s="97" t="s">
        <v>33</v>
      </c>
      <c r="O380">
        <v>1401</v>
      </c>
      <c r="P380">
        <v>1.8</v>
      </c>
      <c r="Q380">
        <v>2.52</v>
      </c>
      <c r="R380" s="97" t="s">
        <v>1199</v>
      </c>
      <c r="S380" s="97" t="s">
        <v>195</v>
      </c>
    </row>
    <row r="381" spans="1:19" x14ac:dyDescent="0.3">
      <c r="A381" s="97" t="s">
        <v>574</v>
      </c>
      <c r="B381" s="97" t="s">
        <v>22</v>
      </c>
      <c r="C381">
        <v>2025</v>
      </c>
      <c r="D381">
        <v>1</v>
      </c>
      <c r="E381" s="2">
        <v>45680</v>
      </c>
      <c r="F381" s="97" t="s">
        <v>7</v>
      </c>
      <c r="G381" s="97" t="s">
        <v>8</v>
      </c>
      <c r="H381" s="97" t="s">
        <v>70</v>
      </c>
      <c r="I381" s="97" t="s">
        <v>77</v>
      </c>
      <c r="J381" s="97" t="s">
        <v>78</v>
      </c>
      <c r="K381" s="97" t="s">
        <v>73</v>
      </c>
      <c r="L381">
        <v>706000</v>
      </c>
      <c r="M381" s="97" t="s">
        <v>63</v>
      </c>
      <c r="N381" s="97" t="s">
        <v>33</v>
      </c>
      <c r="O381">
        <v>634</v>
      </c>
      <c r="P381">
        <v>1.81</v>
      </c>
      <c r="Q381">
        <v>1.1499999999999999</v>
      </c>
      <c r="R381" s="97" t="s">
        <v>1202</v>
      </c>
      <c r="S381" s="97" t="s">
        <v>195</v>
      </c>
    </row>
    <row r="382" spans="1:19" x14ac:dyDescent="0.3">
      <c r="A382" s="97" t="s">
        <v>575</v>
      </c>
      <c r="B382" s="97" t="s">
        <v>22</v>
      </c>
      <c r="C382">
        <v>2025</v>
      </c>
      <c r="D382">
        <v>1</v>
      </c>
      <c r="E382" s="2">
        <v>45669</v>
      </c>
      <c r="F382" s="97" t="s">
        <v>7</v>
      </c>
      <c r="G382" s="97" t="s">
        <v>8</v>
      </c>
      <c r="H382" s="97" t="s">
        <v>74</v>
      </c>
      <c r="I382" s="97" t="s">
        <v>77</v>
      </c>
      <c r="J382" s="97" t="s">
        <v>78</v>
      </c>
      <c r="K382" s="97" t="s">
        <v>73</v>
      </c>
      <c r="L382">
        <v>701000</v>
      </c>
      <c r="M382" s="97" t="s">
        <v>62</v>
      </c>
      <c r="N382" s="97" t="s">
        <v>33</v>
      </c>
      <c r="O382">
        <v>1367</v>
      </c>
      <c r="P382">
        <v>1.8</v>
      </c>
      <c r="Q382">
        <v>2.46</v>
      </c>
      <c r="R382" s="97" t="s">
        <v>1202</v>
      </c>
      <c r="S382" s="97" t="s">
        <v>195</v>
      </c>
    </row>
    <row r="383" spans="1:19" x14ac:dyDescent="0.3">
      <c r="A383" s="97" t="s">
        <v>576</v>
      </c>
      <c r="B383" s="97" t="s">
        <v>22</v>
      </c>
      <c r="C383">
        <v>2025</v>
      </c>
      <c r="D383">
        <v>1</v>
      </c>
      <c r="E383" s="2">
        <v>45669</v>
      </c>
      <c r="F383" s="97" t="s">
        <v>7</v>
      </c>
      <c r="G383" s="97" t="s">
        <v>8</v>
      </c>
      <c r="H383" s="97" t="s">
        <v>74</v>
      </c>
      <c r="I383" s="97" t="s">
        <v>77</v>
      </c>
      <c r="J383" s="97" t="s">
        <v>78</v>
      </c>
      <c r="K383" s="97" t="s">
        <v>73</v>
      </c>
      <c r="L383">
        <v>701000</v>
      </c>
      <c r="M383" s="97" t="s">
        <v>62</v>
      </c>
      <c r="N383" s="97" t="s">
        <v>33</v>
      </c>
      <c r="O383">
        <v>472</v>
      </c>
      <c r="P383">
        <v>1.8</v>
      </c>
      <c r="Q383">
        <v>0.85</v>
      </c>
      <c r="R383" s="97" t="s">
        <v>1201</v>
      </c>
      <c r="S383" s="97" t="s">
        <v>195</v>
      </c>
    </row>
    <row r="384" spans="1:19" x14ac:dyDescent="0.3">
      <c r="A384" s="97" t="s">
        <v>577</v>
      </c>
      <c r="B384" s="97" t="s">
        <v>22</v>
      </c>
      <c r="C384">
        <v>2025</v>
      </c>
      <c r="D384">
        <v>1</v>
      </c>
      <c r="E384" s="2">
        <v>45669</v>
      </c>
      <c r="F384" s="97" t="s">
        <v>7</v>
      </c>
      <c r="G384" s="97" t="s">
        <v>8</v>
      </c>
      <c r="H384" s="97" t="s">
        <v>74</v>
      </c>
      <c r="I384" s="97" t="s">
        <v>77</v>
      </c>
      <c r="J384" s="97" t="s">
        <v>78</v>
      </c>
      <c r="K384" s="97" t="s">
        <v>73</v>
      </c>
      <c r="L384">
        <v>701000</v>
      </c>
      <c r="M384" s="97" t="s">
        <v>62</v>
      </c>
      <c r="N384" s="97" t="s">
        <v>33</v>
      </c>
      <c r="O384">
        <v>637</v>
      </c>
      <c r="P384">
        <v>1.81</v>
      </c>
      <c r="Q384">
        <v>1.1499999999999999</v>
      </c>
      <c r="R384" s="97" t="s">
        <v>1198</v>
      </c>
      <c r="S384" s="97" t="s">
        <v>195</v>
      </c>
    </row>
    <row r="385" spans="1:19" x14ac:dyDescent="0.3">
      <c r="A385" s="97" t="s">
        <v>578</v>
      </c>
      <c r="B385" s="97" t="s">
        <v>22</v>
      </c>
      <c r="C385">
        <v>2025</v>
      </c>
      <c r="D385">
        <v>1</v>
      </c>
      <c r="E385" s="2">
        <v>45669</v>
      </c>
      <c r="F385" s="97" t="s">
        <v>7</v>
      </c>
      <c r="G385" s="97" t="s">
        <v>8</v>
      </c>
      <c r="H385" s="97" t="s">
        <v>74</v>
      </c>
      <c r="I385" s="97" t="s">
        <v>77</v>
      </c>
      <c r="J385" s="97" t="s">
        <v>78</v>
      </c>
      <c r="K385" s="97" t="s">
        <v>73</v>
      </c>
      <c r="L385">
        <v>701000</v>
      </c>
      <c r="M385" s="97" t="s">
        <v>62</v>
      </c>
      <c r="N385" s="97" t="s">
        <v>33</v>
      </c>
      <c r="O385">
        <v>869</v>
      </c>
      <c r="P385">
        <v>1.8</v>
      </c>
      <c r="Q385">
        <v>1.56</v>
      </c>
      <c r="R385" s="97" t="s">
        <v>1199</v>
      </c>
      <c r="S385" s="97" t="s">
        <v>195</v>
      </c>
    </row>
    <row r="386" spans="1:19" x14ac:dyDescent="0.3">
      <c r="A386" s="97" t="s">
        <v>579</v>
      </c>
      <c r="B386" s="97" t="s">
        <v>22</v>
      </c>
      <c r="C386">
        <v>2025</v>
      </c>
      <c r="D386">
        <v>1</v>
      </c>
      <c r="E386" s="2">
        <v>45669</v>
      </c>
      <c r="F386" s="97" t="s">
        <v>7</v>
      </c>
      <c r="G386" s="97" t="s">
        <v>8</v>
      </c>
      <c r="H386" s="97" t="s">
        <v>74</v>
      </c>
      <c r="I386" s="97" t="s">
        <v>77</v>
      </c>
      <c r="J386" s="97" t="s">
        <v>78</v>
      </c>
      <c r="K386" s="97" t="s">
        <v>73</v>
      </c>
      <c r="L386">
        <v>701000</v>
      </c>
      <c r="M386" s="97" t="s">
        <v>62</v>
      </c>
      <c r="N386" s="97" t="s">
        <v>33</v>
      </c>
      <c r="O386">
        <v>833</v>
      </c>
      <c r="P386">
        <v>1.8</v>
      </c>
      <c r="Q386">
        <v>1.5</v>
      </c>
      <c r="R386" s="97" t="s">
        <v>1197</v>
      </c>
      <c r="S386" s="97" t="s">
        <v>195</v>
      </c>
    </row>
    <row r="387" spans="1:19" x14ac:dyDescent="0.3">
      <c r="A387" s="97" t="s">
        <v>580</v>
      </c>
      <c r="B387" s="97" t="s">
        <v>22</v>
      </c>
      <c r="C387">
        <v>2025</v>
      </c>
      <c r="D387">
        <v>1</v>
      </c>
      <c r="E387" s="2">
        <v>45659</v>
      </c>
      <c r="F387" s="97" t="s">
        <v>7</v>
      </c>
      <c r="G387" s="97" t="s">
        <v>8</v>
      </c>
      <c r="H387" s="97" t="s">
        <v>74</v>
      </c>
      <c r="I387" s="97" t="s">
        <v>77</v>
      </c>
      <c r="J387" s="97" t="s">
        <v>78</v>
      </c>
      <c r="K387" s="97" t="s">
        <v>73</v>
      </c>
      <c r="L387">
        <v>701000</v>
      </c>
      <c r="M387" s="97" t="s">
        <v>62</v>
      </c>
      <c r="N387" s="97" t="s">
        <v>33</v>
      </c>
      <c r="O387">
        <v>736</v>
      </c>
      <c r="P387">
        <v>1.81</v>
      </c>
      <c r="Q387">
        <v>1.33</v>
      </c>
      <c r="R387" s="97" t="s">
        <v>1202</v>
      </c>
      <c r="S387" s="97" t="s">
        <v>195</v>
      </c>
    </row>
    <row r="388" spans="1:19" x14ac:dyDescent="0.3">
      <c r="A388" s="97" t="s">
        <v>581</v>
      </c>
      <c r="B388" s="97" t="s">
        <v>22</v>
      </c>
      <c r="C388">
        <v>2025</v>
      </c>
      <c r="D388">
        <v>1</v>
      </c>
      <c r="E388" s="2">
        <v>45659</v>
      </c>
      <c r="F388" s="97" t="s">
        <v>7</v>
      </c>
      <c r="G388" s="97" t="s">
        <v>8</v>
      </c>
      <c r="H388" s="97" t="s">
        <v>74</v>
      </c>
      <c r="I388" s="97" t="s">
        <v>77</v>
      </c>
      <c r="J388" s="97" t="s">
        <v>78</v>
      </c>
      <c r="K388" s="97" t="s">
        <v>73</v>
      </c>
      <c r="L388">
        <v>701000</v>
      </c>
      <c r="M388" s="97" t="s">
        <v>62</v>
      </c>
      <c r="N388" s="97" t="s">
        <v>33</v>
      </c>
      <c r="O388">
        <v>589</v>
      </c>
      <c r="P388">
        <v>1.8</v>
      </c>
      <c r="Q388">
        <v>1.06</v>
      </c>
      <c r="R388" s="97" t="s">
        <v>1200</v>
      </c>
      <c r="S388" s="97" t="s">
        <v>195</v>
      </c>
    </row>
    <row r="389" spans="1:19" x14ac:dyDescent="0.3">
      <c r="A389" s="97" t="s">
        <v>582</v>
      </c>
      <c r="B389" s="97" t="s">
        <v>22</v>
      </c>
      <c r="C389">
        <v>2025</v>
      </c>
      <c r="D389">
        <v>1</v>
      </c>
      <c r="E389" s="2">
        <v>45659</v>
      </c>
      <c r="F389" s="97" t="s">
        <v>7</v>
      </c>
      <c r="G389" s="97" t="s">
        <v>8</v>
      </c>
      <c r="H389" s="97" t="s">
        <v>74</v>
      </c>
      <c r="I389" s="97" t="s">
        <v>77</v>
      </c>
      <c r="J389" s="97" t="s">
        <v>78</v>
      </c>
      <c r="K389" s="97" t="s">
        <v>73</v>
      </c>
      <c r="L389">
        <v>701000</v>
      </c>
      <c r="M389" s="97" t="s">
        <v>62</v>
      </c>
      <c r="N389" s="97" t="s">
        <v>33</v>
      </c>
      <c r="O389">
        <v>1743</v>
      </c>
      <c r="P389">
        <v>1.8</v>
      </c>
      <c r="Q389">
        <v>3.14</v>
      </c>
      <c r="R389" s="97" t="s">
        <v>1197</v>
      </c>
      <c r="S389" s="97" t="s">
        <v>195</v>
      </c>
    </row>
    <row r="390" spans="1:19" x14ac:dyDescent="0.3">
      <c r="A390" s="97" t="s">
        <v>583</v>
      </c>
      <c r="B390" s="97" t="s">
        <v>22</v>
      </c>
      <c r="C390">
        <v>2025</v>
      </c>
      <c r="D390">
        <v>1</v>
      </c>
      <c r="E390" s="2">
        <v>45659</v>
      </c>
      <c r="F390" s="97" t="s">
        <v>7</v>
      </c>
      <c r="G390" s="97" t="s">
        <v>8</v>
      </c>
      <c r="H390" s="97" t="s">
        <v>74</v>
      </c>
      <c r="I390" s="97" t="s">
        <v>77</v>
      </c>
      <c r="J390" s="97" t="s">
        <v>78</v>
      </c>
      <c r="K390" s="97" t="s">
        <v>73</v>
      </c>
      <c r="L390">
        <v>701000</v>
      </c>
      <c r="M390" s="97" t="s">
        <v>62</v>
      </c>
      <c r="N390" s="97" t="s">
        <v>33</v>
      </c>
      <c r="O390">
        <v>1265</v>
      </c>
      <c r="P390">
        <v>1.8</v>
      </c>
      <c r="Q390">
        <v>2.2799999999999998</v>
      </c>
      <c r="R390" s="97" t="s">
        <v>1204</v>
      </c>
      <c r="S390" s="97" t="s">
        <v>195</v>
      </c>
    </row>
    <row r="391" spans="1:19" x14ac:dyDescent="0.3">
      <c r="A391" s="97" t="s">
        <v>584</v>
      </c>
      <c r="B391" s="97" t="s">
        <v>22</v>
      </c>
      <c r="C391">
        <v>2025</v>
      </c>
      <c r="D391">
        <v>1</v>
      </c>
      <c r="E391" s="2">
        <v>45659</v>
      </c>
      <c r="F391" s="97" t="s">
        <v>7</v>
      </c>
      <c r="G391" s="97" t="s">
        <v>8</v>
      </c>
      <c r="H391" s="97" t="s">
        <v>74</v>
      </c>
      <c r="I391" s="97" t="s">
        <v>77</v>
      </c>
      <c r="J391" s="97" t="s">
        <v>78</v>
      </c>
      <c r="K391" s="97" t="s">
        <v>73</v>
      </c>
      <c r="L391">
        <v>701000</v>
      </c>
      <c r="M391" s="97" t="s">
        <v>62</v>
      </c>
      <c r="N391" s="97" t="s">
        <v>33</v>
      </c>
      <c r="O391">
        <v>543</v>
      </c>
      <c r="P391">
        <v>1.79</v>
      </c>
      <c r="Q391">
        <v>0.97</v>
      </c>
      <c r="R391" s="97" t="s">
        <v>1199</v>
      </c>
      <c r="S391" s="97" t="s">
        <v>195</v>
      </c>
    </row>
    <row r="392" spans="1:19" x14ac:dyDescent="0.3">
      <c r="A392" s="97" t="s">
        <v>585</v>
      </c>
      <c r="B392" s="97" t="s">
        <v>22</v>
      </c>
      <c r="C392">
        <v>2025</v>
      </c>
      <c r="D392">
        <v>1</v>
      </c>
      <c r="E392" s="2">
        <v>45681</v>
      </c>
      <c r="F392" s="97" t="s">
        <v>7</v>
      </c>
      <c r="G392" s="97" t="s">
        <v>8</v>
      </c>
      <c r="H392" s="97" t="s">
        <v>74</v>
      </c>
      <c r="I392" s="97" t="s">
        <v>77</v>
      </c>
      <c r="J392" s="97" t="s">
        <v>78</v>
      </c>
      <c r="K392" s="97" t="s">
        <v>73</v>
      </c>
      <c r="L392">
        <v>701000</v>
      </c>
      <c r="M392" s="97" t="s">
        <v>62</v>
      </c>
      <c r="N392" s="97" t="s">
        <v>33</v>
      </c>
      <c r="O392">
        <v>815</v>
      </c>
      <c r="P392">
        <v>1.8</v>
      </c>
      <c r="Q392">
        <v>1.47</v>
      </c>
      <c r="R392" s="97" t="s">
        <v>1202</v>
      </c>
      <c r="S392" s="97" t="s">
        <v>195</v>
      </c>
    </row>
    <row r="393" spans="1:19" x14ac:dyDescent="0.3">
      <c r="A393" s="97" t="s">
        <v>586</v>
      </c>
      <c r="B393" s="97" t="s">
        <v>22</v>
      </c>
      <c r="C393">
        <v>2025</v>
      </c>
      <c r="D393">
        <v>1</v>
      </c>
      <c r="E393" s="2">
        <v>45681</v>
      </c>
      <c r="F393" s="97" t="s">
        <v>7</v>
      </c>
      <c r="G393" s="97" t="s">
        <v>8</v>
      </c>
      <c r="H393" s="97" t="s">
        <v>74</v>
      </c>
      <c r="I393" s="97" t="s">
        <v>77</v>
      </c>
      <c r="J393" s="97" t="s">
        <v>78</v>
      </c>
      <c r="K393" s="97" t="s">
        <v>73</v>
      </c>
      <c r="L393">
        <v>701000</v>
      </c>
      <c r="M393" s="97" t="s">
        <v>62</v>
      </c>
      <c r="N393" s="97" t="s">
        <v>33</v>
      </c>
      <c r="O393">
        <v>842</v>
      </c>
      <c r="P393">
        <v>1.81</v>
      </c>
      <c r="Q393">
        <v>1.52</v>
      </c>
      <c r="R393" s="97" t="s">
        <v>1204</v>
      </c>
      <c r="S393" s="97" t="s">
        <v>195</v>
      </c>
    </row>
    <row r="394" spans="1:19" x14ac:dyDescent="0.3">
      <c r="A394" s="97" t="s">
        <v>587</v>
      </c>
      <c r="B394" s="97" t="s">
        <v>22</v>
      </c>
      <c r="C394">
        <v>2025</v>
      </c>
      <c r="D394">
        <v>1</v>
      </c>
      <c r="E394" s="2">
        <v>45681</v>
      </c>
      <c r="F394" s="97" t="s">
        <v>7</v>
      </c>
      <c r="G394" s="97" t="s">
        <v>8</v>
      </c>
      <c r="H394" s="97" t="s">
        <v>74</v>
      </c>
      <c r="I394" s="97" t="s">
        <v>77</v>
      </c>
      <c r="J394" s="97" t="s">
        <v>78</v>
      </c>
      <c r="K394" s="97" t="s">
        <v>73</v>
      </c>
      <c r="L394">
        <v>701000</v>
      </c>
      <c r="M394" s="97" t="s">
        <v>62</v>
      </c>
      <c r="N394" s="97" t="s">
        <v>33</v>
      </c>
      <c r="O394">
        <v>255</v>
      </c>
      <c r="P394">
        <v>1.8</v>
      </c>
      <c r="Q394">
        <v>0.46</v>
      </c>
      <c r="R394" s="97" t="s">
        <v>1203</v>
      </c>
      <c r="S394" s="97" t="s">
        <v>195</v>
      </c>
    </row>
    <row r="395" spans="1:19" x14ac:dyDescent="0.3">
      <c r="A395" s="97" t="s">
        <v>588</v>
      </c>
      <c r="B395" s="97" t="s">
        <v>22</v>
      </c>
      <c r="C395">
        <v>2025</v>
      </c>
      <c r="D395">
        <v>1</v>
      </c>
      <c r="E395" s="2">
        <v>45681</v>
      </c>
      <c r="F395" s="97" t="s">
        <v>7</v>
      </c>
      <c r="G395" s="97" t="s">
        <v>8</v>
      </c>
      <c r="H395" s="97" t="s">
        <v>74</v>
      </c>
      <c r="I395" s="97" t="s">
        <v>77</v>
      </c>
      <c r="J395" s="97" t="s">
        <v>78</v>
      </c>
      <c r="K395" s="97" t="s">
        <v>73</v>
      </c>
      <c r="L395">
        <v>701000</v>
      </c>
      <c r="M395" s="97" t="s">
        <v>62</v>
      </c>
      <c r="N395" s="97" t="s">
        <v>33</v>
      </c>
      <c r="O395">
        <v>1832</v>
      </c>
      <c r="P395">
        <v>1.8</v>
      </c>
      <c r="Q395">
        <v>3.3</v>
      </c>
      <c r="R395" s="97" t="s">
        <v>1205</v>
      </c>
      <c r="S395" s="97" t="s">
        <v>195</v>
      </c>
    </row>
    <row r="396" spans="1:19" x14ac:dyDescent="0.3">
      <c r="A396" s="97" t="s">
        <v>589</v>
      </c>
      <c r="B396" s="97" t="s">
        <v>22</v>
      </c>
      <c r="C396">
        <v>2025</v>
      </c>
      <c r="D396">
        <v>1</v>
      </c>
      <c r="E396" s="2">
        <v>45681</v>
      </c>
      <c r="F396" s="97" t="s">
        <v>7</v>
      </c>
      <c r="G396" s="97" t="s">
        <v>8</v>
      </c>
      <c r="H396" s="97" t="s">
        <v>74</v>
      </c>
      <c r="I396" s="97" t="s">
        <v>77</v>
      </c>
      <c r="J396" s="97" t="s">
        <v>78</v>
      </c>
      <c r="K396" s="97" t="s">
        <v>73</v>
      </c>
      <c r="L396">
        <v>701000</v>
      </c>
      <c r="M396" s="97" t="s">
        <v>62</v>
      </c>
      <c r="N396" s="97" t="s">
        <v>33</v>
      </c>
      <c r="O396">
        <v>363</v>
      </c>
      <c r="P396">
        <v>1.76</v>
      </c>
      <c r="Q396">
        <v>0.64</v>
      </c>
      <c r="R396" s="97" t="s">
        <v>1198</v>
      </c>
      <c r="S396" s="97" t="s">
        <v>195</v>
      </c>
    </row>
    <row r="397" spans="1:19" x14ac:dyDescent="0.3">
      <c r="A397" s="97" t="s">
        <v>590</v>
      </c>
      <c r="B397" s="97" t="s">
        <v>22</v>
      </c>
      <c r="C397">
        <v>2025</v>
      </c>
      <c r="D397">
        <v>1</v>
      </c>
      <c r="E397" s="2">
        <v>45666</v>
      </c>
      <c r="F397" s="97" t="s">
        <v>7</v>
      </c>
      <c r="G397" s="97" t="s">
        <v>8</v>
      </c>
      <c r="H397" s="97" t="s">
        <v>70</v>
      </c>
      <c r="I397" s="97" t="s">
        <v>77</v>
      </c>
      <c r="J397" s="97" t="s">
        <v>78</v>
      </c>
      <c r="K397" s="97" t="s">
        <v>73</v>
      </c>
      <c r="L397">
        <v>701000</v>
      </c>
      <c r="M397" s="97" t="s">
        <v>62</v>
      </c>
      <c r="N397" s="97" t="s">
        <v>33</v>
      </c>
      <c r="O397">
        <v>1669</v>
      </c>
      <c r="P397">
        <v>1.8</v>
      </c>
      <c r="Q397">
        <v>3</v>
      </c>
      <c r="R397" s="97" t="s">
        <v>1202</v>
      </c>
      <c r="S397" s="97" t="s">
        <v>195</v>
      </c>
    </row>
    <row r="398" spans="1:19" x14ac:dyDescent="0.3">
      <c r="A398" s="97" t="s">
        <v>591</v>
      </c>
      <c r="B398" s="97" t="s">
        <v>22</v>
      </c>
      <c r="C398">
        <v>2025</v>
      </c>
      <c r="D398">
        <v>1</v>
      </c>
      <c r="E398" s="2">
        <v>45666</v>
      </c>
      <c r="F398" s="97" t="s">
        <v>7</v>
      </c>
      <c r="G398" s="97" t="s">
        <v>8</v>
      </c>
      <c r="H398" s="97" t="s">
        <v>70</v>
      </c>
      <c r="I398" s="97" t="s">
        <v>77</v>
      </c>
      <c r="J398" s="97" t="s">
        <v>78</v>
      </c>
      <c r="K398" s="97" t="s">
        <v>73</v>
      </c>
      <c r="L398">
        <v>701000</v>
      </c>
      <c r="M398" s="97" t="s">
        <v>62</v>
      </c>
      <c r="N398" s="97" t="s">
        <v>33</v>
      </c>
      <c r="O398">
        <v>316</v>
      </c>
      <c r="P398">
        <v>1.8</v>
      </c>
      <c r="Q398">
        <v>0.56999999999999995</v>
      </c>
      <c r="R398" s="97" t="s">
        <v>1201</v>
      </c>
      <c r="S398" s="97" t="s">
        <v>195</v>
      </c>
    </row>
    <row r="399" spans="1:19" x14ac:dyDescent="0.3">
      <c r="A399" s="97" t="s">
        <v>592</v>
      </c>
      <c r="B399" s="97" t="s">
        <v>22</v>
      </c>
      <c r="C399">
        <v>2025</v>
      </c>
      <c r="D399">
        <v>1</v>
      </c>
      <c r="E399" s="2">
        <v>45666</v>
      </c>
      <c r="F399" s="97" t="s">
        <v>7</v>
      </c>
      <c r="G399" s="97" t="s">
        <v>8</v>
      </c>
      <c r="H399" s="97" t="s">
        <v>70</v>
      </c>
      <c r="I399" s="97" t="s">
        <v>77</v>
      </c>
      <c r="J399" s="97" t="s">
        <v>78</v>
      </c>
      <c r="K399" s="97" t="s">
        <v>73</v>
      </c>
      <c r="L399">
        <v>701000</v>
      </c>
      <c r="M399" s="97" t="s">
        <v>62</v>
      </c>
      <c r="N399" s="97" t="s">
        <v>33</v>
      </c>
      <c r="O399">
        <v>1138</v>
      </c>
      <c r="P399">
        <v>1.8</v>
      </c>
      <c r="Q399">
        <v>2.0499999999999998</v>
      </c>
      <c r="R399" s="97" t="s">
        <v>1205</v>
      </c>
      <c r="S399" s="97" t="s">
        <v>195</v>
      </c>
    </row>
    <row r="400" spans="1:19" x14ac:dyDescent="0.3">
      <c r="A400" s="97" t="s">
        <v>593</v>
      </c>
      <c r="B400" s="97" t="s">
        <v>22</v>
      </c>
      <c r="C400">
        <v>2025</v>
      </c>
      <c r="D400">
        <v>1</v>
      </c>
      <c r="E400" s="2">
        <v>45666</v>
      </c>
      <c r="F400" s="97" t="s">
        <v>7</v>
      </c>
      <c r="G400" s="97" t="s">
        <v>8</v>
      </c>
      <c r="H400" s="97" t="s">
        <v>70</v>
      </c>
      <c r="I400" s="97" t="s">
        <v>77</v>
      </c>
      <c r="J400" s="97" t="s">
        <v>78</v>
      </c>
      <c r="K400" s="97" t="s">
        <v>73</v>
      </c>
      <c r="L400">
        <v>701000</v>
      </c>
      <c r="M400" s="97" t="s">
        <v>62</v>
      </c>
      <c r="N400" s="97" t="s">
        <v>33</v>
      </c>
      <c r="O400">
        <v>920</v>
      </c>
      <c r="P400">
        <v>1.8</v>
      </c>
      <c r="Q400">
        <v>1.66</v>
      </c>
      <c r="R400" s="97" t="s">
        <v>1197</v>
      </c>
      <c r="S400" s="97" t="s">
        <v>195</v>
      </c>
    </row>
    <row r="401" spans="1:19" x14ac:dyDescent="0.3">
      <c r="A401" s="97" t="s">
        <v>594</v>
      </c>
      <c r="B401" s="97" t="s">
        <v>22</v>
      </c>
      <c r="C401">
        <v>2025</v>
      </c>
      <c r="D401">
        <v>1</v>
      </c>
      <c r="E401" s="2">
        <v>45666</v>
      </c>
      <c r="F401" s="97" t="s">
        <v>7</v>
      </c>
      <c r="G401" s="97" t="s">
        <v>8</v>
      </c>
      <c r="H401" s="97" t="s">
        <v>70</v>
      </c>
      <c r="I401" s="97" t="s">
        <v>77</v>
      </c>
      <c r="J401" s="97" t="s">
        <v>78</v>
      </c>
      <c r="K401" s="97" t="s">
        <v>73</v>
      </c>
      <c r="L401">
        <v>701000</v>
      </c>
      <c r="M401" s="97" t="s">
        <v>62</v>
      </c>
      <c r="N401" s="97" t="s">
        <v>33</v>
      </c>
      <c r="O401">
        <v>459</v>
      </c>
      <c r="P401">
        <v>1.79</v>
      </c>
      <c r="Q401">
        <v>0.82</v>
      </c>
      <c r="R401" s="97" t="s">
        <v>1200</v>
      </c>
      <c r="S401" s="97" t="s">
        <v>195</v>
      </c>
    </row>
    <row r="402" spans="1:19" x14ac:dyDescent="0.3">
      <c r="A402" s="97" t="s">
        <v>595</v>
      </c>
      <c r="B402" s="97" t="s">
        <v>22</v>
      </c>
      <c r="C402">
        <v>2025</v>
      </c>
      <c r="D402">
        <v>1</v>
      </c>
      <c r="E402" s="2">
        <v>45674</v>
      </c>
      <c r="F402" s="97" t="s">
        <v>7</v>
      </c>
      <c r="G402" s="97" t="s">
        <v>8</v>
      </c>
      <c r="H402" s="97" t="s">
        <v>70</v>
      </c>
      <c r="I402" s="97" t="s">
        <v>77</v>
      </c>
      <c r="J402" s="97" t="s">
        <v>78</v>
      </c>
      <c r="K402" s="97" t="s">
        <v>73</v>
      </c>
      <c r="L402">
        <v>701000</v>
      </c>
      <c r="M402" s="97" t="s">
        <v>62</v>
      </c>
      <c r="N402" s="97" t="s">
        <v>33</v>
      </c>
      <c r="O402">
        <v>1336</v>
      </c>
      <c r="P402">
        <v>1.8</v>
      </c>
      <c r="Q402">
        <v>2.41</v>
      </c>
      <c r="R402" s="97" t="s">
        <v>1201</v>
      </c>
      <c r="S402" s="97" t="s">
        <v>195</v>
      </c>
    </row>
    <row r="403" spans="1:19" x14ac:dyDescent="0.3">
      <c r="A403" s="97" t="s">
        <v>596</v>
      </c>
      <c r="B403" s="97" t="s">
        <v>22</v>
      </c>
      <c r="C403">
        <v>2025</v>
      </c>
      <c r="D403">
        <v>1</v>
      </c>
      <c r="E403" s="2">
        <v>45674</v>
      </c>
      <c r="F403" s="97" t="s">
        <v>7</v>
      </c>
      <c r="G403" s="97" t="s">
        <v>8</v>
      </c>
      <c r="H403" s="97" t="s">
        <v>70</v>
      </c>
      <c r="I403" s="97" t="s">
        <v>77</v>
      </c>
      <c r="J403" s="97" t="s">
        <v>78</v>
      </c>
      <c r="K403" s="97" t="s">
        <v>73</v>
      </c>
      <c r="L403">
        <v>701000</v>
      </c>
      <c r="M403" s="97" t="s">
        <v>62</v>
      </c>
      <c r="N403" s="97" t="s">
        <v>33</v>
      </c>
      <c r="O403">
        <v>1146</v>
      </c>
      <c r="P403">
        <v>1.8</v>
      </c>
      <c r="Q403">
        <v>2.06</v>
      </c>
      <c r="R403" s="97" t="s">
        <v>1204</v>
      </c>
      <c r="S403" s="97" t="s">
        <v>195</v>
      </c>
    </row>
    <row r="404" spans="1:19" x14ac:dyDescent="0.3">
      <c r="A404" s="97" t="s">
        <v>597</v>
      </c>
      <c r="B404" s="97" t="s">
        <v>22</v>
      </c>
      <c r="C404">
        <v>2025</v>
      </c>
      <c r="D404">
        <v>1</v>
      </c>
      <c r="E404" s="2">
        <v>45674</v>
      </c>
      <c r="F404" s="97" t="s">
        <v>7</v>
      </c>
      <c r="G404" s="97" t="s">
        <v>8</v>
      </c>
      <c r="H404" s="97" t="s">
        <v>70</v>
      </c>
      <c r="I404" s="97" t="s">
        <v>77</v>
      </c>
      <c r="J404" s="97" t="s">
        <v>78</v>
      </c>
      <c r="K404" s="97" t="s">
        <v>73</v>
      </c>
      <c r="L404">
        <v>701000</v>
      </c>
      <c r="M404" s="97" t="s">
        <v>62</v>
      </c>
      <c r="N404" s="97" t="s">
        <v>33</v>
      </c>
      <c r="O404">
        <v>1125</v>
      </c>
      <c r="P404">
        <v>1.8</v>
      </c>
      <c r="Q404">
        <v>2.0299999999999998</v>
      </c>
      <c r="R404" s="97" t="s">
        <v>1197</v>
      </c>
      <c r="S404" s="97" t="s">
        <v>195</v>
      </c>
    </row>
    <row r="405" spans="1:19" x14ac:dyDescent="0.3">
      <c r="A405" s="97" t="s">
        <v>598</v>
      </c>
      <c r="B405" s="97" t="s">
        <v>22</v>
      </c>
      <c r="C405">
        <v>2025</v>
      </c>
      <c r="D405">
        <v>1</v>
      </c>
      <c r="E405" s="2">
        <v>45674</v>
      </c>
      <c r="F405" s="97" t="s">
        <v>7</v>
      </c>
      <c r="G405" s="97" t="s">
        <v>8</v>
      </c>
      <c r="H405" s="97" t="s">
        <v>70</v>
      </c>
      <c r="I405" s="97" t="s">
        <v>77</v>
      </c>
      <c r="J405" s="97" t="s">
        <v>78</v>
      </c>
      <c r="K405" s="97" t="s">
        <v>73</v>
      </c>
      <c r="L405">
        <v>701000</v>
      </c>
      <c r="M405" s="97" t="s">
        <v>62</v>
      </c>
      <c r="N405" s="97" t="s">
        <v>33</v>
      </c>
      <c r="O405">
        <v>366</v>
      </c>
      <c r="P405">
        <v>1.8</v>
      </c>
      <c r="Q405">
        <v>0.66</v>
      </c>
      <c r="R405" s="97" t="s">
        <v>1200</v>
      </c>
      <c r="S405" s="97" t="s">
        <v>195</v>
      </c>
    </row>
    <row r="406" spans="1:19" x14ac:dyDescent="0.3">
      <c r="A406" s="97" t="s">
        <v>599</v>
      </c>
      <c r="B406" s="97" t="s">
        <v>22</v>
      </c>
      <c r="C406">
        <v>2025</v>
      </c>
      <c r="D406">
        <v>1</v>
      </c>
      <c r="E406" s="2">
        <v>45674</v>
      </c>
      <c r="F406" s="97" t="s">
        <v>7</v>
      </c>
      <c r="G406" s="97" t="s">
        <v>8</v>
      </c>
      <c r="H406" s="97" t="s">
        <v>70</v>
      </c>
      <c r="I406" s="97" t="s">
        <v>77</v>
      </c>
      <c r="J406" s="97" t="s">
        <v>78</v>
      </c>
      <c r="K406" s="97" t="s">
        <v>73</v>
      </c>
      <c r="L406">
        <v>701000</v>
      </c>
      <c r="M406" s="97" t="s">
        <v>62</v>
      </c>
      <c r="N406" s="97" t="s">
        <v>33</v>
      </c>
      <c r="O406">
        <v>447</v>
      </c>
      <c r="P406">
        <v>1.79</v>
      </c>
      <c r="Q406">
        <v>0.8</v>
      </c>
      <c r="R406" s="97" t="s">
        <v>1199</v>
      </c>
      <c r="S406" s="97" t="s">
        <v>195</v>
      </c>
    </row>
    <row r="407" spans="1:19" x14ac:dyDescent="0.3">
      <c r="A407" s="97" t="s">
        <v>600</v>
      </c>
      <c r="B407" s="97" t="s">
        <v>22</v>
      </c>
      <c r="C407">
        <v>2025</v>
      </c>
      <c r="D407">
        <v>1</v>
      </c>
      <c r="E407" s="2">
        <v>45660</v>
      </c>
      <c r="F407" s="97" t="s">
        <v>7</v>
      </c>
      <c r="G407" s="97" t="s">
        <v>8</v>
      </c>
      <c r="H407" s="97" t="s">
        <v>74</v>
      </c>
      <c r="I407" s="97" t="s">
        <v>77</v>
      </c>
      <c r="J407" s="97" t="s">
        <v>78</v>
      </c>
      <c r="K407" s="97" t="s">
        <v>73</v>
      </c>
      <c r="L407">
        <v>701000</v>
      </c>
      <c r="M407" s="97" t="s">
        <v>62</v>
      </c>
      <c r="N407" s="97" t="s">
        <v>33</v>
      </c>
      <c r="O407">
        <v>431</v>
      </c>
      <c r="P407">
        <v>1.81</v>
      </c>
      <c r="Q407">
        <v>0.78</v>
      </c>
      <c r="R407" s="97" t="s">
        <v>1200</v>
      </c>
      <c r="S407" s="97" t="s">
        <v>195</v>
      </c>
    </row>
    <row r="408" spans="1:19" x14ac:dyDescent="0.3">
      <c r="A408" s="97" t="s">
        <v>601</v>
      </c>
      <c r="B408" s="97" t="s">
        <v>22</v>
      </c>
      <c r="C408">
        <v>2025</v>
      </c>
      <c r="D408">
        <v>1</v>
      </c>
      <c r="E408" s="2">
        <v>45660</v>
      </c>
      <c r="F408" s="97" t="s">
        <v>7</v>
      </c>
      <c r="G408" s="97" t="s">
        <v>8</v>
      </c>
      <c r="H408" s="97" t="s">
        <v>74</v>
      </c>
      <c r="I408" s="97" t="s">
        <v>77</v>
      </c>
      <c r="J408" s="97" t="s">
        <v>78</v>
      </c>
      <c r="K408" s="97" t="s">
        <v>73</v>
      </c>
      <c r="L408">
        <v>701000</v>
      </c>
      <c r="M408" s="97" t="s">
        <v>62</v>
      </c>
      <c r="N408" s="97" t="s">
        <v>33</v>
      </c>
      <c r="O408">
        <v>1054</v>
      </c>
      <c r="P408">
        <v>1.8</v>
      </c>
      <c r="Q408">
        <v>1.9</v>
      </c>
      <c r="R408" s="97" t="s">
        <v>1205</v>
      </c>
      <c r="S408" s="97" t="s">
        <v>195</v>
      </c>
    </row>
    <row r="409" spans="1:19" x14ac:dyDescent="0.3">
      <c r="A409" s="97" t="s">
        <v>602</v>
      </c>
      <c r="B409" s="97" t="s">
        <v>22</v>
      </c>
      <c r="C409">
        <v>2025</v>
      </c>
      <c r="D409">
        <v>1</v>
      </c>
      <c r="E409" s="2">
        <v>45660</v>
      </c>
      <c r="F409" s="97" t="s">
        <v>7</v>
      </c>
      <c r="G409" s="97" t="s">
        <v>8</v>
      </c>
      <c r="H409" s="97" t="s">
        <v>74</v>
      </c>
      <c r="I409" s="97" t="s">
        <v>77</v>
      </c>
      <c r="J409" s="97" t="s">
        <v>78</v>
      </c>
      <c r="K409" s="97" t="s">
        <v>73</v>
      </c>
      <c r="L409">
        <v>701000</v>
      </c>
      <c r="M409" s="97" t="s">
        <v>62</v>
      </c>
      <c r="N409" s="97" t="s">
        <v>33</v>
      </c>
      <c r="O409">
        <v>1322</v>
      </c>
      <c r="P409">
        <v>1.8</v>
      </c>
      <c r="Q409">
        <v>2.38</v>
      </c>
      <c r="R409" s="97" t="s">
        <v>1202</v>
      </c>
      <c r="S409" s="97" t="s">
        <v>195</v>
      </c>
    </row>
    <row r="410" spans="1:19" x14ac:dyDescent="0.3">
      <c r="A410" s="97" t="s">
        <v>603</v>
      </c>
      <c r="B410" s="97" t="s">
        <v>22</v>
      </c>
      <c r="C410">
        <v>2025</v>
      </c>
      <c r="D410">
        <v>1</v>
      </c>
      <c r="E410" s="2">
        <v>45660</v>
      </c>
      <c r="F410" s="97" t="s">
        <v>7</v>
      </c>
      <c r="G410" s="97" t="s">
        <v>8</v>
      </c>
      <c r="H410" s="97" t="s">
        <v>74</v>
      </c>
      <c r="I410" s="97" t="s">
        <v>77</v>
      </c>
      <c r="J410" s="97" t="s">
        <v>78</v>
      </c>
      <c r="K410" s="97" t="s">
        <v>73</v>
      </c>
      <c r="L410">
        <v>701000</v>
      </c>
      <c r="M410" s="97" t="s">
        <v>62</v>
      </c>
      <c r="N410" s="97" t="s">
        <v>33</v>
      </c>
      <c r="O410">
        <v>1179</v>
      </c>
      <c r="P410">
        <v>1.8</v>
      </c>
      <c r="Q410">
        <v>2.12</v>
      </c>
      <c r="R410" s="97" t="s">
        <v>1197</v>
      </c>
      <c r="S410" s="97" t="s">
        <v>195</v>
      </c>
    </row>
    <row r="411" spans="1:19" x14ac:dyDescent="0.3">
      <c r="A411" s="97" t="s">
        <v>604</v>
      </c>
      <c r="B411" s="97" t="s">
        <v>22</v>
      </c>
      <c r="C411">
        <v>2025</v>
      </c>
      <c r="D411">
        <v>1</v>
      </c>
      <c r="E411" s="2">
        <v>45660</v>
      </c>
      <c r="F411" s="97" t="s">
        <v>7</v>
      </c>
      <c r="G411" s="97" t="s">
        <v>8</v>
      </c>
      <c r="H411" s="97" t="s">
        <v>74</v>
      </c>
      <c r="I411" s="97" t="s">
        <v>77</v>
      </c>
      <c r="J411" s="97" t="s">
        <v>78</v>
      </c>
      <c r="K411" s="97" t="s">
        <v>73</v>
      </c>
      <c r="L411">
        <v>701000</v>
      </c>
      <c r="M411" s="97" t="s">
        <v>62</v>
      </c>
      <c r="N411" s="97" t="s">
        <v>33</v>
      </c>
      <c r="O411">
        <v>1189</v>
      </c>
      <c r="P411">
        <v>1.8</v>
      </c>
      <c r="Q411">
        <v>2.14</v>
      </c>
      <c r="R411" s="97" t="s">
        <v>1198</v>
      </c>
      <c r="S411" s="97" t="s">
        <v>195</v>
      </c>
    </row>
    <row r="412" spans="1:19" x14ac:dyDescent="0.3">
      <c r="A412" s="97" t="s">
        <v>605</v>
      </c>
      <c r="B412" s="97" t="s">
        <v>22</v>
      </c>
      <c r="C412">
        <v>2025</v>
      </c>
      <c r="D412">
        <v>1</v>
      </c>
      <c r="E412" s="2">
        <v>45671</v>
      </c>
      <c r="F412" s="97" t="s">
        <v>7</v>
      </c>
      <c r="G412" s="97" t="s">
        <v>8</v>
      </c>
      <c r="H412" s="97" t="s">
        <v>74</v>
      </c>
      <c r="I412" s="97" t="s">
        <v>77</v>
      </c>
      <c r="J412" s="97" t="s">
        <v>78</v>
      </c>
      <c r="K412" s="97" t="s">
        <v>73</v>
      </c>
      <c r="L412">
        <v>701000</v>
      </c>
      <c r="M412" s="97" t="s">
        <v>62</v>
      </c>
      <c r="N412" s="97" t="s">
        <v>33</v>
      </c>
      <c r="O412">
        <v>683</v>
      </c>
      <c r="P412">
        <v>1.8</v>
      </c>
      <c r="Q412">
        <v>1.23</v>
      </c>
      <c r="R412" s="97" t="s">
        <v>1199</v>
      </c>
      <c r="S412" s="97" t="s">
        <v>195</v>
      </c>
    </row>
    <row r="413" spans="1:19" x14ac:dyDescent="0.3">
      <c r="A413" s="97" t="s">
        <v>606</v>
      </c>
      <c r="B413" s="97" t="s">
        <v>22</v>
      </c>
      <c r="C413">
        <v>2025</v>
      </c>
      <c r="D413">
        <v>1</v>
      </c>
      <c r="E413" s="2">
        <v>45671</v>
      </c>
      <c r="F413" s="97" t="s">
        <v>7</v>
      </c>
      <c r="G413" s="97" t="s">
        <v>8</v>
      </c>
      <c r="H413" s="97" t="s">
        <v>74</v>
      </c>
      <c r="I413" s="97" t="s">
        <v>77</v>
      </c>
      <c r="J413" s="97" t="s">
        <v>78</v>
      </c>
      <c r="K413" s="97" t="s">
        <v>73</v>
      </c>
      <c r="L413">
        <v>701000</v>
      </c>
      <c r="M413" s="97" t="s">
        <v>62</v>
      </c>
      <c r="N413" s="97" t="s">
        <v>33</v>
      </c>
      <c r="O413">
        <v>878</v>
      </c>
      <c r="P413">
        <v>1.8</v>
      </c>
      <c r="Q413">
        <v>1.58</v>
      </c>
      <c r="R413" s="97" t="s">
        <v>1198</v>
      </c>
      <c r="S413" s="97" t="s">
        <v>195</v>
      </c>
    </row>
    <row r="414" spans="1:19" x14ac:dyDescent="0.3">
      <c r="A414" s="97" t="s">
        <v>607</v>
      </c>
      <c r="B414" s="97" t="s">
        <v>22</v>
      </c>
      <c r="C414">
        <v>2025</v>
      </c>
      <c r="D414">
        <v>1</v>
      </c>
      <c r="E414" s="2">
        <v>45671</v>
      </c>
      <c r="F414" s="97" t="s">
        <v>7</v>
      </c>
      <c r="G414" s="97" t="s">
        <v>8</v>
      </c>
      <c r="H414" s="97" t="s">
        <v>74</v>
      </c>
      <c r="I414" s="97" t="s">
        <v>77</v>
      </c>
      <c r="J414" s="97" t="s">
        <v>78</v>
      </c>
      <c r="K414" s="97" t="s">
        <v>73</v>
      </c>
      <c r="L414">
        <v>701000</v>
      </c>
      <c r="M414" s="97" t="s">
        <v>62</v>
      </c>
      <c r="N414" s="97" t="s">
        <v>33</v>
      </c>
      <c r="O414">
        <v>1522</v>
      </c>
      <c r="P414">
        <v>1.8</v>
      </c>
      <c r="Q414">
        <v>2.74</v>
      </c>
      <c r="R414" s="97" t="s">
        <v>1197</v>
      </c>
      <c r="S414" s="97" t="s">
        <v>195</v>
      </c>
    </row>
    <row r="415" spans="1:19" x14ac:dyDescent="0.3">
      <c r="A415" s="97" t="s">
        <v>608</v>
      </c>
      <c r="B415" s="97" t="s">
        <v>22</v>
      </c>
      <c r="C415">
        <v>2025</v>
      </c>
      <c r="D415">
        <v>1</v>
      </c>
      <c r="E415" s="2">
        <v>45671</v>
      </c>
      <c r="F415" s="97" t="s">
        <v>7</v>
      </c>
      <c r="G415" s="97" t="s">
        <v>8</v>
      </c>
      <c r="H415" s="97" t="s">
        <v>74</v>
      </c>
      <c r="I415" s="97" t="s">
        <v>77</v>
      </c>
      <c r="J415" s="97" t="s">
        <v>78</v>
      </c>
      <c r="K415" s="97" t="s">
        <v>73</v>
      </c>
      <c r="L415">
        <v>701000</v>
      </c>
      <c r="M415" s="97" t="s">
        <v>62</v>
      </c>
      <c r="N415" s="97" t="s">
        <v>33</v>
      </c>
      <c r="O415">
        <v>848</v>
      </c>
      <c r="P415">
        <v>1.8</v>
      </c>
      <c r="Q415">
        <v>1.53</v>
      </c>
      <c r="R415" s="97" t="s">
        <v>1204</v>
      </c>
      <c r="S415" s="97" t="s">
        <v>195</v>
      </c>
    </row>
    <row r="416" spans="1:19" x14ac:dyDescent="0.3">
      <c r="A416" s="97" t="s">
        <v>609</v>
      </c>
      <c r="B416" s="97" t="s">
        <v>22</v>
      </c>
      <c r="C416">
        <v>2025</v>
      </c>
      <c r="D416">
        <v>1</v>
      </c>
      <c r="E416" s="2">
        <v>45671</v>
      </c>
      <c r="F416" s="97" t="s">
        <v>7</v>
      </c>
      <c r="G416" s="97" t="s">
        <v>8</v>
      </c>
      <c r="H416" s="97" t="s">
        <v>74</v>
      </c>
      <c r="I416" s="97" t="s">
        <v>77</v>
      </c>
      <c r="J416" s="97" t="s">
        <v>78</v>
      </c>
      <c r="K416" s="97" t="s">
        <v>73</v>
      </c>
      <c r="L416">
        <v>701000</v>
      </c>
      <c r="M416" s="97" t="s">
        <v>62</v>
      </c>
      <c r="N416" s="97" t="s">
        <v>33</v>
      </c>
      <c r="O416">
        <v>197</v>
      </c>
      <c r="P416">
        <v>1.78</v>
      </c>
      <c r="Q416">
        <v>0.35</v>
      </c>
      <c r="R416" s="97" t="s">
        <v>1202</v>
      </c>
      <c r="S416" s="97" t="s">
        <v>195</v>
      </c>
    </row>
    <row r="417" spans="1:19" x14ac:dyDescent="0.3">
      <c r="A417" s="97" t="s">
        <v>610</v>
      </c>
      <c r="B417" s="97" t="s">
        <v>22</v>
      </c>
      <c r="C417">
        <v>2025</v>
      </c>
      <c r="D417">
        <v>1</v>
      </c>
      <c r="E417" s="2">
        <v>45659</v>
      </c>
      <c r="F417" s="97" t="s">
        <v>7</v>
      </c>
      <c r="G417" s="97" t="s">
        <v>8</v>
      </c>
      <c r="H417" s="97" t="s">
        <v>70</v>
      </c>
      <c r="I417" s="97" t="s">
        <v>77</v>
      </c>
      <c r="J417" s="97" t="s">
        <v>78</v>
      </c>
      <c r="K417" s="97" t="s">
        <v>73</v>
      </c>
      <c r="L417">
        <v>701000</v>
      </c>
      <c r="M417" s="97" t="s">
        <v>62</v>
      </c>
      <c r="N417" s="97" t="s">
        <v>33</v>
      </c>
      <c r="O417">
        <v>1053</v>
      </c>
      <c r="P417">
        <v>1.8</v>
      </c>
      <c r="Q417">
        <v>1.9</v>
      </c>
      <c r="R417" s="97" t="s">
        <v>1205</v>
      </c>
      <c r="S417" s="97" t="s">
        <v>195</v>
      </c>
    </row>
    <row r="418" spans="1:19" x14ac:dyDescent="0.3">
      <c r="A418" s="97" t="s">
        <v>611</v>
      </c>
      <c r="B418" s="97" t="s">
        <v>22</v>
      </c>
      <c r="C418">
        <v>2025</v>
      </c>
      <c r="D418">
        <v>1</v>
      </c>
      <c r="E418" s="2">
        <v>45659</v>
      </c>
      <c r="F418" s="97" t="s">
        <v>7</v>
      </c>
      <c r="G418" s="97" t="s">
        <v>8</v>
      </c>
      <c r="H418" s="97" t="s">
        <v>70</v>
      </c>
      <c r="I418" s="97" t="s">
        <v>77</v>
      </c>
      <c r="J418" s="97" t="s">
        <v>78</v>
      </c>
      <c r="K418" s="97" t="s">
        <v>73</v>
      </c>
      <c r="L418">
        <v>701000</v>
      </c>
      <c r="M418" s="97" t="s">
        <v>62</v>
      </c>
      <c r="N418" s="97" t="s">
        <v>33</v>
      </c>
      <c r="O418">
        <v>696</v>
      </c>
      <c r="P418">
        <v>1.8</v>
      </c>
      <c r="Q418">
        <v>1.25</v>
      </c>
      <c r="R418" s="97" t="s">
        <v>1200</v>
      </c>
      <c r="S418" s="97" t="s">
        <v>195</v>
      </c>
    </row>
    <row r="419" spans="1:19" x14ac:dyDescent="0.3">
      <c r="A419" s="97" t="s">
        <v>612</v>
      </c>
      <c r="B419" s="97" t="s">
        <v>22</v>
      </c>
      <c r="C419">
        <v>2025</v>
      </c>
      <c r="D419">
        <v>1</v>
      </c>
      <c r="E419" s="2">
        <v>45659</v>
      </c>
      <c r="F419" s="97" t="s">
        <v>7</v>
      </c>
      <c r="G419" s="97" t="s">
        <v>8</v>
      </c>
      <c r="H419" s="97" t="s">
        <v>70</v>
      </c>
      <c r="I419" s="97" t="s">
        <v>77</v>
      </c>
      <c r="J419" s="97" t="s">
        <v>78</v>
      </c>
      <c r="K419" s="97" t="s">
        <v>73</v>
      </c>
      <c r="L419">
        <v>701000</v>
      </c>
      <c r="M419" s="97" t="s">
        <v>62</v>
      </c>
      <c r="N419" s="97" t="s">
        <v>33</v>
      </c>
      <c r="O419">
        <v>606</v>
      </c>
      <c r="P419">
        <v>1.8</v>
      </c>
      <c r="Q419">
        <v>1.0900000000000001</v>
      </c>
      <c r="R419" s="97" t="s">
        <v>1203</v>
      </c>
      <c r="S419" s="97" t="s">
        <v>195</v>
      </c>
    </row>
    <row r="420" spans="1:19" x14ac:dyDescent="0.3">
      <c r="A420" s="97" t="s">
        <v>613</v>
      </c>
      <c r="B420" s="97" t="s">
        <v>22</v>
      </c>
      <c r="C420">
        <v>2025</v>
      </c>
      <c r="D420">
        <v>1</v>
      </c>
      <c r="E420" s="2">
        <v>45659</v>
      </c>
      <c r="F420" s="97" t="s">
        <v>7</v>
      </c>
      <c r="G420" s="97" t="s">
        <v>8</v>
      </c>
      <c r="H420" s="97" t="s">
        <v>70</v>
      </c>
      <c r="I420" s="97" t="s">
        <v>77</v>
      </c>
      <c r="J420" s="97" t="s">
        <v>78</v>
      </c>
      <c r="K420" s="97" t="s">
        <v>73</v>
      </c>
      <c r="L420">
        <v>701000</v>
      </c>
      <c r="M420" s="97" t="s">
        <v>62</v>
      </c>
      <c r="N420" s="97" t="s">
        <v>33</v>
      </c>
      <c r="O420">
        <v>1341</v>
      </c>
      <c r="P420">
        <v>1.8</v>
      </c>
      <c r="Q420">
        <v>2.41</v>
      </c>
      <c r="R420" s="97" t="s">
        <v>1198</v>
      </c>
      <c r="S420" s="97" t="s">
        <v>195</v>
      </c>
    </row>
    <row r="421" spans="1:19" x14ac:dyDescent="0.3">
      <c r="A421" s="97" t="s">
        <v>614</v>
      </c>
      <c r="B421" s="97" t="s">
        <v>22</v>
      </c>
      <c r="C421">
        <v>2025</v>
      </c>
      <c r="D421">
        <v>1</v>
      </c>
      <c r="E421" s="2">
        <v>45659</v>
      </c>
      <c r="F421" s="97" t="s">
        <v>7</v>
      </c>
      <c r="G421" s="97" t="s">
        <v>8</v>
      </c>
      <c r="H421" s="97" t="s">
        <v>70</v>
      </c>
      <c r="I421" s="97" t="s">
        <v>77</v>
      </c>
      <c r="J421" s="97" t="s">
        <v>78</v>
      </c>
      <c r="K421" s="97" t="s">
        <v>73</v>
      </c>
      <c r="L421">
        <v>701000</v>
      </c>
      <c r="M421" s="97" t="s">
        <v>62</v>
      </c>
      <c r="N421" s="97" t="s">
        <v>33</v>
      </c>
      <c r="O421">
        <v>1088</v>
      </c>
      <c r="P421">
        <v>1.8</v>
      </c>
      <c r="Q421">
        <v>1.96</v>
      </c>
      <c r="R421" s="97" t="s">
        <v>1199</v>
      </c>
      <c r="S421" s="97" t="s">
        <v>195</v>
      </c>
    </row>
    <row r="422" spans="1:19" x14ac:dyDescent="0.3">
      <c r="A422" s="97" t="s">
        <v>615</v>
      </c>
      <c r="B422" s="97" t="s">
        <v>22</v>
      </c>
      <c r="C422">
        <v>2025</v>
      </c>
      <c r="D422">
        <v>1</v>
      </c>
      <c r="E422" s="2">
        <v>45661</v>
      </c>
      <c r="F422" s="97" t="s">
        <v>7</v>
      </c>
      <c r="G422" s="97" t="s">
        <v>8</v>
      </c>
      <c r="H422" s="97" t="s">
        <v>70</v>
      </c>
      <c r="I422" s="97" t="s">
        <v>77</v>
      </c>
      <c r="J422" s="97" t="s">
        <v>78</v>
      </c>
      <c r="K422" s="97" t="s">
        <v>73</v>
      </c>
      <c r="L422">
        <v>707000</v>
      </c>
      <c r="M422" s="97" t="s">
        <v>81</v>
      </c>
      <c r="N422" s="97" t="s">
        <v>33</v>
      </c>
      <c r="O422">
        <v>463</v>
      </c>
      <c r="P422">
        <v>1.79</v>
      </c>
      <c r="Q422">
        <v>0.83</v>
      </c>
      <c r="R422" s="97" t="s">
        <v>1202</v>
      </c>
      <c r="S422" s="97" t="s">
        <v>195</v>
      </c>
    </row>
    <row r="423" spans="1:19" x14ac:dyDescent="0.3">
      <c r="A423" s="97" t="s">
        <v>616</v>
      </c>
      <c r="B423" s="97" t="s">
        <v>22</v>
      </c>
      <c r="C423">
        <v>2025</v>
      </c>
      <c r="D423">
        <v>1</v>
      </c>
      <c r="E423" s="2">
        <v>45661</v>
      </c>
      <c r="F423" s="97" t="s">
        <v>7</v>
      </c>
      <c r="G423" s="97" t="s">
        <v>8</v>
      </c>
      <c r="H423" s="97" t="s">
        <v>70</v>
      </c>
      <c r="I423" s="97" t="s">
        <v>77</v>
      </c>
      <c r="J423" s="97" t="s">
        <v>78</v>
      </c>
      <c r="K423" s="97" t="s">
        <v>73</v>
      </c>
      <c r="L423">
        <v>707000</v>
      </c>
      <c r="M423" s="97" t="s">
        <v>81</v>
      </c>
      <c r="N423" s="97" t="s">
        <v>33</v>
      </c>
      <c r="O423">
        <v>1483</v>
      </c>
      <c r="P423">
        <v>1.8</v>
      </c>
      <c r="Q423">
        <v>2.67</v>
      </c>
      <c r="R423" s="97" t="s">
        <v>1200</v>
      </c>
      <c r="S423" s="97" t="s">
        <v>195</v>
      </c>
    </row>
    <row r="424" spans="1:19" x14ac:dyDescent="0.3">
      <c r="A424" s="97" t="s">
        <v>617</v>
      </c>
      <c r="B424" s="97" t="s">
        <v>22</v>
      </c>
      <c r="C424">
        <v>2025</v>
      </c>
      <c r="D424">
        <v>1</v>
      </c>
      <c r="E424" s="2">
        <v>45661</v>
      </c>
      <c r="F424" s="97" t="s">
        <v>7</v>
      </c>
      <c r="G424" s="97" t="s">
        <v>8</v>
      </c>
      <c r="H424" s="97" t="s">
        <v>70</v>
      </c>
      <c r="I424" s="97" t="s">
        <v>77</v>
      </c>
      <c r="J424" s="97" t="s">
        <v>78</v>
      </c>
      <c r="K424" s="97" t="s">
        <v>73</v>
      </c>
      <c r="L424">
        <v>707000</v>
      </c>
      <c r="M424" s="97" t="s">
        <v>81</v>
      </c>
      <c r="N424" s="97" t="s">
        <v>33</v>
      </c>
      <c r="O424">
        <v>909</v>
      </c>
      <c r="P424">
        <v>1.8</v>
      </c>
      <c r="Q424">
        <v>1.64</v>
      </c>
      <c r="R424" s="97" t="s">
        <v>1203</v>
      </c>
      <c r="S424" s="97" t="s">
        <v>195</v>
      </c>
    </row>
    <row r="425" spans="1:19" x14ac:dyDescent="0.3">
      <c r="A425" s="97" t="s">
        <v>618</v>
      </c>
      <c r="B425" s="97" t="s">
        <v>22</v>
      </c>
      <c r="C425">
        <v>2025</v>
      </c>
      <c r="D425">
        <v>1</v>
      </c>
      <c r="E425" s="2">
        <v>45661</v>
      </c>
      <c r="F425" s="97" t="s">
        <v>7</v>
      </c>
      <c r="G425" s="97" t="s">
        <v>8</v>
      </c>
      <c r="H425" s="97" t="s">
        <v>70</v>
      </c>
      <c r="I425" s="97" t="s">
        <v>77</v>
      </c>
      <c r="J425" s="97" t="s">
        <v>78</v>
      </c>
      <c r="K425" s="97" t="s">
        <v>73</v>
      </c>
      <c r="L425">
        <v>707000</v>
      </c>
      <c r="M425" s="97" t="s">
        <v>81</v>
      </c>
      <c r="N425" s="97" t="s">
        <v>33</v>
      </c>
      <c r="O425">
        <v>234</v>
      </c>
      <c r="P425">
        <v>1.79</v>
      </c>
      <c r="Q425">
        <v>0.42</v>
      </c>
      <c r="R425" s="97" t="s">
        <v>1205</v>
      </c>
      <c r="S425" s="97" t="s">
        <v>195</v>
      </c>
    </row>
    <row r="426" spans="1:19" x14ac:dyDescent="0.3">
      <c r="A426" s="97" t="s">
        <v>619</v>
      </c>
      <c r="B426" s="97" t="s">
        <v>22</v>
      </c>
      <c r="C426">
        <v>2025</v>
      </c>
      <c r="D426">
        <v>1</v>
      </c>
      <c r="E426" s="2">
        <v>45661</v>
      </c>
      <c r="F426" s="97" t="s">
        <v>7</v>
      </c>
      <c r="G426" s="97" t="s">
        <v>8</v>
      </c>
      <c r="H426" s="97" t="s">
        <v>70</v>
      </c>
      <c r="I426" s="97" t="s">
        <v>77</v>
      </c>
      <c r="J426" s="97" t="s">
        <v>78</v>
      </c>
      <c r="K426" s="97" t="s">
        <v>73</v>
      </c>
      <c r="L426">
        <v>707000</v>
      </c>
      <c r="M426" s="97" t="s">
        <v>81</v>
      </c>
      <c r="N426" s="97" t="s">
        <v>33</v>
      </c>
      <c r="O426">
        <v>1221</v>
      </c>
      <c r="P426">
        <v>1.8</v>
      </c>
      <c r="Q426">
        <v>2.2000000000000002</v>
      </c>
      <c r="R426" s="97" t="s">
        <v>1197</v>
      </c>
      <c r="S426" s="97" t="s">
        <v>195</v>
      </c>
    </row>
    <row r="427" spans="1:19" x14ac:dyDescent="0.3">
      <c r="A427" s="97" t="s">
        <v>620</v>
      </c>
      <c r="B427" s="97" t="s">
        <v>22</v>
      </c>
      <c r="C427">
        <v>2025</v>
      </c>
      <c r="D427">
        <v>1</v>
      </c>
      <c r="E427" s="2">
        <v>45665</v>
      </c>
      <c r="F427" s="97" t="s">
        <v>7</v>
      </c>
      <c r="G427" s="97" t="s">
        <v>8</v>
      </c>
      <c r="H427" s="97" t="s">
        <v>70</v>
      </c>
      <c r="I427" s="97" t="s">
        <v>77</v>
      </c>
      <c r="J427" s="97" t="s">
        <v>78</v>
      </c>
      <c r="K427" s="97" t="s">
        <v>73</v>
      </c>
      <c r="L427">
        <v>701000</v>
      </c>
      <c r="M427" s="97" t="s">
        <v>62</v>
      </c>
      <c r="N427" s="97" t="s">
        <v>33</v>
      </c>
      <c r="O427">
        <v>304</v>
      </c>
      <c r="P427">
        <v>1.81</v>
      </c>
      <c r="Q427">
        <v>0.55000000000000004</v>
      </c>
      <c r="R427" s="97" t="s">
        <v>1200</v>
      </c>
      <c r="S427" s="97" t="s">
        <v>195</v>
      </c>
    </row>
    <row r="428" spans="1:19" x14ac:dyDescent="0.3">
      <c r="A428" s="97" t="s">
        <v>621</v>
      </c>
      <c r="B428" s="97" t="s">
        <v>22</v>
      </c>
      <c r="C428">
        <v>2025</v>
      </c>
      <c r="D428">
        <v>1</v>
      </c>
      <c r="E428" s="2">
        <v>45665</v>
      </c>
      <c r="F428" s="97" t="s">
        <v>7</v>
      </c>
      <c r="G428" s="97" t="s">
        <v>8</v>
      </c>
      <c r="H428" s="97" t="s">
        <v>70</v>
      </c>
      <c r="I428" s="97" t="s">
        <v>77</v>
      </c>
      <c r="J428" s="97" t="s">
        <v>78</v>
      </c>
      <c r="K428" s="97" t="s">
        <v>73</v>
      </c>
      <c r="L428">
        <v>701000</v>
      </c>
      <c r="M428" s="97" t="s">
        <v>62</v>
      </c>
      <c r="N428" s="97" t="s">
        <v>33</v>
      </c>
      <c r="O428">
        <v>745</v>
      </c>
      <c r="P428">
        <v>1.8</v>
      </c>
      <c r="Q428">
        <v>1.34</v>
      </c>
      <c r="R428" s="97" t="s">
        <v>1202</v>
      </c>
      <c r="S428" s="97" t="s">
        <v>195</v>
      </c>
    </row>
    <row r="429" spans="1:19" x14ac:dyDescent="0.3">
      <c r="A429" s="97" t="s">
        <v>622</v>
      </c>
      <c r="B429" s="97" t="s">
        <v>22</v>
      </c>
      <c r="C429">
        <v>2025</v>
      </c>
      <c r="D429">
        <v>1</v>
      </c>
      <c r="E429" s="2">
        <v>45665</v>
      </c>
      <c r="F429" s="97" t="s">
        <v>7</v>
      </c>
      <c r="G429" s="97" t="s">
        <v>8</v>
      </c>
      <c r="H429" s="97" t="s">
        <v>70</v>
      </c>
      <c r="I429" s="97" t="s">
        <v>77</v>
      </c>
      <c r="J429" s="97" t="s">
        <v>78</v>
      </c>
      <c r="K429" s="97" t="s">
        <v>73</v>
      </c>
      <c r="L429">
        <v>701000</v>
      </c>
      <c r="M429" s="97" t="s">
        <v>62</v>
      </c>
      <c r="N429" s="97" t="s">
        <v>33</v>
      </c>
      <c r="O429">
        <v>1959</v>
      </c>
      <c r="P429">
        <v>1.8</v>
      </c>
      <c r="Q429">
        <v>3.52</v>
      </c>
      <c r="R429" s="97" t="s">
        <v>1198</v>
      </c>
      <c r="S429" s="97" t="s">
        <v>195</v>
      </c>
    </row>
    <row r="430" spans="1:19" x14ac:dyDescent="0.3">
      <c r="A430" s="97" t="s">
        <v>623</v>
      </c>
      <c r="B430" s="97" t="s">
        <v>22</v>
      </c>
      <c r="C430">
        <v>2025</v>
      </c>
      <c r="D430">
        <v>1</v>
      </c>
      <c r="E430" s="2">
        <v>45665</v>
      </c>
      <c r="F430" s="97" t="s">
        <v>7</v>
      </c>
      <c r="G430" s="97" t="s">
        <v>8</v>
      </c>
      <c r="H430" s="97" t="s">
        <v>70</v>
      </c>
      <c r="I430" s="97" t="s">
        <v>77</v>
      </c>
      <c r="J430" s="97" t="s">
        <v>78</v>
      </c>
      <c r="K430" s="97" t="s">
        <v>73</v>
      </c>
      <c r="L430">
        <v>701000</v>
      </c>
      <c r="M430" s="97" t="s">
        <v>62</v>
      </c>
      <c r="N430" s="97" t="s">
        <v>33</v>
      </c>
      <c r="O430">
        <v>357</v>
      </c>
      <c r="P430">
        <v>1.79</v>
      </c>
      <c r="Q430">
        <v>0.64</v>
      </c>
      <c r="R430" s="97" t="s">
        <v>1205</v>
      </c>
      <c r="S430" s="97" t="s">
        <v>195</v>
      </c>
    </row>
    <row r="431" spans="1:19" x14ac:dyDescent="0.3">
      <c r="A431" s="97" t="s">
        <v>624</v>
      </c>
      <c r="B431" s="97" t="s">
        <v>22</v>
      </c>
      <c r="C431">
        <v>2025</v>
      </c>
      <c r="D431">
        <v>1</v>
      </c>
      <c r="E431" s="2">
        <v>45665</v>
      </c>
      <c r="F431" s="97" t="s">
        <v>7</v>
      </c>
      <c r="G431" s="97" t="s">
        <v>8</v>
      </c>
      <c r="H431" s="97" t="s">
        <v>70</v>
      </c>
      <c r="I431" s="97" t="s">
        <v>77</v>
      </c>
      <c r="J431" s="97" t="s">
        <v>78</v>
      </c>
      <c r="K431" s="97" t="s">
        <v>73</v>
      </c>
      <c r="L431">
        <v>701000</v>
      </c>
      <c r="M431" s="97" t="s">
        <v>62</v>
      </c>
      <c r="N431" s="97" t="s">
        <v>33</v>
      </c>
      <c r="O431">
        <v>1831</v>
      </c>
      <c r="P431">
        <v>1.8</v>
      </c>
      <c r="Q431">
        <v>3.3</v>
      </c>
      <c r="R431" s="97" t="s">
        <v>1199</v>
      </c>
      <c r="S431" s="97" t="s">
        <v>195</v>
      </c>
    </row>
    <row r="432" spans="1:19" x14ac:dyDescent="0.3">
      <c r="A432" s="97" t="s">
        <v>625</v>
      </c>
      <c r="B432" s="97" t="s">
        <v>22</v>
      </c>
      <c r="C432">
        <v>2025</v>
      </c>
      <c r="D432">
        <v>1</v>
      </c>
      <c r="E432" s="2">
        <v>45669</v>
      </c>
      <c r="F432" s="97" t="s">
        <v>7</v>
      </c>
      <c r="G432" s="97" t="s">
        <v>8</v>
      </c>
      <c r="H432" s="97" t="s">
        <v>74</v>
      </c>
      <c r="I432" s="97" t="s">
        <v>77</v>
      </c>
      <c r="J432" s="97" t="s">
        <v>78</v>
      </c>
      <c r="K432" s="97" t="s">
        <v>73</v>
      </c>
      <c r="L432">
        <v>701000</v>
      </c>
      <c r="M432" s="97" t="s">
        <v>62</v>
      </c>
      <c r="N432" s="97" t="s">
        <v>33</v>
      </c>
      <c r="O432">
        <v>1125</v>
      </c>
      <c r="P432">
        <v>1.8</v>
      </c>
      <c r="Q432">
        <v>2.02</v>
      </c>
      <c r="R432" s="97" t="s">
        <v>1198</v>
      </c>
      <c r="S432" s="97" t="s">
        <v>195</v>
      </c>
    </row>
    <row r="433" spans="1:19" x14ac:dyDescent="0.3">
      <c r="A433" s="97" t="s">
        <v>626</v>
      </c>
      <c r="B433" s="97" t="s">
        <v>22</v>
      </c>
      <c r="C433">
        <v>2025</v>
      </c>
      <c r="D433">
        <v>1</v>
      </c>
      <c r="E433" s="2">
        <v>45669</v>
      </c>
      <c r="F433" s="97" t="s">
        <v>7</v>
      </c>
      <c r="G433" s="97" t="s">
        <v>8</v>
      </c>
      <c r="H433" s="97" t="s">
        <v>74</v>
      </c>
      <c r="I433" s="97" t="s">
        <v>77</v>
      </c>
      <c r="J433" s="97" t="s">
        <v>78</v>
      </c>
      <c r="K433" s="97" t="s">
        <v>73</v>
      </c>
      <c r="L433">
        <v>701000</v>
      </c>
      <c r="M433" s="97" t="s">
        <v>62</v>
      </c>
      <c r="N433" s="97" t="s">
        <v>33</v>
      </c>
      <c r="O433">
        <v>647</v>
      </c>
      <c r="P433">
        <v>1.79</v>
      </c>
      <c r="Q433">
        <v>1.1599999999999999</v>
      </c>
      <c r="R433" s="97" t="s">
        <v>1200</v>
      </c>
      <c r="S433" s="97" t="s">
        <v>195</v>
      </c>
    </row>
    <row r="434" spans="1:19" x14ac:dyDescent="0.3">
      <c r="A434" s="97" t="s">
        <v>627</v>
      </c>
      <c r="B434" s="97" t="s">
        <v>22</v>
      </c>
      <c r="C434">
        <v>2025</v>
      </c>
      <c r="D434">
        <v>1</v>
      </c>
      <c r="E434" s="2">
        <v>45669</v>
      </c>
      <c r="F434" s="97" t="s">
        <v>7</v>
      </c>
      <c r="G434" s="97" t="s">
        <v>8</v>
      </c>
      <c r="H434" s="97" t="s">
        <v>74</v>
      </c>
      <c r="I434" s="97" t="s">
        <v>77</v>
      </c>
      <c r="J434" s="97" t="s">
        <v>78</v>
      </c>
      <c r="K434" s="97" t="s">
        <v>73</v>
      </c>
      <c r="L434">
        <v>701000</v>
      </c>
      <c r="M434" s="97" t="s">
        <v>62</v>
      </c>
      <c r="N434" s="97" t="s">
        <v>33</v>
      </c>
      <c r="O434">
        <v>1316</v>
      </c>
      <c r="P434">
        <v>1.8</v>
      </c>
      <c r="Q434">
        <v>2.37</v>
      </c>
      <c r="R434" s="97" t="s">
        <v>1204</v>
      </c>
      <c r="S434" s="97" t="s">
        <v>195</v>
      </c>
    </row>
    <row r="435" spans="1:19" x14ac:dyDescent="0.3">
      <c r="A435" s="97" t="s">
        <v>628</v>
      </c>
      <c r="B435" s="97" t="s">
        <v>22</v>
      </c>
      <c r="C435">
        <v>2025</v>
      </c>
      <c r="D435">
        <v>1</v>
      </c>
      <c r="E435" s="2">
        <v>45669</v>
      </c>
      <c r="F435" s="97" t="s">
        <v>7</v>
      </c>
      <c r="G435" s="97" t="s">
        <v>8</v>
      </c>
      <c r="H435" s="97" t="s">
        <v>74</v>
      </c>
      <c r="I435" s="97" t="s">
        <v>77</v>
      </c>
      <c r="J435" s="97" t="s">
        <v>78</v>
      </c>
      <c r="K435" s="97" t="s">
        <v>73</v>
      </c>
      <c r="L435">
        <v>701000</v>
      </c>
      <c r="M435" s="97" t="s">
        <v>62</v>
      </c>
      <c r="N435" s="97" t="s">
        <v>33</v>
      </c>
      <c r="O435">
        <v>555</v>
      </c>
      <c r="P435">
        <v>1.8</v>
      </c>
      <c r="Q435">
        <v>1</v>
      </c>
      <c r="R435" s="97" t="s">
        <v>1199</v>
      </c>
      <c r="S435" s="97" t="s">
        <v>195</v>
      </c>
    </row>
    <row r="436" spans="1:19" x14ac:dyDescent="0.3">
      <c r="A436" s="97" t="s">
        <v>629</v>
      </c>
      <c r="B436" s="97" t="s">
        <v>22</v>
      </c>
      <c r="C436">
        <v>2025</v>
      </c>
      <c r="D436">
        <v>1</v>
      </c>
      <c r="E436" s="2">
        <v>45669</v>
      </c>
      <c r="F436" s="97" t="s">
        <v>7</v>
      </c>
      <c r="G436" s="97" t="s">
        <v>8</v>
      </c>
      <c r="H436" s="97" t="s">
        <v>74</v>
      </c>
      <c r="I436" s="97" t="s">
        <v>77</v>
      </c>
      <c r="J436" s="97" t="s">
        <v>78</v>
      </c>
      <c r="K436" s="97" t="s">
        <v>73</v>
      </c>
      <c r="L436">
        <v>701000</v>
      </c>
      <c r="M436" s="97" t="s">
        <v>62</v>
      </c>
      <c r="N436" s="97" t="s">
        <v>33</v>
      </c>
      <c r="O436">
        <v>1409</v>
      </c>
      <c r="P436">
        <v>1.8</v>
      </c>
      <c r="Q436">
        <v>2.54</v>
      </c>
      <c r="R436" s="97" t="s">
        <v>1201</v>
      </c>
      <c r="S436" s="97" t="s">
        <v>195</v>
      </c>
    </row>
    <row r="437" spans="1:19" x14ac:dyDescent="0.3">
      <c r="A437" s="97" t="s">
        <v>630</v>
      </c>
      <c r="B437" s="97" t="s">
        <v>22</v>
      </c>
      <c r="C437">
        <v>2025</v>
      </c>
      <c r="D437">
        <v>1</v>
      </c>
      <c r="E437" s="2">
        <v>45665</v>
      </c>
      <c r="F437" s="97" t="s">
        <v>7</v>
      </c>
      <c r="G437" s="97" t="s">
        <v>8</v>
      </c>
      <c r="H437" s="97" t="s">
        <v>70</v>
      </c>
      <c r="I437" s="97" t="s">
        <v>77</v>
      </c>
      <c r="J437" s="97" t="s">
        <v>78</v>
      </c>
      <c r="K437" s="97" t="s">
        <v>73</v>
      </c>
      <c r="L437">
        <v>706000</v>
      </c>
      <c r="M437" s="97" t="s">
        <v>63</v>
      </c>
      <c r="N437" s="97" t="s">
        <v>33</v>
      </c>
      <c r="O437">
        <v>2515</v>
      </c>
      <c r="P437">
        <v>1.8</v>
      </c>
      <c r="Q437">
        <v>4.53</v>
      </c>
      <c r="R437" s="97" t="s">
        <v>1198</v>
      </c>
      <c r="S437" s="97" t="s">
        <v>195</v>
      </c>
    </row>
    <row r="438" spans="1:19" x14ac:dyDescent="0.3">
      <c r="A438" s="97" t="s">
        <v>631</v>
      </c>
      <c r="B438" s="97" t="s">
        <v>22</v>
      </c>
      <c r="C438">
        <v>2025</v>
      </c>
      <c r="D438">
        <v>1</v>
      </c>
      <c r="E438" s="2">
        <v>45665</v>
      </c>
      <c r="F438" s="97" t="s">
        <v>7</v>
      </c>
      <c r="G438" s="97" t="s">
        <v>8</v>
      </c>
      <c r="H438" s="97" t="s">
        <v>70</v>
      </c>
      <c r="I438" s="97" t="s">
        <v>77</v>
      </c>
      <c r="J438" s="97" t="s">
        <v>78</v>
      </c>
      <c r="K438" s="97" t="s">
        <v>73</v>
      </c>
      <c r="L438">
        <v>706000</v>
      </c>
      <c r="M438" s="97" t="s">
        <v>63</v>
      </c>
      <c r="N438" s="97" t="s">
        <v>33</v>
      </c>
      <c r="O438">
        <v>739</v>
      </c>
      <c r="P438">
        <v>1.8</v>
      </c>
      <c r="Q438">
        <v>1.33</v>
      </c>
      <c r="R438" s="97" t="s">
        <v>1200</v>
      </c>
      <c r="S438" s="97" t="s">
        <v>195</v>
      </c>
    </row>
    <row r="439" spans="1:19" x14ac:dyDescent="0.3">
      <c r="A439" s="97" t="s">
        <v>632</v>
      </c>
      <c r="B439" s="97" t="s">
        <v>22</v>
      </c>
      <c r="C439">
        <v>2025</v>
      </c>
      <c r="D439">
        <v>1</v>
      </c>
      <c r="E439" s="2">
        <v>45665</v>
      </c>
      <c r="F439" s="97" t="s">
        <v>7</v>
      </c>
      <c r="G439" s="97" t="s">
        <v>8</v>
      </c>
      <c r="H439" s="97" t="s">
        <v>70</v>
      </c>
      <c r="I439" s="97" t="s">
        <v>77</v>
      </c>
      <c r="J439" s="97" t="s">
        <v>78</v>
      </c>
      <c r="K439" s="97" t="s">
        <v>73</v>
      </c>
      <c r="L439">
        <v>706000</v>
      </c>
      <c r="M439" s="97" t="s">
        <v>63</v>
      </c>
      <c r="N439" s="97" t="s">
        <v>33</v>
      </c>
      <c r="O439">
        <v>633</v>
      </c>
      <c r="P439">
        <v>1.8</v>
      </c>
      <c r="Q439">
        <v>1.1399999999999999</v>
      </c>
      <c r="R439" s="97" t="s">
        <v>1199</v>
      </c>
      <c r="S439" s="97" t="s">
        <v>195</v>
      </c>
    </row>
    <row r="440" spans="1:19" x14ac:dyDescent="0.3">
      <c r="A440" s="97" t="s">
        <v>633</v>
      </c>
      <c r="B440" s="97" t="s">
        <v>22</v>
      </c>
      <c r="C440">
        <v>2025</v>
      </c>
      <c r="D440">
        <v>1</v>
      </c>
      <c r="E440" s="2">
        <v>45665</v>
      </c>
      <c r="F440" s="97" t="s">
        <v>7</v>
      </c>
      <c r="G440" s="97" t="s">
        <v>8</v>
      </c>
      <c r="H440" s="97" t="s">
        <v>70</v>
      </c>
      <c r="I440" s="97" t="s">
        <v>77</v>
      </c>
      <c r="J440" s="97" t="s">
        <v>78</v>
      </c>
      <c r="K440" s="97" t="s">
        <v>73</v>
      </c>
      <c r="L440">
        <v>706000</v>
      </c>
      <c r="M440" s="97" t="s">
        <v>63</v>
      </c>
      <c r="N440" s="97" t="s">
        <v>33</v>
      </c>
      <c r="O440">
        <v>471</v>
      </c>
      <c r="P440">
        <v>1.8</v>
      </c>
      <c r="Q440">
        <v>0.85</v>
      </c>
      <c r="R440" s="97" t="s">
        <v>1205</v>
      </c>
      <c r="S440" s="97" t="s">
        <v>195</v>
      </c>
    </row>
    <row r="441" spans="1:19" x14ac:dyDescent="0.3">
      <c r="A441" s="97" t="s">
        <v>634</v>
      </c>
      <c r="B441" s="97" t="s">
        <v>22</v>
      </c>
      <c r="C441">
        <v>2025</v>
      </c>
      <c r="D441">
        <v>1</v>
      </c>
      <c r="E441" s="2">
        <v>45665</v>
      </c>
      <c r="F441" s="97" t="s">
        <v>7</v>
      </c>
      <c r="G441" s="97" t="s">
        <v>8</v>
      </c>
      <c r="H441" s="97" t="s">
        <v>70</v>
      </c>
      <c r="I441" s="97" t="s">
        <v>77</v>
      </c>
      <c r="J441" s="97" t="s">
        <v>78</v>
      </c>
      <c r="K441" s="97" t="s">
        <v>73</v>
      </c>
      <c r="L441">
        <v>706000</v>
      </c>
      <c r="M441" s="97" t="s">
        <v>63</v>
      </c>
      <c r="N441" s="97" t="s">
        <v>33</v>
      </c>
      <c r="O441">
        <v>442</v>
      </c>
      <c r="P441">
        <v>1.79</v>
      </c>
      <c r="Q441">
        <v>0.79</v>
      </c>
      <c r="R441" s="97" t="s">
        <v>1203</v>
      </c>
      <c r="S441" s="97" t="s">
        <v>195</v>
      </c>
    </row>
    <row r="442" spans="1:19" x14ac:dyDescent="0.3">
      <c r="A442" s="97" t="s">
        <v>635</v>
      </c>
      <c r="B442" s="97" t="s">
        <v>22</v>
      </c>
      <c r="C442">
        <v>2025</v>
      </c>
      <c r="D442">
        <v>1</v>
      </c>
      <c r="E442" s="2">
        <v>45680</v>
      </c>
      <c r="F442" s="97" t="s">
        <v>7</v>
      </c>
      <c r="G442" s="97" t="s">
        <v>8</v>
      </c>
      <c r="H442" s="97" t="s">
        <v>74</v>
      </c>
      <c r="I442" s="97" t="s">
        <v>77</v>
      </c>
      <c r="J442" s="97" t="s">
        <v>78</v>
      </c>
      <c r="K442" s="97" t="s">
        <v>73</v>
      </c>
      <c r="L442">
        <v>701000</v>
      </c>
      <c r="M442" s="97" t="s">
        <v>62</v>
      </c>
      <c r="N442" s="97" t="s">
        <v>33</v>
      </c>
      <c r="O442">
        <v>1675</v>
      </c>
      <c r="P442">
        <v>1.8</v>
      </c>
      <c r="Q442">
        <v>3.02</v>
      </c>
      <c r="R442" s="97" t="s">
        <v>1201</v>
      </c>
      <c r="S442" s="97" t="s">
        <v>195</v>
      </c>
    </row>
    <row r="443" spans="1:19" x14ac:dyDescent="0.3">
      <c r="A443" s="97" t="s">
        <v>636</v>
      </c>
      <c r="B443" s="97" t="s">
        <v>22</v>
      </c>
      <c r="C443">
        <v>2025</v>
      </c>
      <c r="D443">
        <v>1</v>
      </c>
      <c r="E443" s="2">
        <v>45680</v>
      </c>
      <c r="F443" s="97" t="s">
        <v>7</v>
      </c>
      <c r="G443" s="97" t="s">
        <v>8</v>
      </c>
      <c r="H443" s="97" t="s">
        <v>74</v>
      </c>
      <c r="I443" s="97" t="s">
        <v>77</v>
      </c>
      <c r="J443" s="97" t="s">
        <v>78</v>
      </c>
      <c r="K443" s="97" t="s">
        <v>73</v>
      </c>
      <c r="L443">
        <v>701000</v>
      </c>
      <c r="M443" s="97" t="s">
        <v>62</v>
      </c>
      <c r="N443" s="97" t="s">
        <v>33</v>
      </c>
      <c r="O443">
        <v>450</v>
      </c>
      <c r="P443">
        <v>1.8</v>
      </c>
      <c r="Q443">
        <v>0.81</v>
      </c>
      <c r="R443" s="97" t="s">
        <v>1203</v>
      </c>
      <c r="S443" s="97" t="s">
        <v>195</v>
      </c>
    </row>
    <row r="444" spans="1:19" x14ac:dyDescent="0.3">
      <c r="A444" s="97" t="s">
        <v>637</v>
      </c>
      <c r="B444" s="97" t="s">
        <v>22</v>
      </c>
      <c r="C444">
        <v>2025</v>
      </c>
      <c r="D444">
        <v>1</v>
      </c>
      <c r="E444" s="2">
        <v>45680</v>
      </c>
      <c r="F444" s="97" t="s">
        <v>7</v>
      </c>
      <c r="G444" s="97" t="s">
        <v>8</v>
      </c>
      <c r="H444" s="97" t="s">
        <v>74</v>
      </c>
      <c r="I444" s="97" t="s">
        <v>77</v>
      </c>
      <c r="J444" s="97" t="s">
        <v>78</v>
      </c>
      <c r="K444" s="97" t="s">
        <v>73</v>
      </c>
      <c r="L444">
        <v>701000</v>
      </c>
      <c r="M444" s="97" t="s">
        <v>62</v>
      </c>
      <c r="N444" s="97" t="s">
        <v>33</v>
      </c>
      <c r="O444">
        <v>1929</v>
      </c>
      <c r="P444">
        <v>1.8</v>
      </c>
      <c r="Q444">
        <v>3.47</v>
      </c>
      <c r="R444" s="97" t="s">
        <v>1200</v>
      </c>
      <c r="S444" s="97" t="s">
        <v>195</v>
      </c>
    </row>
    <row r="445" spans="1:19" x14ac:dyDescent="0.3">
      <c r="A445" s="97" t="s">
        <v>638</v>
      </c>
      <c r="B445" s="97" t="s">
        <v>22</v>
      </c>
      <c r="C445">
        <v>2025</v>
      </c>
      <c r="D445">
        <v>1</v>
      </c>
      <c r="E445" s="2">
        <v>45680</v>
      </c>
      <c r="F445" s="97" t="s">
        <v>7</v>
      </c>
      <c r="G445" s="97" t="s">
        <v>8</v>
      </c>
      <c r="H445" s="97" t="s">
        <v>74</v>
      </c>
      <c r="I445" s="97" t="s">
        <v>77</v>
      </c>
      <c r="J445" s="97" t="s">
        <v>78</v>
      </c>
      <c r="K445" s="97" t="s">
        <v>73</v>
      </c>
      <c r="L445">
        <v>701000</v>
      </c>
      <c r="M445" s="97" t="s">
        <v>62</v>
      </c>
      <c r="N445" s="97" t="s">
        <v>33</v>
      </c>
      <c r="O445">
        <v>79</v>
      </c>
      <c r="P445">
        <v>1.77</v>
      </c>
      <c r="Q445">
        <v>0.14000000000000001</v>
      </c>
      <c r="R445" s="97" t="s">
        <v>1204</v>
      </c>
      <c r="S445" s="97" t="s">
        <v>195</v>
      </c>
    </row>
    <row r="446" spans="1:19" x14ac:dyDescent="0.3">
      <c r="A446" s="97" t="s">
        <v>639</v>
      </c>
      <c r="B446" s="97" t="s">
        <v>22</v>
      </c>
      <c r="C446">
        <v>2025</v>
      </c>
      <c r="D446">
        <v>1</v>
      </c>
      <c r="E446" s="2">
        <v>45680</v>
      </c>
      <c r="F446" s="97" t="s">
        <v>7</v>
      </c>
      <c r="G446" s="97" t="s">
        <v>8</v>
      </c>
      <c r="H446" s="97" t="s">
        <v>74</v>
      </c>
      <c r="I446" s="97" t="s">
        <v>77</v>
      </c>
      <c r="J446" s="97" t="s">
        <v>78</v>
      </c>
      <c r="K446" s="97" t="s">
        <v>73</v>
      </c>
      <c r="L446">
        <v>701000</v>
      </c>
      <c r="M446" s="97" t="s">
        <v>62</v>
      </c>
      <c r="N446" s="97" t="s">
        <v>33</v>
      </c>
      <c r="O446">
        <v>582</v>
      </c>
      <c r="P446">
        <v>1.8</v>
      </c>
      <c r="Q446">
        <v>1.05</v>
      </c>
      <c r="R446" s="97" t="s">
        <v>1197</v>
      </c>
      <c r="S446" s="97" t="s">
        <v>195</v>
      </c>
    </row>
    <row r="447" spans="1:19" x14ac:dyDescent="0.3">
      <c r="A447" s="97" t="s">
        <v>640</v>
      </c>
      <c r="B447" s="97" t="s">
        <v>22</v>
      </c>
      <c r="C447">
        <v>2025</v>
      </c>
      <c r="D447">
        <v>1</v>
      </c>
      <c r="E447" s="2">
        <v>45678</v>
      </c>
      <c r="F447" s="97" t="s">
        <v>7</v>
      </c>
      <c r="G447" s="97" t="s">
        <v>8</v>
      </c>
      <c r="H447" s="97" t="s">
        <v>74</v>
      </c>
      <c r="I447" s="97" t="s">
        <v>77</v>
      </c>
      <c r="J447" s="97" t="s">
        <v>78</v>
      </c>
      <c r="K447" s="97" t="s">
        <v>73</v>
      </c>
      <c r="L447">
        <v>701000</v>
      </c>
      <c r="M447" s="97" t="s">
        <v>62</v>
      </c>
      <c r="N447" s="97" t="s">
        <v>33</v>
      </c>
      <c r="O447">
        <v>797</v>
      </c>
      <c r="P447">
        <v>1.79</v>
      </c>
      <c r="Q447">
        <v>1.43</v>
      </c>
      <c r="R447" s="97" t="s">
        <v>1203</v>
      </c>
      <c r="S447" s="97" t="s">
        <v>195</v>
      </c>
    </row>
    <row r="448" spans="1:19" x14ac:dyDescent="0.3">
      <c r="A448" s="97" t="s">
        <v>641</v>
      </c>
      <c r="B448" s="97" t="s">
        <v>22</v>
      </c>
      <c r="C448">
        <v>2025</v>
      </c>
      <c r="D448">
        <v>1</v>
      </c>
      <c r="E448" s="2">
        <v>45678</v>
      </c>
      <c r="F448" s="97" t="s">
        <v>7</v>
      </c>
      <c r="G448" s="97" t="s">
        <v>8</v>
      </c>
      <c r="H448" s="97" t="s">
        <v>74</v>
      </c>
      <c r="I448" s="97" t="s">
        <v>77</v>
      </c>
      <c r="J448" s="97" t="s">
        <v>78</v>
      </c>
      <c r="K448" s="97" t="s">
        <v>73</v>
      </c>
      <c r="L448">
        <v>701000</v>
      </c>
      <c r="M448" s="97" t="s">
        <v>62</v>
      </c>
      <c r="N448" s="97" t="s">
        <v>33</v>
      </c>
      <c r="O448">
        <v>240</v>
      </c>
      <c r="P448">
        <v>1.79</v>
      </c>
      <c r="Q448">
        <v>0.43</v>
      </c>
      <c r="R448" s="97" t="s">
        <v>1198</v>
      </c>
      <c r="S448" s="97" t="s">
        <v>195</v>
      </c>
    </row>
    <row r="449" spans="1:19" x14ac:dyDescent="0.3">
      <c r="A449" s="97" t="s">
        <v>642</v>
      </c>
      <c r="B449" s="97" t="s">
        <v>22</v>
      </c>
      <c r="C449">
        <v>2025</v>
      </c>
      <c r="D449">
        <v>1</v>
      </c>
      <c r="E449" s="2">
        <v>45678</v>
      </c>
      <c r="F449" s="97" t="s">
        <v>7</v>
      </c>
      <c r="G449" s="97" t="s">
        <v>8</v>
      </c>
      <c r="H449" s="97" t="s">
        <v>74</v>
      </c>
      <c r="I449" s="97" t="s">
        <v>77</v>
      </c>
      <c r="J449" s="97" t="s">
        <v>78</v>
      </c>
      <c r="K449" s="97" t="s">
        <v>73</v>
      </c>
      <c r="L449">
        <v>701000</v>
      </c>
      <c r="M449" s="97" t="s">
        <v>62</v>
      </c>
      <c r="N449" s="97" t="s">
        <v>33</v>
      </c>
      <c r="O449">
        <v>1713</v>
      </c>
      <c r="P449">
        <v>1.8</v>
      </c>
      <c r="Q449">
        <v>3.08</v>
      </c>
      <c r="R449" s="97" t="s">
        <v>1205</v>
      </c>
      <c r="S449" s="97" t="s">
        <v>195</v>
      </c>
    </row>
    <row r="450" spans="1:19" x14ac:dyDescent="0.3">
      <c r="A450" s="97" t="s">
        <v>643</v>
      </c>
      <c r="B450" s="97" t="s">
        <v>22</v>
      </c>
      <c r="C450">
        <v>2025</v>
      </c>
      <c r="D450">
        <v>1</v>
      </c>
      <c r="E450" s="2">
        <v>45678</v>
      </c>
      <c r="F450" s="97" t="s">
        <v>7</v>
      </c>
      <c r="G450" s="97" t="s">
        <v>8</v>
      </c>
      <c r="H450" s="97" t="s">
        <v>74</v>
      </c>
      <c r="I450" s="97" t="s">
        <v>77</v>
      </c>
      <c r="J450" s="97" t="s">
        <v>78</v>
      </c>
      <c r="K450" s="97" t="s">
        <v>73</v>
      </c>
      <c r="L450">
        <v>701000</v>
      </c>
      <c r="M450" s="97" t="s">
        <v>62</v>
      </c>
      <c r="N450" s="97" t="s">
        <v>33</v>
      </c>
      <c r="O450">
        <v>1178</v>
      </c>
      <c r="P450">
        <v>1.8</v>
      </c>
      <c r="Q450">
        <v>2.12</v>
      </c>
      <c r="R450" s="97" t="s">
        <v>1199</v>
      </c>
      <c r="S450" s="97" t="s">
        <v>195</v>
      </c>
    </row>
    <row r="451" spans="1:19" x14ac:dyDescent="0.3">
      <c r="A451" s="97" t="s">
        <v>644</v>
      </c>
      <c r="B451" s="97" t="s">
        <v>22</v>
      </c>
      <c r="C451">
        <v>2025</v>
      </c>
      <c r="D451">
        <v>1</v>
      </c>
      <c r="E451" s="2">
        <v>45678</v>
      </c>
      <c r="F451" s="97" t="s">
        <v>7</v>
      </c>
      <c r="G451" s="97" t="s">
        <v>8</v>
      </c>
      <c r="H451" s="97" t="s">
        <v>74</v>
      </c>
      <c r="I451" s="97" t="s">
        <v>77</v>
      </c>
      <c r="J451" s="97" t="s">
        <v>78</v>
      </c>
      <c r="K451" s="97" t="s">
        <v>73</v>
      </c>
      <c r="L451">
        <v>701000</v>
      </c>
      <c r="M451" s="97" t="s">
        <v>62</v>
      </c>
      <c r="N451" s="97" t="s">
        <v>33</v>
      </c>
      <c r="O451">
        <v>619</v>
      </c>
      <c r="P451">
        <v>1.81</v>
      </c>
      <c r="Q451">
        <v>1.1200000000000001</v>
      </c>
      <c r="R451" s="97" t="s">
        <v>1200</v>
      </c>
      <c r="S451" s="97" t="s">
        <v>195</v>
      </c>
    </row>
    <row r="452" spans="1:19" x14ac:dyDescent="0.3">
      <c r="A452" s="97" t="s">
        <v>645</v>
      </c>
      <c r="B452" s="97" t="s">
        <v>22</v>
      </c>
      <c r="C452">
        <v>2025</v>
      </c>
      <c r="D452">
        <v>1</v>
      </c>
      <c r="E452" s="2">
        <v>45664</v>
      </c>
      <c r="F452" s="97" t="s">
        <v>7</v>
      </c>
      <c r="G452" s="97" t="s">
        <v>8</v>
      </c>
      <c r="H452" s="97" t="s">
        <v>70</v>
      </c>
      <c r="I452" s="97" t="s">
        <v>77</v>
      </c>
      <c r="J452" s="97" t="s">
        <v>78</v>
      </c>
      <c r="K452" s="97" t="s">
        <v>73</v>
      </c>
      <c r="L452">
        <v>701000</v>
      </c>
      <c r="M452" s="97" t="s">
        <v>62</v>
      </c>
      <c r="N452" s="97" t="s">
        <v>33</v>
      </c>
      <c r="O452">
        <v>980</v>
      </c>
      <c r="P452">
        <v>1.8</v>
      </c>
      <c r="Q452">
        <v>1.76</v>
      </c>
      <c r="R452" s="97" t="s">
        <v>1202</v>
      </c>
      <c r="S452" s="97" t="s">
        <v>195</v>
      </c>
    </row>
    <row r="453" spans="1:19" x14ac:dyDescent="0.3">
      <c r="A453" s="97" t="s">
        <v>646</v>
      </c>
      <c r="B453" s="97" t="s">
        <v>22</v>
      </c>
      <c r="C453">
        <v>2025</v>
      </c>
      <c r="D453">
        <v>1</v>
      </c>
      <c r="E453" s="2">
        <v>45664</v>
      </c>
      <c r="F453" s="97" t="s">
        <v>7</v>
      </c>
      <c r="G453" s="97" t="s">
        <v>8</v>
      </c>
      <c r="H453" s="97" t="s">
        <v>70</v>
      </c>
      <c r="I453" s="97" t="s">
        <v>77</v>
      </c>
      <c r="J453" s="97" t="s">
        <v>78</v>
      </c>
      <c r="K453" s="97" t="s">
        <v>73</v>
      </c>
      <c r="L453">
        <v>701000</v>
      </c>
      <c r="M453" s="97" t="s">
        <v>62</v>
      </c>
      <c r="N453" s="97" t="s">
        <v>33</v>
      </c>
      <c r="O453">
        <v>542</v>
      </c>
      <c r="P453">
        <v>1.81</v>
      </c>
      <c r="Q453">
        <v>0.98</v>
      </c>
      <c r="R453" s="97" t="s">
        <v>1203</v>
      </c>
      <c r="S453" s="97" t="s">
        <v>195</v>
      </c>
    </row>
    <row r="454" spans="1:19" x14ac:dyDescent="0.3">
      <c r="A454" s="97" t="s">
        <v>647</v>
      </c>
      <c r="B454" s="97" t="s">
        <v>22</v>
      </c>
      <c r="C454">
        <v>2025</v>
      </c>
      <c r="D454">
        <v>1</v>
      </c>
      <c r="E454" s="2">
        <v>45664</v>
      </c>
      <c r="F454" s="97" t="s">
        <v>7</v>
      </c>
      <c r="G454" s="97" t="s">
        <v>8</v>
      </c>
      <c r="H454" s="97" t="s">
        <v>70</v>
      </c>
      <c r="I454" s="97" t="s">
        <v>77</v>
      </c>
      <c r="J454" s="97" t="s">
        <v>78</v>
      </c>
      <c r="K454" s="97" t="s">
        <v>73</v>
      </c>
      <c r="L454">
        <v>701000</v>
      </c>
      <c r="M454" s="97" t="s">
        <v>62</v>
      </c>
      <c r="N454" s="97" t="s">
        <v>33</v>
      </c>
      <c r="O454">
        <v>152</v>
      </c>
      <c r="P454">
        <v>1.78</v>
      </c>
      <c r="Q454">
        <v>0.27</v>
      </c>
      <c r="R454" s="97" t="s">
        <v>1198</v>
      </c>
      <c r="S454" s="97" t="s">
        <v>195</v>
      </c>
    </row>
    <row r="455" spans="1:19" x14ac:dyDescent="0.3">
      <c r="A455" s="97" t="s">
        <v>648</v>
      </c>
      <c r="B455" s="97" t="s">
        <v>22</v>
      </c>
      <c r="C455">
        <v>2025</v>
      </c>
      <c r="D455">
        <v>1</v>
      </c>
      <c r="E455" s="2">
        <v>45664</v>
      </c>
      <c r="F455" s="97" t="s">
        <v>7</v>
      </c>
      <c r="G455" s="97" t="s">
        <v>8</v>
      </c>
      <c r="H455" s="97" t="s">
        <v>70</v>
      </c>
      <c r="I455" s="97" t="s">
        <v>77</v>
      </c>
      <c r="J455" s="97" t="s">
        <v>78</v>
      </c>
      <c r="K455" s="97" t="s">
        <v>73</v>
      </c>
      <c r="L455">
        <v>701000</v>
      </c>
      <c r="M455" s="97" t="s">
        <v>62</v>
      </c>
      <c r="N455" s="97" t="s">
        <v>33</v>
      </c>
      <c r="O455">
        <v>836</v>
      </c>
      <c r="P455">
        <v>1.81</v>
      </c>
      <c r="Q455">
        <v>1.51</v>
      </c>
      <c r="R455" s="97" t="s">
        <v>1200</v>
      </c>
      <c r="S455" s="97" t="s">
        <v>195</v>
      </c>
    </row>
    <row r="456" spans="1:19" x14ac:dyDescent="0.3">
      <c r="A456" s="97" t="s">
        <v>649</v>
      </c>
      <c r="B456" s="97" t="s">
        <v>22</v>
      </c>
      <c r="C456">
        <v>2025</v>
      </c>
      <c r="D456">
        <v>1</v>
      </c>
      <c r="E456" s="2">
        <v>45664</v>
      </c>
      <c r="F456" s="97" t="s">
        <v>7</v>
      </c>
      <c r="G456" s="97" t="s">
        <v>8</v>
      </c>
      <c r="H456" s="97" t="s">
        <v>70</v>
      </c>
      <c r="I456" s="97" t="s">
        <v>77</v>
      </c>
      <c r="J456" s="97" t="s">
        <v>78</v>
      </c>
      <c r="K456" s="97" t="s">
        <v>73</v>
      </c>
      <c r="L456">
        <v>701000</v>
      </c>
      <c r="M456" s="97" t="s">
        <v>62</v>
      </c>
      <c r="N456" s="97" t="s">
        <v>33</v>
      </c>
      <c r="O456">
        <v>1763</v>
      </c>
      <c r="P456">
        <v>1.8</v>
      </c>
      <c r="Q456">
        <v>3.17</v>
      </c>
      <c r="R456" s="97" t="s">
        <v>1201</v>
      </c>
      <c r="S456" s="97" t="s">
        <v>195</v>
      </c>
    </row>
    <row r="457" spans="1:19" x14ac:dyDescent="0.3">
      <c r="A457" s="97" t="s">
        <v>650</v>
      </c>
      <c r="B457" s="97" t="s">
        <v>22</v>
      </c>
      <c r="C457">
        <v>2025</v>
      </c>
      <c r="D457">
        <v>1</v>
      </c>
      <c r="E457" s="2">
        <v>45674</v>
      </c>
      <c r="F457" s="97" t="s">
        <v>7</v>
      </c>
      <c r="G457" s="97" t="s">
        <v>8</v>
      </c>
      <c r="H457" s="97" t="s">
        <v>70</v>
      </c>
      <c r="I457" s="97" t="s">
        <v>77</v>
      </c>
      <c r="J457" s="97" t="s">
        <v>78</v>
      </c>
      <c r="K457" s="97" t="s">
        <v>73</v>
      </c>
      <c r="L457">
        <v>701000</v>
      </c>
      <c r="M457" s="97" t="s">
        <v>62</v>
      </c>
      <c r="N457" s="97" t="s">
        <v>33</v>
      </c>
      <c r="O457">
        <v>1177</v>
      </c>
      <c r="P457">
        <v>1.8</v>
      </c>
      <c r="Q457">
        <v>2.12</v>
      </c>
      <c r="R457" s="97" t="s">
        <v>1201</v>
      </c>
      <c r="S457" s="97" t="s">
        <v>195</v>
      </c>
    </row>
    <row r="458" spans="1:19" x14ac:dyDescent="0.3">
      <c r="A458" s="97" t="s">
        <v>651</v>
      </c>
      <c r="B458" s="97" t="s">
        <v>22</v>
      </c>
      <c r="C458">
        <v>2025</v>
      </c>
      <c r="D458">
        <v>1</v>
      </c>
      <c r="E458" s="2">
        <v>45674</v>
      </c>
      <c r="F458" s="97" t="s">
        <v>7</v>
      </c>
      <c r="G458" s="97" t="s">
        <v>8</v>
      </c>
      <c r="H458" s="97" t="s">
        <v>70</v>
      </c>
      <c r="I458" s="97" t="s">
        <v>77</v>
      </c>
      <c r="J458" s="97" t="s">
        <v>78</v>
      </c>
      <c r="K458" s="97" t="s">
        <v>73</v>
      </c>
      <c r="L458">
        <v>701000</v>
      </c>
      <c r="M458" s="97" t="s">
        <v>62</v>
      </c>
      <c r="N458" s="97" t="s">
        <v>33</v>
      </c>
      <c r="O458">
        <v>674</v>
      </c>
      <c r="P458">
        <v>1.8</v>
      </c>
      <c r="Q458">
        <v>1.21</v>
      </c>
      <c r="R458" s="97" t="s">
        <v>1204</v>
      </c>
      <c r="S458" s="97" t="s">
        <v>195</v>
      </c>
    </row>
    <row r="459" spans="1:19" x14ac:dyDescent="0.3">
      <c r="A459" s="97" t="s">
        <v>652</v>
      </c>
      <c r="B459" s="97" t="s">
        <v>22</v>
      </c>
      <c r="C459">
        <v>2025</v>
      </c>
      <c r="D459">
        <v>1</v>
      </c>
      <c r="E459" s="2">
        <v>45674</v>
      </c>
      <c r="F459" s="97" t="s">
        <v>7</v>
      </c>
      <c r="G459" s="97" t="s">
        <v>8</v>
      </c>
      <c r="H459" s="97" t="s">
        <v>70</v>
      </c>
      <c r="I459" s="97" t="s">
        <v>77</v>
      </c>
      <c r="J459" s="97" t="s">
        <v>78</v>
      </c>
      <c r="K459" s="97" t="s">
        <v>73</v>
      </c>
      <c r="L459">
        <v>701000</v>
      </c>
      <c r="M459" s="97" t="s">
        <v>62</v>
      </c>
      <c r="N459" s="97" t="s">
        <v>33</v>
      </c>
      <c r="O459">
        <v>1078</v>
      </c>
      <c r="P459">
        <v>1.8</v>
      </c>
      <c r="Q459">
        <v>1.94</v>
      </c>
      <c r="R459" s="97" t="s">
        <v>1200</v>
      </c>
      <c r="S459" s="97" t="s">
        <v>195</v>
      </c>
    </row>
    <row r="460" spans="1:19" x14ac:dyDescent="0.3">
      <c r="A460" s="97" t="s">
        <v>653</v>
      </c>
      <c r="B460" s="97" t="s">
        <v>22</v>
      </c>
      <c r="C460">
        <v>2025</v>
      </c>
      <c r="D460">
        <v>1</v>
      </c>
      <c r="E460" s="2">
        <v>45674</v>
      </c>
      <c r="F460" s="97" t="s">
        <v>7</v>
      </c>
      <c r="G460" s="97" t="s">
        <v>8</v>
      </c>
      <c r="H460" s="97" t="s">
        <v>70</v>
      </c>
      <c r="I460" s="97" t="s">
        <v>77</v>
      </c>
      <c r="J460" s="97" t="s">
        <v>78</v>
      </c>
      <c r="K460" s="97" t="s">
        <v>73</v>
      </c>
      <c r="L460">
        <v>701000</v>
      </c>
      <c r="M460" s="97" t="s">
        <v>62</v>
      </c>
      <c r="N460" s="97" t="s">
        <v>33</v>
      </c>
      <c r="O460">
        <v>794</v>
      </c>
      <c r="P460">
        <v>1.8</v>
      </c>
      <c r="Q460">
        <v>1.43</v>
      </c>
      <c r="R460" s="97" t="s">
        <v>1202</v>
      </c>
      <c r="S460" s="97" t="s">
        <v>195</v>
      </c>
    </row>
    <row r="461" spans="1:19" x14ac:dyDescent="0.3">
      <c r="A461" s="97" t="s">
        <v>654</v>
      </c>
      <c r="B461" s="97" t="s">
        <v>22</v>
      </c>
      <c r="C461">
        <v>2025</v>
      </c>
      <c r="D461">
        <v>1</v>
      </c>
      <c r="E461" s="2">
        <v>45674</v>
      </c>
      <c r="F461" s="97" t="s">
        <v>7</v>
      </c>
      <c r="G461" s="97" t="s">
        <v>8</v>
      </c>
      <c r="H461" s="97" t="s">
        <v>70</v>
      </c>
      <c r="I461" s="97" t="s">
        <v>77</v>
      </c>
      <c r="J461" s="97" t="s">
        <v>78</v>
      </c>
      <c r="K461" s="97" t="s">
        <v>73</v>
      </c>
      <c r="L461">
        <v>701000</v>
      </c>
      <c r="M461" s="97" t="s">
        <v>62</v>
      </c>
      <c r="N461" s="97" t="s">
        <v>33</v>
      </c>
      <c r="O461">
        <v>589</v>
      </c>
      <c r="P461">
        <v>1.8</v>
      </c>
      <c r="Q461">
        <v>1.06</v>
      </c>
      <c r="R461" s="97" t="s">
        <v>1205</v>
      </c>
      <c r="S461" s="97" t="s">
        <v>195</v>
      </c>
    </row>
    <row r="462" spans="1:19" x14ac:dyDescent="0.3">
      <c r="A462" s="97" t="s">
        <v>655</v>
      </c>
      <c r="B462" s="97" t="s">
        <v>22</v>
      </c>
      <c r="C462">
        <v>2025</v>
      </c>
      <c r="D462">
        <v>1</v>
      </c>
      <c r="E462" s="2">
        <v>45661</v>
      </c>
      <c r="F462" s="97" t="s">
        <v>7</v>
      </c>
      <c r="G462" s="97" t="s">
        <v>8</v>
      </c>
      <c r="H462" s="97" t="s">
        <v>70</v>
      </c>
      <c r="I462" s="97" t="s">
        <v>77</v>
      </c>
      <c r="J462" s="97" t="s">
        <v>78</v>
      </c>
      <c r="K462" s="97" t="s">
        <v>73</v>
      </c>
      <c r="L462">
        <v>701000</v>
      </c>
      <c r="M462" s="97" t="s">
        <v>62</v>
      </c>
      <c r="N462" s="97" t="s">
        <v>33</v>
      </c>
      <c r="O462">
        <v>994</v>
      </c>
      <c r="P462">
        <v>1.8</v>
      </c>
      <c r="Q462">
        <v>1.79</v>
      </c>
      <c r="R462" s="97" t="s">
        <v>1204</v>
      </c>
      <c r="S462" s="97" t="s">
        <v>195</v>
      </c>
    </row>
    <row r="463" spans="1:19" x14ac:dyDescent="0.3">
      <c r="A463" s="97" t="s">
        <v>656</v>
      </c>
      <c r="B463" s="97" t="s">
        <v>22</v>
      </c>
      <c r="C463">
        <v>2025</v>
      </c>
      <c r="D463">
        <v>1</v>
      </c>
      <c r="E463" s="2">
        <v>45661</v>
      </c>
      <c r="F463" s="97" t="s">
        <v>7</v>
      </c>
      <c r="G463" s="97" t="s">
        <v>8</v>
      </c>
      <c r="H463" s="97" t="s">
        <v>70</v>
      </c>
      <c r="I463" s="97" t="s">
        <v>77</v>
      </c>
      <c r="J463" s="97" t="s">
        <v>78</v>
      </c>
      <c r="K463" s="97" t="s">
        <v>73</v>
      </c>
      <c r="L463">
        <v>701000</v>
      </c>
      <c r="M463" s="97" t="s">
        <v>62</v>
      </c>
      <c r="N463" s="97" t="s">
        <v>33</v>
      </c>
      <c r="O463">
        <v>872</v>
      </c>
      <c r="P463">
        <v>1.8</v>
      </c>
      <c r="Q463">
        <v>1.57</v>
      </c>
      <c r="R463" s="97" t="s">
        <v>1199</v>
      </c>
      <c r="S463" s="97" t="s">
        <v>195</v>
      </c>
    </row>
    <row r="464" spans="1:19" x14ac:dyDescent="0.3">
      <c r="A464" s="97" t="s">
        <v>657</v>
      </c>
      <c r="B464" s="97" t="s">
        <v>22</v>
      </c>
      <c r="C464">
        <v>2025</v>
      </c>
      <c r="D464">
        <v>1</v>
      </c>
      <c r="E464" s="2">
        <v>45661</v>
      </c>
      <c r="F464" s="97" t="s">
        <v>7</v>
      </c>
      <c r="G464" s="97" t="s">
        <v>8</v>
      </c>
      <c r="H464" s="97" t="s">
        <v>70</v>
      </c>
      <c r="I464" s="97" t="s">
        <v>77</v>
      </c>
      <c r="J464" s="97" t="s">
        <v>78</v>
      </c>
      <c r="K464" s="97" t="s">
        <v>73</v>
      </c>
      <c r="L464">
        <v>701000</v>
      </c>
      <c r="M464" s="97" t="s">
        <v>62</v>
      </c>
      <c r="N464" s="97" t="s">
        <v>33</v>
      </c>
      <c r="O464">
        <v>1108</v>
      </c>
      <c r="P464">
        <v>1.81</v>
      </c>
      <c r="Q464">
        <v>2</v>
      </c>
      <c r="R464" s="97" t="s">
        <v>1198</v>
      </c>
      <c r="S464" s="97" t="s">
        <v>195</v>
      </c>
    </row>
    <row r="465" spans="1:19" x14ac:dyDescent="0.3">
      <c r="A465" s="97" t="s">
        <v>658</v>
      </c>
      <c r="B465" s="97" t="s">
        <v>22</v>
      </c>
      <c r="C465">
        <v>2025</v>
      </c>
      <c r="D465">
        <v>1</v>
      </c>
      <c r="E465" s="2">
        <v>45661</v>
      </c>
      <c r="F465" s="97" t="s">
        <v>7</v>
      </c>
      <c r="G465" s="97" t="s">
        <v>8</v>
      </c>
      <c r="H465" s="97" t="s">
        <v>70</v>
      </c>
      <c r="I465" s="97" t="s">
        <v>77</v>
      </c>
      <c r="J465" s="97" t="s">
        <v>78</v>
      </c>
      <c r="K465" s="97" t="s">
        <v>73</v>
      </c>
      <c r="L465">
        <v>701000</v>
      </c>
      <c r="M465" s="97" t="s">
        <v>62</v>
      </c>
      <c r="N465" s="97" t="s">
        <v>33</v>
      </c>
      <c r="O465">
        <v>1193</v>
      </c>
      <c r="P465">
        <v>1.8</v>
      </c>
      <c r="Q465">
        <v>2.15</v>
      </c>
      <c r="R465" s="97" t="s">
        <v>1201</v>
      </c>
      <c r="S465" s="97" t="s">
        <v>195</v>
      </c>
    </row>
    <row r="466" spans="1:19" x14ac:dyDescent="0.3">
      <c r="A466" s="97" t="s">
        <v>659</v>
      </c>
      <c r="B466" s="97" t="s">
        <v>22</v>
      </c>
      <c r="C466">
        <v>2025</v>
      </c>
      <c r="D466">
        <v>1</v>
      </c>
      <c r="E466" s="2">
        <v>45661</v>
      </c>
      <c r="F466" s="97" t="s">
        <v>7</v>
      </c>
      <c r="G466" s="97" t="s">
        <v>8</v>
      </c>
      <c r="H466" s="97" t="s">
        <v>70</v>
      </c>
      <c r="I466" s="97" t="s">
        <v>77</v>
      </c>
      <c r="J466" s="97" t="s">
        <v>78</v>
      </c>
      <c r="K466" s="97" t="s">
        <v>73</v>
      </c>
      <c r="L466">
        <v>701000</v>
      </c>
      <c r="M466" s="97" t="s">
        <v>62</v>
      </c>
      <c r="N466" s="97" t="s">
        <v>33</v>
      </c>
      <c r="O466">
        <v>198</v>
      </c>
      <c r="P466">
        <v>1.77</v>
      </c>
      <c r="Q466">
        <v>0.35</v>
      </c>
      <c r="R466" s="97" t="s">
        <v>1203</v>
      </c>
      <c r="S466" s="97" t="s">
        <v>195</v>
      </c>
    </row>
    <row r="467" spans="1:19" x14ac:dyDescent="0.3">
      <c r="A467" s="97" t="s">
        <v>660</v>
      </c>
      <c r="B467" s="97" t="s">
        <v>22</v>
      </c>
      <c r="C467">
        <v>2025</v>
      </c>
      <c r="D467">
        <v>1</v>
      </c>
      <c r="E467" s="2">
        <v>45668</v>
      </c>
      <c r="F467" s="97" t="s">
        <v>7</v>
      </c>
      <c r="G467" s="97" t="s">
        <v>8</v>
      </c>
      <c r="H467" s="97" t="s">
        <v>74</v>
      </c>
      <c r="I467" s="97" t="s">
        <v>77</v>
      </c>
      <c r="J467" s="97" t="s">
        <v>78</v>
      </c>
      <c r="K467" s="97" t="s">
        <v>73</v>
      </c>
      <c r="L467">
        <v>701000</v>
      </c>
      <c r="M467" s="97" t="s">
        <v>62</v>
      </c>
      <c r="N467" s="97" t="s">
        <v>33</v>
      </c>
      <c r="O467">
        <v>267</v>
      </c>
      <c r="P467">
        <v>1.8</v>
      </c>
      <c r="Q467">
        <v>0.48</v>
      </c>
      <c r="R467" s="97" t="s">
        <v>1204</v>
      </c>
      <c r="S467" s="97" t="s">
        <v>195</v>
      </c>
    </row>
    <row r="468" spans="1:19" x14ac:dyDescent="0.3">
      <c r="A468" s="97" t="s">
        <v>661</v>
      </c>
      <c r="B468" s="97" t="s">
        <v>22</v>
      </c>
      <c r="C468">
        <v>2025</v>
      </c>
      <c r="D468">
        <v>1</v>
      </c>
      <c r="E468" s="2">
        <v>45668</v>
      </c>
      <c r="F468" s="97" t="s">
        <v>7</v>
      </c>
      <c r="G468" s="97" t="s">
        <v>8</v>
      </c>
      <c r="H468" s="97" t="s">
        <v>74</v>
      </c>
      <c r="I468" s="97" t="s">
        <v>77</v>
      </c>
      <c r="J468" s="97" t="s">
        <v>78</v>
      </c>
      <c r="K468" s="97" t="s">
        <v>73</v>
      </c>
      <c r="L468">
        <v>701000</v>
      </c>
      <c r="M468" s="97" t="s">
        <v>62</v>
      </c>
      <c r="N468" s="97" t="s">
        <v>33</v>
      </c>
      <c r="O468">
        <v>409</v>
      </c>
      <c r="P468">
        <v>1.81</v>
      </c>
      <c r="Q468">
        <v>0.74</v>
      </c>
      <c r="R468" s="97" t="s">
        <v>1202</v>
      </c>
      <c r="S468" s="97" t="s">
        <v>195</v>
      </c>
    </row>
    <row r="469" spans="1:19" x14ac:dyDescent="0.3">
      <c r="A469" s="97" t="s">
        <v>662</v>
      </c>
      <c r="B469" s="97" t="s">
        <v>22</v>
      </c>
      <c r="C469">
        <v>2025</v>
      </c>
      <c r="D469">
        <v>1</v>
      </c>
      <c r="E469" s="2">
        <v>45668</v>
      </c>
      <c r="F469" s="97" t="s">
        <v>7</v>
      </c>
      <c r="G469" s="97" t="s">
        <v>8</v>
      </c>
      <c r="H469" s="97" t="s">
        <v>74</v>
      </c>
      <c r="I469" s="97" t="s">
        <v>77</v>
      </c>
      <c r="J469" s="97" t="s">
        <v>78</v>
      </c>
      <c r="K469" s="97" t="s">
        <v>73</v>
      </c>
      <c r="L469">
        <v>701000</v>
      </c>
      <c r="M469" s="97" t="s">
        <v>62</v>
      </c>
      <c r="N469" s="97" t="s">
        <v>33</v>
      </c>
      <c r="O469">
        <v>1063</v>
      </c>
      <c r="P469">
        <v>1.8</v>
      </c>
      <c r="Q469">
        <v>1.91</v>
      </c>
      <c r="R469" s="97" t="s">
        <v>1198</v>
      </c>
      <c r="S469" s="97" t="s">
        <v>195</v>
      </c>
    </row>
    <row r="470" spans="1:19" x14ac:dyDescent="0.3">
      <c r="A470" s="97" t="s">
        <v>663</v>
      </c>
      <c r="B470" s="97" t="s">
        <v>22</v>
      </c>
      <c r="C470">
        <v>2025</v>
      </c>
      <c r="D470">
        <v>1</v>
      </c>
      <c r="E470" s="2">
        <v>45668</v>
      </c>
      <c r="F470" s="97" t="s">
        <v>7</v>
      </c>
      <c r="G470" s="97" t="s">
        <v>8</v>
      </c>
      <c r="H470" s="97" t="s">
        <v>74</v>
      </c>
      <c r="I470" s="97" t="s">
        <v>77</v>
      </c>
      <c r="J470" s="97" t="s">
        <v>78</v>
      </c>
      <c r="K470" s="97" t="s">
        <v>73</v>
      </c>
      <c r="L470">
        <v>701000</v>
      </c>
      <c r="M470" s="97" t="s">
        <v>62</v>
      </c>
      <c r="N470" s="97" t="s">
        <v>33</v>
      </c>
      <c r="O470">
        <v>295</v>
      </c>
      <c r="P470">
        <v>1.8</v>
      </c>
      <c r="Q470">
        <v>0.53</v>
      </c>
      <c r="R470" s="97" t="s">
        <v>1205</v>
      </c>
      <c r="S470" s="97" t="s">
        <v>195</v>
      </c>
    </row>
    <row r="471" spans="1:19" x14ac:dyDescent="0.3">
      <c r="A471" s="97" t="s">
        <v>664</v>
      </c>
      <c r="B471" s="97" t="s">
        <v>22</v>
      </c>
      <c r="C471">
        <v>2025</v>
      </c>
      <c r="D471">
        <v>1</v>
      </c>
      <c r="E471" s="2">
        <v>45668</v>
      </c>
      <c r="F471" s="97" t="s">
        <v>7</v>
      </c>
      <c r="G471" s="97" t="s">
        <v>8</v>
      </c>
      <c r="H471" s="97" t="s">
        <v>74</v>
      </c>
      <c r="I471" s="97" t="s">
        <v>77</v>
      </c>
      <c r="J471" s="97" t="s">
        <v>78</v>
      </c>
      <c r="K471" s="97" t="s">
        <v>73</v>
      </c>
      <c r="L471">
        <v>701000</v>
      </c>
      <c r="M471" s="97" t="s">
        <v>62</v>
      </c>
      <c r="N471" s="97" t="s">
        <v>33</v>
      </c>
      <c r="O471">
        <v>1633</v>
      </c>
      <c r="P471">
        <v>1.8</v>
      </c>
      <c r="Q471">
        <v>2.94</v>
      </c>
      <c r="R471" s="97" t="s">
        <v>1200</v>
      </c>
      <c r="S471" s="97" t="s">
        <v>195</v>
      </c>
    </row>
    <row r="472" spans="1:19" x14ac:dyDescent="0.3">
      <c r="A472" s="97" t="s">
        <v>665</v>
      </c>
      <c r="B472" s="97" t="s">
        <v>22</v>
      </c>
      <c r="C472">
        <v>2025</v>
      </c>
      <c r="D472">
        <v>1</v>
      </c>
      <c r="E472" s="2">
        <v>45667</v>
      </c>
      <c r="F472" s="97" t="s">
        <v>7</v>
      </c>
      <c r="G472" s="97" t="s">
        <v>8</v>
      </c>
      <c r="H472" s="97" t="s">
        <v>70</v>
      </c>
      <c r="I472" s="97" t="s">
        <v>77</v>
      </c>
      <c r="J472" s="97" t="s">
        <v>78</v>
      </c>
      <c r="K472" s="97" t="s">
        <v>73</v>
      </c>
      <c r="L472">
        <v>701000</v>
      </c>
      <c r="M472" s="97" t="s">
        <v>62</v>
      </c>
      <c r="N472" s="97" t="s">
        <v>33</v>
      </c>
      <c r="O472">
        <v>650</v>
      </c>
      <c r="P472">
        <v>1.8</v>
      </c>
      <c r="Q472">
        <v>1.17</v>
      </c>
      <c r="R472" s="97" t="s">
        <v>1201</v>
      </c>
      <c r="S472" s="97" t="s">
        <v>195</v>
      </c>
    </row>
    <row r="473" spans="1:19" x14ac:dyDescent="0.3">
      <c r="A473" s="97" t="s">
        <v>666</v>
      </c>
      <c r="B473" s="97" t="s">
        <v>22</v>
      </c>
      <c r="C473">
        <v>2025</v>
      </c>
      <c r="D473">
        <v>1</v>
      </c>
      <c r="E473" s="2">
        <v>45667</v>
      </c>
      <c r="F473" s="97" t="s">
        <v>7</v>
      </c>
      <c r="G473" s="97" t="s">
        <v>8</v>
      </c>
      <c r="H473" s="97" t="s">
        <v>70</v>
      </c>
      <c r="I473" s="97" t="s">
        <v>77</v>
      </c>
      <c r="J473" s="97" t="s">
        <v>78</v>
      </c>
      <c r="K473" s="97" t="s">
        <v>73</v>
      </c>
      <c r="L473">
        <v>701000</v>
      </c>
      <c r="M473" s="97" t="s">
        <v>62</v>
      </c>
      <c r="N473" s="97" t="s">
        <v>33</v>
      </c>
      <c r="O473">
        <v>1228</v>
      </c>
      <c r="P473">
        <v>1.8</v>
      </c>
      <c r="Q473">
        <v>2.21</v>
      </c>
      <c r="R473" s="97" t="s">
        <v>1203</v>
      </c>
      <c r="S473" s="97" t="s">
        <v>195</v>
      </c>
    </row>
    <row r="474" spans="1:19" x14ac:dyDescent="0.3">
      <c r="A474" s="97" t="s">
        <v>667</v>
      </c>
      <c r="B474" s="97" t="s">
        <v>22</v>
      </c>
      <c r="C474">
        <v>2025</v>
      </c>
      <c r="D474">
        <v>1</v>
      </c>
      <c r="E474" s="2">
        <v>45667</v>
      </c>
      <c r="F474" s="97" t="s">
        <v>7</v>
      </c>
      <c r="G474" s="97" t="s">
        <v>8</v>
      </c>
      <c r="H474" s="97" t="s">
        <v>70</v>
      </c>
      <c r="I474" s="97" t="s">
        <v>77</v>
      </c>
      <c r="J474" s="97" t="s">
        <v>78</v>
      </c>
      <c r="K474" s="97" t="s">
        <v>73</v>
      </c>
      <c r="L474">
        <v>701000</v>
      </c>
      <c r="M474" s="97" t="s">
        <v>62</v>
      </c>
      <c r="N474" s="97" t="s">
        <v>33</v>
      </c>
      <c r="O474">
        <v>196</v>
      </c>
      <c r="P474">
        <v>1.79</v>
      </c>
      <c r="Q474">
        <v>0.35</v>
      </c>
      <c r="R474" s="97" t="s">
        <v>1205</v>
      </c>
      <c r="S474" s="97" t="s">
        <v>195</v>
      </c>
    </row>
    <row r="475" spans="1:19" x14ac:dyDescent="0.3">
      <c r="A475" s="97" t="s">
        <v>668</v>
      </c>
      <c r="B475" s="97" t="s">
        <v>22</v>
      </c>
      <c r="C475">
        <v>2025</v>
      </c>
      <c r="D475">
        <v>1</v>
      </c>
      <c r="E475" s="2">
        <v>45667</v>
      </c>
      <c r="F475" s="97" t="s">
        <v>7</v>
      </c>
      <c r="G475" s="97" t="s">
        <v>8</v>
      </c>
      <c r="H475" s="97" t="s">
        <v>70</v>
      </c>
      <c r="I475" s="97" t="s">
        <v>77</v>
      </c>
      <c r="J475" s="97" t="s">
        <v>78</v>
      </c>
      <c r="K475" s="97" t="s">
        <v>73</v>
      </c>
      <c r="L475">
        <v>701000</v>
      </c>
      <c r="M475" s="97" t="s">
        <v>62</v>
      </c>
      <c r="N475" s="97" t="s">
        <v>33</v>
      </c>
      <c r="O475">
        <v>871</v>
      </c>
      <c r="P475">
        <v>1.8</v>
      </c>
      <c r="Q475">
        <v>1.57</v>
      </c>
      <c r="R475" s="97" t="s">
        <v>1198</v>
      </c>
      <c r="S475" s="97" t="s">
        <v>195</v>
      </c>
    </row>
    <row r="476" spans="1:19" x14ac:dyDescent="0.3">
      <c r="A476" s="97" t="s">
        <v>669</v>
      </c>
      <c r="B476" s="97" t="s">
        <v>22</v>
      </c>
      <c r="C476">
        <v>2025</v>
      </c>
      <c r="D476">
        <v>1</v>
      </c>
      <c r="E476" s="2">
        <v>45667</v>
      </c>
      <c r="F476" s="97" t="s">
        <v>7</v>
      </c>
      <c r="G476" s="97" t="s">
        <v>8</v>
      </c>
      <c r="H476" s="97" t="s">
        <v>70</v>
      </c>
      <c r="I476" s="97" t="s">
        <v>77</v>
      </c>
      <c r="J476" s="97" t="s">
        <v>78</v>
      </c>
      <c r="K476" s="97" t="s">
        <v>73</v>
      </c>
      <c r="L476">
        <v>701000</v>
      </c>
      <c r="M476" s="97" t="s">
        <v>62</v>
      </c>
      <c r="N476" s="97" t="s">
        <v>33</v>
      </c>
      <c r="O476">
        <v>932</v>
      </c>
      <c r="P476">
        <v>1.8</v>
      </c>
      <c r="Q476">
        <v>1.68</v>
      </c>
      <c r="R476" s="97" t="s">
        <v>1200</v>
      </c>
      <c r="S476" s="97" t="s">
        <v>195</v>
      </c>
    </row>
    <row r="477" spans="1:19" x14ac:dyDescent="0.3">
      <c r="A477" s="97" t="s">
        <v>670</v>
      </c>
      <c r="B477" s="97" t="s">
        <v>22</v>
      </c>
      <c r="C477">
        <v>2025</v>
      </c>
      <c r="D477">
        <v>1</v>
      </c>
      <c r="E477" s="2">
        <v>45667</v>
      </c>
      <c r="F477" s="97" t="s">
        <v>7</v>
      </c>
      <c r="G477" s="97" t="s">
        <v>8</v>
      </c>
      <c r="H477" s="97" t="s">
        <v>70</v>
      </c>
      <c r="I477" s="97" t="s">
        <v>77</v>
      </c>
      <c r="J477" s="97" t="s">
        <v>78</v>
      </c>
      <c r="K477" s="97" t="s">
        <v>73</v>
      </c>
      <c r="L477">
        <v>701000</v>
      </c>
      <c r="M477" s="97" t="s">
        <v>62</v>
      </c>
      <c r="N477" s="97" t="s">
        <v>33</v>
      </c>
      <c r="O477">
        <v>1278</v>
      </c>
      <c r="P477">
        <v>1.8</v>
      </c>
      <c r="Q477">
        <v>2.2999999999999998</v>
      </c>
      <c r="R477" s="97" t="s">
        <v>1204</v>
      </c>
      <c r="S477" s="97" t="s">
        <v>195</v>
      </c>
    </row>
    <row r="478" spans="1:19" x14ac:dyDescent="0.3">
      <c r="A478" s="97" t="s">
        <v>671</v>
      </c>
      <c r="B478" s="97" t="s">
        <v>22</v>
      </c>
      <c r="C478">
        <v>2025</v>
      </c>
      <c r="D478">
        <v>1</v>
      </c>
      <c r="E478" s="2">
        <v>45667</v>
      </c>
      <c r="F478" s="97" t="s">
        <v>7</v>
      </c>
      <c r="G478" s="97" t="s">
        <v>8</v>
      </c>
      <c r="H478" s="97" t="s">
        <v>70</v>
      </c>
      <c r="I478" s="97" t="s">
        <v>77</v>
      </c>
      <c r="J478" s="97" t="s">
        <v>78</v>
      </c>
      <c r="K478" s="97" t="s">
        <v>73</v>
      </c>
      <c r="L478">
        <v>701000</v>
      </c>
      <c r="M478" s="97" t="s">
        <v>62</v>
      </c>
      <c r="N478" s="97" t="s">
        <v>33</v>
      </c>
      <c r="O478">
        <v>555</v>
      </c>
      <c r="P478">
        <v>1.8</v>
      </c>
      <c r="Q478">
        <v>1</v>
      </c>
      <c r="R478" s="97" t="s">
        <v>1202</v>
      </c>
      <c r="S478" s="97" t="s">
        <v>195</v>
      </c>
    </row>
    <row r="479" spans="1:19" x14ac:dyDescent="0.3">
      <c r="A479" s="97" t="s">
        <v>672</v>
      </c>
      <c r="B479" s="97" t="s">
        <v>22</v>
      </c>
      <c r="C479">
        <v>2025</v>
      </c>
      <c r="D479">
        <v>1</v>
      </c>
      <c r="E479" s="2">
        <v>45667</v>
      </c>
      <c r="F479" s="97" t="s">
        <v>7</v>
      </c>
      <c r="G479" s="97" t="s">
        <v>8</v>
      </c>
      <c r="H479" s="97" t="s">
        <v>70</v>
      </c>
      <c r="I479" s="97" t="s">
        <v>77</v>
      </c>
      <c r="J479" s="97" t="s">
        <v>78</v>
      </c>
      <c r="K479" s="97" t="s">
        <v>73</v>
      </c>
      <c r="L479">
        <v>701000</v>
      </c>
      <c r="M479" s="97" t="s">
        <v>62</v>
      </c>
      <c r="N479" s="97" t="s">
        <v>33</v>
      </c>
      <c r="O479">
        <v>592</v>
      </c>
      <c r="P479">
        <v>1.81</v>
      </c>
      <c r="Q479">
        <v>1.07</v>
      </c>
      <c r="R479" s="97" t="s">
        <v>1198</v>
      </c>
      <c r="S479" s="97" t="s">
        <v>195</v>
      </c>
    </row>
    <row r="480" spans="1:19" x14ac:dyDescent="0.3">
      <c r="A480" s="97" t="s">
        <v>673</v>
      </c>
      <c r="B480" s="97" t="s">
        <v>22</v>
      </c>
      <c r="C480">
        <v>2025</v>
      </c>
      <c r="D480">
        <v>1</v>
      </c>
      <c r="E480" s="2">
        <v>45667</v>
      </c>
      <c r="F480" s="97" t="s">
        <v>7</v>
      </c>
      <c r="G480" s="97" t="s">
        <v>8</v>
      </c>
      <c r="H480" s="97" t="s">
        <v>70</v>
      </c>
      <c r="I480" s="97" t="s">
        <v>77</v>
      </c>
      <c r="J480" s="97" t="s">
        <v>78</v>
      </c>
      <c r="K480" s="97" t="s">
        <v>73</v>
      </c>
      <c r="L480">
        <v>701000</v>
      </c>
      <c r="M480" s="97" t="s">
        <v>62</v>
      </c>
      <c r="N480" s="97" t="s">
        <v>33</v>
      </c>
      <c r="O480">
        <v>1068</v>
      </c>
      <c r="P480">
        <v>1.8</v>
      </c>
      <c r="Q480">
        <v>1.92</v>
      </c>
      <c r="R480" s="97" t="s">
        <v>1199</v>
      </c>
      <c r="S480" s="97" t="s">
        <v>195</v>
      </c>
    </row>
    <row r="481" spans="1:19" x14ac:dyDescent="0.3">
      <c r="A481" s="97" t="s">
        <v>674</v>
      </c>
      <c r="B481" s="97" t="s">
        <v>22</v>
      </c>
      <c r="C481">
        <v>2025</v>
      </c>
      <c r="D481">
        <v>1</v>
      </c>
      <c r="E481" s="2">
        <v>45667</v>
      </c>
      <c r="F481" s="97" t="s">
        <v>7</v>
      </c>
      <c r="G481" s="97" t="s">
        <v>8</v>
      </c>
      <c r="H481" s="97" t="s">
        <v>70</v>
      </c>
      <c r="I481" s="97" t="s">
        <v>77</v>
      </c>
      <c r="J481" s="97" t="s">
        <v>78</v>
      </c>
      <c r="K481" s="97" t="s">
        <v>73</v>
      </c>
      <c r="L481">
        <v>701000</v>
      </c>
      <c r="M481" s="97" t="s">
        <v>62</v>
      </c>
      <c r="N481" s="97" t="s">
        <v>33</v>
      </c>
      <c r="O481">
        <v>1202</v>
      </c>
      <c r="P481">
        <v>1.8</v>
      </c>
      <c r="Q481">
        <v>2.16</v>
      </c>
      <c r="R481" s="97" t="s">
        <v>1205</v>
      </c>
      <c r="S481" s="97" t="s">
        <v>195</v>
      </c>
    </row>
    <row r="482" spans="1:19" x14ac:dyDescent="0.3">
      <c r="A482" s="97" t="s">
        <v>675</v>
      </c>
      <c r="B482" s="97" t="s">
        <v>22</v>
      </c>
      <c r="C482">
        <v>2025</v>
      </c>
      <c r="D482">
        <v>1</v>
      </c>
      <c r="E482" s="2">
        <v>45673</v>
      </c>
      <c r="F482" s="97" t="s">
        <v>7</v>
      </c>
      <c r="G482" s="97" t="s">
        <v>8</v>
      </c>
      <c r="H482" s="97" t="s">
        <v>70</v>
      </c>
      <c r="I482" s="97" t="s">
        <v>77</v>
      </c>
      <c r="J482" s="97" t="s">
        <v>78</v>
      </c>
      <c r="K482" s="97" t="s">
        <v>73</v>
      </c>
      <c r="L482">
        <v>701000</v>
      </c>
      <c r="M482" s="97" t="s">
        <v>62</v>
      </c>
      <c r="N482" s="97" t="s">
        <v>33</v>
      </c>
      <c r="O482">
        <v>373</v>
      </c>
      <c r="P482">
        <v>1.8</v>
      </c>
      <c r="Q482">
        <v>0.67</v>
      </c>
      <c r="R482" s="97" t="s">
        <v>1197</v>
      </c>
      <c r="S482" s="97" t="s">
        <v>195</v>
      </c>
    </row>
    <row r="483" spans="1:19" x14ac:dyDescent="0.3">
      <c r="A483" s="97" t="s">
        <v>676</v>
      </c>
      <c r="B483" s="97" t="s">
        <v>22</v>
      </c>
      <c r="C483">
        <v>2025</v>
      </c>
      <c r="D483">
        <v>1</v>
      </c>
      <c r="E483" s="2">
        <v>45673</v>
      </c>
      <c r="F483" s="97" t="s">
        <v>7</v>
      </c>
      <c r="G483" s="97" t="s">
        <v>8</v>
      </c>
      <c r="H483" s="97" t="s">
        <v>70</v>
      </c>
      <c r="I483" s="97" t="s">
        <v>77</v>
      </c>
      <c r="J483" s="97" t="s">
        <v>78</v>
      </c>
      <c r="K483" s="97" t="s">
        <v>73</v>
      </c>
      <c r="L483">
        <v>701000</v>
      </c>
      <c r="M483" s="97" t="s">
        <v>62</v>
      </c>
      <c r="N483" s="97" t="s">
        <v>33</v>
      </c>
      <c r="O483">
        <v>1266</v>
      </c>
      <c r="P483">
        <v>1.8</v>
      </c>
      <c r="Q483">
        <v>2.2799999999999998</v>
      </c>
      <c r="R483" s="97" t="s">
        <v>1203</v>
      </c>
      <c r="S483" s="97" t="s">
        <v>195</v>
      </c>
    </row>
    <row r="484" spans="1:19" x14ac:dyDescent="0.3">
      <c r="A484" s="97" t="s">
        <v>677</v>
      </c>
      <c r="B484" s="97" t="s">
        <v>22</v>
      </c>
      <c r="C484">
        <v>2025</v>
      </c>
      <c r="D484">
        <v>1</v>
      </c>
      <c r="E484" s="2">
        <v>45673</v>
      </c>
      <c r="F484" s="97" t="s">
        <v>7</v>
      </c>
      <c r="G484" s="97" t="s">
        <v>8</v>
      </c>
      <c r="H484" s="97" t="s">
        <v>70</v>
      </c>
      <c r="I484" s="97" t="s">
        <v>77</v>
      </c>
      <c r="J484" s="97" t="s">
        <v>78</v>
      </c>
      <c r="K484" s="97" t="s">
        <v>73</v>
      </c>
      <c r="L484">
        <v>701000</v>
      </c>
      <c r="M484" s="97" t="s">
        <v>62</v>
      </c>
      <c r="N484" s="97" t="s">
        <v>33</v>
      </c>
      <c r="O484">
        <v>958</v>
      </c>
      <c r="P484">
        <v>1.8</v>
      </c>
      <c r="Q484">
        <v>1.72</v>
      </c>
      <c r="R484" s="97" t="s">
        <v>1200</v>
      </c>
      <c r="S484" s="97" t="s">
        <v>195</v>
      </c>
    </row>
    <row r="485" spans="1:19" x14ac:dyDescent="0.3">
      <c r="A485" s="97" t="s">
        <v>678</v>
      </c>
      <c r="B485" s="97" t="s">
        <v>22</v>
      </c>
      <c r="C485">
        <v>2025</v>
      </c>
      <c r="D485">
        <v>1</v>
      </c>
      <c r="E485" s="2">
        <v>45673</v>
      </c>
      <c r="F485" s="97" t="s">
        <v>7</v>
      </c>
      <c r="G485" s="97" t="s">
        <v>8</v>
      </c>
      <c r="H485" s="97" t="s">
        <v>70</v>
      </c>
      <c r="I485" s="97" t="s">
        <v>77</v>
      </c>
      <c r="J485" s="97" t="s">
        <v>78</v>
      </c>
      <c r="K485" s="97" t="s">
        <v>73</v>
      </c>
      <c r="L485">
        <v>701000</v>
      </c>
      <c r="M485" s="97" t="s">
        <v>62</v>
      </c>
      <c r="N485" s="97" t="s">
        <v>33</v>
      </c>
      <c r="O485">
        <v>1209</v>
      </c>
      <c r="P485">
        <v>1.8</v>
      </c>
      <c r="Q485">
        <v>2.1800000000000002</v>
      </c>
      <c r="R485" s="97" t="s">
        <v>1202</v>
      </c>
      <c r="S485" s="97" t="s">
        <v>195</v>
      </c>
    </row>
    <row r="486" spans="1:19" x14ac:dyDescent="0.3">
      <c r="A486" s="97" t="s">
        <v>679</v>
      </c>
      <c r="B486" s="97" t="s">
        <v>22</v>
      </c>
      <c r="C486">
        <v>2025</v>
      </c>
      <c r="D486">
        <v>1</v>
      </c>
      <c r="E486" s="2">
        <v>45673</v>
      </c>
      <c r="F486" s="97" t="s">
        <v>7</v>
      </c>
      <c r="G486" s="97" t="s">
        <v>8</v>
      </c>
      <c r="H486" s="97" t="s">
        <v>70</v>
      </c>
      <c r="I486" s="97" t="s">
        <v>77</v>
      </c>
      <c r="J486" s="97" t="s">
        <v>78</v>
      </c>
      <c r="K486" s="97" t="s">
        <v>73</v>
      </c>
      <c r="L486">
        <v>701000</v>
      </c>
      <c r="M486" s="97" t="s">
        <v>62</v>
      </c>
      <c r="N486" s="97" t="s">
        <v>33</v>
      </c>
      <c r="O486">
        <v>431</v>
      </c>
      <c r="P486">
        <v>1.81</v>
      </c>
      <c r="Q486">
        <v>0.78</v>
      </c>
      <c r="R486" s="97" t="s">
        <v>1199</v>
      </c>
      <c r="S486" s="97" t="s">
        <v>195</v>
      </c>
    </row>
    <row r="487" spans="1:19" x14ac:dyDescent="0.3">
      <c r="A487" s="97" t="s">
        <v>680</v>
      </c>
      <c r="B487" s="97" t="s">
        <v>22</v>
      </c>
      <c r="C487">
        <v>2025</v>
      </c>
      <c r="D487">
        <v>1</v>
      </c>
      <c r="E487" s="2">
        <v>45679</v>
      </c>
      <c r="F487" s="97" t="s">
        <v>7</v>
      </c>
      <c r="G487" s="97" t="s">
        <v>8</v>
      </c>
      <c r="H487" s="97" t="s">
        <v>74</v>
      </c>
      <c r="I487" s="97" t="s">
        <v>77</v>
      </c>
      <c r="J487" s="97" t="s">
        <v>78</v>
      </c>
      <c r="K487" s="97" t="s">
        <v>73</v>
      </c>
      <c r="L487">
        <v>701000</v>
      </c>
      <c r="M487" s="97" t="s">
        <v>62</v>
      </c>
      <c r="N487" s="97" t="s">
        <v>33</v>
      </c>
      <c r="O487">
        <v>698</v>
      </c>
      <c r="P487">
        <v>1.81</v>
      </c>
      <c r="Q487">
        <v>1.26</v>
      </c>
      <c r="R487" s="97" t="s">
        <v>1204</v>
      </c>
      <c r="S487" s="97" t="s">
        <v>195</v>
      </c>
    </row>
    <row r="488" spans="1:19" x14ac:dyDescent="0.3">
      <c r="A488" s="97" t="s">
        <v>681</v>
      </c>
      <c r="B488" s="97" t="s">
        <v>22</v>
      </c>
      <c r="C488">
        <v>2025</v>
      </c>
      <c r="D488">
        <v>1</v>
      </c>
      <c r="E488" s="2">
        <v>45679</v>
      </c>
      <c r="F488" s="97" t="s">
        <v>7</v>
      </c>
      <c r="G488" s="97" t="s">
        <v>8</v>
      </c>
      <c r="H488" s="97" t="s">
        <v>74</v>
      </c>
      <c r="I488" s="97" t="s">
        <v>77</v>
      </c>
      <c r="J488" s="97" t="s">
        <v>78</v>
      </c>
      <c r="K488" s="97" t="s">
        <v>73</v>
      </c>
      <c r="L488">
        <v>701000</v>
      </c>
      <c r="M488" s="97" t="s">
        <v>62</v>
      </c>
      <c r="N488" s="97" t="s">
        <v>33</v>
      </c>
      <c r="O488">
        <v>424</v>
      </c>
      <c r="P488">
        <v>1.79</v>
      </c>
      <c r="Q488">
        <v>0.76</v>
      </c>
      <c r="R488" s="97" t="s">
        <v>1203</v>
      </c>
      <c r="S488" s="97" t="s">
        <v>195</v>
      </c>
    </row>
    <row r="489" spans="1:19" x14ac:dyDescent="0.3">
      <c r="A489" s="97" t="s">
        <v>682</v>
      </c>
      <c r="B489" s="97" t="s">
        <v>22</v>
      </c>
      <c r="C489">
        <v>2025</v>
      </c>
      <c r="D489">
        <v>1</v>
      </c>
      <c r="E489" s="2">
        <v>45679</v>
      </c>
      <c r="F489" s="97" t="s">
        <v>7</v>
      </c>
      <c r="G489" s="97" t="s">
        <v>8</v>
      </c>
      <c r="H489" s="97" t="s">
        <v>74</v>
      </c>
      <c r="I489" s="97" t="s">
        <v>77</v>
      </c>
      <c r="J489" s="97" t="s">
        <v>78</v>
      </c>
      <c r="K489" s="97" t="s">
        <v>73</v>
      </c>
      <c r="L489">
        <v>701000</v>
      </c>
      <c r="M489" s="97" t="s">
        <v>62</v>
      </c>
      <c r="N489" s="97" t="s">
        <v>33</v>
      </c>
      <c r="O489">
        <v>1434</v>
      </c>
      <c r="P489">
        <v>1.8</v>
      </c>
      <c r="Q489">
        <v>2.58</v>
      </c>
      <c r="R489" s="97" t="s">
        <v>1198</v>
      </c>
      <c r="S489" s="97" t="s">
        <v>195</v>
      </c>
    </row>
    <row r="490" spans="1:19" x14ac:dyDescent="0.3">
      <c r="A490" s="97" t="s">
        <v>683</v>
      </c>
      <c r="B490" s="97" t="s">
        <v>22</v>
      </c>
      <c r="C490">
        <v>2025</v>
      </c>
      <c r="D490">
        <v>1</v>
      </c>
      <c r="E490" s="2">
        <v>45679</v>
      </c>
      <c r="F490" s="97" t="s">
        <v>7</v>
      </c>
      <c r="G490" s="97" t="s">
        <v>8</v>
      </c>
      <c r="H490" s="97" t="s">
        <v>74</v>
      </c>
      <c r="I490" s="97" t="s">
        <v>77</v>
      </c>
      <c r="J490" s="97" t="s">
        <v>78</v>
      </c>
      <c r="K490" s="97" t="s">
        <v>73</v>
      </c>
      <c r="L490">
        <v>701000</v>
      </c>
      <c r="M490" s="97" t="s">
        <v>62</v>
      </c>
      <c r="N490" s="97" t="s">
        <v>33</v>
      </c>
      <c r="O490">
        <v>1410</v>
      </c>
      <c r="P490">
        <v>1.8</v>
      </c>
      <c r="Q490">
        <v>2.54</v>
      </c>
      <c r="R490" s="97" t="s">
        <v>1197</v>
      </c>
      <c r="S490" s="97" t="s">
        <v>195</v>
      </c>
    </row>
    <row r="491" spans="1:19" x14ac:dyDescent="0.3">
      <c r="A491" s="97" t="s">
        <v>684</v>
      </c>
      <c r="B491" s="97" t="s">
        <v>22</v>
      </c>
      <c r="C491">
        <v>2025</v>
      </c>
      <c r="D491">
        <v>1</v>
      </c>
      <c r="E491" s="2">
        <v>45679</v>
      </c>
      <c r="F491" s="97" t="s">
        <v>7</v>
      </c>
      <c r="G491" s="97" t="s">
        <v>8</v>
      </c>
      <c r="H491" s="97" t="s">
        <v>74</v>
      </c>
      <c r="I491" s="97" t="s">
        <v>77</v>
      </c>
      <c r="J491" s="97" t="s">
        <v>78</v>
      </c>
      <c r="K491" s="97" t="s">
        <v>73</v>
      </c>
      <c r="L491">
        <v>701000</v>
      </c>
      <c r="M491" s="97" t="s">
        <v>62</v>
      </c>
      <c r="N491" s="97" t="s">
        <v>33</v>
      </c>
      <c r="O491">
        <v>177</v>
      </c>
      <c r="P491">
        <v>1.81</v>
      </c>
      <c r="Q491">
        <v>0.32</v>
      </c>
      <c r="R491" s="97" t="s">
        <v>1205</v>
      </c>
      <c r="S491" s="97" t="s">
        <v>195</v>
      </c>
    </row>
    <row r="492" spans="1:19" x14ac:dyDescent="0.3">
      <c r="A492" s="97" t="s">
        <v>685</v>
      </c>
      <c r="B492" s="97" t="s">
        <v>22</v>
      </c>
      <c r="C492">
        <v>2025</v>
      </c>
      <c r="D492">
        <v>1</v>
      </c>
      <c r="E492" s="2">
        <v>45676</v>
      </c>
      <c r="F492" s="97" t="s">
        <v>7</v>
      </c>
      <c r="G492" s="97" t="s">
        <v>8</v>
      </c>
      <c r="H492" s="97" t="s">
        <v>74</v>
      </c>
      <c r="I492" s="97" t="s">
        <v>77</v>
      </c>
      <c r="J492" s="97" t="s">
        <v>78</v>
      </c>
      <c r="K492" s="97" t="s">
        <v>73</v>
      </c>
      <c r="L492">
        <v>701000</v>
      </c>
      <c r="M492" s="97" t="s">
        <v>62</v>
      </c>
      <c r="N492" s="97" t="s">
        <v>33</v>
      </c>
      <c r="O492">
        <v>844</v>
      </c>
      <c r="P492">
        <v>1.8</v>
      </c>
      <c r="Q492">
        <v>1.52</v>
      </c>
      <c r="R492" s="97" t="s">
        <v>1203</v>
      </c>
      <c r="S492" s="97" t="s">
        <v>195</v>
      </c>
    </row>
    <row r="493" spans="1:19" x14ac:dyDescent="0.3">
      <c r="A493" s="97" t="s">
        <v>686</v>
      </c>
      <c r="B493" s="97" t="s">
        <v>22</v>
      </c>
      <c r="C493">
        <v>2025</v>
      </c>
      <c r="D493">
        <v>1</v>
      </c>
      <c r="E493" s="2">
        <v>45676</v>
      </c>
      <c r="F493" s="97" t="s">
        <v>7</v>
      </c>
      <c r="G493" s="97" t="s">
        <v>8</v>
      </c>
      <c r="H493" s="97" t="s">
        <v>74</v>
      </c>
      <c r="I493" s="97" t="s">
        <v>77</v>
      </c>
      <c r="J493" s="97" t="s">
        <v>78</v>
      </c>
      <c r="K493" s="97" t="s">
        <v>73</v>
      </c>
      <c r="L493">
        <v>701000</v>
      </c>
      <c r="M493" s="97" t="s">
        <v>62</v>
      </c>
      <c r="N493" s="97" t="s">
        <v>33</v>
      </c>
      <c r="O493">
        <v>1491</v>
      </c>
      <c r="P493">
        <v>1.8</v>
      </c>
      <c r="Q493">
        <v>2.68</v>
      </c>
      <c r="R493" s="97" t="s">
        <v>1202</v>
      </c>
      <c r="S493" s="97" t="s">
        <v>195</v>
      </c>
    </row>
    <row r="494" spans="1:19" x14ac:dyDescent="0.3">
      <c r="A494" s="97" t="s">
        <v>687</v>
      </c>
      <c r="B494" s="97" t="s">
        <v>22</v>
      </c>
      <c r="C494">
        <v>2025</v>
      </c>
      <c r="D494">
        <v>1</v>
      </c>
      <c r="E494" s="2">
        <v>45676</v>
      </c>
      <c r="F494" s="97" t="s">
        <v>7</v>
      </c>
      <c r="G494" s="97" t="s">
        <v>8</v>
      </c>
      <c r="H494" s="97" t="s">
        <v>74</v>
      </c>
      <c r="I494" s="97" t="s">
        <v>77</v>
      </c>
      <c r="J494" s="97" t="s">
        <v>78</v>
      </c>
      <c r="K494" s="97" t="s">
        <v>73</v>
      </c>
      <c r="L494">
        <v>701000</v>
      </c>
      <c r="M494" s="97" t="s">
        <v>62</v>
      </c>
      <c r="N494" s="97" t="s">
        <v>33</v>
      </c>
      <c r="O494">
        <v>190</v>
      </c>
      <c r="P494">
        <v>1.79</v>
      </c>
      <c r="Q494">
        <v>0.34</v>
      </c>
      <c r="R494" s="97" t="s">
        <v>1205</v>
      </c>
      <c r="S494" s="97" t="s">
        <v>195</v>
      </c>
    </row>
    <row r="495" spans="1:19" x14ac:dyDescent="0.3">
      <c r="A495" s="97" t="s">
        <v>688</v>
      </c>
      <c r="B495" s="97" t="s">
        <v>22</v>
      </c>
      <c r="C495">
        <v>2025</v>
      </c>
      <c r="D495">
        <v>1</v>
      </c>
      <c r="E495" s="2">
        <v>45676</v>
      </c>
      <c r="F495" s="97" t="s">
        <v>7</v>
      </c>
      <c r="G495" s="97" t="s">
        <v>8</v>
      </c>
      <c r="H495" s="97" t="s">
        <v>74</v>
      </c>
      <c r="I495" s="97" t="s">
        <v>77</v>
      </c>
      <c r="J495" s="97" t="s">
        <v>78</v>
      </c>
      <c r="K495" s="97" t="s">
        <v>73</v>
      </c>
      <c r="L495">
        <v>701000</v>
      </c>
      <c r="M495" s="97" t="s">
        <v>62</v>
      </c>
      <c r="N495" s="97" t="s">
        <v>33</v>
      </c>
      <c r="O495">
        <v>1220</v>
      </c>
      <c r="P495">
        <v>1.8</v>
      </c>
      <c r="Q495">
        <v>2.2000000000000002</v>
      </c>
      <c r="R495" s="97" t="s">
        <v>1197</v>
      </c>
      <c r="S495" s="97" t="s">
        <v>195</v>
      </c>
    </row>
    <row r="496" spans="1:19" x14ac:dyDescent="0.3">
      <c r="A496" s="97" t="s">
        <v>689</v>
      </c>
      <c r="B496" s="97" t="s">
        <v>22</v>
      </c>
      <c r="C496">
        <v>2025</v>
      </c>
      <c r="D496">
        <v>1</v>
      </c>
      <c r="E496" s="2">
        <v>45676</v>
      </c>
      <c r="F496" s="97" t="s">
        <v>7</v>
      </c>
      <c r="G496" s="97" t="s">
        <v>8</v>
      </c>
      <c r="H496" s="97" t="s">
        <v>74</v>
      </c>
      <c r="I496" s="97" t="s">
        <v>77</v>
      </c>
      <c r="J496" s="97" t="s">
        <v>78</v>
      </c>
      <c r="K496" s="97" t="s">
        <v>73</v>
      </c>
      <c r="L496">
        <v>701000</v>
      </c>
      <c r="M496" s="97" t="s">
        <v>62</v>
      </c>
      <c r="N496" s="97" t="s">
        <v>33</v>
      </c>
      <c r="O496">
        <v>436</v>
      </c>
      <c r="P496">
        <v>1.81</v>
      </c>
      <c r="Q496">
        <v>0.79</v>
      </c>
      <c r="R496" s="97" t="s">
        <v>1199</v>
      </c>
      <c r="S496" s="97" t="s">
        <v>195</v>
      </c>
    </row>
    <row r="497" spans="1:19" x14ac:dyDescent="0.3">
      <c r="A497" s="97" t="s">
        <v>690</v>
      </c>
      <c r="B497" s="97" t="s">
        <v>22</v>
      </c>
      <c r="C497">
        <v>2025</v>
      </c>
      <c r="D497">
        <v>1</v>
      </c>
      <c r="E497" s="2">
        <v>45671</v>
      </c>
      <c r="F497" s="97" t="s">
        <v>7</v>
      </c>
      <c r="G497" s="97" t="s">
        <v>8</v>
      </c>
      <c r="H497" s="97" t="s">
        <v>70</v>
      </c>
      <c r="I497" s="97" t="s">
        <v>77</v>
      </c>
      <c r="J497" s="97" t="s">
        <v>78</v>
      </c>
      <c r="K497" s="97" t="s">
        <v>73</v>
      </c>
      <c r="L497">
        <v>701000</v>
      </c>
      <c r="M497" s="97" t="s">
        <v>62</v>
      </c>
      <c r="N497" s="97" t="s">
        <v>33</v>
      </c>
      <c r="O497">
        <v>369</v>
      </c>
      <c r="P497">
        <v>1.79</v>
      </c>
      <c r="Q497">
        <v>0.66</v>
      </c>
      <c r="R497" s="97" t="s">
        <v>1205</v>
      </c>
      <c r="S497" s="97" t="s">
        <v>195</v>
      </c>
    </row>
    <row r="498" spans="1:19" x14ac:dyDescent="0.3">
      <c r="A498" s="97" t="s">
        <v>691</v>
      </c>
      <c r="B498" s="97" t="s">
        <v>22</v>
      </c>
      <c r="C498">
        <v>2025</v>
      </c>
      <c r="D498">
        <v>1</v>
      </c>
      <c r="E498" s="2">
        <v>45671</v>
      </c>
      <c r="F498" s="97" t="s">
        <v>7</v>
      </c>
      <c r="G498" s="97" t="s">
        <v>8</v>
      </c>
      <c r="H498" s="97" t="s">
        <v>70</v>
      </c>
      <c r="I498" s="97" t="s">
        <v>77</v>
      </c>
      <c r="J498" s="97" t="s">
        <v>78</v>
      </c>
      <c r="K498" s="97" t="s">
        <v>73</v>
      </c>
      <c r="L498">
        <v>701000</v>
      </c>
      <c r="M498" s="97" t="s">
        <v>62</v>
      </c>
      <c r="N498" s="97" t="s">
        <v>33</v>
      </c>
      <c r="O498">
        <v>1120</v>
      </c>
      <c r="P498">
        <v>1.8</v>
      </c>
      <c r="Q498">
        <v>2.02</v>
      </c>
      <c r="R498" s="97" t="s">
        <v>1198</v>
      </c>
      <c r="S498" s="97" t="s">
        <v>195</v>
      </c>
    </row>
    <row r="499" spans="1:19" x14ac:dyDescent="0.3">
      <c r="A499" s="97" t="s">
        <v>692</v>
      </c>
      <c r="B499" s="97" t="s">
        <v>22</v>
      </c>
      <c r="C499">
        <v>2025</v>
      </c>
      <c r="D499">
        <v>1</v>
      </c>
      <c r="E499" s="2">
        <v>45671</v>
      </c>
      <c r="F499" s="97" t="s">
        <v>7</v>
      </c>
      <c r="G499" s="97" t="s">
        <v>8</v>
      </c>
      <c r="H499" s="97" t="s">
        <v>70</v>
      </c>
      <c r="I499" s="97" t="s">
        <v>77</v>
      </c>
      <c r="J499" s="97" t="s">
        <v>78</v>
      </c>
      <c r="K499" s="97" t="s">
        <v>73</v>
      </c>
      <c r="L499">
        <v>701000</v>
      </c>
      <c r="M499" s="97" t="s">
        <v>62</v>
      </c>
      <c r="N499" s="97" t="s">
        <v>33</v>
      </c>
      <c r="O499">
        <v>1224</v>
      </c>
      <c r="P499">
        <v>1.8</v>
      </c>
      <c r="Q499">
        <v>2.2000000000000002</v>
      </c>
      <c r="R499" s="97" t="s">
        <v>1200</v>
      </c>
      <c r="S499" s="97" t="s">
        <v>195</v>
      </c>
    </row>
    <row r="500" spans="1:19" x14ac:dyDescent="0.3">
      <c r="A500" s="97" t="s">
        <v>693</v>
      </c>
      <c r="B500" s="97" t="s">
        <v>22</v>
      </c>
      <c r="C500">
        <v>2025</v>
      </c>
      <c r="D500">
        <v>1</v>
      </c>
      <c r="E500" s="2">
        <v>45671</v>
      </c>
      <c r="F500" s="97" t="s">
        <v>7</v>
      </c>
      <c r="G500" s="97" t="s">
        <v>8</v>
      </c>
      <c r="H500" s="97" t="s">
        <v>70</v>
      </c>
      <c r="I500" s="97" t="s">
        <v>77</v>
      </c>
      <c r="J500" s="97" t="s">
        <v>78</v>
      </c>
      <c r="K500" s="97" t="s">
        <v>73</v>
      </c>
      <c r="L500">
        <v>701000</v>
      </c>
      <c r="M500" s="97" t="s">
        <v>62</v>
      </c>
      <c r="N500" s="97" t="s">
        <v>33</v>
      </c>
      <c r="O500">
        <v>1184</v>
      </c>
      <c r="P500">
        <v>1.8</v>
      </c>
      <c r="Q500">
        <v>2.13</v>
      </c>
      <c r="R500" s="97" t="s">
        <v>1199</v>
      </c>
      <c r="S500" s="97" t="s">
        <v>195</v>
      </c>
    </row>
    <row r="501" spans="1:19" x14ac:dyDescent="0.3">
      <c r="A501" s="97" t="s">
        <v>694</v>
      </c>
      <c r="B501" s="97" t="s">
        <v>22</v>
      </c>
      <c r="C501">
        <v>2025</v>
      </c>
      <c r="D501">
        <v>1</v>
      </c>
      <c r="E501" s="2">
        <v>45671</v>
      </c>
      <c r="F501" s="97" t="s">
        <v>7</v>
      </c>
      <c r="G501" s="97" t="s">
        <v>8</v>
      </c>
      <c r="H501" s="97" t="s">
        <v>70</v>
      </c>
      <c r="I501" s="97" t="s">
        <v>77</v>
      </c>
      <c r="J501" s="97" t="s">
        <v>78</v>
      </c>
      <c r="K501" s="97" t="s">
        <v>73</v>
      </c>
      <c r="L501">
        <v>701000</v>
      </c>
      <c r="M501" s="97" t="s">
        <v>62</v>
      </c>
      <c r="N501" s="97" t="s">
        <v>33</v>
      </c>
      <c r="O501">
        <v>1228</v>
      </c>
      <c r="P501">
        <v>1.81</v>
      </c>
      <c r="Q501">
        <v>2.2200000000000002</v>
      </c>
      <c r="R501" s="97" t="s">
        <v>1204</v>
      </c>
      <c r="S501" s="97" t="s">
        <v>195</v>
      </c>
    </row>
    <row r="502" spans="1:19" x14ac:dyDescent="0.3">
      <c r="A502" s="97" t="s">
        <v>695</v>
      </c>
      <c r="B502" s="97" t="s">
        <v>22</v>
      </c>
      <c r="C502">
        <v>2025</v>
      </c>
      <c r="D502">
        <v>1</v>
      </c>
      <c r="E502" s="2">
        <v>45665</v>
      </c>
      <c r="F502" s="97" t="s">
        <v>7</v>
      </c>
      <c r="G502" s="97" t="s">
        <v>8</v>
      </c>
      <c r="H502" s="97" t="s">
        <v>70</v>
      </c>
      <c r="I502" s="97" t="s">
        <v>77</v>
      </c>
      <c r="J502" s="97" t="s">
        <v>78</v>
      </c>
      <c r="K502" s="97" t="s">
        <v>73</v>
      </c>
      <c r="L502">
        <v>706000</v>
      </c>
      <c r="M502" s="97" t="s">
        <v>63</v>
      </c>
      <c r="N502" s="97" t="s">
        <v>33</v>
      </c>
      <c r="O502">
        <v>814</v>
      </c>
      <c r="P502">
        <v>1.81</v>
      </c>
      <c r="Q502">
        <v>1.47</v>
      </c>
      <c r="R502" s="97" t="s">
        <v>1200</v>
      </c>
      <c r="S502" s="97" t="s">
        <v>195</v>
      </c>
    </row>
    <row r="503" spans="1:19" x14ac:dyDescent="0.3">
      <c r="A503" s="97" t="s">
        <v>696</v>
      </c>
      <c r="B503" s="97" t="s">
        <v>22</v>
      </c>
      <c r="C503">
        <v>2025</v>
      </c>
      <c r="D503">
        <v>1</v>
      </c>
      <c r="E503" s="2">
        <v>45665</v>
      </c>
      <c r="F503" s="97" t="s">
        <v>7</v>
      </c>
      <c r="G503" s="97" t="s">
        <v>8</v>
      </c>
      <c r="H503" s="97" t="s">
        <v>70</v>
      </c>
      <c r="I503" s="97" t="s">
        <v>77</v>
      </c>
      <c r="J503" s="97" t="s">
        <v>78</v>
      </c>
      <c r="K503" s="97" t="s">
        <v>73</v>
      </c>
      <c r="L503">
        <v>706000</v>
      </c>
      <c r="M503" s="97" t="s">
        <v>63</v>
      </c>
      <c r="N503" s="97" t="s">
        <v>33</v>
      </c>
      <c r="O503">
        <v>1306</v>
      </c>
      <c r="P503">
        <v>1.8</v>
      </c>
      <c r="Q503">
        <v>2.35</v>
      </c>
      <c r="R503" s="97" t="s">
        <v>1197</v>
      </c>
      <c r="S503" s="97" t="s">
        <v>195</v>
      </c>
    </row>
    <row r="504" spans="1:19" x14ac:dyDescent="0.3">
      <c r="A504" s="97" t="s">
        <v>697</v>
      </c>
      <c r="B504" s="97" t="s">
        <v>22</v>
      </c>
      <c r="C504">
        <v>2025</v>
      </c>
      <c r="D504">
        <v>1</v>
      </c>
      <c r="E504" s="2">
        <v>45665</v>
      </c>
      <c r="F504" s="97" t="s">
        <v>7</v>
      </c>
      <c r="G504" s="97" t="s">
        <v>8</v>
      </c>
      <c r="H504" s="97" t="s">
        <v>70</v>
      </c>
      <c r="I504" s="97" t="s">
        <v>77</v>
      </c>
      <c r="J504" s="97" t="s">
        <v>78</v>
      </c>
      <c r="K504" s="97" t="s">
        <v>73</v>
      </c>
      <c r="L504">
        <v>706000</v>
      </c>
      <c r="M504" s="97" t="s">
        <v>63</v>
      </c>
      <c r="N504" s="97" t="s">
        <v>33</v>
      </c>
      <c r="O504">
        <v>564</v>
      </c>
      <c r="P504">
        <v>1.81</v>
      </c>
      <c r="Q504">
        <v>1.02</v>
      </c>
      <c r="R504" s="97" t="s">
        <v>1198</v>
      </c>
      <c r="S504" s="97" t="s">
        <v>195</v>
      </c>
    </row>
    <row r="505" spans="1:19" x14ac:dyDescent="0.3">
      <c r="A505" s="97" t="s">
        <v>698</v>
      </c>
      <c r="B505" s="97" t="s">
        <v>22</v>
      </c>
      <c r="C505">
        <v>2025</v>
      </c>
      <c r="D505">
        <v>1</v>
      </c>
      <c r="E505" s="2">
        <v>45665</v>
      </c>
      <c r="F505" s="97" t="s">
        <v>7</v>
      </c>
      <c r="G505" s="97" t="s">
        <v>8</v>
      </c>
      <c r="H505" s="97" t="s">
        <v>70</v>
      </c>
      <c r="I505" s="97" t="s">
        <v>77</v>
      </c>
      <c r="J505" s="97" t="s">
        <v>78</v>
      </c>
      <c r="K505" s="97" t="s">
        <v>73</v>
      </c>
      <c r="L505">
        <v>706000</v>
      </c>
      <c r="M505" s="97" t="s">
        <v>63</v>
      </c>
      <c r="N505" s="97" t="s">
        <v>33</v>
      </c>
      <c r="O505">
        <v>974</v>
      </c>
      <c r="P505">
        <v>1.8</v>
      </c>
      <c r="Q505">
        <v>1.75</v>
      </c>
      <c r="R505" s="97" t="s">
        <v>1201</v>
      </c>
      <c r="S505" s="97" t="s">
        <v>195</v>
      </c>
    </row>
    <row r="506" spans="1:19" x14ac:dyDescent="0.3">
      <c r="A506" s="97" t="s">
        <v>699</v>
      </c>
      <c r="B506" s="97" t="s">
        <v>22</v>
      </c>
      <c r="C506">
        <v>2025</v>
      </c>
      <c r="D506">
        <v>1</v>
      </c>
      <c r="E506" s="2">
        <v>45665</v>
      </c>
      <c r="F506" s="97" t="s">
        <v>7</v>
      </c>
      <c r="G506" s="97" t="s">
        <v>8</v>
      </c>
      <c r="H506" s="97" t="s">
        <v>70</v>
      </c>
      <c r="I506" s="97" t="s">
        <v>77</v>
      </c>
      <c r="J506" s="97" t="s">
        <v>78</v>
      </c>
      <c r="K506" s="97" t="s">
        <v>73</v>
      </c>
      <c r="L506">
        <v>706000</v>
      </c>
      <c r="M506" s="97" t="s">
        <v>63</v>
      </c>
      <c r="N506" s="97" t="s">
        <v>33</v>
      </c>
      <c r="O506">
        <v>1001</v>
      </c>
      <c r="P506">
        <v>1.8</v>
      </c>
      <c r="Q506">
        <v>1.8</v>
      </c>
      <c r="R506" s="97" t="s">
        <v>1204</v>
      </c>
      <c r="S506" s="97" t="s">
        <v>195</v>
      </c>
    </row>
    <row r="507" spans="1:19" x14ac:dyDescent="0.3">
      <c r="A507" s="97" t="s">
        <v>700</v>
      </c>
      <c r="B507" s="97" t="s">
        <v>22</v>
      </c>
      <c r="C507">
        <v>2025</v>
      </c>
      <c r="D507">
        <v>1</v>
      </c>
      <c r="E507" s="2">
        <v>45673</v>
      </c>
      <c r="F507" s="97" t="s">
        <v>7</v>
      </c>
      <c r="G507" s="97" t="s">
        <v>8</v>
      </c>
      <c r="H507" s="97" t="s">
        <v>74</v>
      </c>
      <c r="I507" s="97" t="s">
        <v>77</v>
      </c>
      <c r="J507" s="97" t="s">
        <v>78</v>
      </c>
      <c r="K507" s="97" t="s">
        <v>73</v>
      </c>
      <c r="L507">
        <v>701000</v>
      </c>
      <c r="M507" s="97" t="s">
        <v>62</v>
      </c>
      <c r="N507" s="97" t="s">
        <v>33</v>
      </c>
      <c r="O507">
        <v>458</v>
      </c>
      <c r="P507">
        <v>1.79</v>
      </c>
      <c r="Q507">
        <v>0.82</v>
      </c>
      <c r="R507" s="97" t="s">
        <v>1197</v>
      </c>
      <c r="S507" s="97" t="s">
        <v>195</v>
      </c>
    </row>
    <row r="508" spans="1:19" x14ac:dyDescent="0.3">
      <c r="A508" s="97" t="s">
        <v>701</v>
      </c>
      <c r="B508" s="97" t="s">
        <v>22</v>
      </c>
      <c r="C508">
        <v>2025</v>
      </c>
      <c r="D508">
        <v>1</v>
      </c>
      <c r="E508" s="2">
        <v>45673</v>
      </c>
      <c r="F508" s="97" t="s">
        <v>7</v>
      </c>
      <c r="G508" s="97" t="s">
        <v>8</v>
      </c>
      <c r="H508" s="97" t="s">
        <v>74</v>
      </c>
      <c r="I508" s="97" t="s">
        <v>77</v>
      </c>
      <c r="J508" s="97" t="s">
        <v>78</v>
      </c>
      <c r="K508" s="97" t="s">
        <v>73</v>
      </c>
      <c r="L508">
        <v>701000</v>
      </c>
      <c r="M508" s="97" t="s">
        <v>62</v>
      </c>
      <c r="N508" s="97" t="s">
        <v>33</v>
      </c>
      <c r="O508">
        <v>1236</v>
      </c>
      <c r="P508">
        <v>1.8</v>
      </c>
      <c r="Q508">
        <v>2.23</v>
      </c>
      <c r="R508" s="97" t="s">
        <v>1203</v>
      </c>
      <c r="S508" s="97" t="s">
        <v>195</v>
      </c>
    </row>
    <row r="509" spans="1:19" x14ac:dyDescent="0.3">
      <c r="A509" s="97" t="s">
        <v>702</v>
      </c>
      <c r="B509" s="97" t="s">
        <v>22</v>
      </c>
      <c r="C509">
        <v>2025</v>
      </c>
      <c r="D509">
        <v>1</v>
      </c>
      <c r="E509" s="2">
        <v>45673</v>
      </c>
      <c r="F509" s="97" t="s">
        <v>7</v>
      </c>
      <c r="G509" s="97" t="s">
        <v>8</v>
      </c>
      <c r="H509" s="97" t="s">
        <v>74</v>
      </c>
      <c r="I509" s="97" t="s">
        <v>77</v>
      </c>
      <c r="J509" s="97" t="s">
        <v>78</v>
      </c>
      <c r="K509" s="97" t="s">
        <v>73</v>
      </c>
      <c r="L509">
        <v>701000</v>
      </c>
      <c r="M509" s="97" t="s">
        <v>62</v>
      </c>
      <c r="N509" s="97" t="s">
        <v>33</v>
      </c>
      <c r="O509">
        <v>1013</v>
      </c>
      <c r="P509">
        <v>1.8</v>
      </c>
      <c r="Q509">
        <v>1.82</v>
      </c>
      <c r="R509" s="97" t="s">
        <v>1198</v>
      </c>
      <c r="S509" s="97" t="s">
        <v>195</v>
      </c>
    </row>
    <row r="510" spans="1:19" x14ac:dyDescent="0.3">
      <c r="A510" s="97" t="s">
        <v>703</v>
      </c>
      <c r="B510" s="97" t="s">
        <v>22</v>
      </c>
      <c r="C510">
        <v>2025</v>
      </c>
      <c r="D510">
        <v>1</v>
      </c>
      <c r="E510" s="2">
        <v>45673</v>
      </c>
      <c r="F510" s="97" t="s">
        <v>7</v>
      </c>
      <c r="G510" s="97" t="s">
        <v>8</v>
      </c>
      <c r="H510" s="97" t="s">
        <v>74</v>
      </c>
      <c r="I510" s="97" t="s">
        <v>77</v>
      </c>
      <c r="J510" s="97" t="s">
        <v>78</v>
      </c>
      <c r="K510" s="97" t="s">
        <v>73</v>
      </c>
      <c r="L510">
        <v>701000</v>
      </c>
      <c r="M510" s="97" t="s">
        <v>62</v>
      </c>
      <c r="N510" s="97" t="s">
        <v>33</v>
      </c>
      <c r="O510">
        <v>908</v>
      </c>
      <c r="P510">
        <v>1.81</v>
      </c>
      <c r="Q510">
        <v>1.64</v>
      </c>
      <c r="R510" s="97" t="s">
        <v>1201</v>
      </c>
      <c r="S510" s="97" t="s">
        <v>195</v>
      </c>
    </row>
    <row r="511" spans="1:19" x14ac:dyDescent="0.3">
      <c r="A511" s="97" t="s">
        <v>704</v>
      </c>
      <c r="B511" s="97" t="s">
        <v>22</v>
      </c>
      <c r="C511">
        <v>2025</v>
      </c>
      <c r="D511">
        <v>1</v>
      </c>
      <c r="E511" s="2">
        <v>45673</v>
      </c>
      <c r="F511" s="97" t="s">
        <v>7</v>
      </c>
      <c r="G511" s="97" t="s">
        <v>8</v>
      </c>
      <c r="H511" s="97" t="s">
        <v>74</v>
      </c>
      <c r="I511" s="97" t="s">
        <v>77</v>
      </c>
      <c r="J511" s="97" t="s">
        <v>78</v>
      </c>
      <c r="K511" s="97" t="s">
        <v>73</v>
      </c>
      <c r="L511">
        <v>701000</v>
      </c>
      <c r="M511" s="97" t="s">
        <v>62</v>
      </c>
      <c r="N511" s="97" t="s">
        <v>33</v>
      </c>
      <c r="O511">
        <v>305</v>
      </c>
      <c r="P511">
        <v>1.8</v>
      </c>
      <c r="Q511">
        <v>0.55000000000000004</v>
      </c>
      <c r="R511" s="97" t="s">
        <v>1200</v>
      </c>
      <c r="S511" s="97" t="s">
        <v>195</v>
      </c>
    </row>
    <row r="512" spans="1:19" x14ac:dyDescent="0.3">
      <c r="A512" s="97" t="s">
        <v>705</v>
      </c>
      <c r="B512" s="97" t="s">
        <v>22</v>
      </c>
      <c r="C512">
        <v>2025</v>
      </c>
      <c r="D512">
        <v>1</v>
      </c>
      <c r="E512" s="2">
        <v>45683</v>
      </c>
      <c r="F512" s="97" t="s">
        <v>7</v>
      </c>
      <c r="G512" s="97" t="s">
        <v>8</v>
      </c>
      <c r="H512" s="97" t="s">
        <v>74</v>
      </c>
      <c r="I512" s="97" t="s">
        <v>77</v>
      </c>
      <c r="J512" s="97" t="s">
        <v>78</v>
      </c>
      <c r="K512" s="97" t="s">
        <v>73</v>
      </c>
      <c r="L512">
        <v>701000</v>
      </c>
      <c r="M512" s="97" t="s">
        <v>62</v>
      </c>
      <c r="N512" s="97" t="s">
        <v>33</v>
      </c>
      <c r="O512">
        <v>320</v>
      </c>
      <c r="P512">
        <v>1.81</v>
      </c>
      <c r="Q512">
        <v>0.57999999999999996</v>
      </c>
      <c r="R512" s="97" t="s">
        <v>1201</v>
      </c>
      <c r="S512" s="97" t="s">
        <v>195</v>
      </c>
    </row>
    <row r="513" spans="1:19" x14ac:dyDescent="0.3">
      <c r="A513" s="97" t="s">
        <v>706</v>
      </c>
      <c r="B513" s="97" t="s">
        <v>22</v>
      </c>
      <c r="C513">
        <v>2025</v>
      </c>
      <c r="D513">
        <v>1</v>
      </c>
      <c r="E513" s="2">
        <v>45683</v>
      </c>
      <c r="F513" s="97" t="s">
        <v>7</v>
      </c>
      <c r="G513" s="97" t="s">
        <v>8</v>
      </c>
      <c r="H513" s="97" t="s">
        <v>74</v>
      </c>
      <c r="I513" s="97" t="s">
        <v>77</v>
      </c>
      <c r="J513" s="97" t="s">
        <v>78</v>
      </c>
      <c r="K513" s="97" t="s">
        <v>73</v>
      </c>
      <c r="L513">
        <v>701000</v>
      </c>
      <c r="M513" s="97" t="s">
        <v>62</v>
      </c>
      <c r="N513" s="97" t="s">
        <v>33</v>
      </c>
      <c r="O513">
        <v>499</v>
      </c>
      <c r="P513">
        <v>1.8</v>
      </c>
      <c r="Q513">
        <v>0.9</v>
      </c>
      <c r="R513" s="97" t="s">
        <v>1205</v>
      </c>
      <c r="S513" s="97" t="s">
        <v>195</v>
      </c>
    </row>
    <row r="514" spans="1:19" x14ac:dyDescent="0.3">
      <c r="A514" s="97" t="s">
        <v>707</v>
      </c>
      <c r="B514" s="97" t="s">
        <v>22</v>
      </c>
      <c r="C514">
        <v>2025</v>
      </c>
      <c r="D514">
        <v>1</v>
      </c>
      <c r="E514" s="2">
        <v>45683</v>
      </c>
      <c r="F514" s="97" t="s">
        <v>7</v>
      </c>
      <c r="G514" s="97" t="s">
        <v>8</v>
      </c>
      <c r="H514" s="97" t="s">
        <v>74</v>
      </c>
      <c r="I514" s="97" t="s">
        <v>77</v>
      </c>
      <c r="J514" s="97" t="s">
        <v>78</v>
      </c>
      <c r="K514" s="97" t="s">
        <v>73</v>
      </c>
      <c r="L514">
        <v>701000</v>
      </c>
      <c r="M514" s="97" t="s">
        <v>62</v>
      </c>
      <c r="N514" s="97" t="s">
        <v>33</v>
      </c>
      <c r="O514">
        <v>1811</v>
      </c>
      <c r="P514">
        <v>1.8</v>
      </c>
      <c r="Q514">
        <v>3.26</v>
      </c>
      <c r="R514" s="97" t="s">
        <v>1199</v>
      </c>
      <c r="S514" s="97" t="s">
        <v>195</v>
      </c>
    </row>
    <row r="515" spans="1:19" x14ac:dyDescent="0.3">
      <c r="A515" s="97" t="s">
        <v>708</v>
      </c>
      <c r="B515" s="97" t="s">
        <v>22</v>
      </c>
      <c r="C515">
        <v>2025</v>
      </c>
      <c r="D515">
        <v>1</v>
      </c>
      <c r="E515" s="2">
        <v>45683</v>
      </c>
      <c r="F515" s="97" t="s">
        <v>7</v>
      </c>
      <c r="G515" s="97" t="s">
        <v>8</v>
      </c>
      <c r="H515" s="97" t="s">
        <v>74</v>
      </c>
      <c r="I515" s="97" t="s">
        <v>77</v>
      </c>
      <c r="J515" s="97" t="s">
        <v>78</v>
      </c>
      <c r="K515" s="97" t="s">
        <v>73</v>
      </c>
      <c r="L515">
        <v>701000</v>
      </c>
      <c r="M515" s="97" t="s">
        <v>62</v>
      </c>
      <c r="N515" s="97" t="s">
        <v>33</v>
      </c>
      <c r="O515">
        <v>834</v>
      </c>
      <c r="P515">
        <v>1.8</v>
      </c>
      <c r="Q515">
        <v>1.5</v>
      </c>
      <c r="R515" s="97" t="s">
        <v>1197</v>
      </c>
      <c r="S515" s="97" t="s">
        <v>195</v>
      </c>
    </row>
    <row r="516" spans="1:19" x14ac:dyDescent="0.3">
      <c r="A516" s="97" t="s">
        <v>709</v>
      </c>
      <c r="B516" s="97" t="s">
        <v>22</v>
      </c>
      <c r="C516">
        <v>2025</v>
      </c>
      <c r="D516">
        <v>1</v>
      </c>
      <c r="E516" s="2">
        <v>45683</v>
      </c>
      <c r="F516" s="97" t="s">
        <v>7</v>
      </c>
      <c r="G516" s="97" t="s">
        <v>8</v>
      </c>
      <c r="H516" s="97" t="s">
        <v>74</v>
      </c>
      <c r="I516" s="97" t="s">
        <v>77</v>
      </c>
      <c r="J516" s="97" t="s">
        <v>78</v>
      </c>
      <c r="K516" s="97" t="s">
        <v>73</v>
      </c>
      <c r="L516">
        <v>701000</v>
      </c>
      <c r="M516" s="97" t="s">
        <v>62</v>
      </c>
      <c r="N516" s="97" t="s">
        <v>33</v>
      </c>
      <c r="O516">
        <v>275</v>
      </c>
      <c r="P516">
        <v>1.78</v>
      </c>
      <c r="Q516">
        <v>0.49</v>
      </c>
      <c r="R516" s="97" t="s">
        <v>1200</v>
      </c>
      <c r="S516" s="97" t="s">
        <v>195</v>
      </c>
    </row>
    <row r="517" spans="1:19" x14ac:dyDescent="0.3">
      <c r="A517" s="97" t="s">
        <v>710</v>
      </c>
      <c r="B517" s="97" t="s">
        <v>22</v>
      </c>
      <c r="C517">
        <v>2025</v>
      </c>
      <c r="D517">
        <v>1</v>
      </c>
      <c r="E517" s="2">
        <v>45668</v>
      </c>
      <c r="F517" s="97" t="s">
        <v>7</v>
      </c>
      <c r="G517" s="97" t="s">
        <v>8</v>
      </c>
      <c r="H517" s="97" t="s">
        <v>70</v>
      </c>
      <c r="I517" s="97" t="s">
        <v>79</v>
      </c>
      <c r="J517" s="97" t="s">
        <v>80</v>
      </c>
      <c r="K517" s="97" t="s">
        <v>73</v>
      </c>
      <c r="L517">
        <v>707000</v>
      </c>
      <c r="M517" s="97" t="s">
        <v>81</v>
      </c>
      <c r="N517" s="97" t="s">
        <v>33</v>
      </c>
      <c r="O517">
        <v>1212</v>
      </c>
      <c r="P517">
        <v>2.6</v>
      </c>
      <c r="Q517">
        <v>3.15</v>
      </c>
      <c r="R517" s="97" t="s">
        <v>1203</v>
      </c>
      <c r="S517" s="97" t="s">
        <v>195</v>
      </c>
    </row>
    <row r="518" spans="1:19" x14ac:dyDescent="0.3">
      <c r="A518" s="97" t="s">
        <v>711</v>
      </c>
      <c r="B518" s="97" t="s">
        <v>22</v>
      </c>
      <c r="C518">
        <v>2025</v>
      </c>
      <c r="D518">
        <v>1</v>
      </c>
      <c r="E518" s="2">
        <v>45668</v>
      </c>
      <c r="F518" s="97" t="s">
        <v>7</v>
      </c>
      <c r="G518" s="97" t="s">
        <v>8</v>
      </c>
      <c r="H518" s="97" t="s">
        <v>70</v>
      </c>
      <c r="I518" s="97" t="s">
        <v>79</v>
      </c>
      <c r="J518" s="97" t="s">
        <v>80</v>
      </c>
      <c r="K518" s="97" t="s">
        <v>73</v>
      </c>
      <c r="L518">
        <v>707000</v>
      </c>
      <c r="M518" s="97" t="s">
        <v>81</v>
      </c>
      <c r="N518" s="97" t="s">
        <v>33</v>
      </c>
      <c r="O518">
        <v>1200</v>
      </c>
      <c r="P518">
        <v>2.6</v>
      </c>
      <c r="Q518">
        <v>3.12</v>
      </c>
      <c r="R518" s="97" t="s">
        <v>1201</v>
      </c>
      <c r="S518" s="97" t="s">
        <v>195</v>
      </c>
    </row>
    <row r="519" spans="1:19" x14ac:dyDescent="0.3">
      <c r="A519" s="97" t="s">
        <v>712</v>
      </c>
      <c r="B519" s="97" t="s">
        <v>22</v>
      </c>
      <c r="C519">
        <v>2025</v>
      </c>
      <c r="D519">
        <v>1</v>
      </c>
      <c r="E519" s="2">
        <v>45668</v>
      </c>
      <c r="F519" s="97" t="s">
        <v>7</v>
      </c>
      <c r="G519" s="97" t="s">
        <v>8</v>
      </c>
      <c r="H519" s="97" t="s">
        <v>70</v>
      </c>
      <c r="I519" s="97" t="s">
        <v>79</v>
      </c>
      <c r="J519" s="97" t="s">
        <v>80</v>
      </c>
      <c r="K519" s="97" t="s">
        <v>73</v>
      </c>
      <c r="L519">
        <v>707000</v>
      </c>
      <c r="M519" s="97" t="s">
        <v>81</v>
      </c>
      <c r="N519" s="97" t="s">
        <v>33</v>
      </c>
      <c r="O519">
        <v>720</v>
      </c>
      <c r="P519">
        <v>2.6</v>
      </c>
      <c r="Q519">
        <v>1.87</v>
      </c>
      <c r="R519" s="97" t="s">
        <v>1200</v>
      </c>
      <c r="S519" s="97" t="s">
        <v>195</v>
      </c>
    </row>
    <row r="520" spans="1:19" x14ac:dyDescent="0.3">
      <c r="A520" s="97" t="s">
        <v>713</v>
      </c>
      <c r="B520" s="97" t="s">
        <v>22</v>
      </c>
      <c r="C520">
        <v>2025</v>
      </c>
      <c r="D520">
        <v>1</v>
      </c>
      <c r="E520" s="2">
        <v>45668</v>
      </c>
      <c r="F520" s="97" t="s">
        <v>7</v>
      </c>
      <c r="G520" s="97" t="s">
        <v>8</v>
      </c>
      <c r="H520" s="97" t="s">
        <v>70</v>
      </c>
      <c r="I520" s="97" t="s">
        <v>79</v>
      </c>
      <c r="J520" s="97" t="s">
        <v>80</v>
      </c>
      <c r="K520" s="97" t="s">
        <v>73</v>
      </c>
      <c r="L520">
        <v>707000</v>
      </c>
      <c r="M520" s="97" t="s">
        <v>81</v>
      </c>
      <c r="N520" s="97" t="s">
        <v>33</v>
      </c>
      <c r="O520">
        <v>1469</v>
      </c>
      <c r="P520">
        <v>2.6</v>
      </c>
      <c r="Q520">
        <v>3.82</v>
      </c>
      <c r="R520" s="97" t="s">
        <v>1199</v>
      </c>
      <c r="S520" s="97" t="s">
        <v>195</v>
      </c>
    </row>
    <row r="521" spans="1:19" x14ac:dyDescent="0.3">
      <c r="A521" s="97" t="s">
        <v>714</v>
      </c>
      <c r="B521" s="97" t="s">
        <v>22</v>
      </c>
      <c r="C521">
        <v>2025</v>
      </c>
      <c r="D521">
        <v>1</v>
      </c>
      <c r="E521" s="2">
        <v>45668</v>
      </c>
      <c r="F521" s="97" t="s">
        <v>7</v>
      </c>
      <c r="G521" s="97" t="s">
        <v>8</v>
      </c>
      <c r="H521" s="97" t="s">
        <v>70</v>
      </c>
      <c r="I521" s="97" t="s">
        <v>79</v>
      </c>
      <c r="J521" s="97" t="s">
        <v>80</v>
      </c>
      <c r="K521" s="97" t="s">
        <v>73</v>
      </c>
      <c r="L521">
        <v>707000</v>
      </c>
      <c r="M521" s="97" t="s">
        <v>81</v>
      </c>
      <c r="N521" s="97" t="s">
        <v>33</v>
      </c>
      <c r="O521">
        <v>2163</v>
      </c>
      <c r="P521">
        <v>2.6</v>
      </c>
      <c r="Q521">
        <v>5.63</v>
      </c>
      <c r="R521" s="97" t="s">
        <v>1197</v>
      </c>
      <c r="S521" s="97" t="s">
        <v>195</v>
      </c>
    </row>
    <row r="522" spans="1:19" x14ac:dyDescent="0.3">
      <c r="A522" s="97" t="s">
        <v>715</v>
      </c>
      <c r="B522" s="97" t="s">
        <v>22</v>
      </c>
      <c r="C522">
        <v>2025</v>
      </c>
      <c r="D522">
        <v>1</v>
      </c>
      <c r="E522" s="2">
        <v>45671</v>
      </c>
      <c r="F522" s="97" t="s">
        <v>7</v>
      </c>
      <c r="G522" s="97" t="s">
        <v>8</v>
      </c>
      <c r="H522" s="97" t="s">
        <v>70</v>
      </c>
      <c r="I522" s="97" t="s">
        <v>79</v>
      </c>
      <c r="J522" s="97" t="s">
        <v>80</v>
      </c>
      <c r="K522" s="97" t="s">
        <v>73</v>
      </c>
      <c r="L522">
        <v>701000</v>
      </c>
      <c r="M522" s="97" t="s">
        <v>62</v>
      </c>
      <c r="N522" s="97" t="s">
        <v>33</v>
      </c>
      <c r="O522">
        <v>1308</v>
      </c>
      <c r="P522">
        <v>2.6</v>
      </c>
      <c r="Q522">
        <v>3.4</v>
      </c>
      <c r="R522" s="97" t="s">
        <v>1198</v>
      </c>
      <c r="S522" s="97" t="s">
        <v>195</v>
      </c>
    </row>
    <row r="523" spans="1:19" x14ac:dyDescent="0.3">
      <c r="A523" s="97" t="s">
        <v>716</v>
      </c>
      <c r="B523" s="97" t="s">
        <v>22</v>
      </c>
      <c r="C523">
        <v>2025</v>
      </c>
      <c r="D523">
        <v>1</v>
      </c>
      <c r="E523" s="2">
        <v>45671</v>
      </c>
      <c r="F523" s="97" t="s">
        <v>7</v>
      </c>
      <c r="G523" s="97" t="s">
        <v>8</v>
      </c>
      <c r="H523" s="97" t="s">
        <v>70</v>
      </c>
      <c r="I523" s="97" t="s">
        <v>79</v>
      </c>
      <c r="J523" s="97" t="s">
        <v>80</v>
      </c>
      <c r="K523" s="97" t="s">
        <v>73</v>
      </c>
      <c r="L523">
        <v>701000</v>
      </c>
      <c r="M523" s="97" t="s">
        <v>62</v>
      </c>
      <c r="N523" s="97" t="s">
        <v>33</v>
      </c>
      <c r="O523">
        <v>955</v>
      </c>
      <c r="P523">
        <v>2.6</v>
      </c>
      <c r="Q523">
        <v>2.48</v>
      </c>
      <c r="R523" s="97" t="s">
        <v>1203</v>
      </c>
      <c r="S523" s="97" t="s">
        <v>195</v>
      </c>
    </row>
    <row r="524" spans="1:19" x14ac:dyDescent="0.3">
      <c r="A524" s="97" t="s">
        <v>717</v>
      </c>
      <c r="B524" s="97" t="s">
        <v>22</v>
      </c>
      <c r="C524">
        <v>2025</v>
      </c>
      <c r="D524">
        <v>1</v>
      </c>
      <c r="E524" s="2">
        <v>45671</v>
      </c>
      <c r="F524" s="97" t="s">
        <v>7</v>
      </c>
      <c r="G524" s="97" t="s">
        <v>8</v>
      </c>
      <c r="H524" s="97" t="s">
        <v>70</v>
      </c>
      <c r="I524" s="97" t="s">
        <v>79</v>
      </c>
      <c r="J524" s="97" t="s">
        <v>80</v>
      </c>
      <c r="K524" s="97" t="s">
        <v>73</v>
      </c>
      <c r="L524">
        <v>701000</v>
      </c>
      <c r="M524" s="97" t="s">
        <v>62</v>
      </c>
      <c r="N524" s="97" t="s">
        <v>33</v>
      </c>
      <c r="O524">
        <v>3381</v>
      </c>
      <c r="P524">
        <v>2.6</v>
      </c>
      <c r="Q524">
        <v>8.7899999999999991</v>
      </c>
      <c r="R524" s="97" t="s">
        <v>1202</v>
      </c>
      <c r="S524" s="97" t="s">
        <v>195</v>
      </c>
    </row>
    <row r="525" spans="1:19" x14ac:dyDescent="0.3">
      <c r="A525" s="97" t="s">
        <v>718</v>
      </c>
      <c r="B525" s="97" t="s">
        <v>22</v>
      </c>
      <c r="C525">
        <v>2025</v>
      </c>
      <c r="D525">
        <v>1</v>
      </c>
      <c r="E525" s="2">
        <v>45671</v>
      </c>
      <c r="F525" s="97" t="s">
        <v>7</v>
      </c>
      <c r="G525" s="97" t="s">
        <v>8</v>
      </c>
      <c r="H525" s="97" t="s">
        <v>70</v>
      </c>
      <c r="I525" s="97" t="s">
        <v>79</v>
      </c>
      <c r="J525" s="97" t="s">
        <v>80</v>
      </c>
      <c r="K525" s="97" t="s">
        <v>73</v>
      </c>
      <c r="L525">
        <v>701000</v>
      </c>
      <c r="M525" s="97" t="s">
        <v>62</v>
      </c>
      <c r="N525" s="97" t="s">
        <v>33</v>
      </c>
      <c r="O525">
        <v>2956</v>
      </c>
      <c r="P525">
        <v>2.6</v>
      </c>
      <c r="Q525">
        <v>7.69</v>
      </c>
      <c r="R525" s="97" t="s">
        <v>1205</v>
      </c>
      <c r="S525" s="97" t="s">
        <v>195</v>
      </c>
    </row>
    <row r="526" spans="1:19" x14ac:dyDescent="0.3">
      <c r="A526" s="97" t="s">
        <v>719</v>
      </c>
      <c r="B526" s="97" t="s">
        <v>22</v>
      </c>
      <c r="C526">
        <v>2025</v>
      </c>
      <c r="D526">
        <v>1</v>
      </c>
      <c r="E526" s="2">
        <v>45671</v>
      </c>
      <c r="F526" s="97" t="s">
        <v>7</v>
      </c>
      <c r="G526" s="97" t="s">
        <v>8</v>
      </c>
      <c r="H526" s="97" t="s">
        <v>70</v>
      </c>
      <c r="I526" s="97" t="s">
        <v>79</v>
      </c>
      <c r="J526" s="97" t="s">
        <v>80</v>
      </c>
      <c r="K526" s="97" t="s">
        <v>73</v>
      </c>
      <c r="L526">
        <v>701000</v>
      </c>
      <c r="M526" s="97" t="s">
        <v>62</v>
      </c>
      <c r="N526" s="97" t="s">
        <v>33</v>
      </c>
      <c r="O526">
        <v>706</v>
      </c>
      <c r="P526">
        <v>2.61</v>
      </c>
      <c r="Q526">
        <v>1.84</v>
      </c>
      <c r="R526" s="97" t="s">
        <v>1201</v>
      </c>
      <c r="S526" s="97" t="s">
        <v>195</v>
      </c>
    </row>
    <row r="527" spans="1:19" x14ac:dyDescent="0.3">
      <c r="A527" s="97" t="s">
        <v>720</v>
      </c>
      <c r="B527" s="97" t="s">
        <v>22</v>
      </c>
      <c r="C527">
        <v>2025</v>
      </c>
      <c r="D527">
        <v>1</v>
      </c>
      <c r="E527" s="2">
        <v>45669</v>
      </c>
      <c r="F527" s="97" t="s">
        <v>7</v>
      </c>
      <c r="G527" s="97" t="s">
        <v>8</v>
      </c>
      <c r="H527" s="97" t="s">
        <v>70</v>
      </c>
      <c r="I527" s="97" t="s">
        <v>79</v>
      </c>
      <c r="J527" s="97" t="s">
        <v>80</v>
      </c>
      <c r="K527" s="97" t="s">
        <v>73</v>
      </c>
      <c r="L527">
        <v>701000</v>
      </c>
      <c r="M527" s="97" t="s">
        <v>62</v>
      </c>
      <c r="N527" s="97" t="s">
        <v>33</v>
      </c>
      <c r="O527">
        <v>1861</v>
      </c>
      <c r="P527">
        <v>2.6</v>
      </c>
      <c r="Q527">
        <v>4.84</v>
      </c>
      <c r="R527" s="97" t="s">
        <v>1202</v>
      </c>
      <c r="S527" s="97" t="s">
        <v>195</v>
      </c>
    </row>
    <row r="528" spans="1:19" x14ac:dyDescent="0.3">
      <c r="A528" s="97" t="s">
        <v>721</v>
      </c>
      <c r="B528" s="97" t="s">
        <v>22</v>
      </c>
      <c r="C528">
        <v>2025</v>
      </c>
      <c r="D528">
        <v>1</v>
      </c>
      <c r="E528" s="2">
        <v>45669</v>
      </c>
      <c r="F528" s="97" t="s">
        <v>7</v>
      </c>
      <c r="G528" s="97" t="s">
        <v>8</v>
      </c>
      <c r="H528" s="97" t="s">
        <v>70</v>
      </c>
      <c r="I528" s="97" t="s">
        <v>79</v>
      </c>
      <c r="J528" s="97" t="s">
        <v>80</v>
      </c>
      <c r="K528" s="97" t="s">
        <v>73</v>
      </c>
      <c r="L528">
        <v>701000</v>
      </c>
      <c r="M528" s="97" t="s">
        <v>62</v>
      </c>
      <c r="N528" s="97" t="s">
        <v>33</v>
      </c>
      <c r="O528">
        <v>1043</v>
      </c>
      <c r="P528">
        <v>2.6</v>
      </c>
      <c r="Q528">
        <v>2.71</v>
      </c>
      <c r="R528" s="97" t="s">
        <v>1199</v>
      </c>
      <c r="S528" s="97" t="s">
        <v>195</v>
      </c>
    </row>
    <row r="529" spans="1:19" x14ac:dyDescent="0.3">
      <c r="A529" s="97" t="s">
        <v>722</v>
      </c>
      <c r="B529" s="97" t="s">
        <v>22</v>
      </c>
      <c r="C529">
        <v>2025</v>
      </c>
      <c r="D529">
        <v>1</v>
      </c>
      <c r="E529" s="2">
        <v>45669</v>
      </c>
      <c r="F529" s="97" t="s">
        <v>7</v>
      </c>
      <c r="G529" s="97" t="s">
        <v>8</v>
      </c>
      <c r="H529" s="97" t="s">
        <v>70</v>
      </c>
      <c r="I529" s="97" t="s">
        <v>79</v>
      </c>
      <c r="J529" s="97" t="s">
        <v>80</v>
      </c>
      <c r="K529" s="97" t="s">
        <v>73</v>
      </c>
      <c r="L529">
        <v>701000</v>
      </c>
      <c r="M529" s="97" t="s">
        <v>62</v>
      </c>
      <c r="N529" s="97" t="s">
        <v>33</v>
      </c>
      <c r="O529">
        <v>1212</v>
      </c>
      <c r="P529">
        <v>2.6</v>
      </c>
      <c r="Q529">
        <v>3.15</v>
      </c>
      <c r="R529" s="97" t="s">
        <v>1204</v>
      </c>
      <c r="S529" s="97" t="s">
        <v>195</v>
      </c>
    </row>
    <row r="530" spans="1:19" x14ac:dyDescent="0.3">
      <c r="A530" s="97" t="s">
        <v>723</v>
      </c>
      <c r="B530" s="97" t="s">
        <v>22</v>
      </c>
      <c r="C530">
        <v>2025</v>
      </c>
      <c r="D530">
        <v>1</v>
      </c>
      <c r="E530" s="2">
        <v>45669</v>
      </c>
      <c r="F530" s="97" t="s">
        <v>7</v>
      </c>
      <c r="G530" s="97" t="s">
        <v>8</v>
      </c>
      <c r="H530" s="97" t="s">
        <v>70</v>
      </c>
      <c r="I530" s="97" t="s">
        <v>79</v>
      </c>
      <c r="J530" s="97" t="s">
        <v>80</v>
      </c>
      <c r="K530" s="97" t="s">
        <v>73</v>
      </c>
      <c r="L530">
        <v>701000</v>
      </c>
      <c r="M530" s="97" t="s">
        <v>62</v>
      </c>
      <c r="N530" s="97" t="s">
        <v>33</v>
      </c>
      <c r="O530">
        <v>1816</v>
      </c>
      <c r="P530">
        <v>2.6</v>
      </c>
      <c r="Q530">
        <v>4.72</v>
      </c>
      <c r="R530" s="97" t="s">
        <v>1203</v>
      </c>
      <c r="S530" s="97" t="s">
        <v>195</v>
      </c>
    </row>
    <row r="531" spans="1:19" x14ac:dyDescent="0.3">
      <c r="A531" s="97" t="s">
        <v>724</v>
      </c>
      <c r="B531" s="97" t="s">
        <v>22</v>
      </c>
      <c r="C531">
        <v>2025</v>
      </c>
      <c r="D531">
        <v>1</v>
      </c>
      <c r="E531" s="2">
        <v>45669</v>
      </c>
      <c r="F531" s="97" t="s">
        <v>7</v>
      </c>
      <c r="G531" s="97" t="s">
        <v>8</v>
      </c>
      <c r="H531" s="97" t="s">
        <v>70</v>
      </c>
      <c r="I531" s="97" t="s">
        <v>79</v>
      </c>
      <c r="J531" s="97" t="s">
        <v>80</v>
      </c>
      <c r="K531" s="97" t="s">
        <v>73</v>
      </c>
      <c r="L531">
        <v>701000</v>
      </c>
      <c r="M531" s="97" t="s">
        <v>62</v>
      </c>
      <c r="N531" s="97" t="s">
        <v>33</v>
      </c>
      <c r="O531">
        <v>1642</v>
      </c>
      <c r="P531">
        <v>2.6</v>
      </c>
      <c r="Q531">
        <v>4.2699999999999996</v>
      </c>
      <c r="R531" s="97" t="s">
        <v>1198</v>
      </c>
      <c r="S531" s="97" t="s">
        <v>195</v>
      </c>
    </row>
    <row r="532" spans="1:19" x14ac:dyDescent="0.3">
      <c r="A532" s="97" t="s">
        <v>725</v>
      </c>
      <c r="B532" s="97" t="s">
        <v>22</v>
      </c>
      <c r="C532">
        <v>2025</v>
      </c>
      <c r="D532">
        <v>1</v>
      </c>
      <c r="E532" s="2">
        <v>45660</v>
      </c>
      <c r="F532" s="97" t="s">
        <v>7</v>
      </c>
      <c r="G532" s="97" t="s">
        <v>8</v>
      </c>
      <c r="H532" s="97" t="s">
        <v>74</v>
      </c>
      <c r="I532" s="97" t="s">
        <v>79</v>
      </c>
      <c r="J532" s="97" t="s">
        <v>80</v>
      </c>
      <c r="K532" s="97" t="s">
        <v>73</v>
      </c>
      <c r="L532">
        <v>701000</v>
      </c>
      <c r="M532" s="97" t="s">
        <v>62</v>
      </c>
      <c r="N532" s="97" t="s">
        <v>33</v>
      </c>
      <c r="O532">
        <v>191</v>
      </c>
      <c r="P532">
        <v>2.62</v>
      </c>
      <c r="Q532">
        <v>0.5</v>
      </c>
      <c r="R532" s="97" t="s">
        <v>1202</v>
      </c>
      <c r="S532" s="97" t="s">
        <v>195</v>
      </c>
    </row>
    <row r="533" spans="1:19" x14ac:dyDescent="0.3">
      <c r="A533" s="97" t="s">
        <v>726</v>
      </c>
      <c r="B533" s="97" t="s">
        <v>22</v>
      </c>
      <c r="C533">
        <v>2025</v>
      </c>
      <c r="D533">
        <v>1</v>
      </c>
      <c r="E533" s="2">
        <v>45660</v>
      </c>
      <c r="F533" s="97" t="s">
        <v>7</v>
      </c>
      <c r="G533" s="97" t="s">
        <v>8</v>
      </c>
      <c r="H533" s="97" t="s">
        <v>74</v>
      </c>
      <c r="I533" s="97" t="s">
        <v>79</v>
      </c>
      <c r="J533" s="97" t="s">
        <v>80</v>
      </c>
      <c r="K533" s="97" t="s">
        <v>73</v>
      </c>
      <c r="L533">
        <v>701000</v>
      </c>
      <c r="M533" s="97" t="s">
        <v>62</v>
      </c>
      <c r="N533" s="97" t="s">
        <v>33</v>
      </c>
      <c r="O533">
        <v>4344</v>
      </c>
      <c r="P533">
        <v>2.6</v>
      </c>
      <c r="Q533">
        <v>11.29</v>
      </c>
      <c r="R533" s="97" t="s">
        <v>1199</v>
      </c>
      <c r="S533" s="97" t="s">
        <v>195</v>
      </c>
    </row>
    <row r="534" spans="1:19" x14ac:dyDescent="0.3">
      <c r="A534" s="97" t="s">
        <v>727</v>
      </c>
      <c r="B534" s="97" t="s">
        <v>22</v>
      </c>
      <c r="C534">
        <v>2025</v>
      </c>
      <c r="D534">
        <v>1</v>
      </c>
      <c r="E534" s="2">
        <v>45660</v>
      </c>
      <c r="F534" s="97" t="s">
        <v>7</v>
      </c>
      <c r="G534" s="97" t="s">
        <v>8</v>
      </c>
      <c r="H534" s="97" t="s">
        <v>74</v>
      </c>
      <c r="I534" s="97" t="s">
        <v>79</v>
      </c>
      <c r="J534" s="97" t="s">
        <v>80</v>
      </c>
      <c r="K534" s="97" t="s">
        <v>73</v>
      </c>
      <c r="L534">
        <v>701000</v>
      </c>
      <c r="M534" s="97" t="s">
        <v>62</v>
      </c>
      <c r="N534" s="97" t="s">
        <v>33</v>
      </c>
      <c r="O534">
        <v>1483</v>
      </c>
      <c r="P534">
        <v>2.6</v>
      </c>
      <c r="Q534">
        <v>3.85</v>
      </c>
      <c r="R534" s="97" t="s">
        <v>1198</v>
      </c>
      <c r="S534" s="97" t="s">
        <v>195</v>
      </c>
    </row>
    <row r="535" spans="1:19" x14ac:dyDescent="0.3">
      <c r="A535" s="97" t="s">
        <v>728</v>
      </c>
      <c r="B535" s="97" t="s">
        <v>22</v>
      </c>
      <c r="C535">
        <v>2025</v>
      </c>
      <c r="D535">
        <v>1</v>
      </c>
      <c r="E535" s="2">
        <v>45660</v>
      </c>
      <c r="F535" s="97" t="s">
        <v>7</v>
      </c>
      <c r="G535" s="97" t="s">
        <v>8</v>
      </c>
      <c r="H535" s="97" t="s">
        <v>74</v>
      </c>
      <c r="I535" s="97" t="s">
        <v>79</v>
      </c>
      <c r="J535" s="97" t="s">
        <v>80</v>
      </c>
      <c r="K535" s="97" t="s">
        <v>73</v>
      </c>
      <c r="L535">
        <v>701000</v>
      </c>
      <c r="M535" s="97" t="s">
        <v>62</v>
      </c>
      <c r="N535" s="97" t="s">
        <v>33</v>
      </c>
      <c r="O535">
        <v>2137</v>
      </c>
      <c r="P535">
        <v>2.6</v>
      </c>
      <c r="Q535">
        <v>5.56</v>
      </c>
      <c r="R535" s="97" t="s">
        <v>1205</v>
      </c>
      <c r="S535" s="97" t="s">
        <v>195</v>
      </c>
    </row>
    <row r="536" spans="1:19" x14ac:dyDescent="0.3">
      <c r="A536" s="97" t="s">
        <v>729</v>
      </c>
      <c r="B536" s="97" t="s">
        <v>22</v>
      </c>
      <c r="C536">
        <v>2025</v>
      </c>
      <c r="D536">
        <v>1</v>
      </c>
      <c r="E536" s="2">
        <v>45660</v>
      </c>
      <c r="F536" s="97" t="s">
        <v>7</v>
      </c>
      <c r="G536" s="97" t="s">
        <v>8</v>
      </c>
      <c r="H536" s="97" t="s">
        <v>74</v>
      </c>
      <c r="I536" s="97" t="s">
        <v>79</v>
      </c>
      <c r="J536" s="97" t="s">
        <v>80</v>
      </c>
      <c r="K536" s="97" t="s">
        <v>73</v>
      </c>
      <c r="L536">
        <v>701000</v>
      </c>
      <c r="M536" s="97" t="s">
        <v>62</v>
      </c>
      <c r="N536" s="97" t="s">
        <v>33</v>
      </c>
      <c r="O536">
        <v>919</v>
      </c>
      <c r="P536">
        <v>2.6</v>
      </c>
      <c r="Q536">
        <v>2.39</v>
      </c>
      <c r="R536" s="97" t="s">
        <v>1203</v>
      </c>
      <c r="S536" s="97" t="s">
        <v>195</v>
      </c>
    </row>
    <row r="537" spans="1:19" x14ac:dyDescent="0.3">
      <c r="A537" s="97" t="s">
        <v>730</v>
      </c>
      <c r="B537" s="97" t="s">
        <v>22</v>
      </c>
      <c r="C537">
        <v>2025</v>
      </c>
      <c r="D537">
        <v>1</v>
      </c>
      <c r="E537" s="2">
        <v>45681</v>
      </c>
      <c r="F537" s="97" t="s">
        <v>7</v>
      </c>
      <c r="G537" s="97" t="s">
        <v>8</v>
      </c>
      <c r="H537" s="97" t="s">
        <v>70</v>
      </c>
      <c r="I537" s="97" t="s">
        <v>79</v>
      </c>
      <c r="J537" s="97" t="s">
        <v>80</v>
      </c>
      <c r="K537" s="97" t="s">
        <v>73</v>
      </c>
      <c r="L537">
        <v>701000</v>
      </c>
      <c r="M537" s="97" t="s">
        <v>62</v>
      </c>
      <c r="N537" s="97" t="s">
        <v>33</v>
      </c>
      <c r="O537">
        <v>999</v>
      </c>
      <c r="P537">
        <v>2.6</v>
      </c>
      <c r="Q537">
        <v>2.6</v>
      </c>
      <c r="R537" s="97" t="s">
        <v>1205</v>
      </c>
      <c r="S537" s="97" t="s">
        <v>195</v>
      </c>
    </row>
    <row r="538" spans="1:19" x14ac:dyDescent="0.3">
      <c r="A538" s="97" t="s">
        <v>731</v>
      </c>
      <c r="B538" s="97" t="s">
        <v>22</v>
      </c>
      <c r="C538">
        <v>2025</v>
      </c>
      <c r="D538">
        <v>1</v>
      </c>
      <c r="E538" s="2">
        <v>45681</v>
      </c>
      <c r="F538" s="97" t="s">
        <v>7</v>
      </c>
      <c r="G538" s="97" t="s">
        <v>8</v>
      </c>
      <c r="H538" s="97" t="s">
        <v>70</v>
      </c>
      <c r="I538" s="97" t="s">
        <v>79</v>
      </c>
      <c r="J538" s="97" t="s">
        <v>80</v>
      </c>
      <c r="K538" s="97" t="s">
        <v>73</v>
      </c>
      <c r="L538">
        <v>701000</v>
      </c>
      <c r="M538" s="97" t="s">
        <v>62</v>
      </c>
      <c r="N538" s="97" t="s">
        <v>33</v>
      </c>
      <c r="O538">
        <v>2400</v>
      </c>
      <c r="P538">
        <v>2.6</v>
      </c>
      <c r="Q538">
        <v>6.24</v>
      </c>
      <c r="R538" s="97" t="s">
        <v>1198</v>
      </c>
      <c r="S538" s="97" t="s">
        <v>195</v>
      </c>
    </row>
    <row r="539" spans="1:19" x14ac:dyDescent="0.3">
      <c r="A539" s="97" t="s">
        <v>732</v>
      </c>
      <c r="B539" s="97" t="s">
        <v>22</v>
      </c>
      <c r="C539">
        <v>2025</v>
      </c>
      <c r="D539">
        <v>1</v>
      </c>
      <c r="E539" s="2">
        <v>45681</v>
      </c>
      <c r="F539" s="97" t="s">
        <v>7</v>
      </c>
      <c r="G539" s="97" t="s">
        <v>8</v>
      </c>
      <c r="H539" s="97" t="s">
        <v>70</v>
      </c>
      <c r="I539" s="97" t="s">
        <v>79</v>
      </c>
      <c r="J539" s="97" t="s">
        <v>80</v>
      </c>
      <c r="K539" s="97" t="s">
        <v>73</v>
      </c>
      <c r="L539">
        <v>701000</v>
      </c>
      <c r="M539" s="97" t="s">
        <v>62</v>
      </c>
      <c r="N539" s="97" t="s">
        <v>33</v>
      </c>
      <c r="O539">
        <v>2195</v>
      </c>
      <c r="P539">
        <v>2.6</v>
      </c>
      <c r="Q539">
        <v>5.71</v>
      </c>
      <c r="R539" s="97" t="s">
        <v>1203</v>
      </c>
      <c r="S539" s="97" t="s">
        <v>195</v>
      </c>
    </row>
    <row r="540" spans="1:19" x14ac:dyDescent="0.3">
      <c r="A540" s="97" t="s">
        <v>733</v>
      </c>
      <c r="B540" s="97" t="s">
        <v>22</v>
      </c>
      <c r="C540">
        <v>2025</v>
      </c>
      <c r="D540">
        <v>1</v>
      </c>
      <c r="E540" s="2">
        <v>45681</v>
      </c>
      <c r="F540" s="97" t="s">
        <v>7</v>
      </c>
      <c r="G540" s="97" t="s">
        <v>8</v>
      </c>
      <c r="H540" s="97" t="s">
        <v>70</v>
      </c>
      <c r="I540" s="97" t="s">
        <v>79</v>
      </c>
      <c r="J540" s="97" t="s">
        <v>80</v>
      </c>
      <c r="K540" s="97" t="s">
        <v>73</v>
      </c>
      <c r="L540">
        <v>701000</v>
      </c>
      <c r="M540" s="97" t="s">
        <v>62</v>
      </c>
      <c r="N540" s="97" t="s">
        <v>33</v>
      </c>
      <c r="O540">
        <v>1256</v>
      </c>
      <c r="P540">
        <v>2.6</v>
      </c>
      <c r="Q540">
        <v>3.26</v>
      </c>
      <c r="R540" s="97" t="s">
        <v>1199</v>
      </c>
      <c r="S540" s="97" t="s">
        <v>195</v>
      </c>
    </row>
    <row r="541" spans="1:19" x14ac:dyDescent="0.3">
      <c r="A541" s="97" t="s">
        <v>734</v>
      </c>
      <c r="B541" s="97" t="s">
        <v>22</v>
      </c>
      <c r="C541">
        <v>2025</v>
      </c>
      <c r="D541">
        <v>1</v>
      </c>
      <c r="E541" s="2">
        <v>45681</v>
      </c>
      <c r="F541" s="97" t="s">
        <v>7</v>
      </c>
      <c r="G541" s="97" t="s">
        <v>8</v>
      </c>
      <c r="H541" s="97" t="s">
        <v>70</v>
      </c>
      <c r="I541" s="97" t="s">
        <v>79</v>
      </c>
      <c r="J541" s="97" t="s">
        <v>80</v>
      </c>
      <c r="K541" s="97" t="s">
        <v>73</v>
      </c>
      <c r="L541">
        <v>701000</v>
      </c>
      <c r="M541" s="97" t="s">
        <v>62</v>
      </c>
      <c r="N541" s="97" t="s">
        <v>33</v>
      </c>
      <c r="O541">
        <v>977</v>
      </c>
      <c r="P541">
        <v>2.6</v>
      </c>
      <c r="Q541">
        <v>2.54</v>
      </c>
      <c r="R541" s="97" t="s">
        <v>1202</v>
      </c>
      <c r="S541" s="97" t="s">
        <v>195</v>
      </c>
    </row>
    <row r="542" spans="1:19" x14ac:dyDescent="0.3">
      <c r="A542" s="97" t="s">
        <v>735</v>
      </c>
      <c r="B542" s="97" t="s">
        <v>22</v>
      </c>
      <c r="C542">
        <v>2025</v>
      </c>
      <c r="D542">
        <v>1</v>
      </c>
      <c r="E542" s="2">
        <v>45673</v>
      </c>
      <c r="F542" s="97" t="s">
        <v>7</v>
      </c>
      <c r="G542" s="97" t="s">
        <v>8</v>
      </c>
      <c r="H542" s="97" t="s">
        <v>70</v>
      </c>
      <c r="I542" s="97" t="s">
        <v>79</v>
      </c>
      <c r="J542" s="97" t="s">
        <v>80</v>
      </c>
      <c r="K542" s="97" t="s">
        <v>73</v>
      </c>
      <c r="L542">
        <v>701000</v>
      </c>
      <c r="M542" s="97" t="s">
        <v>62</v>
      </c>
      <c r="N542" s="97" t="s">
        <v>33</v>
      </c>
      <c r="O542">
        <v>1676</v>
      </c>
      <c r="P542">
        <v>2.6</v>
      </c>
      <c r="Q542">
        <v>4.3600000000000003</v>
      </c>
      <c r="R542" s="97" t="s">
        <v>1198</v>
      </c>
      <c r="S542" s="97" t="s">
        <v>195</v>
      </c>
    </row>
    <row r="543" spans="1:19" x14ac:dyDescent="0.3">
      <c r="A543" s="97" t="s">
        <v>736</v>
      </c>
      <c r="B543" s="97" t="s">
        <v>22</v>
      </c>
      <c r="C543">
        <v>2025</v>
      </c>
      <c r="D543">
        <v>1</v>
      </c>
      <c r="E543" s="2">
        <v>45673</v>
      </c>
      <c r="F543" s="97" t="s">
        <v>7</v>
      </c>
      <c r="G543" s="97" t="s">
        <v>8</v>
      </c>
      <c r="H543" s="97" t="s">
        <v>70</v>
      </c>
      <c r="I543" s="97" t="s">
        <v>79</v>
      </c>
      <c r="J543" s="97" t="s">
        <v>80</v>
      </c>
      <c r="K543" s="97" t="s">
        <v>73</v>
      </c>
      <c r="L543">
        <v>701000</v>
      </c>
      <c r="M543" s="97" t="s">
        <v>62</v>
      </c>
      <c r="N543" s="97" t="s">
        <v>33</v>
      </c>
      <c r="O543">
        <v>1369</v>
      </c>
      <c r="P543">
        <v>2.6</v>
      </c>
      <c r="Q543">
        <v>3.56</v>
      </c>
      <c r="R543" s="97" t="s">
        <v>1197</v>
      </c>
      <c r="S543" s="97" t="s">
        <v>195</v>
      </c>
    </row>
    <row r="544" spans="1:19" x14ac:dyDescent="0.3">
      <c r="A544" s="97" t="s">
        <v>737</v>
      </c>
      <c r="B544" s="97" t="s">
        <v>22</v>
      </c>
      <c r="C544">
        <v>2025</v>
      </c>
      <c r="D544">
        <v>1</v>
      </c>
      <c r="E544" s="2">
        <v>45673</v>
      </c>
      <c r="F544" s="97" t="s">
        <v>7</v>
      </c>
      <c r="G544" s="97" t="s">
        <v>8</v>
      </c>
      <c r="H544" s="97" t="s">
        <v>70</v>
      </c>
      <c r="I544" s="97" t="s">
        <v>79</v>
      </c>
      <c r="J544" s="97" t="s">
        <v>80</v>
      </c>
      <c r="K544" s="97" t="s">
        <v>73</v>
      </c>
      <c r="L544">
        <v>701000</v>
      </c>
      <c r="M544" s="97" t="s">
        <v>62</v>
      </c>
      <c r="N544" s="97" t="s">
        <v>33</v>
      </c>
      <c r="O544">
        <v>2931</v>
      </c>
      <c r="P544">
        <v>2.6</v>
      </c>
      <c r="Q544">
        <v>7.62</v>
      </c>
      <c r="R544" s="97" t="s">
        <v>1203</v>
      </c>
      <c r="S544" s="97" t="s">
        <v>195</v>
      </c>
    </row>
    <row r="545" spans="1:19" x14ac:dyDescent="0.3">
      <c r="A545" s="97" t="s">
        <v>738</v>
      </c>
      <c r="B545" s="97" t="s">
        <v>22</v>
      </c>
      <c r="C545">
        <v>2025</v>
      </c>
      <c r="D545">
        <v>1</v>
      </c>
      <c r="E545" s="2">
        <v>45673</v>
      </c>
      <c r="F545" s="97" t="s">
        <v>7</v>
      </c>
      <c r="G545" s="97" t="s">
        <v>8</v>
      </c>
      <c r="H545" s="97" t="s">
        <v>70</v>
      </c>
      <c r="I545" s="97" t="s">
        <v>79</v>
      </c>
      <c r="J545" s="97" t="s">
        <v>80</v>
      </c>
      <c r="K545" s="97" t="s">
        <v>73</v>
      </c>
      <c r="L545">
        <v>701000</v>
      </c>
      <c r="M545" s="97" t="s">
        <v>62</v>
      </c>
      <c r="N545" s="97" t="s">
        <v>33</v>
      </c>
      <c r="O545">
        <v>1905</v>
      </c>
      <c r="P545">
        <v>2.6</v>
      </c>
      <c r="Q545">
        <v>4.95</v>
      </c>
      <c r="R545" s="97" t="s">
        <v>1199</v>
      </c>
      <c r="S545" s="97" t="s">
        <v>195</v>
      </c>
    </row>
    <row r="546" spans="1:19" x14ac:dyDescent="0.3">
      <c r="A546" s="97" t="s">
        <v>739</v>
      </c>
      <c r="B546" s="97" t="s">
        <v>22</v>
      </c>
      <c r="C546">
        <v>2025</v>
      </c>
      <c r="D546">
        <v>1</v>
      </c>
      <c r="E546" s="2">
        <v>45673</v>
      </c>
      <c r="F546" s="97" t="s">
        <v>7</v>
      </c>
      <c r="G546" s="97" t="s">
        <v>8</v>
      </c>
      <c r="H546" s="97" t="s">
        <v>70</v>
      </c>
      <c r="I546" s="97" t="s">
        <v>79</v>
      </c>
      <c r="J546" s="97" t="s">
        <v>80</v>
      </c>
      <c r="K546" s="97" t="s">
        <v>73</v>
      </c>
      <c r="L546">
        <v>701000</v>
      </c>
      <c r="M546" s="97" t="s">
        <v>62</v>
      </c>
      <c r="N546" s="97" t="s">
        <v>33</v>
      </c>
      <c r="O546">
        <v>1254</v>
      </c>
      <c r="P546">
        <v>2.6</v>
      </c>
      <c r="Q546">
        <v>3.26</v>
      </c>
      <c r="R546" s="97" t="s">
        <v>1201</v>
      </c>
      <c r="S546" s="97" t="s">
        <v>195</v>
      </c>
    </row>
    <row r="547" spans="1:19" x14ac:dyDescent="0.3">
      <c r="A547" s="97" t="s">
        <v>740</v>
      </c>
      <c r="B547" s="97" t="s">
        <v>22</v>
      </c>
      <c r="C547">
        <v>2025</v>
      </c>
      <c r="D547">
        <v>1</v>
      </c>
      <c r="E547" s="2">
        <v>45664</v>
      </c>
      <c r="F547" s="97" t="s">
        <v>7</v>
      </c>
      <c r="G547" s="97" t="s">
        <v>8</v>
      </c>
      <c r="H547" s="97" t="s">
        <v>70</v>
      </c>
      <c r="I547" s="97" t="s">
        <v>79</v>
      </c>
      <c r="J547" s="97" t="s">
        <v>80</v>
      </c>
      <c r="K547" s="97" t="s">
        <v>73</v>
      </c>
      <c r="L547">
        <v>701000</v>
      </c>
      <c r="M547" s="97" t="s">
        <v>62</v>
      </c>
      <c r="N547" s="97" t="s">
        <v>33</v>
      </c>
      <c r="O547">
        <v>1650</v>
      </c>
      <c r="P547">
        <v>2.6</v>
      </c>
      <c r="Q547">
        <v>4.29</v>
      </c>
      <c r="R547" s="97" t="s">
        <v>1198</v>
      </c>
      <c r="S547" s="97" t="s">
        <v>195</v>
      </c>
    </row>
    <row r="548" spans="1:19" x14ac:dyDescent="0.3">
      <c r="A548" s="97" t="s">
        <v>741</v>
      </c>
      <c r="B548" s="97" t="s">
        <v>22</v>
      </c>
      <c r="C548">
        <v>2025</v>
      </c>
      <c r="D548">
        <v>1</v>
      </c>
      <c r="E548" s="2">
        <v>45664</v>
      </c>
      <c r="F548" s="97" t="s">
        <v>7</v>
      </c>
      <c r="G548" s="97" t="s">
        <v>8</v>
      </c>
      <c r="H548" s="97" t="s">
        <v>70</v>
      </c>
      <c r="I548" s="97" t="s">
        <v>79</v>
      </c>
      <c r="J548" s="97" t="s">
        <v>80</v>
      </c>
      <c r="K548" s="97" t="s">
        <v>73</v>
      </c>
      <c r="L548">
        <v>701000</v>
      </c>
      <c r="M548" s="97" t="s">
        <v>62</v>
      </c>
      <c r="N548" s="97" t="s">
        <v>33</v>
      </c>
      <c r="O548">
        <v>1229</v>
      </c>
      <c r="P548">
        <v>2.6</v>
      </c>
      <c r="Q548">
        <v>3.2</v>
      </c>
      <c r="R548" s="97" t="s">
        <v>1203</v>
      </c>
      <c r="S548" s="97" t="s">
        <v>195</v>
      </c>
    </row>
    <row r="549" spans="1:19" x14ac:dyDescent="0.3">
      <c r="A549" s="97" t="s">
        <v>742</v>
      </c>
      <c r="B549" s="97" t="s">
        <v>22</v>
      </c>
      <c r="C549">
        <v>2025</v>
      </c>
      <c r="D549">
        <v>1</v>
      </c>
      <c r="E549" s="2">
        <v>45664</v>
      </c>
      <c r="F549" s="97" t="s">
        <v>7</v>
      </c>
      <c r="G549" s="97" t="s">
        <v>8</v>
      </c>
      <c r="H549" s="97" t="s">
        <v>70</v>
      </c>
      <c r="I549" s="97" t="s">
        <v>79</v>
      </c>
      <c r="J549" s="97" t="s">
        <v>80</v>
      </c>
      <c r="K549" s="97" t="s">
        <v>73</v>
      </c>
      <c r="L549">
        <v>701000</v>
      </c>
      <c r="M549" s="97" t="s">
        <v>62</v>
      </c>
      <c r="N549" s="97" t="s">
        <v>33</v>
      </c>
      <c r="O549">
        <v>1674</v>
      </c>
      <c r="P549">
        <v>2.6</v>
      </c>
      <c r="Q549">
        <v>4.3499999999999996</v>
      </c>
      <c r="R549" s="97" t="s">
        <v>1205</v>
      </c>
      <c r="S549" s="97" t="s">
        <v>195</v>
      </c>
    </row>
    <row r="550" spans="1:19" x14ac:dyDescent="0.3">
      <c r="A550" s="97" t="s">
        <v>743</v>
      </c>
      <c r="B550" s="97" t="s">
        <v>22</v>
      </c>
      <c r="C550">
        <v>2025</v>
      </c>
      <c r="D550">
        <v>1</v>
      </c>
      <c r="E550" s="2">
        <v>45664</v>
      </c>
      <c r="F550" s="97" t="s">
        <v>7</v>
      </c>
      <c r="G550" s="97" t="s">
        <v>8</v>
      </c>
      <c r="H550" s="97" t="s">
        <v>70</v>
      </c>
      <c r="I550" s="97" t="s">
        <v>79</v>
      </c>
      <c r="J550" s="97" t="s">
        <v>80</v>
      </c>
      <c r="K550" s="97" t="s">
        <v>73</v>
      </c>
      <c r="L550">
        <v>701000</v>
      </c>
      <c r="M550" s="97" t="s">
        <v>62</v>
      </c>
      <c r="N550" s="97" t="s">
        <v>33</v>
      </c>
      <c r="O550">
        <v>1836</v>
      </c>
      <c r="P550">
        <v>2.6</v>
      </c>
      <c r="Q550">
        <v>4.7699999999999996</v>
      </c>
      <c r="R550" s="97" t="s">
        <v>1197</v>
      </c>
      <c r="S550" s="97" t="s">
        <v>195</v>
      </c>
    </row>
    <row r="551" spans="1:19" x14ac:dyDescent="0.3">
      <c r="A551" s="97" t="s">
        <v>744</v>
      </c>
      <c r="B551" s="97" t="s">
        <v>22</v>
      </c>
      <c r="C551">
        <v>2025</v>
      </c>
      <c r="D551">
        <v>1</v>
      </c>
      <c r="E551" s="2">
        <v>45664</v>
      </c>
      <c r="F551" s="97" t="s">
        <v>7</v>
      </c>
      <c r="G551" s="97" t="s">
        <v>8</v>
      </c>
      <c r="H551" s="97" t="s">
        <v>70</v>
      </c>
      <c r="I551" s="97" t="s">
        <v>79</v>
      </c>
      <c r="J551" s="97" t="s">
        <v>80</v>
      </c>
      <c r="K551" s="97" t="s">
        <v>73</v>
      </c>
      <c r="L551">
        <v>701000</v>
      </c>
      <c r="M551" s="97" t="s">
        <v>62</v>
      </c>
      <c r="N551" s="97" t="s">
        <v>33</v>
      </c>
      <c r="O551">
        <v>558</v>
      </c>
      <c r="P551">
        <v>2.6</v>
      </c>
      <c r="Q551">
        <v>1.45</v>
      </c>
      <c r="R551" s="97" t="s">
        <v>1202</v>
      </c>
      <c r="S551" s="97" t="s">
        <v>195</v>
      </c>
    </row>
    <row r="552" spans="1:19" x14ac:dyDescent="0.3">
      <c r="A552" s="97" t="s">
        <v>745</v>
      </c>
      <c r="B552" s="97" t="s">
        <v>22</v>
      </c>
      <c r="C552">
        <v>2025</v>
      </c>
      <c r="D552">
        <v>1</v>
      </c>
      <c r="E552" s="2">
        <v>45663</v>
      </c>
      <c r="F552" s="97" t="s">
        <v>7</v>
      </c>
      <c r="G552" s="97" t="s">
        <v>8</v>
      </c>
      <c r="H552" s="97" t="s">
        <v>70</v>
      </c>
      <c r="I552" s="97" t="s">
        <v>79</v>
      </c>
      <c r="J552" s="97" t="s">
        <v>80</v>
      </c>
      <c r="K552" s="97" t="s">
        <v>73</v>
      </c>
      <c r="L552">
        <v>707000</v>
      </c>
      <c r="M552" s="97" t="s">
        <v>81</v>
      </c>
      <c r="N552" s="97" t="s">
        <v>33</v>
      </c>
      <c r="O552">
        <v>2022</v>
      </c>
      <c r="P552">
        <v>2.6</v>
      </c>
      <c r="Q552">
        <v>5.26</v>
      </c>
      <c r="R552" s="97" t="s">
        <v>1205</v>
      </c>
      <c r="S552" s="97" t="s">
        <v>195</v>
      </c>
    </row>
    <row r="553" spans="1:19" x14ac:dyDescent="0.3">
      <c r="A553" s="97" t="s">
        <v>746</v>
      </c>
      <c r="B553" s="97" t="s">
        <v>22</v>
      </c>
      <c r="C553">
        <v>2025</v>
      </c>
      <c r="D553">
        <v>1</v>
      </c>
      <c r="E553" s="2">
        <v>45663</v>
      </c>
      <c r="F553" s="97" t="s">
        <v>7</v>
      </c>
      <c r="G553" s="97" t="s">
        <v>8</v>
      </c>
      <c r="H553" s="97" t="s">
        <v>70</v>
      </c>
      <c r="I553" s="97" t="s">
        <v>79</v>
      </c>
      <c r="J553" s="97" t="s">
        <v>80</v>
      </c>
      <c r="K553" s="97" t="s">
        <v>73</v>
      </c>
      <c r="L553">
        <v>707000</v>
      </c>
      <c r="M553" s="97" t="s">
        <v>81</v>
      </c>
      <c r="N553" s="97" t="s">
        <v>33</v>
      </c>
      <c r="O553">
        <v>1135</v>
      </c>
      <c r="P553">
        <v>2.6</v>
      </c>
      <c r="Q553">
        <v>2.95</v>
      </c>
      <c r="R553" s="97" t="s">
        <v>1201</v>
      </c>
      <c r="S553" s="97" t="s">
        <v>195</v>
      </c>
    </row>
    <row r="554" spans="1:19" x14ac:dyDescent="0.3">
      <c r="A554" s="97" t="s">
        <v>747</v>
      </c>
      <c r="B554" s="97" t="s">
        <v>22</v>
      </c>
      <c r="C554">
        <v>2025</v>
      </c>
      <c r="D554">
        <v>1</v>
      </c>
      <c r="E554" s="2">
        <v>45663</v>
      </c>
      <c r="F554" s="97" t="s">
        <v>7</v>
      </c>
      <c r="G554" s="97" t="s">
        <v>8</v>
      </c>
      <c r="H554" s="97" t="s">
        <v>70</v>
      </c>
      <c r="I554" s="97" t="s">
        <v>79</v>
      </c>
      <c r="J554" s="97" t="s">
        <v>80</v>
      </c>
      <c r="K554" s="97" t="s">
        <v>73</v>
      </c>
      <c r="L554">
        <v>707000</v>
      </c>
      <c r="M554" s="97" t="s">
        <v>81</v>
      </c>
      <c r="N554" s="97" t="s">
        <v>33</v>
      </c>
      <c r="O554">
        <v>711</v>
      </c>
      <c r="P554">
        <v>2.6</v>
      </c>
      <c r="Q554">
        <v>1.85</v>
      </c>
      <c r="R554" s="97" t="s">
        <v>1203</v>
      </c>
      <c r="S554" s="97" t="s">
        <v>195</v>
      </c>
    </row>
    <row r="555" spans="1:19" x14ac:dyDescent="0.3">
      <c r="A555" s="97" t="s">
        <v>748</v>
      </c>
      <c r="B555" s="97" t="s">
        <v>22</v>
      </c>
      <c r="C555">
        <v>2025</v>
      </c>
      <c r="D555">
        <v>1</v>
      </c>
      <c r="E555" s="2">
        <v>45663</v>
      </c>
      <c r="F555" s="97" t="s">
        <v>7</v>
      </c>
      <c r="G555" s="97" t="s">
        <v>8</v>
      </c>
      <c r="H555" s="97" t="s">
        <v>70</v>
      </c>
      <c r="I555" s="97" t="s">
        <v>79</v>
      </c>
      <c r="J555" s="97" t="s">
        <v>80</v>
      </c>
      <c r="K555" s="97" t="s">
        <v>73</v>
      </c>
      <c r="L555">
        <v>707000</v>
      </c>
      <c r="M555" s="97" t="s">
        <v>81</v>
      </c>
      <c r="N555" s="97" t="s">
        <v>33</v>
      </c>
      <c r="O555">
        <v>2499</v>
      </c>
      <c r="P555">
        <v>2.6</v>
      </c>
      <c r="Q555">
        <v>6.5</v>
      </c>
      <c r="R555" s="97" t="s">
        <v>1204</v>
      </c>
      <c r="S555" s="97" t="s">
        <v>195</v>
      </c>
    </row>
    <row r="556" spans="1:19" x14ac:dyDescent="0.3">
      <c r="A556" s="97" t="s">
        <v>749</v>
      </c>
      <c r="B556" s="97" t="s">
        <v>22</v>
      </c>
      <c r="C556">
        <v>2025</v>
      </c>
      <c r="D556">
        <v>1</v>
      </c>
      <c r="E556" s="2">
        <v>45663</v>
      </c>
      <c r="F556" s="97" t="s">
        <v>7</v>
      </c>
      <c r="G556" s="97" t="s">
        <v>8</v>
      </c>
      <c r="H556" s="97" t="s">
        <v>70</v>
      </c>
      <c r="I556" s="97" t="s">
        <v>79</v>
      </c>
      <c r="J556" s="97" t="s">
        <v>80</v>
      </c>
      <c r="K556" s="97" t="s">
        <v>73</v>
      </c>
      <c r="L556">
        <v>707000</v>
      </c>
      <c r="M556" s="97" t="s">
        <v>81</v>
      </c>
      <c r="N556" s="97" t="s">
        <v>33</v>
      </c>
      <c r="O556">
        <v>901</v>
      </c>
      <c r="P556">
        <v>2.6</v>
      </c>
      <c r="Q556">
        <v>2.34</v>
      </c>
      <c r="R556" s="97" t="s">
        <v>1197</v>
      </c>
      <c r="S556" s="97" t="s">
        <v>195</v>
      </c>
    </row>
    <row r="557" spans="1:19" x14ac:dyDescent="0.3">
      <c r="A557" s="97" t="s">
        <v>750</v>
      </c>
      <c r="B557" s="97" t="s">
        <v>22</v>
      </c>
      <c r="C557">
        <v>2025</v>
      </c>
      <c r="D557">
        <v>1</v>
      </c>
      <c r="E557" s="2">
        <v>45669</v>
      </c>
      <c r="F557" s="97" t="s">
        <v>7</v>
      </c>
      <c r="G557" s="97" t="s">
        <v>8</v>
      </c>
      <c r="H557" s="97" t="s">
        <v>70</v>
      </c>
      <c r="I557" s="97" t="s">
        <v>79</v>
      </c>
      <c r="J557" s="97" t="s">
        <v>80</v>
      </c>
      <c r="K557" s="97" t="s">
        <v>73</v>
      </c>
      <c r="L557">
        <v>707000</v>
      </c>
      <c r="M557" s="97" t="s">
        <v>81</v>
      </c>
      <c r="N557" s="97" t="s">
        <v>33</v>
      </c>
      <c r="O557">
        <v>766</v>
      </c>
      <c r="P557">
        <v>2.6</v>
      </c>
      <c r="Q557">
        <v>1.99</v>
      </c>
      <c r="R557" s="97" t="s">
        <v>1205</v>
      </c>
      <c r="S557" s="97" t="s">
        <v>195</v>
      </c>
    </row>
    <row r="558" spans="1:19" x14ac:dyDescent="0.3">
      <c r="A558" s="97" t="s">
        <v>751</v>
      </c>
      <c r="B558" s="97" t="s">
        <v>22</v>
      </c>
      <c r="C558">
        <v>2025</v>
      </c>
      <c r="D558">
        <v>1</v>
      </c>
      <c r="E558" s="2">
        <v>45669</v>
      </c>
      <c r="F558" s="97" t="s">
        <v>7</v>
      </c>
      <c r="G558" s="97" t="s">
        <v>8</v>
      </c>
      <c r="H558" s="97" t="s">
        <v>70</v>
      </c>
      <c r="I558" s="97" t="s">
        <v>79</v>
      </c>
      <c r="J558" s="97" t="s">
        <v>80</v>
      </c>
      <c r="K558" s="97" t="s">
        <v>73</v>
      </c>
      <c r="L558">
        <v>707000</v>
      </c>
      <c r="M558" s="97" t="s">
        <v>81</v>
      </c>
      <c r="N558" s="97" t="s">
        <v>33</v>
      </c>
      <c r="O558">
        <v>1815</v>
      </c>
      <c r="P558">
        <v>2.6</v>
      </c>
      <c r="Q558">
        <v>4.72</v>
      </c>
      <c r="R558" s="97" t="s">
        <v>1199</v>
      </c>
      <c r="S558" s="97" t="s">
        <v>195</v>
      </c>
    </row>
    <row r="559" spans="1:19" x14ac:dyDescent="0.3">
      <c r="A559" s="97" t="s">
        <v>752</v>
      </c>
      <c r="B559" s="97" t="s">
        <v>22</v>
      </c>
      <c r="C559">
        <v>2025</v>
      </c>
      <c r="D559">
        <v>1</v>
      </c>
      <c r="E559" s="2">
        <v>45669</v>
      </c>
      <c r="F559" s="97" t="s">
        <v>7</v>
      </c>
      <c r="G559" s="97" t="s">
        <v>8</v>
      </c>
      <c r="H559" s="97" t="s">
        <v>70</v>
      </c>
      <c r="I559" s="97" t="s">
        <v>79</v>
      </c>
      <c r="J559" s="97" t="s">
        <v>80</v>
      </c>
      <c r="K559" s="97" t="s">
        <v>73</v>
      </c>
      <c r="L559">
        <v>707000</v>
      </c>
      <c r="M559" s="97" t="s">
        <v>81</v>
      </c>
      <c r="N559" s="97" t="s">
        <v>33</v>
      </c>
      <c r="O559">
        <v>3585</v>
      </c>
      <c r="P559">
        <v>2.6</v>
      </c>
      <c r="Q559">
        <v>9.32</v>
      </c>
      <c r="R559" s="97" t="s">
        <v>1200</v>
      </c>
      <c r="S559" s="97" t="s">
        <v>195</v>
      </c>
    </row>
    <row r="560" spans="1:19" x14ac:dyDescent="0.3">
      <c r="A560" s="97" t="s">
        <v>753</v>
      </c>
      <c r="B560" s="97" t="s">
        <v>22</v>
      </c>
      <c r="C560">
        <v>2025</v>
      </c>
      <c r="D560">
        <v>1</v>
      </c>
      <c r="E560" s="2">
        <v>45669</v>
      </c>
      <c r="F560" s="97" t="s">
        <v>7</v>
      </c>
      <c r="G560" s="97" t="s">
        <v>8</v>
      </c>
      <c r="H560" s="97" t="s">
        <v>70</v>
      </c>
      <c r="I560" s="97" t="s">
        <v>79</v>
      </c>
      <c r="J560" s="97" t="s">
        <v>80</v>
      </c>
      <c r="K560" s="97" t="s">
        <v>73</v>
      </c>
      <c r="L560">
        <v>707000</v>
      </c>
      <c r="M560" s="97" t="s">
        <v>81</v>
      </c>
      <c r="N560" s="97" t="s">
        <v>33</v>
      </c>
      <c r="O560">
        <v>984</v>
      </c>
      <c r="P560">
        <v>2.6</v>
      </c>
      <c r="Q560">
        <v>2.56</v>
      </c>
      <c r="R560" s="97" t="s">
        <v>1198</v>
      </c>
      <c r="S560" s="97" t="s">
        <v>195</v>
      </c>
    </row>
    <row r="561" spans="1:19" x14ac:dyDescent="0.3">
      <c r="A561" s="97" t="s">
        <v>754</v>
      </c>
      <c r="B561" s="97" t="s">
        <v>22</v>
      </c>
      <c r="C561">
        <v>2025</v>
      </c>
      <c r="D561">
        <v>1</v>
      </c>
      <c r="E561" s="2">
        <v>45669</v>
      </c>
      <c r="F561" s="97" t="s">
        <v>7</v>
      </c>
      <c r="G561" s="97" t="s">
        <v>8</v>
      </c>
      <c r="H561" s="97" t="s">
        <v>70</v>
      </c>
      <c r="I561" s="97" t="s">
        <v>79</v>
      </c>
      <c r="J561" s="97" t="s">
        <v>80</v>
      </c>
      <c r="K561" s="97" t="s">
        <v>73</v>
      </c>
      <c r="L561">
        <v>707000</v>
      </c>
      <c r="M561" s="97" t="s">
        <v>81</v>
      </c>
      <c r="N561" s="97" t="s">
        <v>33</v>
      </c>
      <c r="O561">
        <v>1114</v>
      </c>
      <c r="P561">
        <v>2.6</v>
      </c>
      <c r="Q561">
        <v>2.9</v>
      </c>
      <c r="R561" s="97" t="s">
        <v>1204</v>
      </c>
      <c r="S561" s="97" t="s">
        <v>195</v>
      </c>
    </row>
    <row r="562" spans="1:19" x14ac:dyDescent="0.3">
      <c r="A562" s="97" t="s">
        <v>755</v>
      </c>
      <c r="B562" s="97" t="s">
        <v>22</v>
      </c>
      <c r="C562">
        <v>2025</v>
      </c>
      <c r="D562">
        <v>1</v>
      </c>
      <c r="E562" s="2">
        <v>45671</v>
      </c>
      <c r="F562" s="97" t="s">
        <v>7</v>
      </c>
      <c r="G562" s="97" t="s">
        <v>8</v>
      </c>
      <c r="H562" s="97" t="s">
        <v>74</v>
      </c>
      <c r="I562" s="97" t="s">
        <v>79</v>
      </c>
      <c r="J562" s="97" t="s">
        <v>80</v>
      </c>
      <c r="K562" s="97" t="s">
        <v>73</v>
      </c>
      <c r="L562">
        <v>701000</v>
      </c>
      <c r="M562" s="97" t="s">
        <v>62</v>
      </c>
      <c r="N562" s="97" t="s">
        <v>33</v>
      </c>
      <c r="O562">
        <v>2210</v>
      </c>
      <c r="P562">
        <v>2.6</v>
      </c>
      <c r="Q562">
        <v>5.75</v>
      </c>
      <c r="R562" s="97" t="s">
        <v>1204</v>
      </c>
      <c r="S562" s="97" t="s">
        <v>195</v>
      </c>
    </row>
    <row r="563" spans="1:19" x14ac:dyDescent="0.3">
      <c r="A563" s="97" t="s">
        <v>756</v>
      </c>
      <c r="B563" s="97" t="s">
        <v>22</v>
      </c>
      <c r="C563">
        <v>2025</v>
      </c>
      <c r="D563">
        <v>1</v>
      </c>
      <c r="E563" s="2">
        <v>45671</v>
      </c>
      <c r="F563" s="97" t="s">
        <v>7</v>
      </c>
      <c r="G563" s="97" t="s">
        <v>8</v>
      </c>
      <c r="H563" s="97" t="s">
        <v>74</v>
      </c>
      <c r="I563" s="97" t="s">
        <v>79</v>
      </c>
      <c r="J563" s="97" t="s">
        <v>80</v>
      </c>
      <c r="K563" s="97" t="s">
        <v>73</v>
      </c>
      <c r="L563">
        <v>701000</v>
      </c>
      <c r="M563" s="97" t="s">
        <v>62</v>
      </c>
      <c r="N563" s="97" t="s">
        <v>33</v>
      </c>
      <c r="O563">
        <v>1125</v>
      </c>
      <c r="P563">
        <v>2.6</v>
      </c>
      <c r="Q563">
        <v>2.93</v>
      </c>
      <c r="R563" s="97" t="s">
        <v>1202</v>
      </c>
      <c r="S563" s="97" t="s">
        <v>195</v>
      </c>
    </row>
    <row r="564" spans="1:19" x14ac:dyDescent="0.3">
      <c r="A564" s="97" t="s">
        <v>757</v>
      </c>
      <c r="B564" s="97" t="s">
        <v>22</v>
      </c>
      <c r="C564">
        <v>2025</v>
      </c>
      <c r="D564">
        <v>1</v>
      </c>
      <c r="E564" s="2">
        <v>45671</v>
      </c>
      <c r="F564" s="97" t="s">
        <v>7</v>
      </c>
      <c r="G564" s="97" t="s">
        <v>8</v>
      </c>
      <c r="H564" s="97" t="s">
        <v>74</v>
      </c>
      <c r="I564" s="97" t="s">
        <v>79</v>
      </c>
      <c r="J564" s="97" t="s">
        <v>80</v>
      </c>
      <c r="K564" s="97" t="s">
        <v>73</v>
      </c>
      <c r="L564">
        <v>701000</v>
      </c>
      <c r="M564" s="97" t="s">
        <v>62</v>
      </c>
      <c r="N564" s="97" t="s">
        <v>33</v>
      </c>
      <c r="O564">
        <v>1912</v>
      </c>
      <c r="P564">
        <v>2.6</v>
      </c>
      <c r="Q564">
        <v>4.97</v>
      </c>
      <c r="R564" s="97" t="s">
        <v>1203</v>
      </c>
      <c r="S564" s="97" t="s">
        <v>195</v>
      </c>
    </row>
    <row r="565" spans="1:19" x14ac:dyDescent="0.3">
      <c r="A565" s="97" t="s">
        <v>758</v>
      </c>
      <c r="B565" s="97" t="s">
        <v>22</v>
      </c>
      <c r="C565">
        <v>2025</v>
      </c>
      <c r="D565">
        <v>1</v>
      </c>
      <c r="E565" s="2">
        <v>45671</v>
      </c>
      <c r="F565" s="97" t="s">
        <v>7</v>
      </c>
      <c r="G565" s="97" t="s">
        <v>8</v>
      </c>
      <c r="H565" s="97" t="s">
        <v>74</v>
      </c>
      <c r="I565" s="97" t="s">
        <v>79</v>
      </c>
      <c r="J565" s="97" t="s">
        <v>80</v>
      </c>
      <c r="K565" s="97" t="s">
        <v>73</v>
      </c>
      <c r="L565">
        <v>701000</v>
      </c>
      <c r="M565" s="97" t="s">
        <v>62</v>
      </c>
      <c r="N565" s="97" t="s">
        <v>33</v>
      </c>
      <c r="O565">
        <v>1036</v>
      </c>
      <c r="P565">
        <v>2.61</v>
      </c>
      <c r="Q565">
        <v>2.7</v>
      </c>
      <c r="R565" s="97" t="s">
        <v>1198</v>
      </c>
      <c r="S565" s="97" t="s">
        <v>195</v>
      </c>
    </row>
    <row r="566" spans="1:19" x14ac:dyDescent="0.3">
      <c r="A566" s="97" t="s">
        <v>759</v>
      </c>
      <c r="B566" s="97" t="s">
        <v>22</v>
      </c>
      <c r="C566">
        <v>2025</v>
      </c>
      <c r="D566">
        <v>1</v>
      </c>
      <c r="E566" s="2">
        <v>45671</v>
      </c>
      <c r="F566" s="97" t="s">
        <v>7</v>
      </c>
      <c r="G566" s="97" t="s">
        <v>8</v>
      </c>
      <c r="H566" s="97" t="s">
        <v>74</v>
      </c>
      <c r="I566" s="97" t="s">
        <v>79</v>
      </c>
      <c r="J566" s="97" t="s">
        <v>80</v>
      </c>
      <c r="K566" s="97" t="s">
        <v>73</v>
      </c>
      <c r="L566">
        <v>701000</v>
      </c>
      <c r="M566" s="97" t="s">
        <v>62</v>
      </c>
      <c r="N566" s="97" t="s">
        <v>33</v>
      </c>
      <c r="O566">
        <v>992</v>
      </c>
      <c r="P566">
        <v>2.59</v>
      </c>
      <c r="Q566">
        <v>2.57</v>
      </c>
      <c r="R566" s="97" t="s">
        <v>1199</v>
      </c>
      <c r="S566" s="97" t="s">
        <v>195</v>
      </c>
    </row>
    <row r="567" spans="1:19" x14ac:dyDescent="0.3">
      <c r="A567" s="97" t="s">
        <v>760</v>
      </c>
      <c r="B567" s="97" t="s">
        <v>22</v>
      </c>
      <c r="C567">
        <v>2025</v>
      </c>
      <c r="D567">
        <v>1</v>
      </c>
      <c r="E567" s="2">
        <v>45679</v>
      </c>
      <c r="F567" s="97" t="s">
        <v>7</v>
      </c>
      <c r="G567" s="97" t="s">
        <v>8</v>
      </c>
      <c r="H567" s="97" t="s">
        <v>74</v>
      </c>
      <c r="I567" s="97" t="s">
        <v>79</v>
      </c>
      <c r="J567" s="97" t="s">
        <v>80</v>
      </c>
      <c r="K567" s="97" t="s">
        <v>73</v>
      </c>
      <c r="L567">
        <v>701000</v>
      </c>
      <c r="M567" s="97" t="s">
        <v>62</v>
      </c>
      <c r="N567" s="97" t="s">
        <v>33</v>
      </c>
      <c r="O567">
        <v>1263</v>
      </c>
      <c r="P567">
        <v>2.6</v>
      </c>
      <c r="Q567">
        <v>3.28</v>
      </c>
      <c r="R567" s="97" t="s">
        <v>1204</v>
      </c>
      <c r="S567" s="97" t="s">
        <v>195</v>
      </c>
    </row>
    <row r="568" spans="1:19" x14ac:dyDescent="0.3">
      <c r="A568" s="97" t="s">
        <v>761</v>
      </c>
      <c r="B568" s="97" t="s">
        <v>22</v>
      </c>
      <c r="C568">
        <v>2025</v>
      </c>
      <c r="D568">
        <v>1</v>
      </c>
      <c r="E568" s="2">
        <v>45679</v>
      </c>
      <c r="F568" s="97" t="s">
        <v>7</v>
      </c>
      <c r="G568" s="97" t="s">
        <v>8</v>
      </c>
      <c r="H568" s="97" t="s">
        <v>74</v>
      </c>
      <c r="I568" s="97" t="s">
        <v>79</v>
      </c>
      <c r="J568" s="97" t="s">
        <v>80</v>
      </c>
      <c r="K568" s="97" t="s">
        <v>73</v>
      </c>
      <c r="L568">
        <v>701000</v>
      </c>
      <c r="M568" s="97" t="s">
        <v>62</v>
      </c>
      <c r="N568" s="97" t="s">
        <v>33</v>
      </c>
      <c r="O568">
        <v>2151</v>
      </c>
      <c r="P568">
        <v>2.6</v>
      </c>
      <c r="Q568">
        <v>5.59</v>
      </c>
      <c r="R568" s="97" t="s">
        <v>1205</v>
      </c>
      <c r="S568" s="97" t="s">
        <v>195</v>
      </c>
    </row>
    <row r="569" spans="1:19" x14ac:dyDescent="0.3">
      <c r="A569" s="97" t="s">
        <v>762</v>
      </c>
      <c r="B569" s="97" t="s">
        <v>22</v>
      </c>
      <c r="C569">
        <v>2025</v>
      </c>
      <c r="D569">
        <v>1</v>
      </c>
      <c r="E569" s="2">
        <v>45679</v>
      </c>
      <c r="F569" s="97" t="s">
        <v>7</v>
      </c>
      <c r="G569" s="97" t="s">
        <v>8</v>
      </c>
      <c r="H569" s="97" t="s">
        <v>74</v>
      </c>
      <c r="I569" s="97" t="s">
        <v>79</v>
      </c>
      <c r="J569" s="97" t="s">
        <v>80</v>
      </c>
      <c r="K569" s="97" t="s">
        <v>73</v>
      </c>
      <c r="L569">
        <v>701000</v>
      </c>
      <c r="M569" s="97" t="s">
        <v>62</v>
      </c>
      <c r="N569" s="97" t="s">
        <v>33</v>
      </c>
      <c r="O569">
        <v>931</v>
      </c>
      <c r="P569">
        <v>2.6</v>
      </c>
      <c r="Q569">
        <v>2.42</v>
      </c>
      <c r="R569" s="97" t="s">
        <v>1200</v>
      </c>
      <c r="S569" s="97" t="s">
        <v>195</v>
      </c>
    </row>
    <row r="570" spans="1:19" x14ac:dyDescent="0.3">
      <c r="A570" s="97" t="s">
        <v>763</v>
      </c>
      <c r="B570" s="97" t="s">
        <v>22</v>
      </c>
      <c r="C570">
        <v>2025</v>
      </c>
      <c r="D570">
        <v>1</v>
      </c>
      <c r="E570" s="2">
        <v>45679</v>
      </c>
      <c r="F570" s="97" t="s">
        <v>7</v>
      </c>
      <c r="G570" s="97" t="s">
        <v>8</v>
      </c>
      <c r="H570" s="97" t="s">
        <v>74</v>
      </c>
      <c r="I570" s="97" t="s">
        <v>79</v>
      </c>
      <c r="J570" s="97" t="s">
        <v>80</v>
      </c>
      <c r="K570" s="97" t="s">
        <v>73</v>
      </c>
      <c r="L570">
        <v>701000</v>
      </c>
      <c r="M570" s="97" t="s">
        <v>62</v>
      </c>
      <c r="N570" s="97" t="s">
        <v>33</v>
      </c>
      <c r="O570">
        <v>1695</v>
      </c>
      <c r="P570">
        <v>2.6</v>
      </c>
      <c r="Q570">
        <v>4.41</v>
      </c>
      <c r="R570" s="97" t="s">
        <v>1203</v>
      </c>
      <c r="S570" s="97" t="s">
        <v>195</v>
      </c>
    </row>
    <row r="571" spans="1:19" x14ac:dyDescent="0.3">
      <c r="A571" s="97" t="s">
        <v>764</v>
      </c>
      <c r="B571" s="97" t="s">
        <v>22</v>
      </c>
      <c r="C571">
        <v>2025</v>
      </c>
      <c r="D571">
        <v>1</v>
      </c>
      <c r="E571" s="2">
        <v>45679</v>
      </c>
      <c r="F571" s="97" t="s">
        <v>7</v>
      </c>
      <c r="G571" s="97" t="s">
        <v>8</v>
      </c>
      <c r="H571" s="97" t="s">
        <v>74</v>
      </c>
      <c r="I571" s="97" t="s">
        <v>79</v>
      </c>
      <c r="J571" s="97" t="s">
        <v>80</v>
      </c>
      <c r="K571" s="97" t="s">
        <v>73</v>
      </c>
      <c r="L571">
        <v>701000</v>
      </c>
      <c r="M571" s="97" t="s">
        <v>62</v>
      </c>
      <c r="N571" s="97" t="s">
        <v>33</v>
      </c>
      <c r="O571">
        <v>2224</v>
      </c>
      <c r="P571">
        <v>2.6</v>
      </c>
      <c r="Q571">
        <v>5.79</v>
      </c>
      <c r="R571" s="97" t="s">
        <v>1197</v>
      </c>
      <c r="S571" s="97" t="s">
        <v>195</v>
      </c>
    </row>
    <row r="572" spans="1:19" x14ac:dyDescent="0.3">
      <c r="A572" s="97" t="s">
        <v>765</v>
      </c>
      <c r="B572" s="97" t="s">
        <v>22</v>
      </c>
      <c r="C572">
        <v>2025</v>
      </c>
      <c r="D572">
        <v>1</v>
      </c>
      <c r="E572" s="2">
        <v>45673</v>
      </c>
      <c r="F572" s="97" t="s">
        <v>7</v>
      </c>
      <c r="G572" s="97" t="s">
        <v>8</v>
      </c>
      <c r="H572" s="97" t="s">
        <v>70</v>
      </c>
      <c r="I572" s="97" t="s">
        <v>79</v>
      </c>
      <c r="J572" s="97" t="s">
        <v>80</v>
      </c>
      <c r="K572" s="97" t="s">
        <v>73</v>
      </c>
      <c r="L572">
        <v>701000</v>
      </c>
      <c r="M572" s="97" t="s">
        <v>62</v>
      </c>
      <c r="N572" s="97" t="s">
        <v>33</v>
      </c>
      <c r="O572">
        <v>546</v>
      </c>
      <c r="P572">
        <v>2.6</v>
      </c>
      <c r="Q572">
        <v>1.42</v>
      </c>
      <c r="R572" s="97" t="s">
        <v>1200</v>
      </c>
      <c r="S572" s="97" t="s">
        <v>195</v>
      </c>
    </row>
    <row r="573" spans="1:19" x14ac:dyDescent="0.3">
      <c r="A573" s="97" t="s">
        <v>766</v>
      </c>
      <c r="B573" s="97" t="s">
        <v>22</v>
      </c>
      <c r="C573">
        <v>2025</v>
      </c>
      <c r="D573">
        <v>1</v>
      </c>
      <c r="E573" s="2">
        <v>45673</v>
      </c>
      <c r="F573" s="97" t="s">
        <v>7</v>
      </c>
      <c r="G573" s="97" t="s">
        <v>8</v>
      </c>
      <c r="H573" s="97" t="s">
        <v>70</v>
      </c>
      <c r="I573" s="97" t="s">
        <v>79</v>
      </c>
      <c r="J573" s="97" t="s">
        <v>80</v>
      </c>
      <c r="K573" s="97" t="s">
        <v>73</v>
      </c>
      <c r="L573">
        <v>701000</v>
      </c>
      <c r="M573" s="97" t="s">
        <v>62</v>
      </c>
      <c r="N573" s="97" t="s">
        <v>33</v>
      </c>
      <c r="O573">
        <v>823</v>
      </c>
      <c r="P573">
        <v>2.6</v>
      </c>
      <c r="Q573">
        <v>2.14</v>
      </c>
      <c r="R573" s="97" t="s">
        <v>1197</v>
      </c>
      <c r="S573" s="97" t="s">
        <v>195</v>
      </c>
    </row>
    <row r="574" spans="1:19" x14ac:dyDescent="0.3">
      <c r="A574" s="97" t="s">
        <v>767</v>
      </c>
      <c r="B574" s="97" t="s">
        <v>22</v>
      </c>
      <c r="C574">
        <v>2025</v>
      </c>
      <c r="D574">
        <v>1</v>
      </c>
      <c r="E574" s="2">
        <v>45673</v>
      </c>
      <c r="F574" s="97" t="s">
        <v>7</v>
      </c>
      <c r="G574" s="97" t="s">
        <v>8</v>
      </c>
      <c r="H574" s="97" t="s">
        <v>70</v>
      </c>
      <c r="I574" s="97" t="s">
        <v>79</v>
      </c>
      <c r="J574" s="97" t="s">
        <v>80</v>
      </c>
      <c r="K574" s="97" t="s">
        <v>73</v>
      </c>
      <c r="L574">
        <v>701000</v>
      </c>
      <c r="M574" s="97" t="s">
        <v>62</v>
      </c>
      <c r="N574" s="97" t="s">
        <v>33</v>
      </c>
      <c r="O574">
        <v>1028</v>
      </c>
      <c r="P574">
        <v>2.6</v>
      </c>
      <c r="Q574">
        <v>2.67</v>
      </c>
      <c r="R574" s="97" t="s">
        <v>1198</v>
      </c>
      <c r="S574" s="97" t="s">
        <v>195</v>
      </c>
    </row>
    <row r="575" spans="1:19" x14ac:dyDescent="0.3">
      <c r="A575" s="97" t="s">
        <v>768</v>
      </c>
      <c r="B575" s="97" t="s">
        <v>22</v>
      </c>
      <c r="C575">
        <v>2025</v>
      </c>
      <c r="D575">
        <v>1</v>
      </c>
      <c r="E575" s="2">
        <v>45673</v>
      </c>
      <c r="F575" s="97" t="s">
        <v>7</v>
      </c>
      <c r="G575" s="97" t="s">
        <v>8</v>
      </c>
      <c r="H575" s="97" t="s">
        <v>70</v>
      </c>
      <c r="I575" s="97" t="s">
        <v>79</v>
      </c>
      <c r="J575" s="97" t="s">
        <v>80</v>
      </c>
      <c r="K575" s="97" t="s">
        <v>73</v>
      </c>
      <c r="L575">
        <v>701000</v>
      </c>
      <c r="M575" s="97" t="s">
        <v>62</v>
      </c>
      <c r="N575" s="97" t="s">
        <v>33</v>
      </c>
      <c r="O575">
        <v>1774</v>
      </c>
      <c r="P575">
        <v>2.6</v>
      </c>
      <c r="Q575">
        <v>4.6100000000000003</v>
      </c>
      <c r="R575" s="97" t="s">
        <v>1201</v>
      </c>
      <c r="S575" s="97" t="s">
        <v>195</v>
      </c>
    </row>
    <row r="576" spans="1:19" x14ac:dyDescent="0.3">
      <c r="A576" s="97" t="s">
        <v>769</v>
      </c>
      <c r="B576" s="97" t="s">
        <v>22</v>
      </c>
      <c r="C576">
        <v>2025</v>
      </c>
      <c r="D576">
        <v>1</v>
      </c>
      <c r="E576" s="2">
        <v>45673</v>
      </c>
      <c r="F576" s="97" t="s">
        <v>7</v>
      </c>
      <c r="G576" s="97" t="s">
        <v>8</v>
      </c>
      <c r="H576" s="97" t="s">
        <v>70</v>
      </c>
      <c r="I576" s="97" t="s">
        <v>79</v>
      </c>
      <c r="J576" s="97" t="s">
        <v>80</v>
      </c>
      <c r="K576" s="97" t="s">
        <v>73</v>
      </c>
      <c r="L576">
        <v>701000</v>
      </c>
      <c r="M576" s="97" t="s">
        <v>62</v>
      </c>
      <c r="N576" s="97" t="s">
        <v>33</v>
      </c>
      <c r="O576">
        <v>2975</v>
      </c>
      <c r="P576">
        <v>2.6</v>
      </c>
      <c r="Q576">
        <v>7.74</v>
      </c>
      <c r="R576" s="97" t="s">
        <v>1203</v>
      </c>
      <c r="S576" s="97" t="s">
        <v>195</v>
      </c>
    </row>
    <row r="577" spans="1:19" x14ac:dyDescent="0.3">
      <c r="A577" s="97" t="s">
        <v>770</v>
      </c>
      <c r="B577" s="97" t="s">
        <v>22</v>
      </c>
      <c r="C577">
        <v>2025</v>
      </c>
      <c r="D577">
        <v>1</v>
      </c>
      <c r="E577" s="2">
        <v>45682</v>
      </c>
      <c r="F577" s="97" t="s">
        <v>7</v>
      </c>
      <c r="G577" s="97" t="s">
        <v>8</v>
      </c>
      <c r="H577" s="97" t="s">
        <v>70</v>
      </c>
      <c r="I577" s="97" t="s">
        <v>79</v>
      </c>
      <c r="J577" s="97" t="s">
        <v>80</v>
      </c>
      <c r="K577" s="97" t="s">
        <v>73</v>
      </c>
      <c r="L577">
        <v>701000</v>
      </c>
      <c r="M577" s="97" t="s">
        <v>62</v>
      </c>
      <c r="N577" s="97" t="s">
        <v>33</v>
      </c>
      <c r="O577">
        <v>932</v>
      </c>
      <c r="P577">
        <v>2.6</v>
      </c>
      <c r="Q577">
        <v>2.42</v>
      </c>
      <c r="R577" s="97" t="s">
        <v>1205</v>
      </c>
      <c r="S577" s="97" t="s">
        <v>195</v>
      </c>
    </row>
    <row r="578" spans="1:19" x14ac:dyDescent="0.3">
      <c r="A578" s="97" t="s">
        <v>771</v>
      </c>
      <c r="B578" s="97" t="s">
        <v>22</v>
      </c>
      <c r="C578">
        <v>2025</v>
      </c>
      <c r="D578">
        <v>1</v>
      </c>
      <c r="E578" s="2">
        <v>45682</v>
      </c>
      <c r="F578" s="97" t="s">
        <v>7</v>
      </c>
      <c r="G578" s="97" t="s">
        <v>8</v>
      </c>
      <c r="H578" s="97" t="s">
        <v>70</v>
      </c>
      <c r="I578" s="97" t="s">
        <v>79</v>
      </c>
      <c r="J578" s="97" t="s">
        <v>80</v>
      </c>
      <c r="K578" s="97" t="s">
        <v>73</v>
      </c>
      <c r="L578">
        <v>701000</v>
      </c>
      <c r="M578" s="97" t="s">
        <v>62</v>
      </c>
      <c r="N578" s="97" t="s">
        <v>33</v>
      </c>
      <c r="O578">
        <v>2494</v>
      </c>
      <c r="P578">
        <v>2.6</v>
      </c>
      <c r="Q578">
        <v>6.49</v>
      </c>
      <c r="R578" s="97" t="s">
        <v>1203</v>
      </c>
      <c r="S578" s="97" t="s">
        <v>195</v>
      </c>
    </row>
    <row r="579" spans="1:19" x14ac:dyDescent="0.3">
      <c r="A579" s="97" t="s">
        <v>772</v>
      </c>
      <c r="B579" s="97" t="s">
        <v>22</v>
      </c>
      <c r="C579">
        <v>2025</v>
      </c>
      <c r="D579">
        <v>1</v>
      </c>
      <c r="E579" s="2">
        <v>45682</v>
      </c>
      <c r="F579" s="97" t="s">
        <v>7</v>
      </c>
      <c r="G579" s="97" t="s">
        <v>8</v>
      </c>
      <c r="H579" s="97" t="s">
        <v>70</v>
      </c>
      <c r="I579" s="97" t="s">
        <v>79</v>
      </c>
      <c r="J579" s="97" t="s">
        <v>80</v>
      </c>
      <c r="K579" s="97" t="s">
        <v>73</v>
      </c>
      <c r="L579">
        <v>701000</v>
      </c>
      <c r="M579" s="97" t="s">
        <v>62</v>
      </c>
      <c r="N579" s="97" t="s">
        <v>33</v>
      </c>
      <c r="O579">
        <v>503</v>
      </c>
      <c r="P579">
        <v>2.6</v>
      </c>
      <c r="Q579">
        <v>1.31</v>
      </c>
      <c r="R579" s="97" t="s">
        <v>1201</v>
      </c>
      <c r="S579" s="97" t="s">
        <v>195</v>
      </c>
    </row>
    <row r="580" spans="1:19" x14ac:dyDescent="0.3">
      <c r="A580" s="97" t="s">
        <v>773</v>
      </c>
      <c r="B580" s="97" t="s">
        <v>22</v>
      </c>
      <c r="C580">
        <v>2025</v>
      </c>
      <c r="D580">
        <v>1</v>
      </c>
      <c r="E580" s="2">
        <v>45682</v>
      </c>
      <c r="F580" s="97" t="s">
        <v>7</v>
      </c>
      <c r="G580" s="97" t="s">
        <v>8</v>
      </c>
      <c r="H580" s="97" t="s">
        <v>70</v>
      </c>
      <c r="I580" s="97" t="s">
        <v>79</v>
      </c>
      <c r="J580" s="97" t="s">
        <v>80</v>
      </c>
      <c r="K580" s="97" t="s">
        <v>73</v>
      </c>
      <c r="L580">
        <v>701000</v>
      </c>
      <c r="M580" s="97" t="s">
        <v>62</v>
      </c>
      <c r="N580" s="97" t="s">
        <v>33</v>
      </c>
      <c r="O580">
        <v>701</v>
      </c>
      <c r="P580">
        <v>2.6</v>
      </c>
      <c r="Q580">
        <v>1.82</v>
      </c>
      <c r="R580" s="97" t="s">
        <v>1198</v>
      </c>
      <c r="S580" s="97" t="s">
        <v>195</v>
      </c>
    </row>
    <row r="581" spans="1:19" x14ac:dyDescent="0.3">
      <c r="A581" s="97" t="s">
        <v>774</v>
      </c>
      <c r="B581" s="97" t="s">
        <v>22</v>
      </c>
      <c r="C581">
        <v>2025</v>
      </c>
      <c r="D581">
        <v>1</v>
      </c>
      <c r="E581" s="2">
        <v>45682</v>
      </c>
      <c r="F581" s="97" t="s">
        <v>7</v>
      </c>
      <c r="G581" s="97" t="s">
        <v>8</v>
      </c>
      <c r="H581" s="97" t="s">
        <v>70</v>
      </c>
      <c r="I581" s="97" t="s">
        <v>79</v>
      </c>
      <c r="J581" s="97" t="s">
        <v>80</v>
      </c>
      <c r="K581" s="97" t="s">
        <v>73</v>
      </c>
      <c r="L581">
        <v>701000</v>
      </c>
      <c r="M581" s="97" t="s">
        <v>62</v>
      </c>
      <c r="N581" s="97" t="s">
        <v>33</v>
      </c>
      <c r="O581">
        <v>2588</v>
      </c>
      <c r="P581">
        <v>2.6</v>
      </c>
      <c r="Q581">
        <v>6.73</v>
      </c>
      <c r="R581" s="97" t="s">
        <v>1197</v>
      </c>
      <c r="S581" s="97" t="s">
        <v>195</v>
      </c>
    </row>
    <row r="582" spans="1:19" x14ac:dyDescent="0.3">
      <c r="A582" s="97" t="s">
        <v>775</v>
      </c>
      <c r="B582" s="97" t="s">
        <v>22</v>
      </c>
      <c r="C582">
        <v>2025</v>
      </c>
      <c r="D582">
        <v>1</v>
      </c>
      <c r="E582" s="2">
        <v>45682</v>
      </c>
      <c r="F582" s="97" t="s">
        <v>7</v>
      </c>
      <c r="G582" s="97" t="s">
        <v>8</v>
      </c>
      <c r="H582" s="97" t="s">
        <v>70</v>
      </c>
      <c r="I582" s="97" t="s">
        <v>79</v>
      </c>
      <c r="J582" s="97" t="s">
        <v>80</v>
      </c>
      <c r="K582" s="97" t="s">
        <v>73</v>
      </c>
      <c r="L582">
        <v>701000</v>
      </c>
      <c r="M582" s="97" t="s">
        <v>62</v>
      </c>
      <c r="N582" s="97" t="s">
        <v>33</v>
      </c>
      <c r="O582">
        <v>3416</v>
      </c>
      <c r="P582">
        <v>2.6</v>
      </c>
      <c r="Q582">
        <v>8.8800000000000008</v>
      </c>
      <c r="R582" s="97" t="s">
        <v>1205</v>
      </c>
      <c r="S582" s="97" t="s">
        <v>195</v>
      </c>
    </row>
    <row r="583" spans="1:19" x14ac:dyDescent="0.3">
      <c r="A583" s="97" t="s">
        <v>776</v>
      </c>
      <c r="B583" s="97" t="s">
        <v>22</v>
      </c>
      <c r="C583">
        <v>2025</v>
      </c>
      <c r="D583">
        <v>1</v>
      </c>
      <c r="E583" s="2">
        <v>45682</v>
      </c>
      <c r="F583" s="97" t="s">
        <v>7</v>
      </c>
      <c r="G583" s="97" t="s">
        <v>8</v>
      </c>
      <c r="H583" s="97" t="s">
        <v>70</v>
      </c>
      <c r="I583" s="97" t="s">
        <v>79</v>
      </c>
      <c r="J583" s="97" t="s">
        <v>80</v>
      </c>
      <c r="K583" s="97" t="s">
        <v>73</v>
      </c>
      <c r="L583">
        <v>701000</v>
      </c>
      <c r="M583" s="97" t="s">
        <v>62</v>
      </c>
      <c r="N583" s="97" t="s">
        <v>33</v>
      </c>
      <c r="O583">
        <v>1389</v>
      </c>
      <c r="P583">
        <v>2.6</v>
      </c>
      <c r="Q583">
        <v>3.61</v>
      </c>
      <c r="R583" s="97" t="s">
        <v>1203</v>
      </c>
      <c r="S583" s="97" t="s">
        <v>195</v>
      </c>
    </row>
    <row r="584" spans="1:19" x14ac:dyDescent="0.3">
      <c r="A584" s="97" t="s">
        <v>777</v>
      </c>
      <c r="B584" s="97" t="s">
        <v>22</v>
      </c>
      <c r="C584">
        <v>2025</v>
      </c>
      <c r="D584">
        <v>1</v>
      </c>
      <c r="E584" s="2">
        <v>45682</v>
      </c>
      <c r="F584" s="97" t="s">
        <v>7</v>
      </c>
      <c r="G584" s="97" t="s">
        <v>8</v>
      </c>
      <c r="H584" s="97" t="s">
        <v>70</v>
      </c>
      <c r="I584" s="97" t="s">
        <v>79</v>
      </c>
      <c r="J584" s="97" t="s">
        <v>80</v>
      </c>
      <c r="K584" s="97" t="s">
        <v>73</v>
      </c>
      <c r="L584">
        <v>701000</v>
      </c>
      <c r="M584" s="97" t="s">
        <v>62</v>
      </c>
      <c r="N584" s="97" t="s">
        <v>33</v>
      </c>
      <c r="O584">
        <v>1136</v>
      </c>
      <c r="P584">
        <v>2.6</v>
      </c>
      <c r="Q584">
        <v>2.95</v>
      </c>
      <c r="R584" s="97" t="s">
        <v>1204</v>
      </c>
      <c r="S584" s="97" t="s">
        <v>195</v>
      </c>
    </row>
    <row r="585" spans="1:19" x14ac:dyDescent="0.3">
      <c r="A585" s="97" t="s">
        <v>778</v>
      </c>
      <c r="B585" s="97" t="s">
        <v>22</v>
      </c>
      <c r="C585">
        <v>2025</v>
      </c>
      <c r="D585">
        <v>1</v>
      </c>
      <c r="E585" s="2">
        <v>45682</v>
      </c>
      <c r="F585" s="97" t="s">
        <v>7</v>
      </c>
      <c r="G585" s="97" t="s">
        <v>8</v>
      </c>
      <c r="H585" s="97" t="s">
        <v>70</v>
      </c>
      <c r="I585" s="97" t="s">
        <v>79</v>
      </c>
      <c r="J585" s="97" t="s">
        <v>80</v>
      </c>
      <c r="K585" s="97" t="s">
        <v>73</v>
      </c>
      <c r="L585">
        <v>701000</v>
      </c>
      <c r="M585" s="97" t="s">
        <v>62</v>
      </c>
      <c r="N585" s="97" t="s">
        <v>33</v>
      </c>
      <c r="O585">
        <v>616</v>
      </c>
      <c r="P585">
        <v>2.6</v>
      </c>
      <c r="Q585">
        <v>1.6</v>
      </c>
      <c r="R585" s="97" t="s">
        <v>1197</v>
      </c>
      <c r="S585" s="97" t="s">
        <v>195</v>
      </c>
    </row>
    <row r="586" spans="1:19" x14ac:dyDescent="0.3">
      <c r="A586" s="97" t="s">
        <v>779</v>
      </c>
      <c r="B586" s="97" t="s">
        <v>22</v>
      </c>
      <c r="C586">
        <v>2025</v>
      </c>
      <c r="D586">
        <v>1</v>
      </c>
      <c r="E586" s="2">
        <v>45682</v>
      </c>
      <c r="F586" s="97" t="s">
        <v>7</v>
      </c>
      <c r="G586" s="97" t="s">
        <v>8</v>
      </c>
      <c r="H586" s="97" t="s">
        <v>70</v>
      </c>
      <c r="I586" s="97" t="s">
        <v>79</v>
      </c>
      <c r="J586" s="97" t="s">
        <v>80</v>
      </c>
      <c r="K586" s="97" t="s">
        <v>73</v>
      </c>
      <c r="L586">
        <v>701000</v>
      </c>
      <c r="M586" s="97" t="s">
        <v>62</v>
      </c>
      <c r="N586" s="97" t="s">
        <v>33</v>
      </c>
      <c r="O586">
        <v>1978</v>
      </c>
      <c r="P586">
        <v>2.6</v>
      </c>
      <c r="Q586">
        <v>5.15</v>
      </c>
      <c r="R586" s="97" t="s">
        <v>1202</v>
      </c>
      <c r="S586" s="97" t="s">
        <v>195</v>
      </c>
    </row>
    <row r="587" spans="1:19" x14ac:dyDescent="0.3">
      <c r="A587" s="97" t="s">
        <v>780</v>
      </c>
      <c r="B587" s="97" t="s">
        <v>22</v>
      </c>
      <c r="C587">
        <v>2025</v>
      </c>
      <c r="D587">
        <v>1</v>
      </c>
      <c r="E587" s="2">
        <v>45671</v>
      </c>
      <c r="F587" s="97" t="s">
        <v>7</v>
      </c>
      <c r="G587" s="97" t="s">
        <v>8</v>
      </c>
      <c r="H587" s="97" t="s">
        <v>70</v>
      </c>
      <c r="I587" s="97" t="s">
        <v>79</v>
      </c>
      <c r="J587" s="97" t="s">
        <v>80</v>
      </c>
      <c r="K587" s="97" t="s">
        <v>73</v>
      </c>
      <c r="L587">
        <v>701000</v>
      </c>
      <c r="M587" s="97" t="s">
        <v>62</v>
      </c>
      <c r="N587" s="97" t="s">
        <v>33</v>
      </c>
      <c r="O587">
        <v>1348</v>
      </c>
      <c r="P587">
        <v>2.6</v>
      </c>
      <c r="Q587">
        <v>3.51</v>
      </c>
      <c r="R587" s="97" t="s">
        <v>1204</v>
      </c>
      <c r="S587" s="97" t="s">
        <v>195</v>
      </c>
    </row>
    <row r="588" spans="1:19" x14ac:dyDescent="0.3">
      <c r="A588" s="97" t="s">
        <v>781</v>
      </c>
      <c r="B588" s="97" t="s">
        <v>22</v>
      </c>
      <c r="C588">
        <v>2025</v>
      </c>
      <c r="D588">
        <v>1</v>
      </c>
      <c r="E588" s="2">
        <v>45671</v>
      </c>
      <c r="F588" s="97" t="s">
        <v>7</v>
      </c>
      <c r="G588" s="97" t="s">
        <v>8</v>
      </c>
      <c r="H588" s="97" t="s">
        <v>70</v>
      </c>
      <c r="I588" s="97" t="s">
        <v>79</v>
      </c>
      <c r="J588" s="97" t="s">
        <v>80</v>
      </c>
      <c r="K588" s="97" t="s">
        <v>73</v>
      </c>
      <c r="L588">
        <v>701000</v>
      </c>
      <c r="M588" s="97" t="s">
        <v>62</v>
      </c>
      <c r="N588" s="97" t="s">
        <v>33</v>
      </c>
      <c r="O588">
        <v>2043</v>
      </c>
      <c r="P588">
        <v>2.6</v>
      </c>
      <c r="Q588">
        <v>5.31</v>
      </c>
      <c r="R588" s="97" t="s">
        <v>1198</v>
      </c>
      <c r="S588" s="97" t="s">
        <v>195</v>
      </c>
    </row>
    <row r="589" spans="1:19" x14ac:dyDescent="0.3">
      <c r="A589" s="97" t="s">
        <v>782</v>
      </c>
      <c r="B589" s="97" t="s">
        <v>22</v>
      </c>
      <c r="C589">
        <v>2025</v>
      </c>
      <c r="D589">
        <v>1</v>
      </c>
      <c r="E589" s="2">
        <v>45671</v>
      </c>
      <c r="F589" s="97" t="s">
        <v>7</v>
      </c>
      <c r="G589" s="97" t="s">
        <v>8</v>
      </c>
      <c r="H589" s="97" t="s">
        <v>70</v>
      </c>
      <c r="I589" s="97" t="s">
        <v>79</v>
      </c>
      <c r="J589" s="97" t="s">
        <v>80</v>
      </c>
      <c r="K589" s="97" t="s">
        <v>73</v>
      </c>
      <c r="L589">
        <v>701000</v>
      </c>
      <c r="M589" s="97" t="s">
        <v>62</v>
      </c>
      <c r="N589" s="97" t="s">
        <v>33</v>
      </c>
      <c r="O589">
        <v>979</v>
      </c>
      <c r="P589">
        <v>2.6</v>
      </c>
      <c r="Q589">
        <v>2.5499999999999998</v>
      </c>
      <c r="R589" s="97" t="s">
        <v>1199</v>
      </c>
      <c r="S589" s="97" t="s">
        <v>195</v>
      </c>
    </row>
    <row r="590" spans="1:19" x14ac:dyDescent="0.3">
      <c r="A590" s="97" t="s">
        <v>783</v>
      </c>
      <c r="B590" s="97" t="s">
        <v>22</v>
      </c>
      <c r="C590">
        <v>2025</v>
      </c>
      <c r="D590">
        <v>1</v>
      </c>
      <c r="E590" s="2">
        <v>45671</v>
      </c>
      <c r="F590" s="97" t="s">
        <v>7</v>
      </c>
      <c r="G590" s="97" t="s">
        <v>8</v>
      </c>
      <c r="H590" s="97" t="s">
        <v>70</v>
      </c>
      <c r="I590" s="97" t="s">
        <v>79</v>
      </c>
      <c r="J590" s="97" t="s">
        <v>80</v>
      </c>
      <c r="K590" s="97" t="s">
        <v>73</v>
      </c>
      <c r="L590">
        <v>701000</v>
      </c>
      <c r="M590" s="97" t="s">
        <v>62</v>
      </c>
      <c r="N590" s="97" t="s">
        <v>33</v>
      </c>
      <c r="O590">
        <v>1900</v>
      </c>
      <c r="P590">
        <v>2.6</v>
      </c>
      <c r="Q590">
        <v>4.9400000000000004</v>
      </c>
      <c r="R590" s="97" t="s">
        <v>1197</v>
      </c>
      <c r="S590" s="97" t="s">
        <v>195</v>
      </c>
    </row>
    <row r="591" spans="1:19" x14ac:dyDescent="0.3">
      <c r="A591" s="97" t="s">
        <v>784</v>
      </c>
      <c r="B591" s="97" t="s">
        <v>22</v>
      </c>
      <c r="C591">
        <v>2025</v>
      </c>
      <c r="D591">
        <v>1</v>
      </c>
      <c r="E591" s="2">
        <v>45671</v>
      </c>
      <c r="F591" s="97" t="s">
        <v>7</v>
      </c>
      <c r="G591" s="97" t="s">
        <v>8</v>
      </c>
      <c r="H591" s="97" t="s">
        <v>70</v>
      </c>
      <c r="I591" s="97" t="s">
        <v>79</v>
      </c>
      <c r="J591" s="97" t="s">
        <v>80</v>
      </c>
      <c r="K591" s="97" t="s">
        <v>73</v>
      </c>
      <c r="L591">
        <v>701000</v>
      </c>
      <c r="M591" s="97" t="s">
        <v>62</v>
      </c>
      <c r="N591" s="97" t="s">
        <v>33</v>
      </c>
      <c r="O591">
        <v>2253</v>
      </c>
      <c r="P591">
        <v>2.6</v>
      </c>
      <c r="Q591">
        <v>5.85</v>
      </c>
      <c r="R591" s="97" t="s">
        <v>1202</v>
      </c>
      <c r="S591" s="97" t="s">
        <v>195</v>
      </c>
    </row>
    <row r="592" spans="1:19" x14ac:dyDescent="0.3">
      <c r="A592" s="97" t="s">
        <v>785</v>
      </c>
      <c r="B592" s="97" t="s">
        <v>22</v>
      </c>
      <c r="C592">
        <v>2025</v>
      </c>
      <c r="D592">
        <v>1</v>
      </c>
      <c r="E592" s="2">
        <v>45678</v>
      </c>
      <c r="F592" s="97" t="s">
        <v>7</v>
      </c>
      <c r="G592" s="97" t="s">
        <v>8</v>
      </c>
      <c r="H592" s="97" t="s">
        <v>70</v>
      </c>
      <c r="I592" s="97" t="s">
        <v>79</v>
      </c>
      <c r="J592" s="97" t="s">
        <v>80</v>
      </c>
      <c r="K592" s="97" t="s">
        <v>73</v>
      </c>
      <c r="L592">
        <v>701000</v>
      </c>
      <c r="M592" s="97" t="s">
        <v>62</v>
      </c>
      <c r="N592" s="97" t="s">
        <v>33</v>
      </c>
      <c r="O592">
        <v>385</v>
      </c>
      <c r="P592">
        <v>2.6</v>
      </c>
      <c r="Q592">
        <v>1</v>
      </c>
      <c r="R592" s="97" t="s">
        <v>1197</v>
      </c>
      <c r="S592" s="97" t="s">
        <v>195</v>
      </c>
    </row>
    <row r="593" spans="1:19" x14ac:dyDescent="0.3">
      <c r="A593" s="97" t="s">
        <v>786</v>
      </c>
      <c r="B593" s="97" t="s">
        <v>22</v>
      </c>
      <c r="C593">
        <v>2025</v>
      </c>
      <c r="D593">
        <v>1</v>
      </c>
      <c r="E593" s="2">
        <v>45678</v>
      </c>
      <c r="F593" s="97" t="s">
        <v>7</v>
      </c>
      <c r="G593" s="97" t="s">
        <v>8</v>
      </c>
      <c r="H593" s="97" t="s">
        <v>70</v>
      </c>
      <c r="I593" s="97" t="s">
        <v>79</v>
      </c>
      <c r="J593" s="97" t="s">
        <v>80</v>
      </c>
      <c r="K593" s="97" t="s">
        <v>73</v>
      </c>
      <c r="L593">
        <v>701000</v>
      </c>
      <c r="M593" s="97" t="s">
        <v>62</v>
      </c>
      <c r="N593" s="97" t="s">
        <v>33</v>
      </c>
      <c r="O593">
        <v>2148</v>
      </c>
      <c r="P593">
        <v>2.6</v>
      </c>
      <c r="Q593">
        <v>5.59</v>
      </c>
      <c r="R593" s="97" t="s">
        <v>1200</v>
      </c>
      <c r="S593" s="97" t="s">
        <v>195</v>
      </c>
    </row>
    <row r="594" spans="1:19" x14ac:dyDescent="0.3">
      <c r="A594" s="97" t="s">
        <v>787</v>
      </c>
      <c r="B594" s="97" t="s">
        <v>22</v>
      </c>
      <c r="C594">
        <v>2025</v>
      </c>
      <c r="D594">
        <v>1</v>
      </c>
      <c r="E594" s="2">
        <v>45678</v>
      </c>
      <c r="F594" s="97" t="s">
        <v>7</v>
      </c>
      <c r="G594" s="97" t="s">
        <v>8</v>
      </c>
      <c r="H594" s="97" t="s">
        <v>70</v>
      </c>
      <c r="I594" s="97" t="s">
        <v>79</v>
      </c>
      <c r="J594" s="97" t="s">
        <v>80</v>
      </c>
      <c r="K594" s="97" t="s">
        <v>73</v>
      </c>
      <c r="L594">
        <v>701000</v>
      </c>
      <c r="M594" s="97" t="s">
        <v>62</v>
      </c>
      <c r="N594" s="97" t="s">
        <v>33</v>
      </c>
      <c r="O594">
        <v>1354</v>
      </c>
      <c r="P594">
        <v>2.6</v>
      </c>
      <c r="Q594">
        <v>3.52</v>
      </c>
      <c r="R594" s="97" t="s">
        <v>1204</v>
      </c>
      <c r="S594" s="97" t="s">
        <v>195</v>
      </c>
    </row>
    <row r="595" spans="1:19" x14ac:dyDescent="0.3">
      <c r="A595" s="97" t="s">
        <v>788</v>
      </c>
      <c r="B595" s="97" t="s">
        <v>22</v>
      </c>
      <c r="C595">
        <v>2025</v>
      </c>
      <c r="D595">
        <v>1</v>
      </c>
      <c r="E595" s="2">
        <v>45678</v>
      </c>
      <c r="F595" s="97" t="s">
        <v>7</v>
      </c>
      <c r="G595" s="97" t="s">
        <v>8</v>
      </c>
      <c r="H595" s="97" t="s">
        <v>70</v>
      </c>
      <c r="I595" s="97" t="s">
        <v>79</v>
      </c>
      <c r="J595" s="97" t="s">
        <v>80</v>
      </c>
      <c r="K595" s="97" t="s">
        <v>73</v>
      </c>
      <c r="L595">
        <v>701000</v>
      </c>
      <c r="M595" s="97" t="s">
        <v>62</v>
      </c>
      <c r="N595" s="97" t="s">
        <v>33</v>
      </c>
      <c r="O595">
        <v>2588</v>
      </c>
      <c r="P595">
        <v>2.6</v>
      </c>
      <c r="Q595">
        <v>6.73</v>
      </c>
      <c r="R595" s="97" t="s">
        <v>1199</v>
      </c>
      <c r="S595" s="97" t="s">
        <v>195</v>
      </c>
    </row>
    <row r="596" spans="1:19" x14ac:dyDescent="0.3">
      <c r="A596" s="97" t="s">
        <v>789</v>
      </c>
      <c r="B596" s="97" t="s">
        <v>22</v>
      </c>
      <c r="C596">
        <v>2025</v>
      </c>
      <c r="D596">
        <v>1</v>
      </c>
      <c r="E596" s="2">
        <v>45678</v>
      </c>
      <c r="F596" s="97" t="s">
        <v>7</v>
      </c>
      <c r="G596" s="97" t="s">
        <v>8</v>
      </c>
      <c r="H596" s="97" t="s">
        <v>70</v>
      </c>
      <c r="I596" s="97" t="s">
        <v>79</v>
      </c>
      <c r="J596" s="97" t="s">
        <v>80</v>
      </c>
      <c r="K596" s="97" t="s">
        <v>73</v>
      </c>
      <c r="L596">
        <v>701000</v>
      </c>
      <c r="M596" s="97" t="s">
        <v>62</v>
      </c>
      <c r="N596" s="97" t="s">
        <v>33</v>
      </c>
      <c r="O596">
        <v>721</v>
      </c>
      <c r="P596">
        <v>2.59</v>
      </c>
      <c r="Q596">
        <v>1.87</v>
      </c>
      <c r="R596" s="97" t="s">
        <v>1198</v>
      </c>
      <c r="S596" s="97" t="s">
        <v>195</v>
      </c>
    </row>
    <row r="597" spans="1:19" x14ac:dyDescent="0.3">
      <c r="A597" s="97" t="s">
        <v>790</v>
      </c>
      <c r="B597" s="97" t="s">
        <v>22</v>
      </c>
      <c r="C597">
        <v>2025</v>
      </c>
      <c r="D597">
        <v>1</v>
      </c>
      <c r="E597" s="2">
        <v>45660</v>
      </c>
      <c r="F597" s="97" t="s">
        <v>7</v>
      </c>
      <c r="G597" s="97" t="s">
        <v>8</v>
      </c>
      <c r="H597" s="97" t="s">
        <v>74</v>
      </c>
      <c r="I597" s="97" t="s">
        <v>79</v>
      </c>
      <c r="J597" s="97" t="s">
        <v>80</v>
      </c>
      <c r="K597" s="97" t="s">
        <v>73</v>
      </c>
      <c r="L597">
        <v>701000</v>
      </c>
      <c r="M597" s="97" t="s">
        <v>62</v>
      </c>
      <c r="N597" s="97" t="s">
        <v>33</v>
      </c>
      <c r="O597">
        <v>533</v>
      </c>
      <c r="P597">
        <v>2.61</v>
      </c>
      <c r="Q597">
        <v>1.39</v>
      </c>
      <c r="R597" s="97" t="s">
        <v>1203</v>
      </c>
      <c r="S597" s="97" t="s">
        <v>195</v>
      </c>
    </row>
    <row r="598" spans="1:19" x14ac:dyDescent="0.3">
      <c r="A598" s="97" t="s">
        <v>791</v>
      </c>
      <c r="B598" s="97" t="s">
        <v>22</v>
      </c>
      <c r="C598">
        <v>2025</v>
      </c>
      <c r="D598">
        <v>1</v>
      </c>
      <c r="E598" s="2">
        <v>45660</v>
      </c>
      <c r="F598" s="97" t="s">
        <v>7</v>
      </c>
      <c r="G598" s="97" t="s">
        <v>8</v>
      </c>
      <c r="H598" s="97" t="s">
        <v>74</v>
      </c>
      <c r="I598" s="97" t="s">
        <v>79</v>
      </c>
      <c r="J598" s="97" t="s">
        <v>80</v>
      </c>
      <c r="K598" s="97" t="s">
        <v>73</v>
      </c>
      <c r="L598">
        <v>701000</v>
      </c>
      <c r="M598" s="97" t="s">
        <v>62</v>
      </c>
      <c r="N598" s="97" t="s">
        <v>33</v>
      </c>
      <c r="O598">
        <v>1550</v>
      </c>
      <c r="P598">
        <v>2.6</v>
      </c>
      <c r="Q598">
        <v>4.03</v>
      </c>
      <c r="R598" s="97" t="s">
        <v>1197</v>
      </c>
      <c r="S598" s="97" t="s">
        <v>195</v>
      </c>
    </row>
    <row r="599" spans="1:19" x14ac:dyDescent="0.3">
      <c r="A599" s="97" t="s">
        <v>792</v>
      </c>
      <c r="B599" s="97" t="s">
        <v>22</v>
      </c>
      <c r="C599">
        <v>2025</v>
      </c>
      <c r="D599">
        <v>1</v>
      </c>
      <c r="E599" s="2">
        <v>45660</v>
      </c>
      <c r="F599" s="97" t="s">
        <v>7</v>
      </c>
      <c r="G599" s="97" t="s">
        <v>8</v>
      </c>
      <c r="H599" s="97" t="s">
        <v>74</v>
      </c>
      <c r="I599" s="97" t="s">
        <v>79</v>
      </c>
      <c r="J599" s="97" t="s">
        <v>80</v>
      </c>
      <c r="K599" s="97" t="s">
        <v>73</v>
      </c>
      <c r="L599">
        <v>701000</v>
      </c>
      <c r="M599" s="97" t="s">
        <v>62</v>
      </c>
      <c r="N599" s="97" t="s">
        <v>33</v>
      </c>
      <c r="O599">
        <v>955</v>
      </c>
      <c r="P599">
        <v>2.6</v>
      </c>
      <c r="Q599">
        <v>2.48</v>
      </c>
      <c r="R599" s="97" t="s">
        <v>1201</v>
      </c>
      <c r="S599" s="97" t="s">
        <v>195</v>
      </c>
    </row>
    <row r="600" spans="1:19" x14ac:dyDescent="0.3">
      <c r="A600" s="97" t="s">
        <v>793</v>
      </c>
      <c r="B600" s="97" t="s">
        <v>22</v>
      </c>
      <c r="C600">
        <v>2025</v>
      </c>
      <c r="D600">
        <v>1</v>
      </c>
      <c r="E600" s="2">
        <v>45660</v>
      </c>
      <c r="F600" s="97" t="s">
        <v>7</v>
      </c>
      <c r="G600" s="97" t="s">
        <v>8</v>
      </c>
      <c r="H600" s="97" t="s">
        <v>74</v>
      </c>
      <c r="I600" s="97" t="s">
        <v>79</v>
      </c>
      <c r="J600" s="97" t="s">
        <v>80</v>
      </c>
      <c r="K600" s="97" t="s">
        <v>73</v>
      </c>
      <c r="L600">
        <v>701000</v>
      </c>
      <c r="M600" s="97" t="s">
        <v>62</v>
      </c>
      <c r="N600" s="97" t="s">
        <v>33</v>
      </c>
      <c r="O600">
        <v>2624</v>
      </c>
      <c r="P600">
        <v>2.6</v>
      </c>
      <c r="Q600">
        <v>6.82</v>
      </c>
      <c r="R600" s="97" t="s">
        <v>1198</v>
      </c>
      <c r="S600" s="97" t="s">
        <v>195</v>
      </c>
    </row>
    <row r="601" spans="1:19" x14ac:dyDescent="0.3">
      <c r="A601" s="97" t="s">
        <v>794</v>
      </c>
      <c r="B601" s="97" t="s">
        <v>22</v>
      </c>
      <c r="C601">
        <v>2025</v>
      </c>
      <c r="D601">
        <v>1</v>
      </c>
      <c r="E601" s="2">
        <v>45660</v>
      </c>
      <c r="F601" s="97" t="s">
        <v>7</v>
      </c>
      <c r="G601" s="97" t="s">
        <v>8</v>
      </c>
      <c r="H601" s="97" t="s">
        <v>74</v>
      </c>
      <c r="I601" s="97" t="s">
        <v>79</v>
      </c>
      <c r="J601" s="97" t="s">
        <v>80</v>
      </c>
      <c r="K601" s="97" t="s">
        <v>73</v>
      </c>
      <c r="L601">
        <v>701000</v>
      </c>
      <c r="M601" s="97" t="s">
        <v>62</v>
      </c>
      <c r="N601" s="97" t="s">
        <v>33</v>
      </c>
      <c r="O601">
        <v>2268</v>
      </c>
      <c r="P601">
        <v>2.6</v>
      </c>
      <c r="Q601">
        <v>5.9</v>
      </c>
      <c r="R601" s="97" t="s">
        <v>1205</v>
      </c>
      <c r="S601" s="97" t="s">
        <v>195</v>
      </c>
    </row>
    <row r="602" spans="1:19" x14ac:dyDescent="0.3">
      <c r="A602" s="97" t="s">
        <v>795</v>
      </c>
      <c r="B602" s="97" t="s">
        <v>22</v>
      </c>
      <c r="C602">
        <v>2025</v>
      </c>
      <c r="D602">
        <v>1</v>
      </c>
      <c r="E602" s="2">
        <v>45659</v>
      </c>
      <c r="F602" s="97" t="s">
        <v>7</v>
      </c>
      <c r="G602" s="97" t="s">
        <v>8</v>
      </c>
      <c r="H602" s="97" t="s">
        <v>70</v>
      </c>
      <c r="I602" s="97" t="s">
        <v>82</v>
      </c>
      <c r="J602" s="97" t="s">
        <v>83</v>
      </c>
      <c r="K602" s="97" t="s">
        <v>73</v>
      </c>
      <c r="L602">
        <v>701000</v>
      </c>
      <c r="M602" s="97" t="s">
        <v>62</v>
      </c>
      <c r="N602" s="97" t="s">
        <v>33</v>
      </c>
      <c r="O602">
        <v>13</v>
      </c>
      <c r="P602">
        <v>18.46</v>
      </c>
      <c r="Q602">
        <v>0.24</v>
      </c>
      <c r="R602" s="97" t="s">
        <v>1197</v>
      </c>
      <c r="S602" s="97" t="s">
        <v>195</v>
      </c>
    </row>
    <row r="603" spans="1:19" x14ac:dyDescent="0.3">
      <c r="A603" s="97" t="s">
        <v>796</v>
      </c>
      <c r="B603" s="97" t="s">
        <v>22</v>
      </c>
      <c r="C603">
        <v>2025</v>
      </c>
      <c r="D603">
        <v>1</v>
      </c>
      <c r="E603" s="2">
        <v>45659</v>
      </c>
      <c r="F603" s="97" t="s">
        <v>7</v>
      </c>
      <c r="G603" s="97" t="s">
        <v>8</v>
      </c>
      <c r="H603" s="97" t="s">
        <v>70</v>
      </c>
      <c r="I603" s="97" t="s">
        <v>82</v>
      </c>
      <c r="J603" s="97" t="s">
        <v>83</v>
      </c>
      <c r="K603" s="97" t="s">
        <v>73</v>
      </c>
      <c r="L603">
        <v>701000</v>
      </c>
      <c r="M603" s="97" t="s">
        <v>62</v>
      </c>
      <c r="N603" s="97" t="s">
        <v>33</v>
      </c>
      <c r="O603">
        <v>144</v>
      </c>
      <c r="P603">
        <v>18.47</v>
      </c>
      <c r="Q603">
        <v>2.66</v>
      </c>
      <c r="R603" s="97" t="s">
        <v>1205</v>
      </c>
      <c r="S603" s="97" t="s">
        <v>195</v>
      </c>
    </row>
    <row r="604" spans="1:19" x14ac:dyDescent="0.3">
      <c r="A604" s="97" t="s">
        <v>797</v>
      </c>
      <c r="B604" s="97" t="s">
        <v>22</v>
      </c>
      <c r="C604">
        <v>2025</v>
      </c>
      <c r="D604">
        <v>1</v>
      </c>
      <c r="E604" s="2">
        <v>45659</v>
      </c>
      <c r="F604" s="97" t="s">
        <v>7</v>
      </c>
      <c r="G604" s="97" t="s">
        <v>8</v>
      </c>
      <c r="H604" s="97" t="s">
        <v>70</v>
      </c>
      <c r="I604" s="97" t="s">
        <v>82</v>
      </c>
      <c r="J604" s="97" t="s">
        <v>83</v>
      </c>
      <c r="K604" s="97" t="s">
        <v>73</v>
      </c>
      <c r="L604">
        <v>701000</v>
      </c>
      <c r="M604" s="97" t="s">
        <v>62</v>
      </c>
      <c r="N604" s="97" t="s">
        <v>33</v>
      </c>
      <c r="O604">
        <v>134</v>
      </c>
      <c r="P604">
        <v>18.510000000000002</v>
      </c>
      <c r="Q604">
        <v>2.48</v>
      </c>
      <c r="R604" s="97" t="s">
        <v>1199</v>
      </c>
      <c r="S604" s="97" t="s">
        <v>195</v>
      </c>
    </row>
    <row r="605" spans="1:19" x14ac:dyDescent="0.3">
      <c r="A605" s="97" t="s">
        <v>798</v>
      </c>
      <c r="B605" s="97" t="s">
        <v>22</v>
      </c>
      <c r="C605">
        <v>2025</v>
      </c>
      <c r="D605">
        <v>1</v>
      </c>
      <c r="E605" s="2">
        <v>45659</v>
      </c>
      <c r="F605" s="97" t="s">
        <v>7</v>
      </c>
      <c r="G605" s="97" t="s">
        <v>8</v>
      </c>
      <c r="H605" s="97" t="s">
        <v>70</v>
      </c>
      <c r="I605" s="97" t="s">
        <v>82</v>
      </c>
      <c r="J605" s="97" t="s">
        <v>83</v>
      </c>
      <c r="K605" s="97" t="s">
        <v>73</v>
      </c>
      <c r="L605">
        <v>701000</v>
      </c>
      <c r="M605" s="97" t="s">
        <v>62</v>
      </c>
      <c r="N605" s="97" t="s">
        <v>33</v>
      </c>
      <c r="O605">
        <v>111</v>
      </c>
      <c r="P605">
        <v>18.47</v>
      </c>
      <c r="Q605">
        <v>2.0499999999999998</v>
      </c>
      <c r="R605" s="97" t="s">
        <v>1204</v>
      </c>
      <c r="S605" s="97" t="s">
        <v>195</v>
      </c>
    </row>
    <row r="606" spans="1:19" x14ac:dyDescent="0.3">
      <c r="A606" s="97" t="s">
        <v>799</v>
      </c>
      <c r="B606" s="97" t="s">
        <v>22</v>
      </c>
      <c r="C606">
        <v>2025</v>
      </c>
      <c r="D606">
        <v>1</v>
      </c>
      <c r="E606" s="2">
        <v>45659</v>
      </c>
      <c r="F606" s="97" t="s">
        <v>7</v>
      </c>
      <c r="G606" s="97" t="s">
        <v>8</v>
      </c>
      <c r="H606" s="97" t="s">
        <v>70</v>
      </c>
      <c r="I606" s="97" t="s">
        <v>82</v>
      </c>
      <c r="J606" s="97" t="s">
        <v>83</v>
      </c>
      <c r="K606" s="97" t="s">
        <v>73</v>
      </c>
      <c r="L606">
        <v>701000</v>
      </c>
      <c r="M606" s="97" t="s">
        <v>62</v>
      </c>
      <c r="N606" s="97" t="s">
        <v>33</v>
      </c>
      <c r="O606">
        <v>126</v>
      </c>
      <c r="P606">
        <v>18.489999999999998</v>
      </c>
      <c r="Q606">
        <v>2.33</v>
      </c>
      <c r="R606" s="97" t="s">
        <v>1203</v>
      </c>
      <c r="S606" s="97" t="s">
        <v>195</v>
      </c>
    </row>
    <row r="607" spans="1:19" x14ac:dyDescent="0.3">
      <c r="A607" s="97" t="s">
        <v>800</v>
      </c>
      <c r="B607" s="97" t="s">
        <v>22</v>
      </c>
      <c r="C607">
        <v>2025</v>
      </c>
      <c r="D607">
        <v>1</v>
      </c>
      <c r="E607" s="2">
        <v>45660</v>
      </c>
      <c r="F607" s="97" t="s">
        <v>7</v>
      </c>
      <c r="G607" s="97" t="s">
        <v>8</v>
      </c>
      <c r="H607" s="97" t="s">
        <v>74</v>
      </c>
      <c r="I607" s="97" t="s">
        <v>82</v>
      </c>
      <c r="J607" s="97" t="s">
        <v>83</v>
      </c>
      <c r="K607" s="97" t="s">
        <v>73</v>
      </c>
      <c r="L607">
        <v>706000</v>
      </c>
      <c r="M607" s="97" t="s">
        <v>63</v>
      </c>
      <c r="N607" s="97" t="s">
        <v>33</v>
      </c>
      <c r="O607">
        <v>85</v>
      </c>
      <c r="P607">
        <v>18.59</v>
      </c>
      <c r="Q607">
        <v>1.58</v>
      </c>
      <c r="R607" s="97" t="s">
        <v>1199</v>
      </c>
      <c r="S607" s="97" t="s">
        <v>195</v>
      </c>
    </row>
    <row r="608" spans="1:19" x14ac:dyDescent="0.3">
      <c r="A608" s="97" t="s">
        <v>801</v>
      </c>
      <c r="B608" s="97" t="s">
        <v>22</v>
      </c>
      <c r="C608">
        <v>2025</v>
      </c>
      <c r="D608">
        <v>1</v>
      </c>
      <c r="E608" s="2">
        <v>45660</v>
      </c>
      <c r="F608" s="97" t="s">
        <v>7</v>
      </c>
      <c r="G608" s="97" t="s">
        <v>8</v>
      </c>
      <c r="H608" s="97" t="s">
        <v>74</v>
      </c>
      <c r="I608" s="97" t="s">
        <v>82</v>
      </c>
      <c r="J608" s="97" t="s">
        <v>83</v>
      </c>
      <c r="K608" s="97" t="s">
        <v>73</v>
      </c>
      <c r="L608">
        <v>706000</v>
      </c>
      <c r="M608" s="97" t="s">
        <v>63</v>
      </c>
      <c r="N608" s="97" t="s">
        <v>33</v>
      </c>
      <c r="O608">
        <v>63</v>
      </c>
      <c r="P608">
        <v>18.57</v>
      </c>
      <c r="Q608">
        <v>1.17</v>
      </c>
      <c r="R608" s="97" t="s">
        <v>1202</v>
      </c>
      <c r="S608" s="97" t="s">
        <v>195</v>
      </c>
    </row>
    <row r="609" spans="1:19" x14ac:dyDescent="0.3">
      <c r="A609" s="97" t="s">
        <v>802</v>
      </c>
      <c r="B609" s="97" t="s">
        <v>22</v>
      </c>
      <c r="C609">
        <v>2025</v>
      </c>
      <c r="D609">
        <v>1</v>
      </c>
      <c r="E609" s="2">
        <v>45660</v>
      </c>
      <c r="F609" s="97" t="s">
        <v>7</v>
      </c>
      <c r="G609" s="97" t="s">
        <v>8</v>
      </c>
      <c r="H609" s="97" t="s">
        <v>74</v>
      </c>
      <c r="I609" s="97" t="s">
        <v>82</v>
      </c>
      <c r="J609" s="97" t="s">
        <v>83</v>
      </c>
      <c r="K609" s="97" t="s">
        <v>73</v>
      </c>
      <c r="L609">
        <v>706000</v>
      </c>
      <c r="M609" s="97" t="s">
        <v>63</v>
      </c>
      <c r="N609" s="97" t="s">
        <v>33</v>
      </c>
      <c r="O609">
        <v>90</v>
      </c>
      <c r="P609">
        <v>18.559999999999999</v>
      </c>
      <c r="Q609">
        <v>1.67</v>
      </c>
      <c r="R609" s="97" t="s">
        <v>1197</v>
      </c>
      <c r="S609" s="97" t="s">
        <v>195</v>
      </c>
    </row>
    <row r="610" spans="1:19" x14ac:dyDescent="0.3">
      <c r="A610" s="97" t="s">
        <v>803</v>
      </c>
      <c r="B610" s="97" t="s">
        <v>22</v>
      </c>
      <c r="C610">
        <v>2025</v>
      </c>
      <c r="D610">
        <v>1</v>
      </c>
      <c r="E610" s="2">
        <v>45660</v>
      </c>
      <c r="F610" s="97" t="s">
        <v>7</v>
      </c>
      <c r="G610" s="97" t="s">
        <v>8</v>
      </c>
      <c r="H610" s="97" t="s">
        <v>74</v>
      </c>
      <c r="I610" s="97" t="s">
        <v>82</v>
      </c>
      <c r="J610" s="97" t="s">
        <v>83</v>
      </c>
      <c r="K610" s="97" t="s">
        <v>73</v>
      </c>
      <c r="L610">
        <v>706000</v>
      </c>
      <c r="M610" s="97" t="s">
        <v>63</v>
      </c>
      <c r="N610" s="97" t="s">
        <v>33</v>
      </c>
      <c r="O610">
        <v>161</v>
      </c>
      <c r="P610">
        <v>18.510000000000002</v>
      </c>
      <c r="Q610">
        <v>2.98</v>
      </c>
      <c r="R610" s="97" t="s">
        <v>1204</v>
      </c>
      <c r="S610" s="97" t="s">
        <v>195</v>
      </c>
    </row>
    <row r="611" spans="1:19" x14ac:dyDescent="0.3">
      <c r="A611" s="97" t="s">
        <v>804</v>
      </c>
      <c r="B611" s="97" t="s">
        <v>22</v>
      </c>
      <c r="C611">
        <v>2025</v>
      </c>
      <c r="D611">
        <v>1</v>
      </c>
      <c r="E611" s="2">
        <v>45660</v>
      </c>
      <c r="F611" s="97" t="s">
        <v>7</v>
      </c>
      <c r="G611" s="97" t="s">
        <v>8</v>
      </c>
      <c r="H611" s="97" t="s">
        <v>74</v>
      </c>
      <c r="I611" s="97" t="s">
        <v>82</v>
      </c>
      <c r="J611" s="97" t="s">
        <v>83</v>
      </c>
      <c r="K611" s="97" t="s">
        <v>73</v>
      </c>
      <c r="L611">
        <v>706000</v>
      </c>
      <c r="M611" s="97" t="s">
        <v>63</v>
      </c>
      <c r="N611" s="97" t="s">
        <v>33</v>
      </c>
      <c r="O611">
        <v>220</v>
      </c>
      <c r="P611">
        <v>18.41</v>
      </c>
      <c r="Q611">
        <v>4.05</v>
      </c>
      <c r="R611" s="97" t="s">
        <v>1200</v>
      </c>
      <c r="S611" s="97" t="s">
        <v>195</v>
      </c>
    </row>
    <row r="612" spans="1:19" x14ac:dyDescent="0.3">
      <c r="A612" s="97" t="s">
        <v>805</v>
      </c>
      <c r="B612" s="97" t="s">
        <v>22</v>
      </c>
      <c r="C612">
        <v>2025</v>
      </c>
      <c r="D612">
        <v>1</v>
      </c>
      <c r="E612" s="2">
        <v>45672</v>
      </c>
      <c r="F612" s="97" t="s">
        <v>7</v>
      </c>
      <c r="G612" s="97" t="s">
        <v>8</v>
      </c>
      <c r="H612" s="97" t="s">
        <v>70</v>
      </c>
      <c r="I612" s="97" t="s">
        <v>82</v>
      </c>
      <c r="J612" s="97" t="s">
        <v>83</v>
      </c>
      <c r="K612" s="97" t="s">
        <v>73</v>
      </c>
      <c r="L612">
        <v>701000</v>
      </c>
      <c r="M612" s="97" t="s">
        <v>62</v>
      </c>
      <c r="N612" s="97" t="s">
        <v>33</v>
      </c>
      <c r="O612">
        <v>45</v>
      </c>
      <c r="P612">
        <v>18.22</v>
      </c>
      <c r="Q612">
        <v>0.82</v>
      </c>
      <c r="R612" s="97" t="s">
        <v>1197</v>
      </c>
      <c r="S612" s="97" t="s">
        <v>195</v>
      </c>
    </row>
    <row r="613" spans="1:19" x14ac:dyDescent="0.3">
      <c r="A613" s="97" t="s">
        <v>806</v>
      </c>
      <c r="B613" s="97" t="s">
        <v>22</v>
      </c>
      <c r="C613">
        <v>2025</v>
      </c>
      <c r="D613">
        <v>1</v>
      </c>
      <c r="E613" s="2">
        <v>45672</v>
      </c>
      <c r="F613" s="97" t="s">
        <v>7</v>
      </c>
      <c r="G613" s="97" t="s">
        <v>8</v>
      </c>
      <c r="H613" s="97" t="s">
        <v>70</v>
      </c>
      <c r="I613" s="97" t="s">
        <v>82</v>
      </c>
      <c r="J613" s="97" t="s">
        <v>83</v>
      </c>
      <c r="K613" s="97" t="s">
        <v>73</v>
      </c>
      <c r="L613">
        <v>701000</v>
      </c>
      <c r="M613" s="97" t="s">
        <v>62</v>
      </c>
      <c r="N613" s="97" t="s">
        <v>33</v>
      </c>
      <c r="O613">
        <v>121</v>
      </c>
      <c r="P613">
        <v>18.600000000000001</v>
      </c>
      <c r="Q613">
        <v>2.25</v>
      </c>
      <c r="R613" s="97" t="s">
        <v>1200</v>
      </c>
      <c r="S613" s="97" t="s">
        <v>195</v>
      </c>
    </row>
    <row r="614" spans="1:19" x14ac:dyDescent="0.3">
      <c r="A614" s="97" t="s">
        <v>807</v>
      </c>
      <c r="B614" s="97" t="s">
        <v>22</v>
      </c>
      <c r="C614">
        <v>2025</v>
      </c>
      <c r="D614">
        <v>1</v>
      </c>
      <c r="E614" s="2">
        <v>45672</v>
      </c>
      <c r="F614" s="97" t="s">
        <v>7</v>
      </c>
      <c r="G614" s="97" t="s">
        <v>8</v>
      </c>
      <c r="H614" s="97" t="s">
        <v>70</v>
      </c>
      <c r="I614" s="97" t="s">
        <v>82</v>
      </c>
      <c r="J614" s="97" t="s">
        <v>83</v>
      </c>
      <c r="K614" s="97" t="s">
        <v>73</v>
      </c>
      <c r="L614">
        <v>701000</v>
      </c>
      <c r="M614" s="97" t="s">
        <v>62</v>
      </c>
      <c r="N614" s="97" t="s">
        <v>33</v>
      </c>
      <c r="O614">
        <v>88</v>
      </c>
      <c r="P614">
        <v>18.41</v>
      </c>
      <c r="Q614">
        <v>1.62</v>
      </c>
      <c r="R614" s="97" t="s">
        <v>1199</v>
      </c>
      <c r="S614" s="97" t="s">
        <v>195</v>
      </c>
    </row>
    <row r="615" spans="1:19" x14ac:dyDescent="0.3">
      <c r="A615" s="97" t="s">
        <v>808</v>
      </c>
      <c r="B615" s="97" t="s">
        <v>22</v>
      </c>
      <c r="C615">
        <v>2025</v>
      </c>
      <c r="D615">
        <v>1</v>
      </c>
      <c r="E615" s="2">
        <v>45672</v>
      </c>
      <c r="F615" s="97" t="s">
        <v>7</v>
      </c>
      <c r="G615" s="97" t="s">
        <v>8</v>
      </c>
      <c r="H615" s="97" t="s">
        <v>70</v>
      </c>
      <c r="I615" s="97" t="s">
        <v>82</v>
      </c>
      <c r="J615" s="97" t="s">
        <v>83</v>
      </c>
      <c r="K615" s="97" t="s">
        <v>73</v>
      </c>
      <c r="L615">
        <v>701000</v>
      </c>
      <c r="M615" s="97" t="s">
        <v>62</v>
      </c>
      <c r="N615" s="97" t="s">
        <v>33</v>
      </c>
      <c r="O615">
        <v>85</v>
      </c>
      <c r="P615">
        <v>18.59</v>
      </c>
      <c r="Q615">
        <v>1.58</v>
      </c>
      <c r="R615" s="97" t="s">
        <v>1205</v>
      </c>
      <c r="S615" s="97" t="s">
        <v>195</v>
      </c>
    </row>
    <row r="616" spans="1:19" x14ac:dyDescent="0.3">
      <c r="A616" s="97" t="s">
        <v>809</v>
      </c>
      <c r="B616" s="97" t="s">
        <v>22</v>
      </c>
      <c r="C616">
        <v>2025</v>
      </c>
      <c r="D616">
        <v>1</v>
      </c>
      <c r="E616" s="2">
        <v>45672</v>
      </c>
      <c r="F616" s="97" t="s">
        <v>7</v>
      </c>
      <c r="G616" s="97" t="s">
        <v>8</v>
      </c>
      <c r="H616" s="97" t="s">
        <v>70</v>
      </c>
      <c r="I616" s="97" t="s">
        <v>82</v>
      </c>
      <c r="J616" s="97" t="s">
        <v>83</v>
      </c>
      <c r="K616" s="97" t="s">
        <v>73</v>
      </c>
      <c r="L616">
        <v>701000</v>
      </c>
      <c r="M616" s="97" t="s">
        <v>62</v>
      </c>
      <c r="N616" s="97" t="s">
        <v>33</v>
      </c>
      <c r="O616">
        <v>143</v>
      </c>
      <c r="P616">
        <v>18.53</v>
      </c>
      <c r="Q616">
        <v>2.65</v>
      </c>
      <c r="R616" s="97" t="s">
        <v>1202</v>
      </c>
      <c r="S616" s="97" t="s">
        <v>195</v>
      </c>
    </row>
    <row r="617" spans="1:19" x14ac:dyDescent="0.3">
      <c r="A617" s="97" t="s">
        <v>810</v>
      </c>
      <c r="B617" s="97" t="s">
        <v>22</v>
      </c>
      <c r="C617">
        <v>2025</v>
      </c>
      <c r="D617">
        <v>1</v>
      </c>
      <c r="E617" s="2">
        <v>45667</v>
      </c>
      <c r="F617" s="97" t="s">
        <v>7</v>
      </c>
      <c r="G617" s="97" t="s">
        <v>8</v>
      </c>
      <c r="H617" s="97" t="s">
        <v>74</v>
      </c>
      <c r="I617" s="97" t="s">
        <v>82</v>
      </c>
      <c r="J617" s="97" t="s">
        <v>83</v>
      </c>
      <c r="K617" s="97" t="s">
        <v>73</v>
      </c>
      <c r="L617">
        <v>701000</v>
      </c>
      <c r="M617" s="97" t="s">
        <v>62</v>
      </c>
      <c r="N617" s="97" t="s">
        <v>33</v>
      </c>
      <c r="O617">
        <v>138</v>
      </c>
      <c r="P617">
        <v>18.48</v>
      </c>
      <c r="Q617">
        <v>2.5499999999999998</v>
      </c>
      <c r="R617" s="97" t="s">
        <v>1197</v>
      </c>
      <c r="S617" s="97" t="s">
        <v>195</v>
      </c>
    </row>
    <row r="618" spans="1:19" x14ac:dyDescent="0.3">
      <c r="A618" s="97" t="s">
        <v>811</v>
      </c>
      <c r="B618" s="97" t="s">
        <v>22</v>
      </c>
      <c r="C618">
        <v>2025</v>
      </c>
      <c r="D618">
        <v>1</v>
      </c>
      <c r="E618" s="2">
        <v>45667</v>
      </c>
      <c r="F618" s="97" t="s">
        <v>7</v>
      </c>
      <c r="G618" s="97" t="s">
        <v>8</v>
      </c>
      <c r="H618" s="97" t="s">
        <v>74</v>
      </c>
      <c r="I618" s="97" t="s">
        <v>82</v>
      </c>
      <c r="J618" s="97" t="s">
        <v>83</v>
      </c>
      <c r="K618" s="97" t="s">
        <v>73</v>
      </c>
      <c r="L618">
        <v>701000</v>
      </c>
      <c r="M618" s="97" t="s">
        <v>62</v>
      </c>
      <c r="N618" s="97" t="s">
        <v>33</v>
      </c>
      <c r="O618">
        <v>269</v>
      </c>
      <c r="P618">
        <v>18.55</v>
      </c>
      <c r="Q618">
        <v>4.99</v>
      </c>
      <c r="R618" s="97" t="s">
        <v>1203</v>
      </c>
      <c r="S618" s="97" t="s">
        <v>195</v>
      </c>
    </row>
    <row r="619" spans="1:19" x14ac:dyDescent="0.3">
      <c r="A619" s="97" t="s">
        <v>812</v>
      </c>
      <c r="B619" s="97" t="s">
        <v>22</v>
      </c>
      <c r="C619">
        <v>2025</v>
      </c>
      <c r="D619">
        <v>1</v>
      </c>
      <c r="E619" s="2">
        <v>45667</v>
      </c>
      <c r="F619" s="97" t="s">
        <v>7</v>
      </c>
      <c r="G619" s="97" t="s">
        <v>8</v>
      </c>
      <c r="H619" s="97" t="s">
        <v>74</v>
      </c>
      <c r="I619" s="97" t="s">
        <v>82</v>
      </c>
      <c r="J619" s="97" t="s">
        <v>83</v>
      </c>
      <c r="K619" s="97" t="s">
        <v>73</v>
      </c>
      <c r="L619">
        <v>701000</v>
      </c>
      <c r="M619" s="97" t="s">
        <v>62</v>
      </c>
      <c r="N619" s="97" t="s">
        <v>33</v>
      </c>
      <c r="O619">
        <v>22</v>
      </c>
      <c r="P619">
        <v>18.64</v>
      </c>
      <c r="Q619">
        <v>0.41</v>
      </c>
      <c r="R619" s="97" t="s">
        <v>1200</v>
      </c>
      <c r="S619" s="97" t="s">
        <v>195</v>
      </c>
    </row>
    <row r="620" spans="1:19" x14ac:dyDescent="0.3">
      <c r="A620" s="97" t="s">
        <v>813</v>
      </c>
      <c r="B620" s="97" t="s">
        <v>22</v>
      </c>
      <c r="C620">
        <v>2025</v>
      </c>
      <c r="D620">
        <v>1</v>
      </c>
      <c r="E620" s="2">
        <v>45667</v>
      </c>
      <c r="F620" s="97" t="s">
        <v>7</v>
      </c>
      <c r="G620" s="97" t="s">
        <v>8</v>
      </c>
      <c r="H620" s="97" t="s">
        <v>74</v>
      </c>
      <c r="I620" s="97" t="s">
        <v>82</v>
      </c>
      <c r="J620" s="97" t="s">
        <v>83</v>
      </c>
      <c r="K620" s="97" t="s">
        <v>73</v>
      </c>
      <c r="L620">
        <v>701000</v>
      </c>
      <c r="M620" s="97" t="s">
        <v>62</v>
      </c>
      <c r="N620" s="97" t="s">
        <v>33</v>
      </c>
      <c r="O620">
        <v>105</v>
      </c>
      <c r="P620">
        <v>18.57</v>
      </c>
      <c r="Q620">
        <v>1.95</v>
      </c>
      <c r="R620" s="97" t="s">
        <v>1201</v>
      </c>
      <c r="S620" s="97" t="s">
        <v>195</v>
      </c>
    </row>
    <row r="621" spans="1:19" x14ac:dyDescent="0.3">
      <c r="A621" s="97" t="s">
        <v>814</v>
      </c>
      <c r="B621" s="97" t="s">
        <v>22</v>
      </c>
      <c r="C621">
        <v>2025</v>
      </c>
      <c r="D621">
        <v>1</v>
      </c>
      <c r="E621" s="2">
        <v>45667</v>
      </c>
      <c r="F621" s="97" t="s">
        <v>7</v>
      </c>
      <c r="G621" s="97" t="s">
        <v>8</v>
      </c>
      <c r="H621" s="97" t="s">
        <v>74</v>
      </c>
      <c r="I621" s="97" t="s">
        <v>82</v>
      </c>
      <c r="J621" s="97" t="s">
        <v>83</v>
      </c>
      <c r="K621" s="97" t="s">
        <v>73</v>
      </c>
      <c r="L621">
        <v>701000</v>
      </c>
      <c r="M621" s="97" t="s">
        <v>62</v>
      </c>
      <c r="N621" s="97" t="s">
        <v>33</v>
      </c>
      <c r="O621">
        <v>81</v>
      </c>
      <c r="P621">
        <v>18.27</v>
      </c>
      <c r="Q621">
        <v>1.48</v>
      </c>
      <c r="R621" s="97" t="s">
        <v>1204</v>
      </c>
      <c r="S621" s="97" t="s">
        <v>195</v>
      </c>
    </row>
    <row r="622" spans="1:19" x14ac:dyDescent="0.3">
      <c r="A622" s="97" t="s">
        <v>815</v>
      </c>
      <c r="B622" s="97" t="s">
        <v>22</v>
      </c>
      <c r="C622">
        <v>2025</v>
      </c>
      <c r="D622">
        <v>1</v>
      </c>
      <c r="E622" s="2">
        <v>45683</v>
      </c>
      <c r="F622" s="97" t="s">
        <v>7</v>
      </c>
      <c r="G622" s="97" t="s">
        <v>8</v>
      </c>
      <c r="H622" s="97" t="s">
        <v>74</v>
      </c>
      <c r="I622" s="97" t="s">
        <v>82</v>
      </c>
      <c r="J622" s="97" t="s">
        <v>83</v>
      </c>
      <c r="K622" s="97" t="s">
        <v>73</v>
      </c>
      <c r="L622">
        <v>701000</v>
      </c>
      <c r="M622" s="97" t="s">
        <v>62</v>
      </c>
      <c r="N622" s="97" t="s">
        <v>33</v>
      </c>
      <c r="O622">
        <v>96</v>
      </c>
      <c r="P622">
        <v>18.440000000000001</v>
      </c>
      <c r="Q622">
        <v>1.77</v>
      </c>
      <c r="R622" s="97" t="s">
        <v>1199</v>
      </c>
      <c r="S622" s="97" t="s">
        <v>195</v>
      </c>
    </row>
    <row r="623" spans="1:19" x14ac:dyDescent="0.3">
      <c r="A623" s="97" t="s">
        <v>816</v>
      </c>
      <c r="B623" s="97" t="s">
        <v>22</v>
      </c>
      <c r="C623">
        <v>2025</v>
      </c>
      <c r="D623">
        <v>1</v>
      </c>
      <c r="E623" s="2">
        <v>45683</v>
      </c>
      <c r="F623" s="97" t="s">
        <v>7</v>
      </c>
      <c r="G623" s="97" t="s">
        <v>8</v>
      </c>
      <c r="H623" s="97" t="s">
        <v>74</v>
      </c>
      <c r="I623" s="97" t="s">
        <v>82</v>
      </c>
      <c r="J623" s="97" t="s">
        <v>83</v>
      </c>
      <c r="K623" s="97" t="s">
        <v>73</v>
      </c>
      <c r="L623">
        <v>701000</v>
      </c>
      <c r="M623" s="97" t="s">
        <v>62</v>
      </c>
      <c r="N623" s="97" t="s">
        <v>33</v>
      </c>
      <c r="O623">
        <v>111</v>
      </c>
      <c r="P623">
        <v>18.559999999999999</v>
      </c>
      <c r="Q623">
        <v>2.06</v>
      </c>
      <c r="R623" s="97" t="s">
        <v>1204</v>
      </c>
      <c r="S623" s="97" t="s">
        <v>195</v>
      </c>
    </row>
    <row r="624" spans="1:19" x14ac:dyDescent="0.3">
      <c r="A624" s="97" t="s">
        <v>817</v>
      </c>
      <c r="B624" s="97" t="s">
        <v>22</v>
      </c>
      <c r="C624">
        <v>2025</v>
      </c>
      <c r="D624">
        <v>1</v>
      </c>
      <c r="E624" s="2">
        <v>45683</v>
      </c>
      <c r="F624" s="97" t="s">
        <v>7</v>
      </c>
      <c r="G624" s="97" t="s">
        <v>8</v>
      </c>
      <c r="H624" s="97" t="s">
        <v>74</v>
      </c>
      <c r="I624" s="97" t="s">
        <v>82</v>
      </c>
      <c r="J624" s="97" t="s">
        <v>83</v>
      </c>
      <c r="K624" s="97" t="s">
        <v>73</v>
      </c>
      <c r="L624">
        <v>701000</v>
      </c>
      <c r="M624" s="97" t="s">
        <v>62</v>
      </c>
      <c r="N624" s="97" t="s">
        <v>33</v>
      </c>
      <c r="O624">
        <v>70</v>
      </c>
      <c r="P624">
        <v>18.43</v>
      </c>
      <c r="Q624">
        <v>1.29</v>
      </c>
      <c r="R624" s="97" t="s">
        <v>1200</v>
      </c>
      <c r="S624" s="97" t="s">
        <v>195</v>
      </c>
    </row>
    <row r="625" spans="1:19" x14ac:dyDescent="0.3">
      <c r="A625" s="97" t="s">
        <v>818</v>
      </c>
      <c r="B625" s="97" t="s">
        <v>22</v>
      </c>
      <c r="C625">
        <v>2025</v>
      </c>
      <c r="D625">
        <v>1</v>
      </c>
      <c r="E625" s="2">
        <v>45683</v>
      </c>
      <c r="F625" s="97" t="s">
        <v>7</v>
      </c>
      <c r="G625" s="97" t="s">
        <v>8</v>
      </c>
      <c r="H625" s="97" t="s">
        <v>74</v>
      </c>
      <c r="I625" s="97" t="s">
        <v>82</v>
      </c>
      <c r="J625" s="97" t="s">
        <v>83</v>
      </c>
      <c r="K625" s="97" t="s">
        <v>73</v>
      </c>
      <c r="L625">
        <v>701000</v>
      </c>
      <c r="M625" s="97" t="s">
        <v>62</v>
      </c>
      <c r="N625" s="97" t="s">
        <v>33</v>
      </c>
      <c r="O625">
        <v>15</v>
      </c>
      <c r="P625">
        <v>18.670000000000002</v>
      </c>
      <c r="Q625">
        <v>0.28000000000000003</v>
      </c>
      <c r="R625" s="97" t="s">
        <v>1202</v>
      </c>
      <c r="S625" s="97" t="s">
        <v>195</v>
      </c>
    </row>
    <row r="626" spans="1:19" x14ac:dyDescent="0.3">
      <c r="A626" s="97" t="s">
        <v>819</v>
      </c>
      <c r="B626" s="97" t="s">
        <v>22</v>
      </c>
      <c r="C626">
        <v>2025</v>
      </c>
      <c r="D626">
        <v>1</v>
      </c>
      <c r="E626" s="2">
        <v>45683</v>
      </c>
      <c r="F626" s="97" t="s">
        <v>7</v>
      </c>
      <c r="G626" s="97" t="s">
        <v>8</v>
      </c>
      <c r="H626" s="97" t="s">
        <v>74</v>
      </c>
      <c r="I626" s="97" t="s">
        <v>82</v>
      </c>
      <c r="J626" s="97" t="s">
        <v>83</v>
      </c>
      <c r="K626" s="97" t="s">
        <v>73</v>
      </c>
      <c r="L626">
        <v>701000</v>
      </c>
      <c r="M626" s="97" t="s">
        <v>62</v>
      </c>
      <c r="N626" s="97" t="s">
        <v>33</v>
      </c>
      <c r="O626">
        <v>163</v>
      </c>
      <c r="P626">
        <v>18.53</v>
      </c>
      <c r="Q626">
        <v>3.02</v>
      </c>
      <c r="R626" s="97" t="s">
        <v>1198</v>
      </c>
      <c r="S626" s="97" t="s">
        <v>195</v>
      </c>
    </row>
    <row r="627" spans="1:19" x14ac:dyDescent="0.3">
      <c r="A627" s="97" t="s">
        <v>820</v>
      </c>
      <c r="B627" s="97" t="s">
        <v>22</v>
      </c>
      <c r="C627">
        <v>2025</v>
      </c>
      <c r="D627">
        <v>1</v>
      </c>
      <c r="E627" s="2">
        <v>45673</v>
      </c>
      <c r="F627" s="97" t="s">
        <v>7</v>
      </c>
      <c r="G627" s="97" t="s">
        <v>8</v>
      </c>
      <c r="H627" s="97" t="s">
        <v>74</v>
      </c>
      <c r="I627" s="97" t="s">
        <v>82</v>
      </c>
      <c r="J627" s="97" t="s">
        <v>83</v>
      </c>
      <c r="K627" s="97" t="s">
        <v>73</v>
      </c>
      <c r="L627">
        <v>701000</v>
      </c>
      <c r="M627" s="97" t="s">
        <v>62</v>
      </c>
      <c r="N627" s="97" t="s">
        <v>33</v>
      </c>
      <c r="O627">
        <v>129</v>
      </c>
      <c r="P627">
        <v>18.53</v>
      </c>
      <c r="Q627">
        <v>2.39</v>
      </c>
      <c r="R627" s="97" t="s">
        <v>1199</v>
      </c>
      <c r="S627" s="97" t="s">
        <v>195</v>
      </c>
    </row>
    <row r="628" spans="1:19" x14ac:dyDescent="0.3">
      <c r="A628" s="97" t="s">
        <v>821</v>
      </c>
      <c r="B628" s="97" t="s">
        <v>22</v>
      </c>
      <c r="C628">
        <v>2025</v>
      </c>
      <c r="D628">
        <v>1</v>
      </c>
      <c r="E628" s="2">
        <v>45673</v>
      </c>
      <c r="F628" s="97" t="s">
        <v>7</v>
      </c>
      <c r="G628" s="97" t="s">
        <v>8</v>
      </c>
      <c r="H628" s="97" t="s">
        <v>74</v>
      </c>
      <c r="I628" s="97" t="s">
        <v>82</v>
      </c>
      <c r="J628" s="97" t="s">
        <v>83</v>
      </c>
      <c r="K628" s="97" t="s">
        <v>73</v>
      </c>
      <c r="L628">
        <v>701000</v>
      </c>
      <c r="M628" s="97" t="s">
        <v>62</v>
      </c>
      <c r="N628" s="97" t="s">
        <v>33</v>
      </c>
      <c r="O628">
        <v>33</v>
      </c>
      <c r="P628">
        <v>18.18</v>
      </c>
      <c r="Q628">
        <v>0.6</v>
      </c>
      <c r="R628" s="97" t="s">
        <v>1205</v>
      </c>
      <c r="S628" s="97" t="s">
        <v>195</v>
      </c>
    </row>
    <row r="629" spans="1:19" x14ac:dyDescent="0.3">
      <c r="A629" s="97" t="s">
        <v>822</v>
      </c>
      <c r="B629" s="97" t="s">
        <v>22</v>
      </c>
      <c r="C629">
        <v>2025</v>
      </c>
      <c r="D629">
        <v>1</v>
      </c>
      <c r="E629" s="2">
        <v>45673</v>
      </c>
      <c r="F629" s="97" t="s">
        <v>7</v>
      </c>
      <c r="G629" s="97" t="s">
        <v>8</v>
      </c>
      <c r="H629" s="97" t="s">
        <v>74</v>
      </c>
      <c r="I629" s="97" t="s">
        <v>82</v>
      </c>
      <c r="J629" s="97" t="s">
        <v>83</v>
      </c>
      <c r="K629" s="97" t="s">
        <v>73</v>
      </c>
      <c r="L629">
        <v>701000</v>
      </c>
      <c r="M629" s="97" t="s">
        <v>62</v>
      </c>
      <c r="N629" s="97" t="s">
        <v>33</v>
      </c>
      <c r="O629">
        <v>283</v>
      </c>
      <c r="P629">
        <v>18.48</v>
      </c>
      <c r="Q629">
        <v>5.23</v>
      </c>
      <c r="R629" s="97" t="s">
        <v>1204</v>
      </c>
      <c r="S629" s="97" t="s">
        <v>195</v>
      </c>
    </row>
    <row r="630" spans="1:19" x14ac:dyDescent="0.3">
      <c r="A630" s="97" t="s">
        <v>823</v>
      </c>
      <c r="B630" s="97" t="s">
        <v>22</v>
      </c>
      <c r="C630">
        <v>2025</v>
      </c>
      <c r="D630">
        <v>1</v>
      </c>
      <c r="E630" s="2">
        <v>45673</v>
      </c>
      <c r="F630" s="97" t="s">
        <v>7</v>
      </c>
      <c r="G630" s="97" t="s">
        <v>8</v>
      </c>
      <c r="H630" s="97" t="s">
        <v>74</v>
      </c>
      <c r="I630" s="97" t="s">
        <v>82</v>
      </c>
      <c r="J630" s="97" t="s">
        <v>83</v>
      </c>
      <c r="K630" s="97" t="s">
        <v>73</v>
      </c>
      <c r="L630">
        <v>701000</v>
      </c>
      <c r="M630" s="97" t="s">
        <v>62</v>
      </c>
      <c r="N630" s="97" t="s">
        <v>33</v>
      </c>
      <c r="O630">
        <v>3</v>
      </c>
      <c r="P630">
        <v>16.670000000000002</v>
      </c>
      <c r="Q630">
        <v>0.05</v>
      </c>
      <c r="R630" s="97" t="s">
        <v>1200</v>
      </c>
      <c r="S630" s="97" t="s">
        <v>195</v>
      </c>
    </row>
    <row r="631" spans="1:19" x14ac:dyDescent="0.3">
      <c r="A631" s="97" t="s">
        <v>824</v>
      </c>
      <c r="B631" s="97" t="s">
        <v>22</v>
      </c>
      <c r="C631">
        <v>2025</v>
      </c>
      <c r="D631">
        <v>1</v>
      </c>
      <c r="E631" s="2">
        <v>45673</v>
      </c>
      <c r="F631" s="97" t="s">
        <v>7</v>
      </c>
      <c r="G631" s="97" t="s">
        <v>8</v>
      </c>
      <c r="H631" s="97" t="s">
        <v>74</v>
      </c>
      <c r="I631" s="97" t="s">
        <v>82</v>
      </c>
      <c r="J631" s="97" t="s">
        <v>83</v>
      </c>
      <c r="K631" s="97" t="s">
        <v>73</v>
      </c>
      <c r="L631">
        <v>701000</v>
      </c>
      <c r="M631" s="97" t="s">
        <v>62</v>
      </c>
      <c r="N631" s="97" t="s">
        <v>33</v>
      </c>
      <c r="O631">
        <v>81</v>
      </c>
      <c r="P631">
        <v>18.77</v>
      </c>
      <c r="Q631">
        <v>1.52</v>
      </c>
      <c r="R631" s="97" t="s">
        <v>1201</v>
      </c>
      <c r="S631" s="97" t="s">
        <v>195</v>
      </c>
    </row>
    <row r="632" spans="1:19" x14ac:dyDescent="0.3">
      <c r="A632" s="97" t="s">
        <v>825</v>
      </c>
      <c r="B632" s="97" t="s">
        <v>22</v>
      </c>
      <c r="C632">
        <v>2025</v>
      </c>
      <c r="D632">
        <v>1</v>
      </c>
      <c r="E632" s="2">
        <v>45680</v>
      </c>
      <c r="F632" s="97" t="s">
        <v>7</v>
      </c>
      <c r="G632" s="97" t="s">
        <v>8</v>
      </c>
      <c r="H632" s="97" t="s">
        <v>70</v>
      </c>
      <c r="I632" s="97" t="s">
        <v>82</v>
      </c>
      <c r="J632" s="97" t="s">
        <v>83</v>
      </c>
      <c r="K632" s="97" t="s">
        <v>73</v>
      </c>
      <c r="L632">
        <v>701000</v>
      </c>
      <c r="M632" s="97" t="s">
        <v>62</v>
      </c>
      <c r="N632" s="97" t="s">
        <v>33</v>
      </c>
      <c r="O632">
        <v>90</v>
      </c>
      <c r="P632">
        <v>18.559999999999999</v>
      </c>
      <c r="Q632">
        <v>1.67</v>
      </c>
      <c r="R632" s="97" t="s">
        <v>1199</v>
      </c>
      <c r="S632" s="97" t="s">
        <v>195</v>
      </c>
    </row>
    <row r="633" spans="1:19" x14ac:dyDescent="0.3">
      <c r="A633" s="97" t="s">
        <v>826</v>
      </c>
      <c r="B633" s="97" t="s">
        <v>22</v>
      </c>
      <c r="C633">
        <v>2025</v>
      </c>
      <c r="D633">
        <v>1</v>
      </c>
      <c r="E633" s="2">
        <v>45680</v>
      </c>
      <c r="F633" s="97" t="s">
        <v>7</v>
      </c>
      <c r="G633" s="97" t="s">
        <v>8</v>
      </c>
      <c r="H633" s="97" t="s">
        <v>70</v>
      </c>
      <c r="I633" s="97" t="s">
        <v>82</v>
      </c>
      <c r="J633" s="97" t="s">
        <v>83</v>
      </c>
      <c r="K633" s="97" t="s">
        <v>73</v>
      </c>
      <c r="L633">
        <v>701000</v>
      </c>
      <c r="M633" s="97" t="s">
        <v>62</v>
      </c>
      <c r="N633" s="97" t="s">
        <v>33</v>
      </c>
      <c r="O633">
        <v>155</v>
      </c>
      <c r="P633">
        <v>18.52</v>
      </c>
      <c r="Q633">
        <v>2.87</v>
      </c>
      <c r="R633" s="97" t="s">
        <v>1202</v>
      </c>
      <c r="S633" s="97" t="s">
        <v>195</v>
      </c>
    </row>
    <row r="634" spans="1:19" x14ac:dyDescent="0.3">
      <c r="A634" s="97" t="s">
        <v>827</v>
      </c>
      <c r="B634" s="97" t="s">
        <v>22</v>
      </c>
      <c r="C634">
        <v>2025</v>
      </c>
      <c r="D634">
        <v>1</v>
      </c>
      <c r="E634" s="2">
        <v>45680</v>
      </c>
      <c r="F634" s="97" t="s">
        <v>7</v>
      </c>
      <c r="G634" s="97" t="s">
        <v>8</v>
      </c>
      <c r="H634" s="97" t="s">
        <v>70</v>
      </c>
      <c r="I634" s="97" t="s">
        <v>82</v>
      </c>
      <c r="J634" s="97" t="s">
        <v>83</v>
      </c>
      <c r="K634" s="97" t="s">
        <v>73</v>
      </c>
      <c r="L634">
        <v>701000</v>
      </c>
      <c r="M634" s="97" t="s">
        <v>62</v>
      </c>
      <c r="N634" s="97" t="s">
        <v>33</v>
      </c>
      <c r="O634">
        <v>41</v>
      </c>
      <c r="P634">
        <v>18.54</v>
      </c>
      <c r="Q634">
        <v>0.76</v>
      </c>
      <c r="R634" s="97" t="s">
        <v>1205</v>
      </c>
      <c r="S634" s="97" t="s">
        <v>195</v>
      </c>
    </row>
    <row r="635" spans="1:19" x14ac:dyDescent="0.3">
      <c r="A635" s="97" t="s">
        <v>828</v>
      </c>
      <c r="B635" s="97" t="s">
        <v>22</v>
      </c>
      <c r="C635">
        <v>2025</v>
      </c>
      <c r="D635">
        <v>1</v>
      </c>
      <c r="E635" s="2">
        <v>45680</v>
      </c>
      <c r="F635" s="97" t="s">
        <v>7</v>
      </c>
      <c r="G635" s="97" t="s">
        <v>8</v>
      </c>
      <c r="H635" s="97" t="s">
        <v>70</v>
      </c>
      <c r="I635" s="97" t="s">
        <v>82</v>
      </c>
      <c r="J635" s="97" t="s">
        <v>83</v>
      </c>
      <c r="K635" s="97" t="s">
        <v>73</v>
      </c>
      <c r="L635">
        <v>701000</v>
      </c>
      <c r="M635" s="97" t="s">
        <v>62</v>
      </c>
      <c r="N635" s="97" t="s">
        <v>33</v>
      </c>
      <c r="O635">
        <v>132</v>
      </c>
      <c r="P635">
        <v>18.48</v>
      </c>
      <c r="Q635">
        <v>2.44</v>
      </c>
      <c r="R635" s="97" t="s">
        <v>1201</v>
      </c>
      <c r="S635" s="97" t="s">
        <v>195</v>
      </c>
    </row>
    <row r="636" spans="1:19" x14ac:dyDescent="0.3">
      <c r="A636" s="97" t="s">
        <v>829</v>
      </c>
      <c r="B636" s="97" t="s">
        <v>22</v>
      </c>
      <c r="C636">
        <v>2025</v>
      </c>
      <c r="D636">
        <v>1</v>
      </c>
      <c r="E636" s="2">
        <v>45680</v>
      </c>
      <c r="F636" s="97" t="s">
        <v>7</v>
      </c>
      <c r="G636" s="97" t="s">
        <v>8</v>
      </c>
      <c r="H636" s="97" t="s">
        <v>70</v>
      </c>
      <c r="I636" s="97" t="s">
        <v>82</v>
      </c>
      <c r="J636" s="97" t="s">
        <v>83</v>
      </c>
      <c r="K636" s="97" t="s">
        <v>73</v>
      </c>
      <c r="L636">
        <v>701000</v>
      </c>
      <c r="M636" s="97" t="s">
        <v>62</v>
      </c>
      <c r="N636" s="97" t="s">
        <v>33</v>
      </c>
      <c r="O636">
        <v>83</v>
      </c>
      <c r="P636">
        <v>18.43</v>
      </c>
      <c r="Q636">
        <v>1.53</v>
      </c>
      <c r="R636" s="97" t="s">
        <v>1204</v>
      </c>
      <c r="S636" s="97" t="s">
        <v>195</v>
      </c>
    </row>
    <row r="637" spans="1:19" x14ac:dyDescent="0.3">
      <c r="A637" s="97" t="s">
        <v>830</v>
      </c>
      <c r="B637" s="97" t="s">
        <v>22</v>
      </c>
      <c r="C637">
        <v>2025</v>
      </c>
      <c r="D637">
        <v>1</v>
      </c>
      <c r="E637" s="2">
        <v>45663</v>
      </c>
      <c r="F637" s="97" t="s">
        <v>7</v>
      </c>
      <c r="G637" s="97" t="s">
        <v>8</v>
      </c>
      <c r="H637" s="97" t="s">
        <v>70</v>
      </c>
      <c r="I637" s="97" t="s">
        <v>82</v>
      </c>
      <c r="J637" s="97" t="s">
        <v>83</v>
      </c>
      <c r="K637" s="97" t="s">
        <v>73</v>
      </c>
      <c r="L637">
        <v>701000</v>
      </c>
      <c r="M637" s="97" t="s">
        <v>62</v>
      </c>
      <c r="N637" s="97" t="s">
        <v>33</v>
      </c>
      <c r="O637">
        <v>121</v>
      </c>
      <c r="P637">
        <v>18.510000000000002</v>
      </c>
      <c r="Q637">
        <v>2.2400000000000002</v>
      </c>
      <c r="R637" s="97" t="s">
        <v>1201</v>
      </c>
      <c r="S637" s="97" t="s">
        <v>195</v>
      </c>
    </row>
    <row r="638" spans="1:19" x14ac:dyDescent="0.3">
      <c r="A638" s="97" t="s">
        <v>831</v>
      </c>
      <c r="B638" s="97" t="s">
        <v>22</v>
      </c>
      <c r="C638">
        <v>2025</v>
      </c>
      <c r="D638">
        <v>1</v>
      </c>
      <c r="E638" s="2">
        <v>45663</v>
      </c>
      <c r="F638" s="97" t="s">
        <v>7</v>
      </c>
      <c r="G638" s="97" t="s">
        <v>8</v>
      </c>
      <c r="H638" s="97" t="s">
        <v>70</v>
      </c>
      <c r="I638" s="97" t="s">
        <v>82</v>
      </c>
      <c r="J638" s="97" t="s">
        <v>83</v>
      </c>
      <c r="K638" s="97" t="s">
        <v>73</v>
      </c>
      <c r="L638">
        <v>701000</v>
      </c>
      <c r="M638" s="97" t="s">
        <v>62</v>
      </c>
      <c r="N638" s="97" t="s">
        <v>33</v>
      </c>
      <c r="O638">
        <v>21</v>
      </c>
      <c r="P638">
        <v>18.100000000000001</v>
      </c>
      <c r="Q638">
        <v>0.38</v>
      </c>
      <c r="R638" s="97" t="s">
        <v>1202</v>
      </c>
      <c r="S638" s="97" t="s">
        <v>195</v>
      </c>
    </row>
    <row r="639" spans="1:19" x14ac:dyDescent="0.3">
      <c r="A639" s="97" t="s">
        <v>832</v>
      </c>
      <c r="B639" s="97" t="s">
        <v>22</v>
      </c>
      <c r="C639">
        <v>2025</v>
      </c>
      <c r="D639">
        <v>1</v>
      </c>
      <c r="E639" s="2">
        <v>45663</v>
      </c>
      <c r="F639" s="97" t="s">
        <v>7</v>
      </c>
      <c r="G639" s="97" t="s">
        <v>8</v>
      </c>
      <c r="H639" s="97" t="s">
        <v>70</v>
      </c>
      <c r="I639" s="97" t="s">
        <v>82</v>
      </c>
      <c r="J639" s="97" t="s">
        <v>83</v>
      </c>
      <c r="K639" s="97" t="s">
        <v>73</v>
      </c>
      <c r="L639">
        <v>701000</v>
      </c>
      <c r="M639" s="97" t="s">
        <v>62</v>
      </c>
      <c r="N639" s="97" t="s">
        <v>33</v>
      </c>
      <c r="O639">
        <v>99</v>
      </c>
      <c r="P639">
        <v>18.59</v>
      </c>
      <c r="Q639">
        <v>1.84</v>
      </c>
      <c r="R639" s="97" t="s">
        <v>1203</v>
      </c>
      <c r="S639" s="97" t="s">
        <v>195</v>
      </c>
    </row>
    <row r="640" spans="1:19" x14ac:dyDescent="0.3">
      <c r="A640" s="97" t="s">
        <v>833</v>
      </c>
      <c r="B640" s="97" t="s">
        <v>22</v>
      </c>
      <c r="C640">
        <v>2025</v>
      </c>
      <c r="D640">
        <v>1</v>
      </c>
      <c r="E640" s="2">
        <v>45663</v>
      </c>
      <c r="F640" s="97" t="s">
        <v>7</v>
      </c>
      <c r="G640" s="97" t="s">
        <v>8</v>
      </c>
      <c r="H640" s="97" t="s">
        <v>70</v>
      </c>
      <c r="I640" s="97" t="s">
        <v>82</v>
      </c>
      <c r="J640" s="97" t="s">
        <v>83</v>
      </c>
      <c r="K640" s="97" t="s">
        <v>73</v>
      </c>
      <c r="L640">
        <v>701000</v>
      </c>
      <c r="M640" s="97" t="s">
        <v>62</v>
      </c>
      <c r="N640" s="97" t="s">
        <v>33</v>
      </c>
      <c r="O640">
        <v>218</v>
      </c>
      <c r="P640">
        <v>18.489999999999998</v>
      </c>
      <c r="Q640">
        <v>4.03</v>
      </c>
      <c r="R640" s="97" t="s">
        <v>1197</v>
      </c>
      <c r="S640" s="97" t="s">
        <v>195</v>
      </c>
    </row>
    <row r="641" spans="1:19" x14ac:dyDescent="0.3">
      <c r="A641" s="97" t="s">
        <v>834</v>
      </c>
      <c r="B641" s="97" t="s">
        <v>22</v>
      </c>
      <c r="C641">
        <v>2025</v>
      </c>
      <c r="D641">
        <v>1</v>
      </c>
      <c r="E641" s="2">
        <v>45663</v>
      </c>
      <c r="F641" s="97" t="s">
        <v>7</v>
      </c>
      <c r="G641" s="97" t="s">
        <v>8</v>
      </c>
      <c r="H641" s="97" t="s">
        <v>70</v>
      </c>
      <c r="I641" s="97" t="s">
        <v>82</v>
      </c>
      <c r="J641" s="97" t="s">
        <v>83</v>
      </c>
      <c r="K641" s="97" t="s">
        <v>73</v>
      </c>
      <c r="L641">
        <v>701000</v>
      </c>
      <c r="M641" s="97" t="s">
        <v>62</v>
      </c>
      <c r="N641" s="97" t="s">
        <v>33</v>
      </c>
      <c r="O641">
        <v>57</v>
      </c>
      <c r="P641">
        <v>18.600000000000001</v>
      </c>
      <c r="Q641">
        <v>1.06</v>
      </c>
      <c r="R641" s="97" t="s">
        <v>1205</v>
      </c>
      <c r="S641" s="97" t="s">
        <v>195</v>
      </c>
    </row>
    <row r="642" spans="1:19" x14ac:dyDescent="0.3">
      <c r="A642" s="97" t="s">
        <v>835</v>
      </c>
      <c r="B642" s="97" t="s">
        <v>22</v>
      </c>
      <c r="C642">
        <v>2025</v>
      </c>
      <c r="D642">
        <v>1</v>
      </c>
      <c r="E642" s="2">
        <v>45663</v>
      </c>
      <c r="F642" s="97" t="s">
        <v>7</v>
      </c>
      <c r="G642" s="97" t="s">
        <v>8</v>
      </c>
      <c r="H642" s="97" t="s">
        <v>74</v>
      </c>
      <c r="I642" s="97" t="s">
        <v>82</v>
      </c>
      <c r="J642" s="97" t="s">
        <v>83</v>
      </c>
      <c r="K642" s="97" t="s">
        <v>73</v>
      </c>
      <c r="L642">
        <v>701000</v>
      </c>
      <c r="M642" s="97" t="s">
        <v>62</v>
      </c>
      <c r="N642" s="97" t="s">
        <v>33</v>
      </c>
      <c r="O642">
        <v>125</v>
      </c>
      <c r="P642">
        <v>18.48</v>
      </c>
      <c r="Q642">
        <v>2.31</v>
      </c>
      <c r="R642" s="97" t="s">
        <v>1203</v>
      </c>
      <c r="S642" s="97" t="s">
        <v>195</v>
      </c>
    </row>
    <row r="643" spans="1:19" x14ac:dyDescent="0.3">
      <c r="A643" s="97" t="s">
        <v>836</v>
      </c>
      <c r="B643" s="97" t="s">
        <v>22</v>
      </c>
      <c r="C643">
        <v>2025</v>
      </c>
      <c r="D643">
        <v>1</v>
      </c>
      <c r="E643" s="2">
        <v>45663</v>
      </c>
      <c r="F643" s="97" t="s">
        <v>7</v>
      </c>
      <c r="G643" s="97" t="s">
        <v>8</v>
      </c>
      <c r="H643" s="97" t="s">
        <v>74</v>
      </c>
      <c r="I643" s="97" t="s">
        <v>82</v>
      </c>
      <c r="J643" s="97" t="s">
        <v>83</v>
      </c>
      <c r="K643" s="97" t="s">
        <v>73</v>
      </c>
      <c r="L643">
        <v>701000</v>
      </c>
      <c r="M643" s="97" t="s">
        <v>62</v>
      </c>
      <c r="N643" s="97" t="s">
        <v>33</v>
      </c>
      <c r="O643">
        <v>54</v>
      </c>
      <c r="P643">
        <v>18.329999999999998</v>
      </c>
      <c r="Q643">
        <v>0.99</v>
      </c>
      <c r="R643" s="97" t="s">
        <v>1202</v>
      </c>
      <c r="S643" s="97" t="s">
        <v>195</v>
      </c>
    </row>
    <row r="644" spans="1:19" x14ac:dyDescent="0.3">
      <c r="A644" s="97" t="s">
        <v>837</v>
      </c>
      <c r="B644" s="97" t="s">
        <v>22</v>
      </c>
      <c r="C644">
        <v>2025</v>
      </c>
      <c r="D644">
        <v>1</v>
      </c>
      <c r="E644" s="2">
        <v>45663</v>
      </c>
      <c r="F644" s="97" t="s">
        <v>7</v>
      </c>
      <c r="G644" s="97" t="s">
        <v>8</v>
      </c>
      <c r="H644" s="97" t="s">
        <v>74</v>
      </c>
      <c r="I644" s="97" t="s">
        <v>82</v>
      </c>
      <c r="J644" s="97" t="s">
        <v>83</v>
      </c>
      <c r="K644" s="97" t="s">
        <v>73</v>
      </c>
      <c r="L644">
        <v>701000</v>
      </c>
      <c r="M644" s="97" t="s">
        <v>62</v>
      </c>
      <c r="N644" s="97" t="s">
        <v>33</v>
      </c>
      <c r="O644">
        <v>60</v>
      </c>
      <c r="P644">
        <v>18.670000000000002</v>
      </c>
      <c r="Q644">
        <v>1.1200000000000001</v>
      </c>
      <c r="R644" s="97" t="s">
        <v>1197</v>
      </c>
      <c r="S644" s="97" t="s">
        <v>195</v>
      </c>
    </row>
    <row r="645" spans="1:19" x14ac:dyDescent="0.3">
      <c r="A645" s="97" t="s">
        <v>838</v>
      </c>
      <c r="B645" s="97" t="s">
        <v>22</v>
      </c>
      <c r="C645">
        <v>2025</v>
      </c>
      <c r="D645">
        <v>1</v>
      </c>
      <c r="E645" s="2">
        <v>45663</v>
      </c>
      <c r="F645" s="97" t="s">
        <v>7</v>
      </c>
      <c r="G645" s="97" t="s">
        <v>8</v>
      </c>
      <c r="H645" s="97" t="s">
        <v>74</v>
      </c>
      <c r="I645" s="97" t="s">
        <v>82</v>
      </c>
      <c r="J645" s="97" t="s">
        <v>83</v>
      </c>
      <c r="K645" s="97" t="s">
        <v>73</v>
      </c>
      <c r="L645">
        <v>701000</v>
      </c>
      <c r="M645" s="97" t="s">
        <v>62</v>
      </c>
      <c r="N645" s="97" t="s">
        <v>33</v>
      </c>
      <c r="O645">
        <v>243</v>
      </c>
      <c r="P645">
        <v>18.52</v>
      </c>
      <c r="Q645">
        <v>4.5</v>
      </c>
      <c r="R645" s="97" t="s">
        <v>1198</v>
      </c>
      <c r="S645" s="97" t="s">
        <v>195</v>
      </c>
    </row>
    <row r="646" spans="1:19" x14ac:dyDescent="0.3">
      <c r="A646" s="97" t="s">
        <v>839</v>
      </c>
      <c r="B646" s="97" t="s">
        <v>22</v>
      </c>
      <c r="C646">
        <v>2025</v>
      </c>
      <c r="D646">
        <v>1</v>
      </c>
      <c r="E646" s="2">
        <v>45663</v>
      </c>
      <c r="F646" s="97" t="s">
        <v>7</v>
      </c>
      <c r="G646" s="97" t="s">
        <v>8</v>
      </c>
      <c r="H646" s="97" t="s">
        <v>74</v>
      </c>
      <c r="I646" s="97" t="s">
        <v>82</v>
      </c>
      <c r="J646" s="97" t="s">
        <v>83</v>
      </c>
      <c r="K646" s="97" t="s">
        <v>73</v>
      </c>
      <c r="L646">
        <v>701000</v>
      </c>
      <c r="M646" s="97" t="s">
        <v>62</v>
      </c>
      <c r="N646" s="97" t="s">
        <v>33</v>
      </c>
      <c r="O646">
        <v>105</v>
      </c>
      <c r="P646">
        <v>18.48</v>
      </c>
      <c r="Q646">
        <v>1.94</v>
      </c>
      <c r="R646" s="97" t="s">
        <v>1199</v>
      </c>
      <c r="S646" s="97" t="s">
        <v>195</v>
      </c>
    </row>
    <row r="647" spans="1:19" x14ac:dyDescent="0.3">
      <c r="A647" s="97" t="s">
        <v>840</v>
      </c>
      <c r="B647" s="97" t="s">
        <v>22</v>
      </c>
      <c r="C647">
        <v>2025</v>
      </c>
      <c r="D647">
        <v>1</v>
      </c>
      <c r="E647" s="2">
        <v>45659</v>
      </c>
      <c r="F647" s="97" t="s">
        <v>7</v>
      </c>
      <c r="G647" s="97" t="s">
        <v>8</v>
      </c>
      <c r="H647" s="97" t="s">
        <v>70</v>
      </c>
      <c r="I647" s="97" t="s">
        <v>82</v>
      </c>
      <c r="J647" s="97" t="s">
        <v>83</v>
      </c>
      <c r="K647" s="97" t="s">
        <v>73</v>
      </c>
      <c r="L647">
        <v>701000</v>
      </c>
      <c r="M647" s="97" t="s">
        <v>62</v>
      </c>
      <c r="N647" s="97" t="s">
        <v>33</v>
      </c>
      <c r="O647">
        <v>156</v>
      </c>
      <c r="P647">
        <v>18.46</v>
      </c>
      <c r="Q647">
        <v>2.88</v>
      </c>
      <c r="R647" s="97" t="s">
        <v>1200</v>
      </c>
      <c r="S647" s="97" t="s">
        <v>195</v>
      </c>
    </row>
    <row r="648" spans="1:19" x14ac:dyDescent="0.3">
      <c r="A648" s="97" t="s">
        <v>841</v>
      </c>
      <c r="B648" s="97" t="s">
        <v>22</v>
      </c>
      <c r="C648">
        <v>2025</v>
      </c>
      <c r="D648">
        <v>1</v>
      </c>
      <c r="E648" s="2">
        <v>45659</v>
      </c>
      <c r="F648" s="97" t="s">
        <v>7</v>
      </c>
      <c r="G648" s="97" t="s">
        <v>8</v>
      </c>
      <c r="H648" s="97" t="s">
        <v>70</v>
      </c>
      <c r="I648" s="97" t="s">
        <v>82</v>
      </c>
      <c r="J648" s="97" t="s">
        <v>83</v>
      </c>
      <c r="K648" s="97" t="s">
        <v>73</v>
      </c>
      <c r="L648">
        <v>701000</v>
      </c>
      <c r="M648" s="97" t="s">
        <v>62</v>
      </c>
      <c r="N648" s="97" t="s">
        <v>33</v>
      </c>
      <c r="O648">
        <v>77</v>
      </c>
      <c r="P648">
        <v>18.440000000000001</v>
      </c>
      <c r="Q648">
        <v>1.42</v>
      </c>
      <c r="R648" s="97" t="s">
        <v>1203</v>
      </c>
      <c r="S648" s="97" t="s">
        <v>195</v>
      </c>
    </row>
    <row r="649" spans="1:19" x14ac:dyDescent="0.3">
      <c r="A649" s="97" t="s">
        <v>842</v>
      </c>
      <c r="B649" s="97" t="s">
        <v>22</v>
      </c>
      <c r="C649">
        <v>2025</v>
      </c>
      <c r="D649">
        <v>1</v>
      </c>
      <c r="E649" s="2">
        <v>45659</v>
      </c>
      <c r="F649" s="97" t="s">
        <v>7</v>
      </c>
      <c r="G649" s="97" t="s">
        <v>8</v>
      </c>
      <c r="H649" s="97" t="s">
        <v>70</v>
      </c>
      <c r="I649" s="97" t="s">
        <v>82</v>
      </c>
      <c r="J649" s="97" t="s">
        <v>83</v>
      </c>
      <c r="K649" s="97" t="s">
        <v>73</v>
      </c>
      <c r="L649">
        <v>701000</v>
      </c>
      <c r="M649" s="97" t="s">
        <v>62</v>
      </c>
      <c r="N649" s="97" t="s">
        <v>33</v>
      </c>
      <c r="O649">
        <v>33</v>
      </c>
      <c r="P649">
        <v>18.48</v>
      </c>
      <c r="Q649">
        <v>0.61</v>
      </c>
      <c r="R649" s="97" t="s">
        <v>1205</v>
      </c>
      <c r="S649" s="97" t="s">
        <v>195</v>
      </c>
    </row>
    <row r="650" spans="1:19" x14ac:dyDescent="0.3">
      <c r="A650" s="97" t="s">
        <v>843</v>
      </c>
      <c r="B650" s="97" t="s">
        <v>22</v>
      </c>
      <c r="C650">
        <v>2025</v>
      </c>
      <c r="D650">
        <v>1</v>
      </c>
      <c r="E650" s="2">
        <v>45659</v>
      </c>
      <c r="F650" s="97" t="s">
        <v>7</v>
      </c>
      <c r="G650" s="97" t="s">
        <v>8</v>
      </c>
      <c r="H650" s="97" t="s">
        <v>70</v>
      </c>
      <c r="I650" s="97" t="s">
        <v>82</v>
      </c>
      <c r="J650" s="97" t="s">
        <v>83</v>
      </c>
      <c r="K650" s="97" t="s">
        <v>73</v>
      </c>
      <c r="L650">
        <v>701000</v>
      </c>
      <c r="M650" s="97" t="s">
        <v>62</v>
      </c>
      <c r="N650" s="97" t="s">
        <v>33</v>
      </c>
      <c r="O650">
        <v>174</v>
      </c>
      <c r="P650">
        <v>18.559999999999999</v>
      </c>
      <c r="Q650">
        <v>3.23</v>
      </c>
      <c r="R650" s="97" t="s">
        <v>1201</v>
      </c>
      <c r="S650" s="97" t="s">
        <v>195</v>
      </c>
    </row>
    <row r="651" spans="1:19" x14ac:dyDescent="0.3">
      <c r="A651" s="97" t="s">
        <v>844</v>
      </c>
      <c r="B651" s="97" t="s">
        <v>22</v>
      </c>
      <c r="C651">
        <v>2025</v>
      </c>
      <c r="D651">
        <v>1</v>
      </c>
      <c r="E651" s="2">
        <v>45659</v>
      </c>
      <c r="F651" s="97" t="s">
        <v>7</v>
      </c>
      <c r="G651" s="97" t="s">
        <v>8</v>
      </c>
      <c r="H651" s="97" t="s">
        <v>70</v>
      </c>
      <c r="I651" s="97" t="s">
        <v>82</v>
      </c>
      <c r="J651" s="97" t="s">
        <v>83</v>
      </c>
      <c r="K651" s="97" t="s">
        <v>73</v>
      </c>
      <c r="L651">
        <v>701000</v>
      </c>
      <c r="M651" s="97" t="s">
        <v>62</v>
      </c>
      <c r="N651" s="97" t="s">
        <v>33</v>
      </c>
      <c r="O651">
        <v>113</v>
      </c>
      <c r="P651">
        <v>18.5</v>
      </c>
      <c r="Q651">
        <v>2.09</v>
      </c>
      <c r="R651" s="97" t="s">
        <v>1199</v>
      </c>
      <c r="S651" s="97" t="s">
        <v>195</v>
      </c>
    </row>
    <row r="652" spans="1:19" x14ac:dyDescent="0.3">
      <c r="A652" s="97" t="s">
        <v>845</v>
      </c>
      <c r="B652" s="97" t="s">
        <v>22</v>
      </c>
      <c r="C652">
        <v>2025</v>
      </c>
      <c r="D652">
        <v>1</v>
      </c>
      <c r="E652" s="2">
        <v>45663</v>
      </c>
      <c r="F652" s="97" t="s">
        <v>7</v>
      </c>
      <c r="G652" s="97" t="s">
        <v>8</v>
      </c>
      <c r="H652" s="97" t="s">
        <v>70</v>
      </c>
      <c r="I652" s="97" t="s">
        <v>82</v>
      </c>
      <c r="J652" s="97" t="s">
        <v>83</v>
      </c>
      <c r="K652" s="97" t="s">
        <v>73</v>
      </c>
      <c r="L652">
        <v>701000</v>
      </c>
      <c r="M652" s="97" t="s">
        <v>62</v>
      </c>
      <c r="N652" s="97" t="s">
        <v>33</v>
      </c>
      <c r="O652">
        <v>131</v>
      </c>
      <c r="P652">
        <v>18.47</v>
      </c>
      <c r="Q652">
        <v>2.42</v>
      </c>
      <c r="R652" s="97" t="s">
        <v>1204</v>
      </c>
      <c r="S652" s="97" t="s">
        <v>195</v>
      </c>
    </row>
    <row r="653" spans="1:19" x14ac:dyDescent="0.3">
      <c r="A653" s="97" t="s">
        <v>846</v>
      </c>
      <c r="B653" s="97" t="s">
        <v>22</v>
      </c>
      <c r="C653">
        <v>2025</v>
      </c>
      <c r="D653">
        <v>1</v>
      </c>
      <c r="E653" s="2">
        <v>45663</v>
      </c>
      <c r="F653" s="97" t="s">
        <v>7</v>
      </c>
      <c r="G653" s="97" t="s">
        <v>8</v>
      </c>
      <c r="H653" s="97" t="s">
        <v>70</v>
      </c>
      <c r="I653" s="97" t="s">
        <v>82</v>
      </c>
      <c r="J653" s="97" t="s">
        <v>83</v>
      </c>
      <c r="K653" s="97" t="s">
        <v>73</v>
      </c>
      <c r="L653">
        <v>701000</v>
      </c>
      <c r="M653" s="97" t="s">
        <v>62</v>
      </c>
      <c r="N653" s="97" t="s">
        <v>33</v>
      </c>
      <c r="O653">
        <v>197</v>
      </c>
      <c r="P653">
        <v>18.53</v>
      </c>
      <c r="Q653">
        <v>3.65</v>
      </c>
      <c r="R653" s="97" t="s">
        <v>1198</v>
      </c>
      <c r="S653" s="97" t="s">
        <v>195</v>
      </c>
    </row>
    <row r="654" spans="1:19" x14ac:dyDescent="0.3">
      <c r="A654" s="97" t="s">
        <v>847</v>
      </c>
      <c r="B654" s="97" t="s">
        <v>22</v>
      </c>
      <c r="C654">
        <v>2025</v>
      </c>
      <c r="D654">
        <v>1</v>
      </c>
      <c r="E654" s="2">
        <v>45663</v>
      </c>
      <c r="F654" s="97" t="s">
        <v>7</v>
      </c>
      <c r="G654" s="97" t="s">
        <v>8</v>
      </c>
      <c r="H654" s="97" t="s">
        <v>70</v>
      </c>
      <c r="I654" s="97" t="s">
        <v>82</v>
      </c>
      <c r="J654" s="97" t="s">
        <v>83</v>
      </c>
      <c r="K654" s="97" t="s">
        <v>73</v>
      </c>
      <c r="L654">
        <v>701000</v>
      </c>
      <c r="M654" s="97" t="s">
        <v>62</v>
      </c>
      <c r="N654" s="97" t="s">
        <v>33</v>
      </c>
      <c r="O654">
        <v>76</v>
      </c>
      <c r="P654">
        <v>18.55</v>
      </c>
      <c r="Q654">
        <v>1.41</v>
      </c>
      <c r="R654" s="97" t="s">
        <v>1197</v>
      </c>
      <c r="S654" s="97" t="s">
        <v>195</v>
      </c>
    </row>
    <row r="655" spans="1:19" x14ac:dyDescent="0.3">
      <c r="A655" s="97" t="s">
        <v>848</v>
      </c>
      <c r="B655" s="97" t="s">
        <v>22</v>
      </c>
      <c r="C655">
        <v>2025</v>
      </c>
      <c r="D655">
        <v>1</v>
      </c>
      <c r="E655" s="2">
        <v>45663</v>
      </c>
      <c r="F655" s="97" t="s">
        <v>7</v>
      </c>
      <c r="G655" s="97" t="s">
        <v>8</v>
      </c>
      <c r="H655" s="97" t="s">
        <v>70</v>
      </c>
      <c r="I655" s="97" t="s">
        <v>82</v>
      </c>
      <c r="J655" s="97" t="s">
        <v>83</v>
      </c>
      <c r="K655" s="97" t="s">
        <v>73</v>
      </c>
      <c r="L655">
        <v>701000</v>
      </c>
      <c r="M655" s="97" t="s">
        <v>62</v>
      </c>
      <c r="N655" s="97" t="s">
        <v>33</v>
      </c>
      <c r="O655">
        <v>48</v>
      </c>
      <c r="P655">
        <v>18.54</v>
      </c>
      <c r="Q655">
        <v>0.89</v>
      </c>
      <c r="R655" s="97" t="s">
        <v>1200</v>
      </c>
      <c r="S655" s="97" t="s">
        <v>195</v>
      </c>
    </row>
    <row r="656" spans="1:19" x14ac:dyDescent="0.3">
      <c r="A656" s="97" t="s">
        <v>849</v>
      </c>
      <c r="B656" s="97" t="s">
        <v>22</v>
      </c>
      <c r="C656">
        <v>2025</v>
      </c>
      <c r="D656">
        <v>1</v>
      </c>
      <c r="E656" s="2">
        <v>45663</v>
      </c>
      <c r="F656" s="97" t="s">
        <v>7</v>
      </c>
      <c r="G656" s="97" t="s">
        <v>8</v>
      </c>
      <c r="H656" s="97" t="s">
        <v>70</v>
      </c>
      <c r="I656" s="97" t="s">
        <v>82</v>
      </c>
      <c r="J656" s="97" t="s">
        <v>83</v>
      </c>
      <c r="K656" s="97" t="s">
        <v>73</v>
      </c>
      <c r="L656">
        <v>701000</v>
      </c>
      <c r="M656" s="97" t="s">
        <v>62</v>
      </c>
      <c r="N656" s="97" t="s">
        <v>33</v>
      </c>
      <c r="O656">
        <v>93</v>
      </c>
      <c r="P656">
        <v>18.39</v>
      </c>
      <c r="Q656">
        <v>1.71</v>
      </c>
      <c r="R656" s="97" t="s">
        <v>1199</v>
      </c>
      <c r="S656" s="97" t="s">
        <v>195</v>
      </c>
    </row>
    <row r="657" spans="1:19" x14ac:dyDescent="0.3">
      <c r="A657" s="97" t="s">
        <v>850</v>
      </c>
      <c r="B657" s="97" t="s">
        <v>22</v>
      </c>
      <c r="C657">
        <v>2025</v>
      </c>
      <c r="D657">
        <v>1</v>
      </c>
      <c r="E657" s="2">
        <v>45668</v>
      </c>
      <c r="F657" s="97" t="s">
        <v>7</v>
      </c>
      <c r="G657" s="97" t="s">
        <v>8</v>
      </c>
      <c r="H657" s="97" t="s">
        <v>70</v>
      </c>
      <c r="I657" s="97" t="s">
        <v>82</v>
      </c>
      <c r="J657" s="97" t="s">
        <v>83</v>
      </c>
      <c r="K657" s="97" t="s">
        <v>73</v>
      </c>
      <c r="L657">
        <v>707000</v>
      </c>
      <c r="M657" s="97" t="s">
        <v>81</v>
      </c>
      <c r="N657" s="97" t="s">
        <v>33</v>
      </c>
      <c r="O657">
        <v>107</v>
      </c>
      <c r="P657">
        <v>18.41</v>
      </c>
      <c r="Q657">
        <v>1.97</v>
      </c>
      <c r="R657" s="97" t="s">
        <v>1205</v>
      </c>
      <c r="S657" s="97" t="s">
        <v>195</v>
      </c>
    </row>
    <row r="658" spans="1:19" x14ac:dyDescent="0.3">
      <c r="A658" s="97" t="s">
        <v>851</v>
      </c>
      <c r="B658" s="97" t="s">
        <v>22</v>
      </c>
      <c r="C658">
        <v>2025</v>
      </c>
      <c r="D658">
        <v>1</v>
      </c>
      <c r="E658" s="2">
        <v>45668</v>
      </c>
      <c r="F658" s="97" t="s">
        <v>7</v>
      </c>
      <c r="G658" s="97" t="s">
        <v>8</v>
      </c>
      <c r="H658" s="97" t="s">
        <v>70</v>
      </c>
      <c r="I658" s="97" t="s">
        <v>82</v>
      </c>
      <c r="J658" s="97" t="s">
        <v>83</v>
      </c>
      <c r="K658" s="97" t="s">
        <v>73</v>
      </c>
      <c r="L658">
        <v>707000</v>
      </c>
      <c r="M658" s="97" t="s">
        <v>81</v>
      </c>
      <c r="N658" s="97" t="s">
        <v>33</v>
      </c>
      <c r="O658">
        <v>78</v>
      </c>
      <c r="P658">
        <v>18.59</v>
      </c>
      <c r="Q658">
        <v>1.45</v>
      </c>
      <c r="R658" s="97" t="s">
        <v>1201</v>
      </c>
      <c r="S658" s="97" t="s">
        <v>195</v>
      </c>
    </row>
    <row r="659" spans="1:19" x14ac:dyDescent="0.3">
      <c r="A659" s="97" t="s">
        <v>852</v>
      </c>
      <c r="B659" s="97" t="s">
        <v>22</v>
      </c>
      <c r="C659">
        <v>2025</v>
      </c>
      <c r="D659">
        <v>1</v>
      </c>
      <c r="E659" s="2">
        <v>45668</v>
      </c>
      <c r="F659" s="97" t="s">
        <v>7</v>
      </c>
      <c r="G659" s="97" t="s">
        <v>8</v>
      </c>
      <c r="H659" s="97" t="s">
        <v>70</v>
      </c>
      <c r="I659" s="97" t="s">
        <v>82</v>
      </c>
      <c r="J659" s="97" t="s">
        <v>83</v>
      </c>
      <c r="K659" s="97" t="s">
        <v>73</v>
      </c>
      <c r="L659">
        <v>707000</v>
      </c>
      <c r="M659" s="97" t="s">
        <v>81</v>
      </c>
      <c r="N659" s="97" t="s">
        <v>33</v>
      </c>
      <c r="O659">
        <v>66</v>
      </c>
      <c r="P659">
        <v>18.48</v>
      </c>
      <c r="Q659">
        <v>1.22</v>
      </c>
      <c r="R659" s="97" t="s">
        <v>1200</v>
      </c>
      <c r="S659" s="97" t="s">
        <v>195</v>
      </c>
    </row>
    <row r="660" spans="1:19" x14ac:dyDescent="0.3">
      <c r="A660" s="97" t="s">
        <v>853</v>
      </c>
      <c r="B660" s="97" t="s">
        <v>22</v>
      </c>
      <c r="C660">
        <v>2025</v>
      </c>
      <c r="D660">
        <v>1</v>
      </c>
      <c r="E660" s="2">
        <v>45668</v>
      </c>
      <c r="F660" s="97" t="s">
        <v>7</v>
      </c>
      <c r="G660" s="97" t="s">
        <v>8</v>
      </c>
      <c r="H660" s="97" t="s">
        <v>70</v>
      </c>
      <c r="I660" s="97" t="s">
        <v>82</v>
      </c>
      <c r="J660" s="97" t="s">
        <v>83</v>
      </c>
      <c r="K660" s="97" t="s">
        <v>73</v>
      </c>
      <c r="L660">
        <v>707000</v>
      </c>
      <c r="M660" s="97" t="s">
        <v>81</v>
      </c>
      <c r="N660" s="97" t="s">
        <v>33</v>
      </c>
      <c r="O660">
        <v>65</v>
      </c>
      <c r="P660">
        <v>18.62</v>
      </c>
      <c r="Q660">
        <v>1.21</v>
      </c>
      <c r="R660" s="97" t="s">
        <v>1204</v>
      </c>
      <c r="S660" s="97" t="s">
        <v>195</v>
      </c>
    </row>
    <row r="661" spans="1:19" x14ac:dyDescent="0.3">
      <c r="A661" s="97" t="s">
        <v>854</v>
      </c>
      <c r="B661" s="97" t="s">
        <v>22</v>
      </c>
      <c r="C661">
        <v>2025</v>
      </c>
      <c r="D661">
        <v>1</v>
      </c>
      <c r="E661" s="2">
        <v>45668</v>
      </c>
      <c r="F661" s="97" t="s">
        <v>7</v>
      </c>
      <c r="G661" s="97" t="s">
        <v>8</v>
      </c>
      <c r="H661" s="97" t="s">
        <v>70</v>
      </c>
      <c r="I661" s="97" t="s">
        <v>82</v>
      </c>
      <c r="J661" s="97" t="s">
        <v>83</v>
      </c>
      <c r="K661" s="97" t="s">
        <v>73</v>
      </c>
      <c r="L661">
        <v>707000</v>
      </c>
      <c r="M661" s="97" t="s">
        <v>81</v>
      </c>
      <c r="N661" s="97" t="s">
        <v>33</v>
      </c>
      <c r="O661">
        <v>141</v>
      </c>
      <c r="P661">
        <v>18.510000000000002</v>
      </c>
      <c r="Q661">
        <v>2.61</v>
      </c>
      <c r="R661" s="97" t="s">
        <v>1199</v>
      </c>
      <c r="S661" s="97" t="s">
        <v>195</v>
      </c>
    </row>
    <row r="662" spans="1:19" x14ac:dyDescent="0.3">
      <c r="A662" s="97" t="s">
        <v>855</v>
      </c>
      <c r="B662" s="97" t="s">
        <v>22</v>
      </c>
      <c r="C662">
        <v>2025</v>
      </c>
      <c r="D662">
        <v>1</v>
      </c>
      <c r="E662" s="2">
        <v>45678</v>
      </c>
      <c r="F662" s="97" t="s">
        <v>7</v>
      </c>
      <c r="G662" s="97" t="s">
        <v>8</v>
      </c>
      <c r="H662" s="97" t="s">
        <v>74</v>
      </c>
      <c r="I662" s="97" t="s">
        <v>82</v>
      </c>
      <c r="J662" s="97" t="s">
        <v>83</v>
      </c>
      <c r="K662" s="97" t="s">
        <v>73</v>
      </c>
      <c r="L662">
        <v>701000</v>
      </c>
      <c r="M662" s="97" t="s">
        <v>62</v>
      </c>
      <c r="N662" s="97" t="s">
        <v>33</v>
      </c>
      <c r="O662">
        <v>197</v>
      </c>
      <c r="P662">
        <v>18.48</v>
      </c>
      <c r="Q662">
        <v>3.64</v>
      </c>
      <c r="R662" s="97" t="s">
        <v>1205</v>
      </c>
      <c r="S662" s="97" t="s">
        <v>195</v>
      </c>
    </row>
    <row r="663" spans="1:19" x14ac:dyDescent="0.3">
      <c r="A663" s="97" t="s">
        <v>856</v>
      </c>
      <c r="B663" s="97" t="s">
        <v>22</v>
      </c>
      <c r="C663">
        <v>2025</v>
      </c>
      <c r="D663">
        <v>1</v>
      </c>
      <c r="E663" s="2">
        <v>45678</v>
      </c>
      <c r="F663" s="97" t="s">
        <v>7</v>
      </c>
      <c r="G663" s="97" t="s">
        <v>8</v>
      </c>
      <c r="H663" s="97" t="s">
        <v>74</v>
      </c>
      <c r="I663" s="97" t="s">
        <v>82</v>
      </c>
      <c r="J663" s="97" t="s">
        <v>83</v>
      </c>
      <c r="K663" s="97" t="s">
        <v>73</v>
      </c>
      <c r="L663">
        <v>701000</v>
      </c>
      <c r="M663" s="97" t="s">
        <v>62</v>
      </c>
      <c r="N663" s="97" t="s">
        <v>33</v>
      </c>
      <c r="O663">
        <v>156</v>
      </c>
      <c r="P663">
        <v>18.46</v>
      </c>
      <c r="Q663">
        <v>2.88</v>
      </c>
      <c r="R663" s="97" t="s">
        <v>1198</v>
      </c>
      <c r="S663" s="97" t="s">
        <v>195</v>
      </c>
    </row>
    <row r="664" spans="1:19" x14ac:dyDescent="0.3">
      <c r="A664" s="97" t="s">
        <v>857</v>
      </c>
      <c r="B664" s="97" t="s">
        <v>22</v>
      </c>
      <c r="C664">
        <v>2025</v>
      </c>
      <c r="D664">
        <v>1</v>
      </c>
      <c r="E664" s="2">
        <v>45678</v>
      </c>
      <c r="F664" s="97" t="s">
        <v>7</v>
      </c>
      <c r="G664" s="97" t="s">
        <v>8</v>
      </c>
      <c r="H664" s="97" t="s">
        <v>74</v>
      </c>
      <c r="I664" s="97" t="s">
        <v>82</v>
      </c>
      <c r="J664" s="97" t="s">
        <v>83</v>
      </c>
      <c r="K664" s="97" t="s">
        <v>73</v>
      </c>
      <c r="L664">
        <v>701000</v>
      </c>
      <c r="M664" s="97" t="s">
        <v>62</v>
      </c>
      <c r="N664" s="97" t="s">
        <v>33</v>
      </c>
      <c r="O664">
        <v>41</v>
      </c>
      <c r="P664">
        <v>18.29</v>
      </c>
      <c r="Q664">
        <v>0.75</v>
      </c>
      <c r="R664" s="97" t="s">
        <v>1202</v>
      </c>
      <c r="S664" s="97" t="s">
        <v>195</v>
      </c>
    </row>
    <row r="665" spans="1:19" x14ac:dyDescent="0.3">
      <c r="A665" s="97" t="s">
        <v>858</v>
      </c>
      <c r="B665" s="97" t="s">
        <v>22</v>
      </c>
      <c r="C665">
        <v>2025</v>
      </c>
      <c r="D665">
        <v>1</v>
      </c>
      <c r="E665" s="2">
        <v>45678</v>
      </c>
      <c r="F665" s="97" t="s">
        <v>7</v>
      </c>
      <c r="G665" s="97" t="s">
        <v>8</v>
      </c>
      <c r="H665" s="97" t="s">
        <v>74</v>
      </c>
      <c r="I665" s="97" t="s">
        <v>82</v>
      </c>
      <c r="J665" s="97" t="s">
        <v>83</v>
      </c>
      <c r="K665" s="97" t="s">
        <v>73</v>
      </c>
      <c r="L665">
        <v>701000</v>
      </c>
      <c r="M665" s="97" t="s">
        <v>62</v>
      </c>
      <c r="N665" s="97" t="s">
        <v>33</v>
      </c>
      <c r="O665">
        <v>130</v>
      </c>
      <c r="P665">
        <v>18.46</v>
      </c>
      <c r="Q665">
        <v>2.4</v>
      </c>
      <c r="R665" s="97" t="s">
        <v>1204</v>
      </c>
      <c r="S665" s="97" t="s">
        <v>195</v>
      </c>
    </row>
    <row r="666" spans="1:19" x14ac:dyDescent="0.3">
      <c r="A666" s="97" t="s">
        <v>859</v>
      </c>
      <c r="B666" s="97" t="s">
        <v>22</v>
      </c>
      <c r="C666">
        <v>2025</v>
      </c>
      <c r="D666">
        <v>1</v>
      </c>
      <c r="E666" s="2">
        <v>45678</v>
      </c>
      <c r="F666" s="97" t="s">
        <v>7</v>
      </c>
      <c r="G666" s="97" t="s">
        <v>8</v>
      </c>
      <c r="H666" s="97" t="s">
        <v>74</v>
      </c>
      <c r="I666" s="97" t="s">
        <v>82</v>
      </c>
      <c r="J666" s="97" t="s">
        <v>83</v>
      </c>
      <c r="K666" s="97" t="s">
        <v>73</v>
      </c>
      <c r="L666">
        <v>701000</v>
      </c>
      <c r="M666" s="97" t="s">
        <v>62</v>
      </c>
      <c r="N666" s="97" t="s">
        <v>33</v>
      </c>
      <c r="O666">
        <v>67</v>
      </c>
      <c r="P666">
        <v>18.809999999999999</v>
      </c>
      <c r="Q666">
        <v>1.26</v>
      </c>
      <c r="R666" s="97" t="s">
        <v>1199</v>
      </c>
      <c r="S666" s="97" t="s">
        <v>195</v>
      </c>
    </row>
    <row r="667" spans="1:19" x14ac:dyDescent="0.3">
      <c r="A667" s="97" t="s">
        <v>860</v>
      </c>
      <c r="B667" s="97" t="s">
        <v>22</v>
      </c>
      <c r="C667">
        <v>2025</v>
      </c>
      <c r="D667">
        <v>1</v>
      </c>
      <c r="E667" s="2">
        <v>45680</v>
      </c>
      <c r="F667" s="97" t="s">
        <v>7</v>
      </c>
      <c r="G667" s="97" t="s">
        <v>8</v>
      </c>
      <c r="H667" s="97" t="s">
        <v>70</v>
      </c>
      <c r="I667" s="97" t="s">
        <v>82</v>
      </c>
      <c r="J667" s="97" t="s">
        <v>83</v>
      </c>
      <c r="K667" s="97" t="s">
        <v>73</v>
      </c>
      <c r="L667">
        <v>701000</v>
      </c>
      <c r="M667" s="97" t="s">
        <v>62</v>
      </c>
      <c r="N667" s="97" t="s">
        <v>33</v>
      </c>
      <c r="O667">
        <v>75</v>
      </c>
      <c r="P667">
        <v>18.53</v>
      </c>
      <c r="Q667">
        <v>1.39</v>
      </c>
      <c r="R667" s="97" t="s">
        <v>1201</v>
      </c>
      <c r="S667" s="97" t="s">
        <v>195</v>
      </c>
    </row>
    <row r="668" spans="1:19" x14ac:dyDescent="0.3">
      <c r="A668" s="97" t="s">
        <v>861</v>
      </c>
      <c r="B668" s="97" t="s">
        <v>22</v>
      </c>
      <c r="C668">
        <v>2025</v>
      </c>
      <c r="D668">
        <v>1</v>
      </c>
      <c r="E668" s="2">
        <v>45680</v>
      </c>
      <c r="F668" s="97" t="s">
        <v>7</v>
      </c>
      <c r="G668" s="97" t="s">
        <v>8</v>
      </c>
      <c r="H668" s="97" t="s">
        <v>70</v>
      </c>
      <c r="I668" s="97" t="s">
        <v>82</v>
      </c>
      <c r="J668" s="97" t="s">
        <v>83</v>
      </c>
      <c r="K668" s="97" t="s">
        <v>73</v>
      </c>
      <c r="L668">
        <v>701000</v>
      </c>
      <c r="M668" s="97" t="s">
        <v>62</v>
      </c>
      <c r="N668" s="97" t="s">
        <v>33</v>
      </c>
      <c r="O668">
        <v>123</v>
      </c>
      <c r="P668">
        <v>18.46</v>
      </c>
      <c r="Q668">
        <v>2.27</v>
      </c>
      <c r="R668" s="97" t="s">
        <v>1200</v>
      </c>
      <c r="S668" s="97" t="s">
        <v>195</v>
      </c>
    </row>
    <row r="669" spans="1:19" x14ac:dyDescent="0.3">
      <c r="A669" s="97" t="s">
        <v>862</v>
      </c>
      <c r="B669" s="97" t="s">
        <v>22</v>
      </c>
      <c r="C669">
        <v>2025</v>
      </c>
      <c r="D669">
        <v>1</v>
      </c>
      <c r="E669" s="2">
        <v>45680</v>
      </c>
      <c r="F669" s="97" t="s">
        <v>7</v>
      </c>
      <c r="G669" s="97" t="s">
        <v>8</v>
      </c>
      <c r="H669" s="97" t="s">
        <v>70</v>
      </c>
      <c r="I669" s="97" t="s">
        <v>82</v>
      </c>
      <c r="J669" s="97" t="s">
        <v>83</v>
      </c>
      <c r="K669" s="97" t="s">
        <v>73</v>
      </c>
      <c r="L669">
        <v>701000</v>
      </c>
      <c r="M669" s="97" t="s">
        <v>62</v>
      </c>
      <c r="N669" s="97" t="s">
        <v>33</v>
      </c>
      <c r="O669">
        <v>108</v>
      </c>
      <c r="P669">
        <v>18.61</v>
      </c>
      <c r="Q669">
        <v>2.0099999999999998</v>
      </c>
      <c r="R669" s="97" t="s">
        <v>1204</v>
      </c>
      <c r="S669" s="97" t="s">
        <v>195</v>
      </c>
    </row>
    <row r="670" spans="1:19" x14ac:dyDescent="0.3">
      <c r="A670" s="97" t="s">
        <v>863</v>
      </c>
      <c r="B670" s="97" t="s">
        <v>22</v>
      </c>
      <c r="C670">
        <v>2025</v>
      </c>
      <c r="D670">
        <v>1</v>
      </c>
      <c r="E670" s="2">
        <v>45680</v>
      </c>
      <c r="F670" s="97" t="s">
        <v>7</v>
      </c>
      <c r="G670" s="97" t="s">
        <v>8</v>
      </c>
      <c r="H670" s="97" t="s">
        <v>70</v>
      </c>
      <c r="I670" s="97" t="s">
        <v>82</v>
      </c>
      <c r="J670" s="97" t="s">
        <v>83</v>
      </c>
      <c r="K670" s="97" t="s">
        <v>73</v>
      </c>
      <c r="L670">
        <v>701000</v>
      </c>
      <c r="M670" s="97" t="s">
        <v>62</v>
      </c>
      <c r="N670" s="97" t="s">
        <v>33</v>
      </c>
      <c r="O670">
        <v>97</v>
      </c>
      <c r="P670">
        <v>18.559999999999999</v>
      </c>
      <c r="Q670">
        <v>1.8</v>
      </c>
      <c r="R670" s="97" t="s">
        <v>1205</v>
      </c>
      <c r="S670" s="97" t="s">
        <v>195</v>
      </c>
    </row>
    <row r="671" spans="1:19" x14ac:dyDescent="0.3">
      <c r="A671" s="97" t="s">
        <v>864</v>
      </c>
      <c r="B671" s="97" t="s">
        <v>22</v>
      </c>
      <c r="C671">
        <v>2025</v>
      </c>
      <c r="D671">
        <v>1</v>
      </c>
      <c r="E671" s="2">
        <v>45680</v>
      </c>
      <c r="F671" s="97" t="s">
        <v>7</v>
      </c>
      <c r="G671" s="97" t="s">
        <v>8</v>
      </c>
      <c r="H671" s="97" t="s">
        <v>70</v>
      </c>
      <c r="I671" s="97" t="s">
        <v>82</v>
      </c>
      <c r="J671" s="97" t="s">
        <v>83</v>
      </c>
      <c r="K671" s="97" t="s">
        <v>73</v>
      </c>
      <c r="L671">
        <v>701000</v>
      </c>
      <c r="M671" s="97" t="s">
        <v>62</v>
      </c>
      <c r="N671" s="97" t="s">
        <v>33</v>
      </c>
      <c r="O671">
        <v>51</v>
      </c>
      <c r="P671">
        <v>18.43</v>
      </c>
      <c r="Q671">
        <v>0.94</v>
      </c>
      <c r="R671" s="97" t="s">
        <v>1198</v>
      </c>
      <c r="S671" s="97" t="s">
        <v>195</v>
      </c>
    </row>
    <row r="672" spans="1:19" x14ac:dyDescent="0.3">
      <c r="A672" s="97" t="s">
        <v>865</v>
      </c>
      <c r="B672" s="97" t="s">
        <v>22</v>
      </c>
      <c r="C672">
        <v>2025</v>
      </c>
      <c r="D672">
        <v>1</v>
      </c>
      <c r="E672" s="2">
        <v>45666</v>
      </c>
      <c r="F672" s="97" t="s">
        <v>7</v>
      </c>
      <c r="G672" s="97" t="s">
        <v>8</v>
      </c>
      <c r="H672" s="97" t="s">
        <v>74</v>
      </c>
      <c r="I672" s="97" t="s">
        <v>82</v>
      </c>
      <c r="J672" s="97" t="s">
        <v>83</v>
      </c>
      <c r="K672" s="97" t="s">
        <v>73</v>
      </c>
      <c r="L672">
        <v>701000</v>
      </c>
      <c r="M672" s="97" t="s">
        <v>62</v>
      </c>
      <c r="N672" s="97" t="s">
        <v>33</v>
      </c>
      <c r="O672">
        <v>88</v>
      </c>
      <c r="P672">
        <v>18.64</v>
      </c>
      <c r="Q672">
        <v>1.64</v>
      </c>
      <c r="R672" s="97" t="s">
        <v>1200</v>
      </c>
      <c r="S672" s="97" t="s">
        <v>195</v>
      </c>
    </row>
    <row r="673" spans="1:19" x14ac:dyDescent="0.3">
      <c r="A673" s="97" t="s">
        <v>866</v>
      </c>
      <c r="B673" s="97" t="s">
        <v>22</v>
      </c>
      <c r="C673">
        <v>2025</v>
      </c>
      <c r="D673">
        <v>1</v>
      </c>
      <c r="E673" s="2">
        <v>45666</v>
      </c>
      <c r="F673" s="97" t="s">
        <v>7</v>
      </c>
      <c r="G673" s="97" t="s">
        <v>8</v>
      </c>
      <c r="H673" s="97" t="s">
        <v>74</v>
      </c>
      <c r="I673" s="97" t="s">
        <v>82</v>
      </c>
      <c r="J673" s="97" t="s">
        <v>83</v>
      </c>
      <c r="K673" s="97" t="s">
        <v>73</v>
      </c>
      <c r="L673">
        <v>701000</v>
      </c>
      <c r="M673" s="97" t="s">
        <v>62</v>
      </c>
      <c r="N673" s="97" t="s">
        <v>33</v>
      </c>
      <c r="O673">
        <v>115</v>
      </c>
      <c r="P673">
        <v>18.43</v>
      </c>
      <c r="Q673">
        <v>2.12</v>
      </c>
      <c r="R673" s="97" t="s">
        <v>1204</v>
      </c>
      <c r="S673" s="97" t="s">
        <v>195</v>
      </c>
    </row>
    <row r="674" spans="1:19" x14ac:dyDescent="0.3">
      <c r="A674" s="97" t="s">
        <v>867</v>
      </c>
      <c r="B674" s="97" t="s">
        <v>22</v>
      </c>
      <c r="C674">
        <v>2025</v>
      </c>
      <c r="D674">
        <v>1</v>
      </c>
      <c r="E674" s="2">
        <v>45666</v>
      </c>
      <c r="F674" s="97" t="s">
        <v>7</v>
      </c>
      <c r="G674" s="97" t="s">
        <v>8</v>
      </c>
      <c r="H674" s="97" t="s">
        <v>74</v>
      </c>
      <c r="I674" s="97" t="s">
        <v>82</v>
      </c>
      <c r="J674" s="97" t="s">
        <v>83</v>
      </c>
      <c r="K674" s="97" t="s">
        <v>73</v>
      </c>
      <c r="L674">
        <v>701000</v>
      </c>
      <c r="M674" s="97" t="s">
        <v>62</v>
      </c>
      <c r="N674" s="97" t="s">
        <v>33</v>
      </c>
      <c r="O674">
        <v>137</v>
      </c>
      <c r="P674">
        <v>18.54</v>
      </c>
      <c r="Q674">
        <v>2.54</v>
      </c>
      <c r="R674" s="97" t="s">
        <v>1201</v>
      </c>
      <c r="S674" s="97" t="s">
        <v>195</v>
      </c>
    </row>
    <row r="675" spans="1:19" x14ac:dyDescent="0.3">
      <c r="A675" s="97" t="s">
        <v>868</v>
      </c>
      <c r="B675" s="97" t="s">
        <v>22</v>
      </c>
      <c r="C675">
        <v>2025</v>
      </c>
      <c r="D675">
        <v>1</v>
      </c>
      <c r="E675" s="2">
        <v>45666</v>
      </c>
      <c r="F675" s="97" t="s">
        <v>7</v>
      </c>
      <c r="G675" s="97" t="s">
        <v>8</v>
      </c>
      <c r="H675" s="97" t="s">
        <v>74</v>
      </c>
      <c r="I675" s="97" t="s">
        <v>82</v>
      </c>
      <c r="J675" s="97" t="s">
        <v>83</v>
      </c>
      <c r="K675" s="97" t="s">
        <v>73</v>
      </c>
      <c r="L675">
        <v>701000</v>
      </c>
      <c r="M675" s="97" t="s">
        <v>62</v>
      </c>
      <c r="N675" s="97" t="s">
        <v>33</v>
      </c>
      <c r="O675">
        <v>102</v>
      </c>
      <c r="P675">
        <v>18.53</v>
      </c>
      <c r="Q675">
        <v>1.89</v>
      </c>
      <c r="R675" s="97" t="s">
        <v>1197</v>
      </c>
      <c r="S675" s="97" t="s">
        <v>195</v>
      </c>
    </row>
    <row r="676" spans="1:19" x14ac:dyDescent="0.3">
      <c r="A676" s="97" t="s">
        <v>869</v>
      </c>
      <c r="B676" s="97" t="s">
        <v>22</v>
      </c>
      <c r="C676">
        <v>2025</v>
      </c>
      <c r="D676">
        <v>1</v>
      </c>
      <c r="E676" s="2">
        <v>45666</v>
      </c>
      <c r="F676" s="97" t="s">
        <v>7</v>
      </c>
      <c r="G676" s="97" t="s">
        <v>8</v>
      </c>
      <c r="H676" s="97" t="s">
        <v>74</v>
      </c>
      <c r="I676" s="97" t="s">
        <v>82</v>
      </c>
      <c r="J676" s="97" t="s">
        <v>83</v>
      </c>
      <c r="K676" s="97" t="s">
        <v>73</v>
      </c>
      <c r="L676">
        <v>701000</v>
      </c>
      <c r="M676" s="97" t="s">
        <v>62</v>
      </c>
      <c r="N676" s="97" t="s">
        <v>33</v>
      </c>
      <c r="O676">
        <v>86</v>
      </c>
      <c r="P676">
        <v>18.37</v>
      </c>
      <c r="Q676">
        <v>1.58</v>
      </c>
      <c r="R676" s="97" t="s">
        <v>1203</v>
      </c>
      <c r="S676" s="97" t="s">
        <v>195</v>
      </c>
    </row>
    <row r="677" spans="1:19" x14ac:dyDescent="0.3">
      <c r="A677" s="97" t="s">
        <v>870</v>
      </c>
      <c r="B677" s="97" t="s">
        <v>22</v>
      </c>
      <c r="C677">
        <v>2025</v>
      </c>
      <c r="D677">
        <v>1</v>
      </c>
      <c r="E677" s="2">
        <v>45676</v>
      </c>
      <c r="F677" s="97" t="s">
        <v>7</v>
      </c>
      <c r="G677" s="97" t="s">
        <v>8</v>
      </c>
      <c r="H677" s="97" t="s">
        <v>70</v>
      </c>
      <c r="I677" s="97" t="s">
        <v>82</v>
      </c>
      <c r="J677" s="97" t="s">
        <v>83</v>
      </c>
      <c r="K677" s="97" t="s">
        <v>73</v>
      </c>
      <c r="L677">
        <v>701000</v>
      </c>
      <c r="M677" s="97" t="s">
        <v>62</v>
      </c>
      <c r="N677" s="97" t="s">
        <v>33</v>
      </c>
      <c r="O677">
        <v>44</v>
      </c>
      <c r="P677">
        <v>18.41</v>
      </c>
      <c r="Q677">
        <v>0.81</v>
      </c>
      <c r="R677" s="97" t="s">
        <v>1199</v>
      </c>
      <c r="S677" s="97" t="s">
        <v>195</v>
      </c>
    </row>
    <row r="678" spans="1:19" x14ac:dyDescent="0.3">
      <c r="A678" s="97" t="s">
        <v>871</v>
      </c>
      <c r="B678" s="97" t="s">
        <v>22</v>
      </c>
      <c r="C678">
        <v>2025</v>
      </c>
      <c r="D678">
        <v>1</v>
      </c>
      <c r="E678" s="2">
        <v>45676</v>
      </c>
      <c r="F678" s="97" t="s">
        <v>7</v>
      </c>
      <c r="G678" s="97" t="s">
        <v>8</v>
      </c>
      <c r="H678" s="97" t="s">
        <v>70</v>
      </c>
      <c r="I678" s="97" t="s">
        <v>82</v>
      </c>
      <c r="J678" s="97" t="s">
        <v>83</v>
      </c>
      <c r="K678" s="97" t="s">
        <v>73</v>
      </c>
      <c r="L678">
        <v>701000</v>
      </c>
      <c r="M678" s="97" t="s">
        <v>62</v>
      </c>
      <c r="N678" s="97" t="s">
        <v>33</v>
      </c>
      <c r="O678">
        <v>58</v>
      </c>
      <c r="P678">
        <v>18.45</v>
      </c>
      <c r="Q678">
        <v>1.07</v>
      </c>
      <c r="R678" s="97" t="s">
        <v>1204</v>
      </c>
      <c r="S678" s="97" t="s">
        <v>195</v>
      </c>
    </row>
    <row r="679" spans="1:19" x14ac:dyDescent="0.3">
      <c r="A679" s="97" t="s">
        <v>872</v>
      </c>
      <c r="B679" s="97" t="s">
        <v>22</v>
      </c>
      <c r="C679">
        <v>2025</v>
      </c>
      <c r="D679">
        <v>1</v>
      </c>
      <c r="E679" s="2">
        <v>45676</v>
      </c>
      <c r="F679" s="97" t="s">
        <v>7</v>
      </c>
      <c r="G679" s="97" t="s">
        <v>8</v>
      </c>
      <c r="H679" s="97" t="s">
        <v>70</v>
      </c>
      <c r="I679" s="97" t="s">
        <v>82</v>
      </c>
      <c r="J679" s="97" t="s">
        <v>83</v>
      </c>
      <c r="K679" s="97" t="s">
        <v>73</v>
      </c>
      <c r="L679">
        <v>701000</v>
      </c>
      <c r="M679" s="97" t="s">
        <v>62</v>
      </c>
      <c r="N679" s="97" t="s">
        <v>33</v>
      </c>
      <c r="O679">
        <v>153</v>
      </c>
      <c r="P679">
        <v>18.5</v>
      </c>
      <c r="Q679">
        <v>2.83</v>
      </c>
      <c r="R679" s="97" t="s">
        <v>1202</v>
      </c>
      <c r="S679" s="97" t="s">
        <v>195</v>
      </c>
    </row>
    <row r="680" spans="1:19" x14ac:dyDescent="0.3">
      <c r="A680" s="97" t="s">
        <v>873</v>
      </c>
      <c r="B680" s="97" t="s">
        <v>22</v>
      </c>
      <c r="C680">
        <v>2025</v>
      </c>
      <c r="D680">
        <v>1</v>
      </c>
      <c r="E680" s="2">
        <v>45676</v>
      </c>
      <c r="F680" s="97" t="s">
        <v>7</v>
      </c>
      <c r="G680" s="97" t="s">
        <v>8</v>
      </c>
      <c r="H680" s="97" t="s">
        <v>70</v>
      </c>
      <c r="I680" s="97" t="s">
        <v>82</v>
      </c>
      <c r="J680" s="97" t="s">
        <v>83</v>
      </c>
      <c r="K680" s="97" t="s">
        <v>73</v>
      </c>
      <c r="L680">
        <v>701000</v>
      </c>
      <c r="M680" s="97" t="s">
        <v>62</v>
      </c>
      <c r="N680" s="97" t="s">
        <v>33</v>
      </c>
      <c r="O680">
        <v>93</v>
      </c>
      <c r="P680">
        <v>18.600000000000001</v>
      </c>
      <c r="Q680">
        <v>1.73</v>
      </c>
      <c r="R680" s="97" t="s">
        <v>1205</v>
      </c>
      <c r="S680" s="97" t="s">
        <v>195</v>
      </c>
    </row>
    <row r="681" spans="1:19" x14ac:dyDescent="0.3">
      <c r="A681" s="97" t="s">
        <v>874</v>
      </c>
      <c r="B681" s="97" t="s">
        <v>22</v>
      </c>
      <c r="C681">
        <v>2025</v>
      </c>
      <c r="D681">
        <v>1</v>
      </c>
      <c r="E681" s="2">
        <v>45676</v>
      </c>
      <c r="F681" s="97" t="s">
        <v>7</v>
      </c>
      <c r="G681" s="97" t="s">
        <v>8</v>
      </c>
      <c r="H681" s="97" t="s">
        <v>70</v>
      </c>
      <c r="I681" s="97" t="s">
        <v>82</v>
      </c>
      <c r="J681" s="97" t="s">
        <v>83</v>
      </c>
      <c r="K681" s="97" t="s">
        <v>73</v>
      </c>
      <c r="L681">
        <v>701000</v>
      </c>
      <c r="M681" s="97" t="s">
        <v>62</v>
      </c>
      <c r="N681" s="97" t="s">
        <v>33</v>
      </c>
      <c r="O681">
        <v>93</v>
      </c>
      <c r="P681">
        <v>18.39</v>
      </c>
      <c r="Q681">
        <v>1.71</v>
      </c>
      <c r="R681" s="97" t="s">
        <v>1200</v>
      </c>
      <c r="S681" s="97" t="s">
        <v>195</v>
      </c>
    </row>
    <row r="682" spans="1:19" x14ac:dyDescent="0.3">
      <c r="A682" s="97" t="s">
        <v>875</v>
      </c>
      <c r="B682" s="97" t="s">
        <v>22</v>
      </c>
      <c r="C682">
        <v>2025</v>
      </c>
      <c r="D682">
        <v>1</v>
      </c>
      <c r="E682" s="2">
        <v>45669</v>
      </c>
      <c r="F682" s="97" t="s">
        <v>7</v>
      </c>
      <c r="G682" s="97" t="s">
        <v>8</v>
      </c>
      <c r="H682" s="97" t="s">
        <v>70</v>
      </c>
      <c r="I682" s="97" t="s">
        <v>82</v>
      </c>
      <c r="J682" s="97" t="s">
        <v>83</v>
      </c>
      <c r="K682" s="97" t="s">
        <v>73</v>
      </c>
      <c r="L682">
        <v>701000</v>
      </c>
      <c r="M682" s="97" t="s">
        <v>62</v>
      </c>
      <c r="N682" s="97" t="s">
        <v>33</v>
      </c>
      <c r="O682">
        <v>91</v>
      </c>
      <c r="P682">
        <v>18.46</v>
      </c>
      <c r="Q682">
        <v>1.68</v>
      </c>
      <c r="R682" s="97" t="s">
        <v>1198</v>
      </c>
      <c r="S682" s="97" t="s">
        <v>195</v>
      </c>
    </row>
    <row r="683" spans="1:19" x14ac:dyDescent="0.3">
      <c r="A683" s="97" t="s">
        <v>876</v>
      </c>
      <c r="B683" s="97" t="s">
        <v>22</v>
      </c>
      <c r="C683">
        <v>2025</v>
      </c>
      <c r="D683">
        <v>1</v>
      </c>
      <c r="E683" s="2">
        <v>45669</v>
      </c>
      <c r="F683" s="97" t="s">
        <v>7</v>
      </c>
      <c r="G683" s="97" t="s">
        <v>8</v>
      </c>
      <c r="H683" s="97" t="s">
        <v>70</v>
      </c>
      <c r="I683" s="97" t="s">
        <v>82</v>
      </c>
      <c r="J683" s="97" t="s">
        <v>83</v>
      </c>
      <c r="K683" s="97" t="s">
        <v>73</v>
      </c>
      <c r="L683">
        <v>701000</v>
      </c>
      <c r="M683" s="97" t="s">
        <v>62</v>
      </c>
      <c r="N683" s="97" t="s">
        <v>33</v>
      </c>
      <c r="O683">
        <v>132</v>
      </c>
      <c r="P683">
        <v>18.48</v>
      </c>
      <c r="Q683">
        <v>2.44</v>
      </c>
      <c r="R683" s="97" t="s">
        <v>1202</v>
      </c>
      <c r="S683" s="97" t="s">
        <v>195</v>
      </c>
    </row>
    <row r="684" spans="1:19" x14ac:dyDescent="0.3">
      <c r="A684" s="97" t="s">
        <v>877</v>
      </c>
      <c r="B684" s="97" t="s">
        <v>22</v>
      </c>
      <c r="C684">
        <v>2025</v>
      </c>
      <c r="D684">
        <v>1</v>
      </c>
      <c r="E684" s="2">
        <v>45669</v>
      </c>
      <c r="F684" s="97" t="s">
        <v>7</v>
      </c>
      <c r="G684" s="97" t="s">
        <v>8</v>
      </c>
      <c r="H684" s="97" t="s">
        <v>70</v>
      </c>
      <c r="I684" s="97" t="s">
        <v>82</v>
      </c>
      <c r="J684" s="97" t="s">
        <v>83</v>
      </c>
      <c r="K684" s="97" t="s">
        <v>73</v>
      </c>
      <c r="L684">
        <v>701000</v>
      </c>
      <c r="M684" s="97" t="s">
        <v>62</v>
      </c>
      <c r="N684" s="97" t="s">
        <v>33</v>
      </c>
      <c r="O684">
        <v>127</v>
      </c>
      <c r="P684">
        <v>18.5</v>
      </c>
      <c r="Q684">
        <v>2.35</v>
      </c>
      <c r="R684" s="97" t="s">
        <v>1200</v>
      </c>
      <c r="S684" s="97" t="s">
        <v>195</v>
      </c>
    </row>
    <row r="685" spans="1:19" x14ac:dyDescent="0.3">
      <c r="A685" s="97" t="s">
        <v>878</v>
      </c>
      <c r="B685" s="97" t="s">
        <v>22</v>
      </c>
      <c r="C685">
        <v>2025</v>
      </c>
      <c r="D685">
        <v>1</v>
      </c>
      <c r="E685" s="2">
        <v>45669</v>
      </c>
      <c r="F685" s="97" t="s">
        <v>7</v>
      </c>
      <c r="G685" s="97" t="s">
        <v>8</v>
      </c>
      <c r="H685" s="97" t="s">
        <v>70</v>
      </c>
      <c r="I685" s="97" t="s">
        <v>82</v>
      </c>
      <c r="J685" s="97" t="s">
        <v>83</v>
      </c>
      <c r="K685" s="97" t="s">
        <v>73</v>
      </c>
      <c r="L685">
        <v>701000</v>
      </c>
      <c r="M685" s="97" t="s">
        <v>62</v>
      </c>
      <c r="N685" s="97" t="s">
        <v>33</v>
      </c>
      <c r="O685">
        <v>187</v>
      </c>
      <c r="P685">
        <v>18.5</v>
      </c>
      <c r="Q685">
        <v>3.46</v>
      </c>
      <c r="R685" s="97" t="s">
        <v>1197</v>
      </c>
      <c r="S685" s="97" t="s">
        <v>195</v>
      </c>
    </row>
    <row r="686" spans="1:19" x14ac:dyDescent="0.3">
      <c r="A686" s="97" t="s">
        <v>879</v>
      </c>
      <c r="B686" s="97" t="s">
        <v>22</v>
      </c>
      <c r="C686">
        <v>2025</v>
      </c>
      <c r="D686">
        <v>1</v>
      </c>
      <c r="E686" s="2">
        <v>45669</v>
      </c>
      <c r="F686" s="97" t="s">
        <v>7</v>
      </c>
      <c r="G686" s="97" t="s">
        <v>8</v>
      </c>
      <c r="H686" s="97" t="s">
        <v>70</v>
      </c>
      <c r="I686" s="97" t="s">
        <v>82</v>
      </c>
      <c r="J686" s="97" t="s">
        <v>83</v>
      </c>
      <c r="K686" s="97" t="s">
        <v>73</v>
      </c>
      <c r="L686">
        <v>701000</v>
      </c>
      <c r="M686" s="97" t="s">
        <v>62</v>
      </c>
      <c r="N686" s="97" t="s">
        <v>33</v>
      </c>
      <c r="O686">
        <v>17</v>
      </c>
      <c r="P686">
        <v>19.41</v>
      </c>
      <c r="Q686">
        <v>0.33</v>
      </c>
      <c r="R686" s="97" t="s">
        <v>1205</v>
      </c>
      <c r="S686" s="97" t="s">
        <v>195</v>
      </c>
    </row>
    <row r="687" spans="1:19" x14ac:dyDescent="0.3">
      <c r="A687" s="97" t="s">
        <v>880</v>
      </c>
      <c r="B687" s="97" t="s">
        <v>22</v>
      </c>
      <c r="C687">
        <v>2025</v>
      </c>
      <c r="D687">
        <v>1</v>
      </c>
      <c r="E687" s="2">
        <v>45666</v>
      </c>
      <c r="F687" s="97" t="s">
        <v>7</v>
      </c>
      <c r="G687" s="97" t="s">
        <v>8</v>
      </c>
      <c r="H687" s="97" t="s">
        <v>74</v>
      </c>
      <c r="I687" s="97" t="s">
        <v>82</v>
      </c>
      <c r="J687" s="97" t="s">
        <v>83</v>
      </c>
      <c r="K687" s="97" t="s">
        <v>73</v>
      </c>
      <c r="L687">
        <v>701000</v>
      </c>
      <c r="M687" s="97" t="s">
        <v>62</v>
      </c>
      <c r="N687" s="97" t="s">
        <v>33</v>
      </c>
      <c r="O687">
        <v>109</v>
      </c>
      <c r="P687">
        <v>18.62</v>
      </c>
      <c r="Q687">
        <v>2.0299999999999998</v>
      </c>
      <c r="R687" s="97" t="s">
        <v>1201</v>
      </c>
      <c r="S687" s="97" t="s">
        <v>195</v>
      </c>
    </row>
    <row r="688" spans="1:19" x14ac:dyDescent="0.3">
      <c r="A688" s="97" t="s">
        <v>881</v>
      </c>
      <c r="B688" s="97" t="s">
        <v>22</v>
      </c>
      <c r="C688">
        <v>2025</v>
      </c>
      <c r="D688">
        <v>1</v>
      </c>
      <c r="E688" s="2">
        <v>45666</v>
      </c>
      <c r="F688" s="97" t="s">
        <v>7</v>
      </c>
      <c r="G688" s="97" t="s">
        <v>8</v>
      </c>
      <c r="H688" s="97" t="s">
        <v>74</v>
      </c>
      <c r="I688" s="97" t="s">
        <v>82</v>
      </c>
      <c r="J688" s="97" t="s">
        <v>83</v>
      </c>
      <c r="K688" s="97" t="s">
        <v>73</v>
      </c>
      <c r="L688">
        <v>701000</v>
      </c>
      <c r="M688" s="97" t="s">
        <v>62</v>
      </c>
      <c r="N688" s="97" t="s">
        <v>33</v>
      </c>
      <c r="O688">
        <v>261</v>
      </c>
      <c r="P688">
        <v>18.54</v>
      </c>
      <c r="Q688">
        <v>4.84</v>
      </c>
      <c r="R688" s="97" t="s">
        <v>1204</v>
      </c>
      <c r="S688" s="97" t="s">
        <v>195</v>
      </c>
    </row>
    <row r="689" spans="1:19" x14ac:dyDescent="0.3">
      <c r="A689" s="97" t="s">
        <v>882</v>
      </c>
      <c r="B689" s="97" t="s">
        <v>22</v>
      </c>
      <c r="C689">
        <v>2025</v>
      </c>
      <c r="D689">
        <v>1</v>
      </c>
      <c r="E689" s="2">
        <v>45666</v>
      </c>
      <c r="F689" s="97" t="s">
        <v>7</v>
      </c>
      <c r="G689" s="97" t="s">
        <v>8</v>
      </c>
      <c r="H689" s="97" t="s">
        <v>74</v>
      </c>
      <c r="I689" s="97" t="s">
        <v>82</v>
      </c>
      <c r="J689" s="97" t="s">
        <v>83</v>
      </c>
      <c r="K689" s="97" t="s">
        <v>73</v>
      </c>
      <c r="L689">
        <v>701000</v>
      </c>
      <c r="M689" s="97" t="s">
        <v>62</v>
      </c>
      <c r="N689" s="97" t="s">
        <v>33</v>
      </c>
      <c r="O689">
        <v>65</v>
      </c>
      <c r="P689">
        <v>18.62</v>
      </c>
      <c r="Q689">
        <v>1.21</v>
      </c>
      <c r="R689" s="97" t="s">
        <v>1197</v>
      </c>
      <c r="S689" s="97" t="s">
        <v>195</v>
      </c>
    </row>
    <row r="690" spans="1:19" x14ac:dyDescent="0.3">
      <c r="A690" s="97" t="s">
        <v>883</v>
      </c>
      <c r="B690" s="97" t="s">
        <v>22</v>
      </c>
      <c r="C690">
        <v>2025</v>
      </c>
      <c r="D690">
        <v>1</v>
      </c>
      <c r="E690" s="2">
        <v>45666</v>
      </c>
      <c r="F690" s="97" t="s">
        <v>7</v>
      </c>
      <c r="G690" s="97" t="s">
        <v>8</v>
      </c>
      <c r="H690" s="97" t="s">
        <v>74</v>
      </c>
      <c r="I690" s="97" t="s">
        <v>82</v>
      </c>
      <c r="J690" s="97" t="s">
        <v>83</v>
      </c>
      <c r="K690" s="97" t="s">
        <v>73</v>
      </c>
      <c r="L690">
        <v>701000</v>
      </c>
      <c r="M690" s="97" t="s">
        <v>62</v>
      </c>
      <c r="N690" s="97" t="s">
        <v>33</v>
      </c>
      <c r="O690">
        <v>47</v>
      </c>
      <c r="P690">
        <v>18.510000000000002</v>
      </c>
      <c r="Q690">
        <v>0.87</v>
      </c>
      <c r="R690" s="97" t="s">
        <v>1198</v>
      </c>
      <c r="S690" s="97" t="s">
        <v>195</v>
      </c>
    </row>
    <row r="691" spans="1:19" x14ac:dyDescent="0.3">
      <c r="A691" s="97" t="s">
        <v>884</v>
      </c>
      <c r="B691" s="97" t="s">
        <v>22</v>
      </c>
      <c r="C691">
        <v>2025</v>
      </c>
      <c r="D691">
        <v>1</v>
      </c>
      <c r="E691" s="2">
        <v>45666</v>
      </c>
      <c r="F691" s="97" t="s">
        <v>7</v>
      </c>
      <c r="G691" s="97" t="s">
        <v>8</v>
      </c>
      <c r="H691" s="97" t="s">
        <v>74</v>
      </c>
      <c r="I691" s="97" t="s">
        <v>82</v>
      </c>
      <c r="J691" s="97" t="s">
        <v>83</v>
      </c>
      <c r="K691" s="97" t="s">
        <v>73</v>
      </c>
      <c r="L691">
        <v>701000</v>
      </c>
      <c r="M691" s="97" t="s">
        <v>62</v>
      </c>
      <c r="N691" s="97" t="s">
        <v>33</v>
      </c>
      <c r="O691">
        <v>66</v>
      </c>
      <c r="P691">
        <v>18.18</v>
      </c>
      <c r="Q691">
        <v>1.2</v>
      </c>
      <c r="R691" s="97" t="s">
        <v>1202</v>
      </c>
      <c r="S691" s="97" t="s">
        <v>195</v>
      </c>
    </row>
    <row r="692" spans="1:19" x14ac:dyDescent="0.3">
      <c r="A692" s="97" t="s">
        <v>885</v>
      </c>
      <c r="B692" s="97" t="s">
        <v>22</v>
      </c>
      <c r="C692">
        <v>2025</v>
      </c>
      <c r="D692">
        <v>1</v>
      </c>
      <c r="E692" s="2">
        <v>45670</v>
      </c>
      <c r="F692" s="97" t="s">
        <v>7</v>
      </c>
      <c r="G692" s="97" t="s">
        <v>8</v>
      </c>
      <c r="H692" s="97" t="s">
        <v>70</v>
      </c>
      <c r="I692" s="97" t="s">
        <v>82</v>
      </c>
      <c r="J692" s="97" t="s">
        <v>83</v>
      </c>
      <c r="K692" s="97" t="s">
        <v>73</v>
      </c>
      <c r="L692">
        <v>701000</v>
      </c>
      <c r="M692" s="97" t="s">
        <v>62</v>
      </c>
      <c r="N692" s="97" t="s">
        <v>33</v>
      </c>
      <c r="O692">
        <v>70</v>
      </c>
      <c r="P692">
        <v>18.43</v>
      </c>
      <c r="Q692">
        <v>1.29</v>
      </c>
      <c r="R692" s="97" t="s">
        <v>1198</v>
      </c>
      <c r="S692" s="97" t="s">
        <v>195</v>
      </c>
    </row>
    <row r="693" spans="1:19" x14ac:dyDescent="0.3">
      <c r="A693" s="97" t="s">
        <v>886</v>
      </c>
      <c r="B693" s="97" t="s">
        <v>22</v>
      </c>
      <c r="C693">
        <v>2025</v>
      </c>
      <c r="D693">
        <v>1</v>
      </c>
      <c r="E693" s="2">
        <v>45670</v>
      </c>
      <c r="F693" s="97" t="s">
        <v>7</v>
      </c>
      <c r="G693" s="97" t="s">
        <v>8</v>
      </c>
      <c r="H693" s="97" t="s">
        <v>70</v>
      </c>
      <c r="I693" s="97" t="s">
        <v>82</v>
      </c>
      <c r="J693" s="97" t="s">
        <v>83</v>
      </c>
      <c r="K693" s="97" t="s">
        <v>73</v>
      </c>
      <c r="L693">
        <v>701000</v>
      </c>
      <c r="M693" s="97" t="s">
        <v>62</v>
      </c>
      <c r="N693" s="97" t="s">
        <v>33</v>
      </c>
      <c r="O693">
        <v>175</v>
      </c>
      <c r="P693">
        <v>18.46</v>
      </c>
      <c r="Q693">
        <v>3.23</v>
      </c>
      <c r="R693" s="97" t="s">
        <v>1197</v>
      </c>
      <c r="S693" s="97" t="s">
        <v>195</v>
      </c>
    </row>
    <row r="694" spans="1:19" x14ac:dyDescent="0.3">
      <c r="A694" s="97" t="s">
        <v>887</v>
      </c>
      <c r="B694" s="97" t="s">
        <v>22</v>
      </c>
      <c r="C694">
        <v>2025</v>
      </c>
      <c r="D694">
        <v>1</v>
      </c>
      <c r="E694" s="2">
        <v>45670</v>
      </c>
      <c r="F694" s="97" t="s">
        <v>7</v>
      </c>
      <c r="G694" s="97" t="s">
        <v>8</v>
      </c>
      <c r="H694" s="97" t="s">
        <v>70</v>
      </c>
      <c r="I694" s="97" t="s">
        <v>82</v>
      </c>
      <c r="J694" s="97" t="s">
        <v>83</v>
      </c>
      <c r="K694" s="97" t="s">
        <v>73</v>
      </c>
      <c r="L694">
        <v>701000</v>
      </c>
      <c r="M694" s="97" t="s">
        <v>62</v>
      </c>
      <c r="N694" s="97" t="s">
        <v>33</v>
      </c>
      <c r="O694">
        <v>161</v>
      </c>
      <c r="P694">
        <v>18.510000000000002</v>
      </c>
      <c r="Q694">
        <v>2.98</v>
      </c>
      <c r="R694" s="97" t="s">
        <v>1205</v>
      </c>
      <c r="S694" s="97" t="s">
        <v>195</v>
      </c>
    </row>
    <row r="695" spans="1:19" x14ac:dyDescent="0.3">
      <c r="A695" s="97" t="s">
        <v>888</v>
      </c>
      <c r="B695" s="97" t="s">
        <v>22</v>
      </c>
      <c r="C695">
        <v>2025</v>
      </c>
      <c r="D695">
        <v>1</v>
      </c>
      <c r="E695" s="2">
        <v>45670</v>
      </c>
      <c r="F695" s="97" t="s">
        <v>7</v>
      </c>
      <c r="G695" s="97" t="s">
        <v>8</v>
      </c>
      <c r="H695" s="97" t="s">
        <v>70</v>
      </c>
      <c r="I695" s="97" t="s">
        <v>82</v>
      </c>
      <c r="J695" s="97" t="s">
        <v>83</v>
      </c>
      <c r="K695" s="97" t="s">
        <v>73</v>
      </c>
      <c r="L695">
        <v>701000</v>
      </c>
      <c r="M695" s="97" t="s">
        <v>62</v>
      </c>
      <c r="N695" s="97" t="s">
        <v>33</v>
      </c>
      <c r="O695">
        <v>74</v>
      </c>
      <c r="P695">
        <v>18.510000000000002</v>
      </c>
      <c r="Q695">
        <v>1.37</v>
      </c>
      <c r="R695" s="97" t="s">
        <v>1202</v>
      </c>
      <c r="S695" s="97" t="s">
        <v>195</v>
      </c>
    </row>
    <row r="696" spans="1:19" x14ac:dyDescent="0.3">
      <c r="A696" s="97" t="s">
        <v>889</v>
      </c>
      <c r="B696" s="97" t="s">
        <v>22</v>
      </c>
      <c r="C696">
        <v>2025</v>
      </c>
      <c r="D696">
        <v>1</v>
      </c>
      <c r="E696" s="2">
        <v>45670</v>
      </c>
      <c r="F696" s="97" t="s">
        <v>7</v>
      </c>
      <c r="G696" s="97" t="s">
        <v>8</v>
      </c>
      <c r="H696" s="97" t="s">
        <v>70</v>
      </c>
      <c r="I696" s="97" t="s">
        <v>82</v>
      </c>
      <c r="J696" s="97" t="s">
        <v>83</v>
      </c>
      <c r="K696" s="97" t="s">
        <v>73</v>
      </c>
      <c r="L696">
        <v>701000</v>
      </c>
      <c r="M696" s="97" t="s">
        <v>62</v>
      </c>
      <c r="N696" s="97" t="s">
        <v>33</v>
      </c>
      <c r="O696">
        <v>42</v>
      </c>
      <c r="P696">
        <v>18.57</v>
      </c>
      <c r="Q696">
        <v>0.78</v>
      </c>
      <c r="R696" s="97" t="s">
        <v>1203</v>
      </c>
      <c r="S696" s="97" t="s">
        <v>195</v>
      </c>
    </row>
    <row r="697" spans="1:19" x14ac:dyDescent="0.3">
      <c r="A697" s="97" t="s">
        <v>890</v>
      </c>
      <c r="B697" s="97" t="s">
        <v>22</v>
      </c>
      <c r="C697">
        <v>2025</v>
      </c>
      <c r="D697">
        <v>1</v>
      </c>
      <c r="E697" s="2">
        <v>45665</v>
      </c>
      <c r="F697" s="97" t="s">
        <v>7</v>
      </c>
      <c r="G697" s="97" t="s">
        <v>8</v>
      </c>
      <c r="H697" s="97" t="s">
        <v>70</v>
      </c>
      <c r="I697" s="97" t="s">
        <v>82</v>
      </c>
      <c r="J697" s="97" t="s">
        <v>83</v>
      </c>
      <c r="K697" s="97" t="s">
        <v>73</v>
      </c>
      <c r="L697">
        <v>707000</v>
      </c>
      <c r="M697" s="97" t="s">
        <v>81</v>
      </c>
      <c r="N697" s="97" t="s">
        <v>33</v>
      </c>
      <c r="O697">
        <v>112</v>
      </c>
      <c r="P697">
        <v>18.57</v>
      </c>
      <c r="Q697">
        <v>2.08</v>
      </c>
      <c r="R697" s="97" t="s">
        <v>1202</v>
      </c>
      <c r="S697" s="97" t="s">
        <v>195</v>
      </c>
    </row>
    <row r="698" spans="1:19" x14ac:dyDescent="0.3">
      <c r="A698" s="97" t="s">
        <v>891</v>
      </c>
      <c r="B698" s="97" t="s">
        <v>22</v>
      </c>
      <c r="C698">
        <v>2025</v>
      </c>
      <c r="D698">
        <v>1</v>
      </c>
      <c r="E698" s="2">
        <v>45665</v>
      </c>
      <c r="F698" s="97" t="s">
        <v>7</v>
      </c>
      <c r="G698" s="97" t="s">
        <v>8</v>
      </c>
      <c r="H698" s="97" t="s">
        <v>70</v>
      </c>
      <c r="I698" s="97" t="s">
        <v>82</v>
      </c>
      <c r="J698" s="97" t="s">
        <v>83</v>
      </c>
      <c r="K698" s="97" t="s">
        <v>73</v>
      </c>
      <c r="L698">
        <v>707000</v>
      </c>
      <c r="M698" s="97" t="s">
        <v>81</v>
      </c>
      <c r="N698" s="97" t="s">
        <v>33</v>
      </c>
      <c r="O698">
        <v>75</v>
      </c>
      <c r="P698">
        <v>18.53</v>
      </c>
      <c r="Q698">
        <v>1.39</v>
      </c>
      <c r="R698" s="97" t="s">
        <v>1204</v>
      </c>
      <c r="S698" s="97" t="s">
        <v>195</v>
      </c>
    </row>
    <row r="699" spans="1:19" x14ac:dyDescent="0.3">
      <c r="A699" s="97" t="s">
        <v>892</v>
      </c>
      <c r="B699" s="97" t="s">
        <v>22</v>
      </c>
      <c r="C699">
        <v>2025</v>
      </c>
      <c r="D699">
        <v>1</v>
      </c>
      <c r="E699" s="2">
        <v>45665</v>
      </c>
      <c r="F699" s="97" t="s">
        <v>7</v>
      </c>
      <c r="G699" s="97" t="s">
        <v>8</v>
      </c>
      <c r="H699" s="97" t="s">
        <v>70</v>
      </c>
      <c r="I699" s="97" t="s">
        <v>82</v>
      </c>
      <c r="J699" s="97" t="s">
        <v>83</v>
      </c>
      <c r="K699" s="97" t="s">
        <v>73</v>
      </c>
      <c r="L699">
        <v>707000</v>
      </c>
      <c r="M699" s="97" t="s">
        <v>81</v>
      </c>
      <c r="N699" s="97" t="s">
        <v>33</v>
      </c>
      <c r="O699">
        <v>41</v>
      </c>
      <c r="P699">
        <v>18.54</v>
      </c>
      <c r="Q699">
        <v>0.76</v>
      </c>
      <c r="R699" s="97" t="s">
        <v>1197</v>
      </c>
      <c r="S699" s="97" t="s">
        <v>195</v>
      </c>
    </row>
    <row r="700" spans="1:19" x14ac:dyDescent="0.3">
      <c r="A700" s="97" t="s">
        <v>893</v>
      </c>
      <c r="B700" s="97" t="s">
        <v>22</v>
      </c>
      <c r="C700">
        <v>2025</v>
      </c>
      <c r="D700">
        <v>1</v>
      </c>
      <c r="E700" s="2">
        <v>45665</v>
      </c>
      <c r="F700" s="97" t="s">
        <v>7</v>
      </c>
      <c r="G700" s="97" t="s">
        <v>8</v>
      </c>
      <c r="H700" s="97" t="s">
        <v>70</v>
      </c>
      <c r="I700" s="97" t="s">
        <v>82</v>
      </c>
      <c r="J700" s="97" t="s">
        <v>83</v>
      </c>
      <c r="K700" s="97" t="s">
        <v>73</v>
      </c>
      <c r="L700">
        <v>707000</v>
      </c>
      <c r="M700" s="97" t="s">
        <v>81</v>
      </c>
      <c r="N700" s="97" t="s">
        <v>33</v>
      </c>
      <c r="O700">
        <v>210</v>
      </c>
      <c r="P700">
        <v>18.48</v>
      </c>
      <c r="Q700">
        <v>3.88</v>
      </c>
      <c r="R700" s="97" t="s">
        <v>1205</v>
      </c>
      <c r="S700" s="97" t="s">
        <v>195</v>
      </c>
    </row>
    <row r="701" spans="1:19" x14ac:dyDescent="0.3">
      <c r="A701" s="97" t="s">
        <v>894</v>
      </c>
      <c r="B701" s="97" t="s">
        <v>22</v>
      </c>
      <c r="C701">
        <v>2025</v>
      </c>
      <c r="D701">
        <v>1</v>
      </c>
      <c r="E701" s="2">
        <v>45665</v>
      </c>
      <c r="F701" s="97" t="s">
        <v>7</v>
      </c>
      <c r="G701" s="97" t="s">
        <v>8</v>
      </c>
      <c r="H701" s="97" t="s">
        <v>70</v>
      </c>
      <c r="I701" s="97" t="s">
        <v>82</v>
      </c>
      <c r="J701" s="97" t="s">
        <v>83</v>
      </c>
      <c r="K701" s="97" t="s">
        <v>73</v>
      </c>
      <c r="L701">
        <v>707000</v>
      </c>
      <c r="M701" s="97" t="s">
        <v>81</v>
      </c>
      <c r="N701" s="97" t="s">
        <v>33</v>
      </c>
      <c r="O701">
        <v>32</v>
      </c>
      <c r="P701">
        <v>18.13</v>
      </c>
      <c r="Q701">
        <v>0.57999999999999996</v>
      </c>
      <c r="R701" s="97" t="s">
        <v>1200</v>
      </c>
      <c r="S701" s="97" t="s">
        <v>195</v>
      </c>
    </row>
    <row r="702" spans="1:19" x14ac:dyDescent="0.3">
      <c r="A702" s="97" t="s">
        <v>895</v>
      </c>
      <c r="B702" s="97" t="s">
        <v>22</v>
      </c>
      <c r="C702">
        <v>2025</v>
      </c>
      <c r="D702">
        <v>1</v>
      </c>
      <c r="E702" s="2">
        <v>45661</v>
      </c>
      <c r="F702" s="97" t="s">
        <v>7</v>
      </c>
      <c r="G702" s="97" t="s">
        <v>8</v>
      </c>
      <c r="H702" s="97" t="s">
        <v>70</v>
      </c>
      <c r="I702" s="97" t="s">
        <v>82</v>
      </c>
      <c r="J702" s="97" t="s">
        <v>83</v>
      </c>
      <c r="K702" s="97" t="s">
        <v>73</v>
      </c>
      <c r="L702">
        <v>707000</v>
      </c>
      <c r="M702" s="97" t="s">
        <v>81</v>
      </c>
      <c r="N702" s="97" t="s">
        <v>33</v>
      </c>
      <c r="O702">
        <v>187</v>
      </c>
      <c r="P702">
        <v>18.5</v>
      </c>
      <c r="Q702">
        <v>3.46</v>
      </c>
      <c r="R702" s="97" t="s">
        <v>1201</v>
      </c>
      <c r="S702" s="97" t="s">
        <v>195</v>
      </c>
    </row>
    <row r="703" spans="1:19" x14ac:dyDescent="0.3">
      <c r="A703" s="97" t="s">
        <v>896</v>
      </c>
      <c r="B703" s="97" t="s">
        <v>22</v>
      </c>
      <c r="C703">
        <v>2025</v>
      </c>
      <c r="D703">
        <v>1</v>
      </c>
      <c r="E703" s="2">
        <v>45661</v>
      </c>
      <c r="F703" s="97" t="s">
        <v>7</v>
      </c>
      <c r="G703" s="97" t="s">
        <v>8</v>
      </c>
      <c r="H703" s="97" t="s">
        <v>70</v>
      </c>
      <c r="I703" s="97" t="s">
        <v>82</v>
      </c>
      <c r="J703" s="97" t="s">
        <v>83</v>
      </c>
      <c r="K703" s="97" t="s">
        <v>73</v>
      </c>
      <c r="L703">
        <v>707000</v>
      </c>
      <c r="M703" s="97" t="s">
        <v>81</v>
      </c>
      <c r="N703" s="97" t="s">
        <v>33</v>
      </c>
      <c r="O703">
        <v>83</v>
      </c>
      <c r="P703">
        <v>18.55</v>
      </c>
      <c r="Q703">
        <v>1.54</v>
      </c>
      <c r="R703" s="97" t="s">
        <v>1204</v>
      </c>
      <c r="S703" s="97" t="s">
        <v>195</v>
      </c>
    </row>
    <row r="704" spans="1:19" x14ac:dyDescent="0.3">
      <c r="A704" s="97" t="s">
        <v>897</v>
      </c>
      <c r="B704" s="97" t="s">
        <v>22</v>
      </c>
      <c r="C704">
        <v>2025</v>
      </c>
      <c r="D704">
        <v>1</v>
      </c>
      <c r="E704" s="2">
        <v>45661</v>
      </c>
      <c r="F704" s="97" t="s">
        <v>7</v>
      </c>
      <c r="G704" s="97" t="s">
        <v>8</v>
      </c>
      <c r="H704" s="97" t="s">
        <v>70</v>
      </c>
      <c r="I704" s="97" t="s">
        <v>82</v>
      </c>
      <c r="J704" s="97" t="s">
        <v>83</v>
      </c>
      <c r="K704" s="97" t="s">
        <v>73</v>
      </c>
      <c r="L704">
        <v>707000</v>
      </c>
      <c r="M704" s="97" t="s">
        <v>81</v>
      </c>
      <c r="N704" s="97" t="s">
        <v>33</v>
      </c>
      <c r="O704">
        <v>130</v>
      </c>
      <c r="P704">
        <v>18.54</v>
      </c>
      <c r="Q704">
        <v>2.41</v>
      </c>
      <c r="R704" s="97" t="s">
        <v>1198</v>
      </c>
      <c r="S704" s="97" t="s">
        <v>195</v>
      </c>
    </row>
    <row r="705" spans="1:19" x14ac:dyDescent="0.3">
      <c r="A705" s="97" t="s">
        <v>898</v>
      </c>
      <c r="B705" s="97" t="s">
        <v>22</v>
      </c>
      <c r="C705">
        <v>2025</v>
      </c>
      <c r="D705">
        <v>1</v>
      </c>
      <c r="E705" s="2">
        <v>45661</v>
      </c>
      <c r="F705" s="97" t="s">
        <v>7</v>
      </c>
      <c r="G705" s="97" t="s">
        <v>8</v>
      </c>
      <c r="H705" s="97" t="s">
        <v>70</v>
      </c>
      <c r="I705" s="97" t="s">
        <v>82</v>
      </c>
      <c r="J705" s="97" t="s">
        <v>83</v>
      </c>
      <c r="K705" s="97" t="s">
        <v>73</v>
      </c>
      <c r="L705">
        <v>707000</v>
      </c>
      <c r="M705" s="97" t="s">
        <v>81</v>
      </c>
      <c r="N705" s="97" t="s">
        <v>33</v>
      </c>
      <c r="O705">
        <v>61</v>
      </c>
      <c r="P705">
        <v>18.36</v>
      </c>
      <c r="Q705">
        <v>1.1200000000000001</v>
      </c>
      <c r="R705" s="97" t="s">
        <v>1205</v>
      </c>
      <c r="S705" s="97" t="s">
        <v>195</v>
      </c>
    </row>
    <row r="706" spans="1:19" x14ac:dyDescent="0.3">
      <c r="A706" s="97" t="s">
        <v>899</v>
      </c>
      <c r="B706" s="97" t="s">
        <v>22</v>
      </c>
      <c r="C706">
        <v>2025</v>
      </c>
      <c r="D706">
        <v>1</v>
      </c>
      <c r="E706" s="2">
        <v>45661</v>
      </c>
      <c r="F706" s="97" t="s">
        <v>7</v>
      </c>
      <c r="G706" s="97" t="s">
        <v>8</v>
      </c>
      <c r="H706" s="97" t="s">
        <v>70</v>
      </c>
      <c r="I706" s="97" t="s">
        <v>82</v>
      </c>
      <c r="J706" s="97" t="s">
        <v>83</v>
      </c>
      <c r="K706" s="97" t="s">
        <v>73</v>
      </c>
      <c r="L706">
        <v>707000</v>
      </c>
      <c r="M706" s="97" t="s">
        <v>81</v>
      </c>
      <c r="N706" s="97" t="s">
        <v>33</v>
      </c>
      <c r="O706">
        <v>126</v>
      </c>
      <c r="P706">
        <v>18.489999999999998</v>
      </c>
      <c r="Q706">
        <v>2.33</v>
      </c>
      <c r="R706" s="97" t="s">
        <v>1203</v>
      </c>
      <c r="S706" s="97" t="s">
        <v>195</v>
      </c>
    </row>
    <row r="707" spans="1:19" x14ac:dyDescent="0.3">
      <c r="A707" s="97" t="s">
        <v>900</v>
      </c>
      <c r="B707" s="97" t="s">
        <v>22</v>
      </c>
      <c r="C707">
        <v>2025</v>
      </c>
      <c r="D707">
        <v>1</v>
      </c>
      <c r="E707" s="2">
        <v>45667</v>
      </c>
      <c r="F707" s="97" t="s">
        <v>7</v>
      </c>
      <c r="G707" s="97" t="s">
        <v>8</v>
      </c>
      <c r="H707" s="97" t="s">
        <v>74</v>
      </c>
      <c r="I707" s="97" t="s">
        <v>82</v>
      </c>
      <c r="J707" s="97" t="s">
        <v>83</v>
      </c>
      <c r="K707" s="97" t="s">
        <v>73</v>
      </c>
      <c r="L707">
        <v>701000</v>
      </c>
      <c r="M707" s="97" t="s">
        <v>62</v>
      </c>
      <c r="N707" s="97" t="s">
        <v>33</v>
      </c>
      <c r="O707">
        <v>74</v>
      </c>
      <c r="P707">
        <v>18.510000000000002</v>
      </c>
      <c r="Q707">
        <v>1.37</v>
      </c>
      <c r="R707" s="97" t="s">
        <v>1198</v>
      </c>
      <c r="S707" s="97" t="s">
        <v>195</v>
      </c>
    </row>
    <row r="708" spans="1:19" x14ac:dyDescent="0.3">
      <c r="A708" s="97" t="s">
        <v>901</v>
      </c>
      <c r="B708" s="97" t="s">
        <v>22</v>
      </c>
      <c r="C708">
        <v>2025</v>
      </c>
      <c r="D708">
        <v>1</v>
      </c>
      <c r="E708" s="2">
        <v>45667</v>
      </c>
      <c r="F708" s="97" t="s">
        <v>7</v>
      </c>
      <c r="G708" s="97" t="s">
        <v>8</v>
      </c>
      <c r="H708" s="97" t="s">
        <v>74</v>
      </c>
      <c r="I708" s="97" t="s">
        <v>82</v>
      </c>
      <c r="J708" s="97" t="s">
        <v>83</v>
      </c>
      <c r="K708" s="97" t="s">
        <v>73</v>
      </c>
      <c r="L708">
        <v>701000</v>
      </c>
      <c r="M708" s="97" t="s">
        <v>62</v>
      </c>
      <c r="N708" s="97" t="s">
        <v>33</v>
      </c>
      <c r="O708">
        <v>26</v>
      </c>
      <c r="P708">
        <v>18.46</v>
      </c>
      <c r="Q708">
        <v>0.48</v>
      </c>
      <c r="R708" s="97" t="s">
        <v>1204</v>
      </c>
      <c r="S708" s="97" t="s">
        <v>195</v>
      </c>
    </row>
    <row r="709" spans="1:19" x14ac:dyDescent="0.3">
      <c r="A709" s="97" t="s">
        <v>902</v>
      </c>
      <c r="B709" s="97" t="s">
        <v>22</v>
      </c>
      <c r="C709">
        <v>2025</v>
      </c>
      <c r="D709">
        <v>1</v>
      </c>
      <c r="E709" s="2">
        <v>45667</v>
      </c>
      <c r="F709" s="97" t="s">
        <v>7</v>
      </c>
      <c r="G709" s="97" t="s">
        <v>8</v>
      </c>
      <c r="H709" s="97" t="s">
        <v>74</v>
      </c>
      <c r="I709" s="97" t="s">
        <v>82</v>
      </c>
      <c r="J709" s="97" t="s">
        <v>83</v>
      </c>
      <c r="K709" s="97" t="s">
        <v>73</v>
      </c>
      <c r="L709">
        <v>701000</v>
      </c>
      <c r="M709" s="97" t="s">
        <v>62</v>
      </c>
      <c r="N709" s="97" t="s">
        <v>33</v>
      </c>
      <c r="O709">
        <v>100</v>
      </c>
      <c r="P709">
        <v>18.5</v>
      </c>
      <c r="Q709">
        <v>1.85</v>
      </c>
      <c r="R709" s="97" t="s">
        <v>1197</v>
      </c>
      <c r="S709" s="97" t="s">
        <v>195</v>
      </c>
    </row>
    <row r="710" spans="1:19" x14ac:dyDescent="0.3">
      <c r="A710" s="97" t="s">
        <v>903</v>
      </c>
      <c r="B710" s="97" t="s">
        <v>22</v>
      </c>
      <c r="C710">
        <v>2025</v>
      </c>
      <c r="D710">
        <v>1</v>
      </c>
      <c r="E710" s="2">
        <v>45667</v>
      </c>
      <c r="F710" s="97" t="s">
        <v>7</v>
      </c>
      <c r="G710" s="97" t="s">
        <v>8</v>
      </c>
      <c r="H710" s="97" t="s">
        <v>74</v>
      </c>
      <c r="I710" s="97" t="s">
        <v>82</v>
      </c>
      <c r="J710" s="97" t="s">
        <v>83</v>
      </c>
      <c r="K710" s="97" t="s">
        <v>73</v>
      </c>
      <c r="L710">
        <v>701000</v>
      </c>
      <c r="M710" s="97" t="s">
        <v>62</v>
      </c>
      <c r="N710" s="97" t="s">
        <v>33</v>
      </c>
      <c r="O710">
        <v>214</v>
      </c>
      <c r="P710">
        <v>18.5</v>
      </c>
      <c r="Q710">
        <v>3.96</v>
      </c>
      <c r="R710" s="97" t="s">
        <v>1200</v>
      </c>
      <c r="S710" s="97" t="s">
        <v>195</v>
      </c>
    </row>
    <row r="711" spans="1:19" x14ac:dyDescent="0.3">
      <c r="A711" s="97" t="s">
        <v>904</v>
      </c>
      <c r="B711" s="97" t="s">
        <v>22</v>
      </c>
      <c r="C711">
        <v>2025</v>
      </c>
      <c r="D711">
        <v>1</v>
      </c>
      <c r="E711" s="2">
        <v>45667</v>
      </c>
      <c r="F711" s="97" t="s">
        <v>7</v>
      </c>
      <c r="G711" s="97" t="s">
        <v>8</v>
      </c>
      <c r="H711" s="97" t="s">
        <v>74</v>
      </c>
      <c r="I711" s="97" t="s">
        <v>82</v>
      </c>
      <c r="J711" s="97" t="s">
        <v>83</v>
      </c>
      <c r="K711" s="97" t="s">
        <v>73</v>
      </c>
      <c r="L711">
        <v>701000</v>
      </c>
      <c r="M711" s="97" t="s">
        <v>62</v>
      </c>
      <c r="N711" s="97" t="s">
        <v>33</v>
      </c>
      <c r="O711">
        <v>93</v>
      </c>
      <c r="P711">
        <v>18.39</v>
      </c>
      <c r="Q711">
        <v>1.71</v>
      </c>
      <c r="R711" s="97" t="s">
        <v>1205</v>
      </c>
      <c r="S711" s="97" t="s">
        <v>195</v>
      </c>
    </row>
    <row r="712" spans="1:19" x14ac:dyDescent="0.3">
      <c r="A712" s="97" t="s">
        <v>905</v>
      </c>
      <c r="B712" s="97" t="s">
        <v>22</v>
      </c>
      <c r="C712">
        <v>2025</v>
      </c>
      <c r="D712">
        <v>1</v>
      </c>
      <c r="E712" s="2">
        <v>45675</v>
      </c>
      <c r="F712" s="97" t="s">
        <v>7</v>
      </c>
      <c r="G712" s="97" t="s">
        <v>8</v>
      </c>
      <c r="H712" s="97" t="s">
        <v>70</v>
      </c>
      <c r="I712" s="97" t="s">
        <v>82</v>
      </c>
      <c r="J712" s="97" t="s">
        <v>83</v>
      </c>
      <c r="K712" s="97" t="s">
        <v>73</v>
      </c>
      <c r="L712">
        <v>707000</v>
      </c>
      <c r="M712" s="97" t="s">
        <v>81</v>
      </c>
      <c r="N712" s="97" t="s">
        <v>33</v>
      </c>
      <c r="O712">
        <v>209</v>
      </c>
      <c r="P712">
        <v>18.52</v>
      </c>
      <c r="Q712">
        <v>3.87</v>
      </c>
      <c r="R712" s="97" t="s">
        <v>1205</v>
      </c>
      <c r="S712" s="97" t="s">
        <v>195</v>
      </c>
    </row>
    <row r="713" spans="1:19" x14ac:dyDescent="0.3">
      <c r="A713" s="97" t="s">
        <v>906</v>
      </c>
      <c r="B713" s="97" t="s">
        <v>22</v>
      </c>
      <c r="C713">
        <v>2025</v>
      </c>
      <c r="D713">
        <v>1</v>
      </c>
      <c r="E713" s="2">
        <v>45675</v>
      </c>
      <c r="F713" s="97" t="s">
        <v>7</v>
      </c>
      <c r="G713" s="97" t="s">
        <v>8</v>
      </c>
      <c r="H713" s="97" t="s">
        <v>70</v>
      </c>
      <c r="I713" s="97" t="s">
        <v>82</v>
      </c>
      <c r="J713" s="97" t="s">
        <v>83</v>
      </c>
      <c r="K713" s="97" t="s">
        <v>73</v>
      </c>
      <c r="L713">
        <v>707000</v>
      </c>
      <c r="M713" s="97" t="s">
        <v>81</v>
      </c>
      <c r="N713" s="97" t="s">
        <v>33</v>
      </c>
      <c r="O713">
        <v>84</v>
      </c>
      <c r="P713">
        <v>18.45</v>
      </c>
      <c r="Q713">
        <v>1.55</v>
      </c>
      <c r="R713" s="97" t="s">
        <v>1198</v>
      </c>
      <c r="S713" s="97" t="s">
        <v>195</v>
      </c>
    </row>
    <row r="714" spans="1:19" x14ac:dyDescent="0.3">
      <c r="A714" s="97" t="s">
        <v>907</v>
      </c>
      <c r="B714" s="97" t="s">
        <v>22</v>
      </c>
      <c r="C714">
        <v>2025</v>
      </c>
      <c r="D714">
        <v>1</v>
      </c>
      <c r="E714" s="2">
        <v>45675</v>
      </c>
      <c r="F714" s="97" t="s">
        <v>7</v>
      </c>
      <c r="G714" s="97" t="s">
        <v>8</v>
      </c>
      <c r="H714" s="97" t="s">
        <v>70</v>
      </c>
      <c r="I714" s="97" t="s">
        <v>82</v>
      </c>
      <c r="J714" s="97" t="s">
        <v>83</v>
      </c>
      <c r="K714" s="97" t="s">
        <v>73</v>
      </c>
      <c r="L714">
        <v>707000</v>
      </c>
      <c r="M714" s="97" t="s">
        <v>81</v>
      </c>
      <c r="N714" s="97" t="s">
        <v>33</v>
      </c>
      <c r="O714">
        <v>62</v>
      </c>
      <c r="P714">
        <v>18.71</v>
      </c>
      <c r="Q714">
        <v>1.1599999999999999</v>
      </c>
      <c r="R714" s="97" t="s">
        <v>1203</v>
      </c>
      <c r="S714" s="97" t="s">
        <v>195</v>
      </c>
    </row>
    <row r="715" spans="1:19" x14ac:dyDescent="0.3">
      <c r="A715" s="97" t="s">
        <v>908</v>
      </c>
      <c r="B715" s="97" t="s">
        <v>22</v>
      </c>
      <c r="C715">
        <v>2025</v>
      </c>
      <c r="D715">
        <v>1</v>
      </c>
      <c r="E715" s="2">
        <v>45675</v>
      </c>
      <c r="F715" s="97" t="s">
        <v>7</v>
      </c>
      <c r="G715" s="97" t="s">
        <v>8</v>
      </c>
      <c r="H715" s="97" t="s">
        <v>70</v>
      </c>
      <c r="I715" s="97" t="s">
        <v>82</v>
      </c>
      <c r="J715" s="97" t="s">
        <v>83</v>
      </c>
      <c r="K715" s="97" t="s">
        <v>73</v>
      </c>
      <c r="L715">
        <v>707000</v>
      </c>
      <c r="M715" s="97" t="s">
        <v>81</v>
      </c>
      <c r="N715" s="97" t="s">
        <v>33</v>
      </c>
      <c r="O715">
        <v>71</v>
      </c>
      <c r="P715">
        <v>18.59</v>
      </c>
      <c r="Q715">
        <v>1.32</v>
      </c>
      <c r="R715" s="97" t="s">
        <v>1204</v>
      </c>
      <c r="S715" s="97" t="s">
        <v>195</v>
      </c>
    </row>
    <row r="716" spans="1:19" x14ac:dyDescent="0.3">
      <c r="A716" s="97" t="s">
        <v>909</v>
      </c>
      <c r="B716" s="97" t="s">
        <v>22</v>
      </c>
      <c r="C716">
        <v>2025</v>
      </c>
      <c r="D716">
        <v>1</v>
      </c>
      <c r="E716" s="2">
        <v>45675</v>
      </c>
      <c r="F716" s="97" t="s">
        <v>7</v>
      </c>
      <c r="G716" s="97" t="s">
        <v>8</v>
      </c>
      <c r="H716" s="97" t="s">
        <v>70</v>
      </c>
      <c r="I716" s="97" t="s">
        <v>82</v>
      </c>
      <c r="J716" s="97" t="s">
        <v>83</v>
      </c>
      <c r="K716" s="97" t="s">
        <v>73</v>
      </c>
      <c r="L716">
        <v>707000</v>
      </c>
      <c r="M716" s="97" t="s">
        <v>81</v>
      </c>
      <c r="N716" s="97" t="s">
        <v>33</v>
      </c>
      <c r="O716">
        <v>189</v>
      </c>
      <c r="P716">
        <v>18.41</v>
      </c>
      <c r="Q716">
        <v>3.48</v>
      </c>
      <c r="R716" s="97" t="s">
        <v>1197</v>
      </c>
      <c r="S716" s="97" t="s">
        <v>195</v>
      </c>
    </row>
    <row r="717" spans="1:19" x14ac:dyDescent="0.3">
      <c r="A717" s="97" t="s">
        <v>910</v>
      </c>
      <c r="B717" s="97" t="s">
        <v>22</v>
      </c>
      <c r="C717">
        <v>2025</v>
      </c>
      <c r="D717">
        <v>1</v>
      </c>
      <c r="E717" s="2">
        <v>45678</v>
      </c>
      <c r="F717" s="97" t="s">
        <v>7</v>
      </c>
      <c r="G717" s="97" t="s">
        <v>8</v>
      </c>
      <c r="H717" s="97" t="s">
        <v>70</v>
      </c>
      <c r="I717" s="97" t="s">
        <v>82</v>
      </c>
      <c r="J717" s="97" t="s">
        <v>83</v>
      </c>
      <c r="K717" s="97" t="s">
        <v>73</v>
      </c>
      <c r="L717">
        <v>701000</v>
      </c>
      <c r="M717" s="97" t="s">
        <v>62</v>
      </c>
      <c r="N717" s="97" t="s">
        <v>33</v>
      </c>
      <c r="O717">
        <v>55</v>
      </c>
      <c r="P717">
        <v>18.36</v>
      </c>
      <c r="Q717">
        <v>1.01</v>
      </c>
      <c r="R717" s="97" t="s">
        <v>1204</v>
      </c>
      <c r="S717" s="97" t="s">
        <v>195</v>
      </c>
    </row>
    <row r="718" spans="1:19" x14ac:dyDescent="0.3">
      <c r="A718" s="97" t="s">
        <v>911</v>
      </c>
      <c r="B718" s="97" t="s">
        <v>22</v>
      </c>
      <c r="C718">
        <v>2025</v>
      </c>
      <c r="D718">
        <v>1</v>
      </c>
      <c r="E718" s="2">
        <v>45678</v>
      </c>
      <c r="F718" s="97" t="s">
        <v>7</v>
      </c>
      <c r="G718" s="97" t="s">
        <v>8</v>
      </c>
      <c r="H718" s="97" t="s">
        <v>70</v>
      </c>
      <c r="I718" s="97" t="s">
        <v>82</v>
      </c>
      <c r="J718" s="97" t="s">
        <v>83</v>
      </c>
      <c r="K718" s="97" t="s">
        <v>73</v>
      </c>
      <c r="L718">
        <v>701000</v>
      </c>
      <c r="M718" s="97" t="s">
        <v>62</v>
      </c>
      <c r="N718" s="97" t="s">
        <v>33</v>
      </c>
      <c r="O718">
        <v>279</v>
      </c>
      <c r="P718">
        <v>18.53</v>
      </c>
      <c r="Q718">
        <v>5.17</v>
      </c>
      <c r="R718" s="97" t="s">
        <v>1202</v>
      </c>
      <c r="S718" s="97" t="s">
        <v>195</v>
      </c>
    </row>
    <row r="719" spans="1:19" x14ac:dyDescent="0.3">
      <c r="A719" s="97" t="s">
        <v>912</v>
      </c>
      <c r="B719" s="97" t="s">
        <v>22</v>
      </c>
      <c r="C719">
        <v>2025</v>
      </c>
      <c r="D719">
        <v>1</v>
      </c>
      <c r="E719" s="2">
        <v>45678</v>
      </c>
      <c r="F719" s="97" t="s">
        <v>7</v>
      </c>
      <c r="G719" s="97" t="s">
        <v>8</v>
      </c>
      <c r="H719" s="97" t="s">
        <v>70</v>
      </c>
      <c r="I719" s="97" t="s">
        <v>82</v>
      </c>
      <c r="J719" s="97" t="s">
        <v>83</v>
      </c>
      <c r="K719" s="97" t="s">
        <v>73</v>
      </c>
      <c r="L719">
        <v>701000</v>
      </c>
      <c r="M719" s="97" t="s">
        <v>62</v>
      </c>
      <c r="N719" s="97" t="s">
        <v>33</v>
      </c>
      <c r="O719">
        <v>45</v>
      </c>
      <c r="P719">
        <v>18.440000000000001</v>
      </c>
      <c r="Q719">
        <v>0.83</v>
      </c>
      <c r="R719" s="97" t="s">
        <v>1205</v>
      </c>
      <c r="S719" s="97" t="s">
        <v>195</v>
      </c>
    </row>
    <row r="720" spans="1:19" x14ac:dyDescent="0.3">
      <c r="A720" s="97" t="s">
        <v>913</v>
      </c>
      <c r="B720" s="97" t="s">
        <v>22</v>
      </c>
      <c r="C720">
        <v>2025</v>
      </c>
      <c r="D720">
        <v>1</v>
      </c>
      <c r="E720" s="2">
        <v>45678</v>
      </c>
      <c r="F720" s="97" t="s">
        <v>7</v>
      </c>
      <c r="G720" s="97" t="s">
        <v>8</v>
      </c>
      <c r="H720" s="97" t="s">
        <v>70</v>
      </c>
      <c r="I720" s="97" t="s">
        <v>82</v>
      </c>
      <c r="J720" s="97" t="s">
        <v>83</v>
      </c>
      <c r="K720" s="97" t="s">
        <v>73</v>
      </c>
      <c r="L720">
        <v>701000</v>
      </c>
      <c r="M720" s="97" t="s">
        <v>62</v>
      </c>
      <c r="N720" s="97" t="s">
        <v>33</v>
      </c>
      <c r="O720">
        <v>127</v>
      </c>
      <c r="P720">
        <v>18.5</v>
      </c>
      <c r="Q720">
        <v>2.35</v>
      </c>
      <c r="R720" s="97" t="s">
        <v>1199</v>
      </c>
      <c r="S720" s="97" t="s">
        <v>195</v>
      </c>
    </row>
    <row r="721" spans="1:19" x14ac:dyDescent="0.3">
      <c r="A721" s="97" t="s">
        <v>914</v>
      </c>
      <c r="B721" s="97" t="s">
        <v>22</v>
      </c>
      <c r="C721">
        <v>2025</v>
      </c>
      <c r="D721">
        <v>1</v>
      </c>
      <c r="E721" s="2">
        <v>45678</v>
      </c>
      <c r="F721" s="97" t="s">
        <v>7</v>
      </c>
      <c r="G721" s="97" t="s">
        <v>8</v>
      </c>
      <c r="H721" s="97" t="s">
        <v>70</v>
      </c>
      <c r="I721" s="97" t="s">
        <v>82</v>
      </c>
      <c r="J721" s="97" t="s">
        <v>83</v>
      </c>
      <c r="K721" s="97" t="s">
        <v>73</v>
      </c>
      <c r="L721">
        <v>701000</v>
      </c>
      <c r="M721" s="97" t="s">
        <v>62</v>
      </c>
      <c r="N721" s="97" t="s">
        <v>33</v>
      </c>
      <c r="O721">
        <v>48</v>
      </c>
      <c r="P721">
        <v>18.54</v>
      </c>
      <c r="Q721">
        <v>0.89</v>
      </c>
      <c r="R721" s="97" t="s">
        <v>1203</v>
      </c>
      <c r="S721" s="97" t="s">
        <v>195</v>
      </c>
    </row>
    <row r="722" spans="1:19" x14ac:dyDescent="0.3">
      <c r="A722" s="97" t="s">
        <v>915</v>
      </c>
      <c r="B722" s="97" t="s">
        <v>22</v>
      </c>
      <c r="C722">
        <v>2025</v>
      </c>
      <c r="D722">
        <v>1</v>
      </c>
      <c r="E722" s="2">
        <v>45659</v>
      </c>
      <c r="F722" s="97" t="s">
        <v>7</v>
      </c>
      <c r="G722" s="97" t="s">
        <v>8</v>
      </c>
      <c r="H722" s="97" t="s">
        <v>70</v>
      </c>
      <c r="I722" s="97" t="s">
        <v>82</v>
      </c>
      <c r="J722" s="97" t="s">
        <v>83</v>
      </c>
      <c r="K722" s="97" t="s">
        <v>73</v>
      </c>
      <c r="L722">
        <v>701000</v>
      </c>
      <c r="M722" s="97" t="s">
        <v>62</v>
      </c>
      <c r="N722" s="97" t="s">
        <v>33</v>
      </c>
      <c r="O722">
        <v>72</v>
      </c>
      <c r="P722">
        <v>18.47</v>
      </c>
      <c r="Q722">
        <v>1.33</v>
      </c>
      <c r="R722" s="97" t="s">
        <v>1198</v>
      </c>
      <c r="S722" s="97" t="s">
        <v>195</v>
      </c>
    </row>
    <row r="723" spans="1:19" x14ac:dyDescent="0.3">
      <c r="A723" s="97" t="s">
        <v>916</v>
      </c>
      <c r="B723" s="97" t="s">
        <v>22</v>
      </c>
      <c r="C723">
        <v>2025</v>
      </c>
      <c r="D723">
        <v>1</v>
      </c>
      <c r="E723" s="2">
        <v>45659</v>
      </c>
      <c r="F723" s="97" t="s">
        <v>7</v>
      </c>
      <c r="G723" s="97" t="s">
        <v>8</v>
      </c>
      <c r="H723" s="97" t="s">
        <v>70</v>
      </c>
      <c r="I723" s="97" t="s">
        <v>82</v>
      </c>
      <c r="J723" s="97" t="s">
        <v>83</v>
      </c>
      <c r="K723" s="97" t="s">
        <v>73</v>
      </c>
      <c r="L723">
        <v>701000</v>
      </c>
      <c r="M723" s="97" t="s">
        <v>62</v>
      </c>
      <c r="N723" s="97" t="s">
        <v>33</v>
      </c>
      <c r="O723">
        <v>69</v>
      </c>
      <c r="P723">
        <v>18.41</v>
      </c>
      <c r="Q723">
        <v>1.27</v>
      </c>
      <c r="R723" s="97" t="s">
        <v>1204</v>
      </c>
      <c r="S723" s="97" t="s">
        <v>195</v>
      </c>
    </row>
    <row r="724" spans="1:19" x14ac:dyDescent="0.3">
      <c r="A724" s="97" t="s">
        <v>917</v>
      </c>
      <c r="B724" s="97" t="s">
        <v>22</v>
      </c>
      <c r="C724">
        <v>2025</v>
      </c>
      <c r="D724">
        <v>1</v>
      </c>
      <c r="E724" s="2">
        <v>45659</v>
      </c>
      <c r="F724" s="97" t="s">
        <v>7</v>
      </c>
      <c r="G724" s="97" t="s">
        <v>8</v>
      </c>
      <c r="H724" s="97" t="s">
        <v>70</v>
      </c>
      <c r="I724" s="97" t="s">
        <v>82</v>
      </c>
      <c r="J724" s="97" t="s">
        <v>83</v>
      </c>
      <c r="K724" s="97" t="s">
        <v>73</v>
      </c>
      <c r="L724">
        <v>701000</v>
      </c>
      <c r="M724" s="97" t="s">
        <v>62</v>
      </c>
      <c r="N724" s="97" t="s">
        <v>33</v>
      </c>
      <c r="O724">
        <v>45</v>
      </c>
      <c r="P724">
        <v>18.440000000000001</v>
      </c>
      <c r="Q724">
        <v>0.83</v>
      </c>
      <c r="R724" s="97" t="s">
        <v>1197</v>
      </c>
      <c r="S724" s="97" t="s">
        <v>195</v>
      </c>
    </row>
    <row r="725" spans="1:19" x14ac:dyDescent="0.3">
      <c r="A725" s="97" t="s">
        <v>918</v>
      </c>
      <c r="B725" s="97" t="s">
        <v>22</v>
      </c>
      <c r="C725">
        <v>2025</v>
      </c>
      <c r="D725">
        <v>1</v>
      </c>
      <c r="E725" s="2">
        <v>45659</v>
      </c>
      <c r="F725" s="97" t="s">
        <v>7</v>
      </c>
      <c r="G725" s="97" t="s">
        <v>8</v>
      </c>
      <c r="H725" s="97" t="s">
        <v>70</v>
      </c>
      <c r="I725" s="97" t="s">
        <v>82</v>
      </c>
      <c r="J725" s="97" t="s">
        <v>83</v>
      </c>
      <c r="K725" s="97" t="s">
        <v>73</v>
      </c>
      <c r="L725">
        <v>701000</v>
      </c>
      <c r="M725" s="97" t="s">
        <v>62</v>
      </c>
      <c r="N725" s="97" t="s">
        <v>33</v>
      </c>
      <c r="O725">
        <v>108</v>
      </c>
      <c r="P725">
        <v>18.52</v>
      </c>
      <c r="Q725">
        <v>2</v>
      </c>
      <c r="R725" s="97" t="s">
        <v>1203</v>
      </c>
      <c r="S725" s="97" t="s">
        <v>195</v>
      </c>
    </row>
    <row r="726" spans="1:19" x14ac:dyDescent="0.3">
      <c r="A726" s="97" t="s">
        <v>919</v>
      </c>
      <c r="B726" s="97" t="s">
        <v>22</v>
      </c>
      <c r="C726">
        <v>2025</v>
      </c>
      <c r="D726">
        <v>1</v>
      </c>
      <c r="E726" s="2">
        <v>45659</v>
      </c>
      <c r="F726" s="97" t="s">
        <v>7</v>
      </c>
      <c r="G726" s="97" t="s">
        <v>8</v>
      </c>
      <c r="H726" s="97" t="s">
        <v>70</v>
      </c>
      <c r="I726" s="97" t="s">
        <v>82</v>
      </c>
      <c r="J726" s="97" t="s">
        <v>83</v>
      </c>
      <c r="K726" s="97" t="s">
        <v>73</v>
      </c>
      <c r="L726">
        <v>701000</v>
      </c>
      <c r="M726" s="97" t="s">
        <v>62</v>
      </c>
      <c r="N726" s="97" t="s">
        <v>33</v>
      </c>
      <c r="O726">
        <v>167</v>
      </c>
      <c r="P726">
        <v>18.5</v>
      </c>
      <c r="Q726">
        <v>3.09</v>
      </c>
      <c r="R726" s="97" t="s">
        <v>1205</v>
      </c>
      <c r="S726" s="97" t="s">
        <v>195</v>
      </c>
    </row>
    <row r="727" spans="1:19" x14ac:dyDescent="0.3">
      <c r="A727" s="97" t="s">
        <v>920</v>
      </c>
      <c r="B727" s="97" t="s">
        <v>22</v>
      </c>
      <c r="C727">
        <v>2025</v>
      </c>
      <c r="D727">
        <v>1</v>
      </c>
      <c r="E727" s="2">
        <v>45662</v>
      </c>
      <c r="F727" s="97" t="s">
        <v>7</v>
      </c>
      <c r="G727" s="97" t="s">
        <v>8</v>
      </c>
      <c r="H727" s="97" t="s">
        <v>70</v>
      </c>
      <c r="I727" s="97" t="s">
        <v>82</v>
      </c>
      <c r="J727" s="97" t="s">
        <v>83</v>
      </c>
      <c r="K727" s="97" t="s">
        <v>73</v>
      </c>
      <c r="L727">
        <v>701000</v>
      </c>
      <c r="M727" s="97" t="s">
        <v>62</v>
      </c>
      <c r="N727" s="97" t="s">
        <v>33</v>
      </c>
      <c r="O727">
        <v>182</v>
      </c>
      <c r="P727">
        <v>18.46</v>
      </c>
      <c r="Q727">
        <v>3.36</v>
      </c>
      <c r="R727" s="97" t="s">
        <v>1203</v>
      </c>
      <c r="S727" s="97" t="s">
        <v>195</v>
      </c>
    </row>
    <row r="728" spans="1:19" x14ac:dyDescent="0.3">
      <c r="A728" s="97" t="s">
        <v>921</v>
      </c>
      <c r="B728" s="97" t="s">
        <v>22</v>
      </c>
      <c r="C728">
        <v>2025</v>
      </c>
      <c r="D728">
        <v>1</v>
      </c>
      <c r="E728" s="2">
        <v>45662</v>
      </c>
      <c r="F728" s="97" t="s">
        <v>7</v>
      </c>
      <c r="G728" s="97" t="s">
        <v>8</v>
      </c>
      <c r="H728" s="97" t="s">
        <v>70</v>
      </c>
      <c r="I728" s="97" t="s">
        <v>82</v>
      </c>
      <c r="J728" s="97" t="s">
        <v>83</v>
      </c>
      <c r="K728" s="97" t="s">
        <v>73</v>
      </c>
      <c r="L728">
        <v>701000</v>
      </c>
      <c r="M728" s="97" t="s">
        <v>62</v>
      </c>
      <c r="N728" s="97" t="s">
        <v>33</v>
      </c>
      <c r="O728">
        <v>45</v>
      </c>
      <c r="P728">
        <v>18.670000000000002</v>
      </c>
      <c r="Q728">
        <v>0.84</v>
      </c>
      <c r="R728" s="97" t="s">
        <v>1204</v>
      </c>
      <c r="S728" s="97" t="s">
        <v>195</v>
      </c>
    </row>
    <row r="729" spans="1:19" x14ac:dyDescent="0.3">
      <c r="A729" s="97" t="s">
        <v>922</v>
      </c>
      <c r="B729" s="97" t="s">
        <v>22</v>
      </c>
      <c r="C729">
        <v>2025</v>
      </c>
      <c r="D729">
        <v>1</v>
      </c>
      <c r="E729" s="2">
        <v>45662</v>
      </c>
      <c r="F729" s="97" t="s">
        <v>7</v>
      </c>
      <c r="G729" s="97" t="s">
        <v>8</v>
      </c>
      <c r="H729" s="97" t="s">
        <v>70</v>
      </c>
      <c r="I729" s="97" t="s">
        <v>82</v>
      </c>
      <c r="J729" s="97" t="s">
        <v>83</v>
      </c>
      <c r="K729" s="97" t="s">
        <v>73</v>
      </c>
      <c r="L729">
        <v>701000</v>
      </c>
      <c r="M729" s="97" t="s">
        <v>62</v>
      </c>
      <c r="N729" s="97" t="s">
        <v>33</v>
      </c>
      <c r="O729">
        <v>118</v>
      </c>
      <c r="P729">
        <v>18.47</v>
      </c>
      <c r="Q729">
        <v>2.1800000000000002</v>
      </c>
      <c r="R729" s="97" t="s">
        <v>1199</v>
      </c>
      <c r="S729" s="97" t="s">
        <v>195</v>
      </c>
    </row>
    <row r="730" spans="1:19" x14ac:dyDescent="0.3">
      <c r="A730" s="97" t="s">
        <v>923</v>
      </c>
      <c r="B730" s="97" t="s">
        <v>22</v>
      </c>
      <c r="C730">
        <v>2025</v>
      </c>
      <c r="D730">
        <v>1</v>
      </c>
      <c r="E730" s="2">
        <v>45662</v>
      </c>
      <c r="F730" s="97" t="s">
        <v>7</v>
      </c>
      <c r="G730" s="97" t="s">
        <v>8</v>
      </c>
      <c r="H730" s="97" t="s">
        <v>70</v>
      </c>
      <c r="I730" s="97" t="s">
        <v>82</v>
      </c>
      <c r="J730" s="97" t="s">
        <v>83</v>
      </c>
      <c r="K730" s="97" t="s">
        <v>73</v>
      </c>
      <c r="L730">
        <v>701000</v>
      </c>
      <c r="M730" s="97" t="s">
        <v>62</v>
      </c>
      <c r="N730" s="97" t="s">
        <v>33</v>
      </c>
      <c r="O730">
        <v>18</v>
      </c>
      <c r="P730">
        <v>17.78</v>
      </c>
      <c r="Q730">
        <v>0.32</v>
      </c>
      <c r="R730" s="97" t="s">
        <v>1202</v>
      </c>
      <c r="S730" s="97" t="s">
        <v>195</v>
      </c>
    </row>
    <row r="731" spans="1:19" x14ac:dyDescent="0.3">
      <c r="A731" s="97" t="s">
        <v>924</v>
      </c>
      <c r="B731" s="97" t="s">
        <v>22</v>
      </c>
      <c r="C731">
        <v>2025</v>
      </c>
      <c r="D731">
        <v>1</v>
      </c>
      <c r="E731" s="2">
        <v>45662</v>
      </c>
      <c r="F731" s="97" t="s">
        <v>7</v>
      </c>
      <c r="G731" s="97" t="s">
        <v>8</v>
      </c>
      <c r="H731" s="97" t="s">
        <v>70</v>
      </c>
      <c r="I731" s="97" t="s">
        <v>82</v>
      </c>
      <c r="J731" s="97" t="s">
        <v>83</v>
      </c>
      <c r="K731" s="97" t="s">
        <v>73</v>
      </c>
      <c r="L731">
        <v>701000</v>
      </c>
      <c r="M731" s="97" t="s">
        <v>62</v>
      </c>
      <c r="N731" s="97" t="s">
        <v>33</v>
      </c>
      <c r="O731">
        <v>72</v>
      </c>
      <c r="P731">
        <v>18.61</v>
      </c>
      <c r="Q731">
        <v>1.34</v>
      </c>
      <c r="R731" s="97" t="s">
        <v>1198</v>
      </c>
      <c r="S731" s="97" t="s">
        <v>195</v>
      </c>
    </row>
    <row r="732" spans="1:19" x14ac:dyDescent="0.3">
      <c r="A732" s="97" t="s">
        <v>925</v>
      </c>
      <c r="B732" s="97" t="s">
        <v>22</v>
      </c>
      <c r="C732">
        <v>2025</v>
      </c>
      <c r="D732">
        <v>1</v>
      </c>
      <c r="E732" s="2">
        <v>45668</v>
      </c>
      <c r="F732" s="97" t="s">
        <v>7</v>
      </c>
      <c r="G732" s="97" t="s">
        <v>8</v>
      </c>
      <c r="H732" s="97" t="s">
        <v>70</v>
      </c>
      <c r="I732" s="97" t="s">
        <v>82</v>
      </c>
      <c r="J732" s="97" t="s">
        <v>83</v>
      </c>
      <c r="K732" s="97" t="s">
        <v>73</v>
      </c>
      <c r="L732">
        <v>701000</v>
      </c>
      <c r="M732" s="97" t="s">
        <v>62</v>
      </c>
      <c r="N732" s="97" t="s">
        <v>33</v>
      </c>
      <c r="O732">
        <v>222</v>
      </c>
      <c r="P732">
        <v>18.47</v>
      </c>
      <c r="Q732">
        <v>4.0999999999999996</v>
      </c>
      <c r="R732" s="97" t="s">
        <v>1199</v>
      </c>
      <c r="S732" s="97" t="s">
        <v>195</v>
      </c>
    </row>
    <row r="733" spans="1:19" x14ac:dyDescent="0.3">
      <c r="A733" s="97" t="s">
        <v>926</v>
      </c>
      <c r="B733" s="97" t="s">
        <v>22</v>
      </c>
      <c r="C733">
        <v>2025</v>
      </c>
      <c r="D733">
        <v>1</v>
      </c>
      <c r="E733" s="2">
        <v>45668</v>
      </c>
      <c r="F733" s="97" t="s">
        <v>7</v>
      </c>
      <c r="G733" s="97" t="s">
        <v>8</v>
      </c>
      <c r="H733" s="97" t="s">
        <v>70</v>
      </c>
      <c r="I733" s="97" t="s">
        <v>82</v>
      </c>
      <c r="J733" s="97" t="s">
        <v>83</v>
      </c>
      <c r="K733" s="97" t="s">
        <v>73</v>
      </c>
      <c r="L733">
        <v>701000</v>
      </c>
      <c r="M733" s="97" t="s">
        <v>62</v>
      </c>
      <c r="N733" s="97" t="s">
        <v>33</v>
      </c>
      <c r="O733">
        <v>64</v>
      </c>
      <c r="P733">
        <v>18.59</v>
      </c>
      <c r="Q733">
        <v>1.19</v>
      </c>
      <c r="R733" s="97" t="s">
        <v>1201</v>
      </c>
      <c r="S733" s="97" t="s">
        <v>195</v>
      </c>
    </row>
    <row r="734" spans="1:19" x14ac:dyDescent="0.3">
      <c r="A734" s="97" t="s">
        <v>927</v>
      </c>
      <c r="B734" s="97" t="s">
        <v>22</v>
      </c>
      <c r="C734">
        <v>2025</v>
      </c>
      <c r="D734">
        <v>1</v>
      </c>
      <c r="E734" s="2">
        <v>45668</v>
      </c>
      <c r="F734" s="97" t="s">
        <v>7</v>
      </c>
      <c r="G734" s="97" t="s">
        <v>8</v>
      </c>
      <c r="H734" s="97" t="s">
        <v>70</v>
      </c>
      <c r="I734" s="97" t="s">
        <v>82</v>
      </c>
      <c r="J734" s="97" t="s">
        <v>83</v>
      </c>
      <c r="K734" s="97" t="s">
        <v>73</v>
      </c>
      <c r="L734">
        <v>701000</v>
      </c>
      <c r="M734" s="97" t="s">
        <v>62</v>
      </c>
      <c r="N734" s="97" t="s">
        <v>33</v>
      </c>
      <c r="O734">
        <v>142</v>
      </c>
      <c r="P734">
        <v>18.52</v>
      </c>
      <c r="Q734">
        <v>2.63</v>
      </c>
      <c r="R734" s="97" t="s">
        <v>1203</v>
      </c>
      <c r="S734" s="97" t="s">
        <v>195</v>
      </c>
    </row>
    <row r="735" spans="1:19" x14ac:dyDescent="0.3">
      <c r="A735" s="97" t="s">
        <v>928</v>
      </c>
      <c r="B735" s="97" t="s">
        <v>22</v>
      </c>
      <c r="C735">
        <v>2025</v>
      </c>
      <c r="D735">
        <v>1</v>
      </c>
      <c r="E735" s="2">
        <v>45668</v>
      </c>
      <c r="F735" s="97" t="s">
        <v>7</v>
      </c>
      <c r="G735" s="97" t="s">
        <v>8</v>
      </c>
      <c r="H735" s="97" t="s">
        <v>70</v>
      </c>
      <c r="I735" s="97" t="s">
        <v>82</v>
      </c>
      <c r="J735" s="97" t="s">
        <v>83</v>
      </c>
      <c r="K735" s="97" t="s">
        <v>73</v>
      </c>
      <c r="L735">
        <v>701000</v>
      </c>
      <c r="M735" s="97" t="s">
        <v>62</v>
      </c>
      <c r="N735" s="97" t="s">
        <v>33</v>
      </c>
      <c r="O735">
        <v>100</v>
      </c>
      <c r="P735">
        <v>18.5</v>
      </c>
      <c r="Q735">
        <v>1.85</v>
      </c>
      <c r="R735" s="97" t="s">
        <v>1200</v>
      </c>
      <c r="S735" s="97" t="s">
        <v>195</v>
      </c>
    </row>
    <row r="736" spans="1:19" x14ac:dyDescent="0.3">
      <c r="A736" s="97" t="s">
        <v>929</v>
      </c>
      <c r="B736" s="97" t="s">
        <v>22</v>
      </c>
      <c r="C736">
        <v>2025</v>
      </c>
      <c r="D736">
        <v>1</v>
      </c>
      <c r="E736" s="2">
        <v>45668</v>
      </c>
      <c r="F736" s="97" t="s">
        <v>7</v>
      </c>
      <c r="G736" s="97" t="s">
        <v>8</v>
      </c>
      <c r="H736" s="97" t="s">
        <v>70</v>
      </c>
      <c r="I736" s="97" t="s">
        <v>82</v>
      </c>
      <c r="J736" s="97" t="s">
        <v>83</v>
      </c>
      <c r="K736" s="97" t="s">
        <v>73</v>
      </c>
      <c r="L736">
        <v>701000</v>
      </c>
      <c r="M736" s="97" t="s">
        <v>62</v>
      </c>
      <c r="N736" s="97" t="s">
        <v>33</v>
      </c>
      <c r="O736">
        <v>19</v>
      </c>
      <c r="P736">
        <v>17.89</v>
      </c>
      <c r="Q736">
        <v>0.34</v>
      </c>
      <c r="R736" s="97" t="s">
        <v>1197</v>
      </c>
      <c r="S736" s="97" t="s">
        <v>195</v>
      </c>
    </row>
    <row r="737" spans="1:19" x14ac:dyDescent="0.3">
      <c r="A737" s="97" t="s">
        <v>930</v>
      </c>
      <c r="B737" s="97" t="s">
        <v>22</v>
      </c>
      <c r="C737">
        <v>2025</v>
      </c>
      <c r="D737">
        <v>1</v>
      </c>
      <c r="E737" s="2">
        <v>45675</v>
      </c>
      <c r="F737" s="97" t="s">
        <v>7</v>
      </c>
      <c r="G737" s="97" t="s">
        <v>8</v>
      </c>
      <c r="H737" s="97" t="s">
        <v>70</v>
      </c>
      <c r="I737" s="97" t="s">
        <v>82</v>
      </c>
      <c r="J737" s="97" t="s">
        <v>83</v>
      </c>
      <c r="K737" s="97" t="s">
        <v>73</v>
      </c>
      <c r="L737">
        <v>701000</v>
      </c>
      <c r="M737" s="97" t="s">
        <v>62</v>
      </c>
      <c r="N737" s="97" t="s">
        <v>33</v>
      </c>
      <c r="O737">
        <v>46</v>
      </c>
      <c r="P737">
        <v>18.48</v>
      </c>
      <c r="Q737">
        <v>0.85</v>
      </c>
      <c r="R737" s="97" t="s">
        <v>1197</v>
      </c>
      <c r="S737" s="97" t="s">
        <v>195</v>
      </c>
    </row>
    <row r="738" spans="1:19" x14ac:dyDescent="0.3">
      <c r="A738" s="97" t="s">
        <v>931</v>
      </c>
      <c r="B738" s="97" t="s">
        <v>22</v>
      </c>
      <c r="C738">
        <v>2025</v>
      </c>
      <c r="D738">
        <v>1</v>
      </c>
      <c r="E738" s="2">
        <v>45675</v>
      </c>
      <c r="F738" s="97" t="s">
        <v>7</v>
      </c>
      <c r="G738" s="97" t="s">
        <v>8</v>
      </c>
      <c r="H738" s="97" t="s">
        <v>70</v>
      </c>
      <c r="I738" s="97" t="s">
        <v>82</v>
      </c>
      <c r="J738" s="97" t="s">
        <v>83</v>
      </c>
      <c r="K738" s="97" t="s">
        <v>73</v>
      </c>
      <c r="L738">
        <v>701000</v>
      </c>
      <c r="M738" s="97" t="s">
        <v>62</v>
      </c>
      <c r="N738" s="97" t="s">
        <v>33</v>
      </c>
      <c r="O738">
        <v>120</v>
      </c>
      <c r="P738">
        <v>18.579999999999998</v>
      </c>
      <c r="Q738">
        <v>2.23</v>
      </c>
      <c r="R738" s="97" t="s">
        <v>1204</v>
      </c>
      <c r="S738" s="97" t="s">
        <v>195</v>
      </c>
    </row>
    <row r="739" spans="1:19" x14ac:dyDescent="0.3">
      <c r="A739" s="97" t="s">
        <v>932</v>
      </c>
      <c r="B739" s="97" t="s">
        <v>22</v>
      </c>
      <c r="C739">
        <v>2025</v>
      </c>
      <c r="D739">
        <v>1</v>
      </c>
      <c r="E739" s="2">
        <v>45675</v>
      </c>
      <c r="F739" s="97" t="s">
        <v>7</v>
      </c>
      <c r="G739" s="97" t="s">
        <v>8</v>
      </c>
      <c r="H739" s="97" t="s">
        <v>70</v>
      </c>
      <c r="I739" s="97" t="s">
        <v>82</v>
      </c>
      <c r="J739" s="97" t="s">
        <v>83</v>
      </c>
      <c r="K739" s="97" t="s">
        <v>73</v>
      </c>
      <c r="L739">
        <v>701000</v>
      </c>
      <c r="M739" s="97" t="s">
        <v>62</v>
      </c>
      <c r="N739" s="97" t="s">
        <v>33</v>
      </c>
      <c r="O739">
        <v>67</v>
      </c>
      <c r="P739">
        <v>18.36</v>
      </c>
      <c r="Q739">
        <v>1.23</v>
      </c>
      <c r="R739" s="97" t="s">
        <v>1205</v>
      </c>
      <c r="S739" s="97" t="s">
        <v>195</v>
      </c>
    </row>
    <row r="740" spans="1:19" x14ac:dyDescent="0.3">
      <c r="A740" s="97" t="s">
        <v>933</v>
      </c>
      <c r="B740" s="97" t="s">
        <v>22</v>
      </c>
      <c r="C740">
        <v>2025</v>
      </c>
      <c r="D740">
        <v>1</v>
      </c>
      <c r="E740" s="2">
        <v>45675</v>
      </c>
      <c r="F740" s="97" t="s">
        <v>7</v>
      </c>
      <c r="G740" s="97" t="s">
        <v>8</v>
      </c>
      <c r="H740" s="97" t="s">
        <v>70</v>
      </c>
      <c r="I740" s="97" t="s">
        <v>82</v>
      </c>
      <c r="J740" s="97" t="s">
        <v>83</v>
      </c>
      <c r="K740" s="97" t="s">
        <v>73</v>
      </c>
      <c r="L740">
        <v>701000</v>
      </c>
      <c r="M740" s="97" t="s">
        <v>62</v>
      </c>
      <c r="N740" s="97" t="s">
        <v>33</v>
      </c>
      <c r="O740">
        <v>29</v>
      </c>
      <c r="P740">
        <v>18.28</v>
      </c>
      <c r="Q740">
        <v>0.53</v>
      </c>
      <c r="R740" s="97" t="s">
        <v>1200</v>
      </c>
      <c r="S740" s="97" t="s">
        <v>195</v>
      </c>
    </row>
    <row r="741" spans="1:19" x14ac:dyDescent="0.3">
      <c r="A741" s="97" t="s">
        <v>934</v>
      </c>
      <c r="B741" s="97" t="s">
        <v>22</v>
      </c>
      <c r="C741">
        <v>2025</v>
      </c>
      <c r="D741">
        <v>1</v>
      </c>
      <c r="E741" s="2">
        <v>45675</v>
      </c>
      <c r="F741" s="97" t="s">
        <v>7</v>
      </c>
      <c r="G741" s="97" t="s">
        <v>8</v>
      </c>
      <c r="H741" s="97" t="s">
        <v>70</v>
      </c>
      <c r="I741" s="97" t="s">
        <v>82</v>
      </c>
      <c r="J741" s="97" t="s">
        <v>83</v>
      </c>
      <c r="K741" s="97" t="s">
        <v>73</v>
      </c>
      <c r="L741">
        <v>701000</v>
      </c>
      <c r="M741" s="97" t="s">
        <v>62</v>
      </c>
      <c r="N741" s="97" t="s">
        <v>33</v>
      </c>
      <c r="O741">
        <v>186</v>
      </c>
      <c r="P741">
        <v>18.489999999999998</v>
      </c>
      <c r="Q741">
        <v>3.44</v>
      </c>
      <c r="R741" s="97" t="s">
        <v>1198</v>
      </c>
      <c r="S741" s="97" t="s">
        <v>195</v>
      </c>
    </row>
    <row r="742" spans="1:19" x14ac:dyDescent="0.3">
      <c r="A742" s="97" t="s">
        <v>935</v>
      </c>
      <c r="B742" s="97" t="s">
        <v>22</v>
      </c>
      <c r="C742">
        <v>2025</v>
      </c>
      <c r="D742">
        <v>1</v>
      </c>
      <c r="E742" s="2">
        <v>45676</v>
      </c>
      <c r="F742" s="97" t="s">
        <v>7</v>
      </c>
      <c r="G742" s="97" t="s">
        <v>8</v>
      </c>
      <c r="H742" s="97" t="s">
        <v>70</v>
      </c>
      <c r="I742" s="97" t="s">
        <v>82</v>
      </c>
      <c r="J742" s="97" t="s">
        <v>83</v>
      </c>
      <c r="K742" s="97" t="s">
        <v>73</v>
      </c>
      <c r="L742">
        <v>701000</v>
      </c>
      <c r="M742" s="97" t="s">
        <v>62</v>
      </c>
      <c r="N742" s="97" t="s">
        <v>33</v>
      </c>
      <c r="O742">
        <v>25</v>
      </c>
      <c r="P742">
        <v>18.399999999999999</v>
      </c>
      <c r="Q742">
        <v>0.46</v>
      </c>
      <c r="R742" s="97" t="s">
        <v>1198</v>
      </c>
      <c r="S742" s="97" t="s">
        <v>195</v>
      </c>
    </row>
    <row r="743" spans="1:19" x14ac:dyDescent="0.3">
      <c r="A743" s="97" t="s">
        <v>936</v>
      </c>
      <c r="B743" s="97" t="s">
        <v>22</v>
      </c>
      <c r="C743">
        <v>2025</v>
      </c>
      <c r="D743">
        <v>1</v>
      </c>
      <c r="E743" s="2">
        <v>45676</v>
      </c>
      <c r="F743" s="97" t="s">
        <v>7</v>
      </c>
      <c r="G743" s="97" t="s">
        <v>8</v>
      </c>
      <c r="H743" s="97" t="s">
        <v>70</v>
      </c>
      <c r="I743" s="97" t="s">
        <v>82</v>
      </c>
      <c r="J743" s="97" t="s">
        <v>83</v>
      </c>
      <c r="K743" s="97" t="s">
        <v>73</v>
      </c>
      <c r="L743">
        <v>701000</v>
      </c>
      <c r="M743" s="97" t="s">
        <v>62</v>
      </c>
      <c r="N743" s="97" t="s">
        <v>33</v>
      </c>
      <c r="O743">
        <v>96</v>
      </c>
      <c r="P743">
        <v>18.440000000000001</v>
      </c>
      <c r="Q743">
        <v>1.77</v>
      </c>
      <c r="R743" s="97" t="s">
        <v>1203</v>
      </c>
      <c r="S743" s="97" t="s">
        <v>195</v>
      </c>
    </row>
    <row r="744" spans="1:19" x14ac:dyDescent="0.3">
      <c r="A744" s="97" t="s">
        <v>937</v>
      </c>
      <c r="B744" s="97" t="s">
        <v>22</v>
      </c>
      <c r="C744">
        <v>2025</v>
      </c>
      <c r="D744">
        <v>1</v>
      </c>
      <c r="E744" s="2">
        <v>45676</v>
      </c>
      <c r="F744" s="97" t="s">
        <v>7</v>
      </c>
      <c r="G744" s="97" t="s">
        <v>8</v>
      </c>
      <c r="H744" s="97" t="s">
        <v>70</v>
      </c>
      <c r="I744" s="97" t="s">
        <v>82</v>
      </c>
      <c r="J744" s="97" t="s">
        <v>83</v>
      </c>
      <c r="K744" s="97" t="s">
        <v>73</v>
      </c>
      <c r="L744">
        <v>701000</v>
      </c>
      <c r="M744" s="97" t="s">
        <v>62</v>
      </c>
      <c r="N744" s="97" t="s">
        <v>33</v>
      </c>
      <c r="O744">
        <v>70</v>
      </c>
      <c r="P744">
        <v>18.57</v>
      </c>
      <c r="Q744">
        <v>1.3</v>
      </c>
      <c r="R744" s="97" t="s">
        <v>1200</v>
      </c>
      <c r="S744" s="97" t="s">
        <v>195</v>
      </c>
    </row>
    <row r="745" spans="1:19" x14ac:dyDescent="0.3">
      <c r="A745" s="97" t="s">
        <v>938</v>
      </c>
      <c r="B745" s="97" t="s">
        <v>22</v>
      </c>
      <c r="C745">
        <v>2025</v>
      </c>
      <c r="D745">
        <v>1</v>
      </c>
      <c r="E745" s="2">
        <v>45676</v>
      </c>
      <c r="F745" s="97" t="s">
        <v>7</v>
      </c>
      <c r="G745" s="97" t="s">
        <v>8</v>
      </c>
      <c r="H745" s="97" t="s">
        <v>70</v>
      </c>
      <c r="I745" s="97" t="s">
        <v>82</v>
      </c>
      <c r="J745" s="97" t="s">
        <v>83</v>
      </c>
      <c r="K745" s="97" t="s">
        <v>73</v>
      </c>
      <c r="L745">
        <v>701000</v>
      </c>
      <c r="M745" s="97" t="s">
        <v>62</v>
      </c>
      <c r="N745" s="97" t="s">
        <v>33</v>
      </c>
      <c r="O745">
        <v>176</v>
      </c>
      <c r="P745">
        <v>18.47</v>
      </c>
      <c r="Q745">
        <v>3.25</v>
      </c>
      <c r="R745" s="97" t="s">
        <v>1205</v>
      </c>
      <c r="S745" s="97" t="s">
        <v>195</v>
      </c>
    </row>
    <row r="746" spans="1:19" x14ac:dyDescent="0.3">
      <c r="A746" s="97" t="s">
        <v>939</v>
      </c>
      <c r="B746" s="97" t="s">
        <v>22</v>
      </c>
      <c r="C746">
        <v>2025</v>
      </c>
      <c r="D746">
        <v>1</v>
      </c>
      <c r="E746" s="2">
        <v>45676</v>
      </c>
      <c r="F746" s="97" t="s">
        <v>7</v>
      </c>
      <c r="G746" s="97" t="s">
        <v>8</v>
      </c>
      <c r="H746" s="97" t="s">
        <v>70</v>
      </c>
      <c r="I746" s="97" t="s">
        <v>82</v>
      </c>
      <c r="J746" s="97" t="s">
        <v>83</v>
      </c>
      <c r="K746" s="97" t="s">
        <v>73</v>
      </c>
      <c r="L746">
        <v>701000</v>
      </c>
      <c r="M746" s="97" t="s">
        <v>62</v>
      </c>
      <c r="N746" s="97" t="s">
        <v>33</v>
      </c>
      <c r="O746">
        <v>108</v>
      </c>
      <c r="P746">
        <v>18.52</v>
      </c>
      <c r="Q746">
        <v>2</v>
      </c>
      <c r="R746" s="97" t="s">
        <v>1201</v>
      </c>
      <c r="S746" s="97" t="s">
        <v>195</v>
      </c>
    </row>
    <row r="747" spans="1:19" x14ac:dyDescent="0.3">
      <c r="A747" s="97" t="s">
        <v>940</v>
      </c>
      <c r="B747" s="97" t="s">
        <v>22</v>
      </c>
      <c r="C747">
        <v>2025</v>
      </c>
      <c r="D747">
        <v>1</v>
      </c>
      <c r="E747" s="2">
        <v>45684</v>
      </c>
      <c r="F747" s="97" t="s">
        <v>7</v>
      </c>
      <c r="G747" s="97" t="s">
        <v>8</v>
      </c>
      <c r="H747" s="97" t="s">
        <v>70</v>
      </c>
      <c r="I747" s="97" t="s">
        <v>82</v>
      </c>
      <c r="J747" s="97" t="s">
        <v>83</v>
      </c>
      <c r="K747" s="97" t="s">
        <v>73</v>
      </c>
      <c r="L747">
        <v>701000</v>
      </c>
      <c r="M747" s="97" t="s">
        <v>62</v>
      </c>
      <c r="N747" s="97" t="s">
        <v>33</v>
      </c>
      <c r="O747">
        <v>146</v>
      </c>
      <c r="P747">
        <v>18.559999999999999</v>
      </c>
      <c r="Q747">
        <v>2.71</v>
      </c>
      <c r="R747" s="97" t="s">
        <v>1203</v>
      </c>
      <c r="S747" s="97" t="s">
        <v>195</v>
      </c>
    </row>
    <row r="748" spans="1:19" x14ac:dyDescent="0.3">
      <c r="A748" s="97" t="s">
        <v>941</v>
      </c>
      <c r="B748" s="97" t="s">
        <v>22</v>
      </c>
      <c r="C748">
        <v>2025</v>
      </c>
      <c r="D748">
        <v>1</v>
      </c>
      <c r="E748" s="2">
        <v>45684</v>
      </c>
      <c r="F748" s="97" t="s">
        <v>7</v>
      </c>
      <c r="G748" s="97" t="s">
        <v>8</v>
      </c>
      <c r="H748" s="97" t="s">
        <v>70</v>
      </c>
      <c r="I748" s="97" t="s">
        <v>82</v>
      </c>
      <c r="J748" s="97" t="s">
        <v>83</v>
      </c>
      <c r="K748" s="97" t="s">
        <v>73</v>
      </c>
      <c r="L748">
        <v>701000</v>
      </c>
      <c r="M748" s="97" t="s">
        <v>62</v>
      </c>
      <c r="N748" s="97" t="s">
        <v>33</v>
      </c>
      <c r="O748">
        <v>155</v>
      </c>
      <c r="P748">
        <v>18.45</v>
      </c>
      <c r="Q748">
        <v>2.86</v>
      </c>
      <c r="R748" s="97" t="s">
        <v>1204</v>
      </c>
      <c r="S748" s="97" t="s">
        <v>195</v>
      </c>
    </row>
    <row r="749" spans="1:19" x14ac:dyDescent="0.3">
      <c r="A749" s="97" t="s">
        <v>942</v>
      </c>
      <c r="B749" s="97" t="s">
        <v>22</v>
      </c>
      <c r="C749">
        <v>2025</v>
      </c>
      <c r="D749">
        <v>1</v>
      </c>
      <c r="E749" s="2">
        <v>45684</v>
      </c>
      <c r="F749" s="97" t="s">
        <v>7</v>
      </c>
      <c r="G749" s="97" t="s">
        <v>8</v>
      </c>
      <c r="H749" s="97" t="s">
        <v>70</v>
      </c>
      <c r="I749" s="97" t="s">
        <v>82</v>
      </c>
      <c r="J749" s="97" t="s">
        <v>83</v>
      </c>
      <c r="K749" s="97" t="s">
        <v>73</v>
      </c>
      <c r="L749">
        <v>701000</v>
      </c>
      <c r="M749" s="97" t="s">
        <v>62</v>
      </c>
      <c r="N749" s="97" t="s">
        <v>33</v>
      </c>
      <c r="O749">
        <v>118</v>
      </c>
      <c r="P749">
        <v>18.559999999999999</v>
      </c>
      <c r="Q749">
        <v>2.19</v>
      </c>
      <c r="R749" s="97" t="s">
        <v>1199</v>
      </c>
      <c r="S749" s="97" t="s">
        <v>195</v>
      </c>
    </row>
    <row r="750" spans="1:19" x14ac:dyDescent="0.3">
      <c r="A750" s="97" t="s">
        <v>943</v>
      </c>
      <c r="B750" s="97" t="s">
        <v>22</v>
      </c>
      <c r="C750">
        <v>2025</v>
      </c>
      <c r="D750">
        <v>1</v>
      </c>
      <c r="E750" s="2">
        <v>45684</v>
      </c>
      <c r="F750" s="97" t="s">
        <v>7</v>
      </c>
      <c r="G750" s="97" t="s">
        <v>8</v>
      </c>
      <c r="H750" s="97" t="s">
        <v>70</v>
      </c>
      <c r="I750" s="97" t="s">
        <v>82</v>
      </c>
      <c r="J750" s="97" t="s">
        <v>83</v>
      </c>
      <c r="K750" s="97" t="s">
        <v>73</v>
      </c>
      <c r="L750">
        <v>701000</v>
      </c>
      <c r="M750" s="97" t="s">
        <v>62</v>
      </c>
      <c r="N750" s="97" t="s">
        <v>33</v>
      </c>
      <c r="O750">
        <v>112</v>
      </c>
      <c r="P750">
        <v>18.48</v>
      </c>
      <c r="Q750">
        <v>2.0699999999999998</v>
      </c>
      <c r="R750" s="97" t="s">
        <v>1201</v>
      </c>
      <c r="S750" s="97" t="s">
        <v>195</v>
      </c>
    </row>
    <row r="751" spans="1:19" x14ac:dyDescent="0.3">
      <c r="A751" s="97" t="s">
        <v>944</v>
      </c>
      <c r="B751" s="97" t="s">
        <v>22</v>
      </c>
      <c r="C751">
        <v>2025</v>
      </c>
      <c r="D751">
        <v>1</v>
      </c>
      <c r="E751" s="2">
        <v>45684</v>
      </c>
      <c r="F751" s="97" t="s">
        <v>7</v>
      </c>
      <c r="G751" s="97" t="s">
        <v>8</v>
      </c>
      <c r="H751" s="97" t="s">
        <v>70</v>
      </c>
      <c r="I751" s="97" t="s">
        <v>82</v>
      </c>
      <c r="J751" s="97" t="s">
        <v>83</v>
      </c>
      <c r="K751" s="97" t="s">
        <v>73</v>
      </c>
      <c r="L751">
        <v>701000</v>
      </c>
      <c r="M751" s="97" t="s">
        <v>62</v>
      </c>
      <c r="N751" s="97" t="s">
        <v>33</v>
      </c>
      <c r="O751">
        <v>29</v>
      </c>
      <c r="P751">
        <v>18.28</v>
      </c>
      <c r="Q751">
        <v>0.53</v>
      </c>
      <c r="R751" s="97" t="s">
        <v>1200</v>
      </c>
      <c r="S751" s="97" t="s">
        <v>195</v>
      </c>
    </row>
    <row r="752" spans="1:19" x14ac:dyDescent="0.3">
      <c r="A752" s="97" t="s">
        <v>945</v>
      </c>
      <c r="B752" s="97" t="s">
        <v>22</v>
      </c>
      <c r="C752">
        <v>2025</v>
      </c>
      <c r="D752">
        <v>1</v>
      </c>
      <c r="E752" s="2">
        <v>45664</v>
      </c>
      <c r="F752" s="97" t="s">
        <v>7</v>
      </c>
      <c r="G752" s="97" t="s">
        <v>8</v>
      </c>
      <c r="H752" s="97" t="s">
        <v>74</v>
      </c>
      <c r="I752" s="97" t="s">
        <v>82</v>
      </c>
      <c r="J752" s="97" t="s">
        <v>83</v>
      </c>
      <c r="K752" s="97" t="s">
        <v>73</v>
      </c>
      <c r="L752">
        <v>701000</v>
      </c>
      <c r="M752" s="97" t="s">
        <v>62</v>
      </c>
      <c r="N752" s="97" t="s">
        <v>33</v>
      </c>
      <c r="O752">
        <v>61</v>
      </c>
      <c r="P752">
        <v>18.36</v>
      </c>
      <c r="Q752">
        <v>1.1200000000000001</v>
      </c>
      <c r="R752" s="97" t="s">
        <v>1200</v>
      </c>
      <c r="S752" s="97" t="s">
        <v>195</v>
      </c>
    </row>
    <row r="753" spans="1:19" x14ac:dyDescent="0.3">
      <c r="A753" s="97" t="s">
        <v>946</v>
      </c>
      <c r="B753" s="97" t="s">
        <v>22</v>
      </c>
      <c r="C753">
        <v>2025</v>
      </c>
      <c r="D753">
        <v>1</v>
      </c>
      <c r="E753" s="2">
        <v>45664</v>
      </c>
      <c r="F753" s="97" t="s">
        <v>7</v>
      </c>
      <c r="G753" s="97" t="s">
        <v>8</v>
      </c>
      <c r="H753" s="97" t="s">
        <v>74</v>
      </c>
      <c r="I753" s="97" t="s">
        <v>82</v>
      </c>
      <c r="J753" s="97" t="s">
        <v>83</v>
      </c>
      <c r="K753" s="97" t="s">
        <v>73</v>
      </c>
      <c r="L753">
        <v>701000</v>
      </c>
      <c r="M753" s="97" t="s">
        <v>62</v>
      </c>
      <c r="N753" s="97" t="s">
        <v>33</v>
      </c>
      <c r="O753">
        <v>141</v>
      </c>
      <c r="P753">
        <v>18.440000000000001</v>
      </c>
      <c r="Q753">
        <v>2.6</v>
      </c>
      <c r="R753" s="97" t="s">
        <v>1202</v>
      </c>
      <c r="S753" s="97" t="s">
        <v>195</v>
      </c>
    </row>
    <row r="754" spans="1:19" x14ac:dyDescent="0.3">
      <c r="A754" s="97" t="s">
        <v>947</v>
      </c>
      <c r="B754" s="97" t="s">
        <v>22</v>
      </c>
      <c r="C754">
        <v>2025</v>
      </c>
      <c r="D754">
        <v>1</v>
      </c>
      <c r="E754" s="2">
        <v>45664</v>
      </c>
      <c r="F754" s="97" t="s">
        <v>7</v>
      </c>
      <c r="G754" s="97" t="s">
        <v>8</v>
      </c>
      <c r="H754" s="97" t="s">
        <v>74</v>
      </c>
      <c r="I754" s="97" t="s">
        <v>82</v>
      </c>
      <c r="J754" s="97" t="s">
        <v>83</v>
      </c>
      <c r="K754" s="97" t="s">
        <v>73</v>
      </c>
      <c r="L754">
        <v>701000</v>
      </c>
      <c r="M754" s="97" t="s">
        <v>62</v>
      </c>
      <c r="N754" s="97" t="s">
        <v>33</v>
      </c>
      <c r="O754">
        <v>161</v>
      </c>
      <c r="P754">
        <v>18.510000000000002</v>
      </c>
      <c r="Q754">
        <v>2.98</v>
      </c>
      <c r="R754" s="97" t="s">
        <v>1199</v>
      </c>
      <c r="S754" s="97" t="s">
        <v>195</v>
      </c>
    </row>
    <row r="755" spans="1:19" x14ac:dyDescent="0.3">
      <c r="A755" s="97" t="s">
        <v>948</v>
      </c>
      <c r="B755" s="97" t="s">
        <v>22</v>
      </c>
      <c r="C755">
        <v>2025</v>
      </c>
      <c r="D755">
        <v>1</v>
      </c>
      <c r="E755" s="2">
        <v>45664</v>
      </c>
      <c r="F755" s="97" t="s">
        <v>7</v>
      </c>
      <c r="G755" s="97" t="s">
        <v>8</v>
      </c>
      <c r="H755" s="97" t="s">
        <v>74</v>
      </c>
      <c r="I755" s="97" t="s">
        <v>82</v>
      </c>
      <c r="J755" s="97" t="s">
        <v>83</v>
      </c>
      <c r="K755" s="97" t="s">
        <v>73</v>
      </c>
      <c r="L755">
        <v>701000</v>
      </c>
      <c r="M755" s="97" t="s">
        <v>62</v>
      </c>
      <c r="N755" s="97" t="s">
        <v>33</v>
      </c>
      <c r="O755">
        <v>154</v>
      </c>
      <c r="P755">
        <v>18.510000000000002</v>
      </c>
      <c r="Q755">
        <v>2.85</v>
      </c>
      <c r="R755" s="97" t="s">
        <v>1201</v>
      </c>
      <c r="S755" s="97" t="s">
        <v>195</v>
      </c>
    </row>
    <row r="756" spans="1:19" x14ac:dyDescent="0.3">
      <c r="A756" s="97" t="s">
        <v>949</v>
      </c>
      <c r="B756" s="97" t="s">
        <v>22</v>
      </c>
      <c r="C756">
        <v>2025</v>
      </c>
      <c r="D756">
        <v>1</v>
      </c>
      <c r="E756" s="2">
        <v>45664</v>
      </c>
      <c r="F756" s="97" t="s">
        <v>7</v>
      </c>
      <c r="G756" s="97" t="s">
        <v>8</v>
      </c>
      <c r="H756" s="97" t="s">
        <v>74</v>
      </c>
      <c r="I756" s="97" t="s">
        <v>82</v>
      </c>
      <c r="J756" s="97" t="s">
        <v>83</v>
      </c>
      <c r="K756" s="97" t="s">
        <v>73</v>
      </c>
      <c r="L756">
        <v>701000</v>
      </c>
      <c r="M756" s="97" t="s">
        <v>62</v>
      </c>
      <c r="N756" s="97" t="s">
        <v>33</v>
      </c>
      <c r="O756">
        <v>68</v>
      </c>
      <c r="P756">
        <v>18.68</v>
      </c>
      <c r="Q756">
        <v>1.27</v>
      </c>
      <c r="R756" s="97" t="s">
        <v>1203</v>
      </c>
      <c r="S756" s="97" t="s">
        <v>195</v>
      </c>
    </row>
    <row r="757" spans="1:19" x14ac:dyDescent="0.3">
      <c r="A757" s="97" t="s">
        <v>950</v>
      </c>
      <c r="B757" s="97" t="s">
        <v>22</v>
      </c>
      <c r="C757">
        <v>2025</v>
      </c>
      <c r="D757">
        <v>1</v>
      </c>
      <c r="E757" s="2">
        <v>45665</v>
      </c>
      <c r="F757" s="97" t="s">
        <v>7</v>
      </c>
      <c r="G757" s="97" t="s">
        <v>8</v>
      </c>
      <c r="H757" s="97" t="s">
        <v>74</v>
      </c>
      <c r="I757" s="97" t="s">
        <v>82</v>
      </c>
      <c r="J757" s="97" t="s">
        <v>83</v>
      </c>
      <c r="K757" s="97" t="s">
        <v>73</v>
      </c>
      <c r="L757">
        <v>701000</v>
      </c>
      <c r="M757" s="97" t="s">
        <v>62</v>
      </c>
      <c r="N757" s="97" t="s">
        <v>33</v>
      </c>
      <c r="O757">
        <v>106</v>
      </c>
      <c r="P757">
        <v>18.489999999999998</v>
      </c>
      <c r="Q757">
        <v>1.96</v>
      </c>
      <c r="R757" s="97" t="s">
        <v>1201</v>
      </c>
      <c r="S757" s="97" t="s">
        <v>195</v>
      </c>
    </row>
    <row r="758" spans="1:19" x14ac:dyDescent="0.3">
      <c r="A758" s="97" t="s">
        <v>951</v>
      </c>
      <c r="B758" s="97" t="s">
        <v>22</v>
      </c>
      <c r="C758">
        <v>2025</v>
      </c>
      <c r="D758">
        <v>1</v>
      </c>
      <c r="E758" s="2">
        <v>45665</v>
      </c>
      <c r="F758" s="97" t="s">
        <v>7</v>
      </c>
      <c r="G758" s="97" t="s">
        <v>8</v>
      </c>
      <c r="H758" s="97" t="s">
        <v>74</v>
      </c>
      <c r="I758" s="97" t="s">
        <v>82</v>
      </c>
      <c r="J758" s="97" t="s">
        <v>83</v>
      </c>
      <c r="K758" s="97" t="s">
        <v>73</v>
      </c>
      <c r="L758">
        <v>701000</v>
      </c>
      <c r="M758" s="97" t="s">
        <v>62</v>
      </c>
      <c r="N758" s="97" t="s">
        <v>33</v>
      </c>
      <c r="O758">
        <v>52</v>
      </c>
      <c r="P758">
        <v>18.27</v>
      </c>
      <c r="Q758">
        <v>0.95</v>
      </c>
      <c r="R758" s="97" t="s">
        <v>1202</v>
      </c>
      <c r="S758" s="97" t="s">
        <v>195</v>
      </c>
    </row>
    <row r="759" spans="1:19" x14ac:dyDescent="0.3">
      <c r="A759" s="97" t="s">
        <v>952</v>
      </c>
      <c r="B759" s="97" t="s">
        <v>22</v>
      </c>
      <c r="C759">
        <v>2025</v>
      </c>
      <c r="D759">
        <v>1</v>
      </c>
      <c r="E759" s="2">
        <v>45665</v>
      </c>
      <c r="F759" s="97" t="s">
        <v>7</v>
      </c>
      <c r="G759" s="97" t="s">
        <v>8</v>
      </c>
      <c r="H759" s="97" t="s">
        <v>74</v>
      </c>
      <c r="I759" s="97" t="s">
        <v>82</v>
      </c>
      <c r="J759" s="97" t="s">
        <v>83</v>
      </c>
      <c r="K759" s="97" t="s">
        <v>73</v>
      </c>
      <c r="L759">
        <v>701000</v>
      </c>
      <c r="M759" s="97" t="s">
        <v>62</v>
      </c>
      <c r="N759" s="97" t="s">
        <v>33</v>
      </c>
      <c r="O759">
        <v>206</v>
      </c>
      <c r="P759">
        <v>18.54</v>
      </c>
      <c r="Q759">
        <v>3.82</v>
      </c>
      <c r="R759" s="97" t="s">
        <v>1205</v>
      </c>
      <c r="S759" s="97" t="s">
        <v>195</v>
      </c>
    </row>
    <row r="760" spans="1:19" x14ac:dyDescent="0.3">
      <c r="A760" s="97" t="s">
        <v>953</v>
      </c>
      <c r="B760" s="97" t="s">
        <v>22</v>
      </c>
      <c r="C760">
        <v>2025</v>
      </c>
      <c r="D760">
        <v>1</v>
      </c>
      <c r="E760" s="2">
        <v>45665</v>
      </c>
      <c r="F760" s="97" t="s">
        <v>7</v>
      </c>
      <c r="G760" s="97" t="s">
        <v>8</v>
      </c>
      <c r="H760" s="97" t="s">
        <v>74</v>
      </c>
      <c r="I760" s="97" t="s">
        <v>82</v>
      </c>
      <c r="J760" s="97" t="s">
        <v>83</v>
      </c>
      <c r="K760" s="97" t="s">
        <v>73</v>
      </c>
      <c r="L760">
        <v>701000</v>
      </c>
      <c r="M760" s="97" t="s">
        <v>62</v>
      </c>
      <c r="N760" s="97" t="s">
        <v>33</v>
      </c>
      <c r="O760">
        <v>82</v>
      </c>
      <c r="P760">
        <v>18.41</v>
      </c>
      <c r="Q760">
        <v>1.51</v>
      </c>
      <c r="R760" s="97" t="s">
        <v>1197</v>
      </c>
      <c r="S760" s="97" t="s">
        <v>195</v>
      </c>
    </row>
    <row r="761" spans="1:19" x14ac:dyDescent="0.3">
      <c r="A761" s="97" t="s">
        <v>954</v>
      </c>
      <c r="B761" s="97" t="s">
        <v>22</v>
      </c>
      <c r="C761">
        <v>2025</v>
      </c>
      <c r="D761">
        <v>1</v>
      </c>
      <c r="E761" s="2">
        <v>45665</v>
      </c>
      <c r="F761" s="97" t="s">
        <v>7</v>
      </c>
      <c r="G761" s="97" t="s">
        <v>8</v>
      </c>
      <c r="H761" s="97" t="s">
        <v>74</v>
      </c>
      <c r="I761" s="97" t="s">
        <v>82</v>
      </c>
      <c r="J761" s="97" t="s">
        <v>83</v>
      </c>
      <c r="K761" s="97" t="s">
        <v>73</v>
      </c>
      <c r="L761">
        <v>701000</v>
      </c>
      <c r="M761" s="97" t="s">
        <v>62</v>
      </c>
      <c r="N761" s="97" t="s">
        <v>33</v>
      </c>
      <c r="O761">
        <v>45</v>
      </c>
      <c r="P761">
        <v>18.670000000000002</v>
      </c>
      <c r="Q761">
        <v>0.84</v>
      </c>
      <c r="R761" s="97" t="s">
        <v>1198</v>
      </c>
      <c r="S761" s="97" t="s">
        <v>195</v>
      </c>
    </row>
    <row r="762" spans="1:19" x14ac:dyDescent="0.3">
      <c r="A762" s="97" t="s">
        <v>955</v>
      </c>
      <c r="B762" s="97" t="s">
        <v>22</v>
      </c>
      <c r="C762">
        <v>2025</v>
      </c>
      <c r="D762">
        <v>1</v>
      </c>
      <c r="E762" s="2">
        <v>45683</v>
      </c>
      <c r="F762" s="97" t="s">
        <v>7</v>
      </c>
      <c r="G762" s="97" t="s">
        <v>8</v>
      </c>
      <c r="H762" s="97" t="s">
        <v>70</v>
      </c>
      <c r="I762" s="97" t="s">
        <v>82</v>
      </c>
      <c r="J762" s="97" t="s">
        <v>83</v>
      </c>
      <c r="K762" s="97" t="s">
        <v>73</v>
      </c>
      <c r="L762">
        <v>701000</v>
      </c>
      <c r="M762" s="97" t="s">
        <v>62</v>
      </c>
      <c r="N762" s="97" t="s">
        <v>33</v>
      </c>
      <c r="O762">
        <v>210</v>
      </c>
      <c r="P762">
        <v>18.48</v>
      </c>
      <c r="Q762">
        <v>3.88</v>
      </c>
      <c r="R762" s="97" t="s">
        <v>1199</v>
      </c>
      <c r="S762" s="97" t="s">
        <v>195</v>
      </c>
    </row>
    <row r="763" spans="1:19" x14ac:dyDescent="0.3">
      <c r="A763" s="97" t="s">
        <v>956</v>
      </c>
      <c r="B763" s="97" t="s">
        <v>22</v>
      </c>
      <c r="C763">
        <v>2025</v>
      </c>
      <c r="D763">
        <v>1</v>
      </c>
      <c r="E763" s="2">
        <v>45683</v>
      </c>
      <c r="F763" s="97" t="s">
        <v>7</v>
      </c>
      <c r="G763" s="97" t="s">
        <v>8</v>
      </c>
      <c r="H763" s="97" t="s">
        <v>70</v>
      </c>
      <c r="I763" s="97" t="s">
        <v>82</v>
      </c>
      <c r="J763" s="97" t="s">
        <v>83</v>
      </c>
      <c r="K763" s="97" t="s">
        <v>73</v>
      </c>
      <c r="L763">
        <v>701000</v>
      </c>
      <c r="M763" s="97" t="s">
        <v>62</v>
      </c>
      <c r="N763" s="97" t="s">
        <v>33</v>
      </c>
      <c r="O763">
        <v>55</v>
      </c>
      <c r="P763">
        <v>18.55</v>
      </c>
      <c r="Q763">
        <v>1.02</v>
      </c>
      <c r="R763" s="97" t="s">
        <v>1201</v>
      </c>
      <c r="S763" s="97" t="s">
        <v>195</v>
      </c>
    </row>
    <row r="764" spans="1:19" x14ac:dyDescent="0.3">
      <c r="A764" s="97" t="s">
        <v>957</v>
      </c>
      <c r="B764" s="97" t="s">
        <v>22</v>
      </c>
      <c r="C764">
        <v>2025</v>
      </c>
      <c r="D764">
        <v>1</v>
      </c>
      <c r="E764" s="2">
        <v>45683</v>
      </c>
      <c r="F764" s="97" t="s">
        <v>7</v>
      </c>
      <c r="G764" s="97" t="s">
        <v>8</v>
      </c>
      <c r="H764" s="97" t="s">
        <v>70</v>
      </c>
      <c r="I764" s="97" t="s">
        <v>82</v>
      </c>
      <c r="J764" s="97" t="s">
        <v>83</v>
      </c>
      <c r="K764" s="97" t="s">
        <v>73</v>
      </c>
      <c r="L764">
        <v>701000</v>
      </c>
      <c r="M764" s="97" t="s">
        <v>62</v>
      </c>
      <c r="N764" s="97" t="s">
        <v>33</v>
      </c>
      <c r="O764">
        <v>20</v>
      </c>
      <c r="P764">
        <v>18</v>
      </c>
      <c r="Q764">
        <v>0.36</v>
      </c>
      <c r="R764" s="97" t="s">
        <v>1200</v>
      </c>
      <c r="S764" s="97" t="s">
        <v>195</v>
      </c>
    </row>
    <row r="765" spans="1:19" x14ac:dyDescent="0.3">
      <c r="A765" s="97" t="s">
        <v>958</v>
      </c>
      <c r="B765" s="97" t="s">
        <v>22</v>
      </c>
      <c r="C765">
        <v>2025</v>
      </c>
      <c r="D765">
        <v>1</v>
      </c>
      <c r="E765" s="2">
        <v>45683</v>
      </c>
      <c r="F765" s="97" t="s">
        <v>7</v>
      </c>
      <c r="G765" s="97" t="s">
        <v>8</v>
      </c>
      <c r="H765" s="97" t="s">
        <v>70</v>
      </c>
      <c r="I765" s="97" t="s">
        <v>82</v>
      </c>
      <c r="J765" s="97" t="s">
        <v>83</v>
      </c>
      <c r="K765" s="97" t="s">
        <v>73</v>
      </c>
      <c r="L765">
        <v>701000</v>
      </c>
      <c r="M765" s="97" t="s">
        <v>62</v>
      </c>
      <c r="N765" s="97" t="s">
        <v>33</v>
      </c>
      <c r="O765">
        <v>131</v>
      </c>
      <c r="P765">
        <v>18.47</v>
      </c>
      <c r="Q765">
        <v>2.42</v>
      </c>
      <c r="R765" s="97" t="s">
        <v>1202</v>
      </c>
      <c r="S765" s="97" t="s">
        <v>195</v>
      </c>
    </row>
    <row r="766" spans="1:19" x14ac:dyDescent="0.3">
      <c r="A766" s="97" t="s">
        <v>959</v>
      </c>
      <c r="B766" s="97" t="s">
        <v>22</v>
      </c>
      <c r="C766">
        <v>2025</v>
      </c>
      <c r="D766">
        <v>1</v>
      </c>
      <c r="E766" s="2">
        <v>45683</v>
      </c>
      <c r="F766" s="97" t="s">
        <v>7</v>
      </c>
      <c r="G766" s="97" t="s">
        <v>8</v>
      </c>
      <c r="H766" s="97" t="s">
        <v>70</v>
      </c>
      <c r="I766" s="97" t="s">
        <v>82</v>
      </c>
      <c r="J766" s="97" t="s">
        <v>83</v>
      </c>
      <c r="K766" s="97" t="s">
        <v>73</v>
      </c>
      <c r="L766">
        <v>701000</v>
      </c>
      <c r="M766" s="97" t="s">
        <v>62</v>
      </c>
      <c r="N766" s="97" t="s">
        <v>33</v>
      </c>
      <c r="O766">
        <v>103</v>
      </c>
      <c r="P766">
        <v>18.64</v>
      </c>
      <c r="Q766">
        <v>1.92</v>
      </c>
      <c r="R766" s="97" t="s">
        <v>1204</v>
      </c>
      <c r="S766" s="97" t="s">
        <v>195</v>
      </c>
    </row>
    <row r="767" spans="1:19" x14ac:dyDescent="0.3">
      <c r="A767" s="97" t="s">
        <v>960</v>
      </c>
      <c r="B767" s="97" t="s">
        <v>22</v>
      </c>
      <c r="C767">
        <v>2025</v>
      </c>
      <c r="D767">
        <v>1</v>
      </c>
      <c r="E767" s="2">
        <v>45685</v>
      </c>
      <c r="F767" s="97" t="s">
        <v>7</v>
      </c>
      <c r="G767" s="97" t="s">
        <v>8</v>
      </c>
      <c r="H767" s="97" t="s">
        <v>74</v>
      </c>
      <c r="I767" s="97" t="s">
        <v>82</v>
      </c>
      <c r="J767" s="97" t="s">
        <v>83</v>
      </c>
      <c r="K767" s="97" t="s">
        <v>73</v>
      </c>
      <c r="L767">
        <v>709000</v>
      </c>
      <c r="M767" s="97" t="s">
        <v>86</v>
      </c>
      <c r="N767" s="97" t="s">
        <v>33</v>
      </c>
      <c r="O767">
        <v>0</v>
      </c>
      <c r="P767">
        <v>-2480</v>
      </c>
      <c r="Q767">
        <v>-2.48</v>
      </c>
      <c r="R767" s="97" t="s">
        <v>1204</v>
      </c>
      <c r="S767" s="97" t="s">
        <v>195</v>
      </c>
    </row>
    <row r="768" spans="1:19" x14ac:dyDescent="0.3">
      <c r="A768" s="97" t="s">
        <v>961</v>
      </c>
      <c r="B768" s="97" t="s">
        <v>22</v>
      </c>
      <c r="C768">
        <v>2025</v>
      </c>
      <c r="D768">
        <v>1</v>
      </c>
      <c r="E768" s="2">
        <v>45685</v>
      </c>
      <c r="F768" s="97" t="s">
        <v>7</v>
      </c>
      <c r="G768" s="97" t="s">
        <v>8</v>
      </c>
      <c r="H768" s="97" t="s">
        <v>74</v>
      </c>
      <c r="I768" s="97" t="s">
        <v>82</v>
      </c>
      <c r="J768" s="97" t="s">
        <v>83</v>
      </c>
      <c r="K768" s="97" t="s">
        <v>73</v>
      </c>
      <c r="L768">
        <v>709000</v>
      </c>
      <c r="M768" s="97" t="s">
        <v>86</v>
      </c>
      <c r="N768" s="97" t="s">
        <v>33</v>
      </c>
      <c r="O768">
        <v>0</v>
      </c>
      <c r="P768">
        <v>-350</v>
      </c>
      <c r="Q768">
        <v>-0.35</v>
      </c>
      <c r="R768" s="97" t="s">
        <v>1205</v>
      </c>
      <c r="S768" s="97" t="s">
        <v>195</v>
      </c>
    </row>
    <row r="769" spans="1:19" x14ac:dyDescent="0.3">
      <c r="A769" s="97" t="s">
        <v>962</v>
      </c>
      <c r="B769" s="97" t="s">
        <v>22</v>
      </c>
      <c r="C769">
        <v>2025</v>
      </c>
      <c r="D769">
        <v>1</v>
      </c>
      <c r="E769" s="2">
        <v>45685</v>
      </c>
      <c r="F769" s="97" t="s">
        <v>7</v>
      </c>
      <c r="G769" s="97" t="s">
        <v>8</v>
      </c>
      <c r="H769" s="97" t="s">
        <v>74</v>
      </c>
      <c r="I769" s="97" t="s">
        <v>82</v>
      </c>
      <c r="J769" s="97" t="s">
        <v>83</v>
      </c>
      <c r="K769" s="97" t="s">
        <v>73</v>
      </c>
      <c r="L769">
        <v>709000</v>
      </c>
      <c r="M769" s="97" t="s">
        <v>86</v>
      </c>
      <c r="N769" s="97" t="s">
        <v>33</v>
      </c>
      <c r="O769">
        <v>0</v>
      </c>
      <c r="P769">
        <v>-690</v>
      </c>
      <c r="Q769">
        <v>-0.69</v>
      </c>
      <c r="R769" s="97" t="s">
        <v>1199</v>
      </c>
      <c r="S769" s="97" t="s">
        <v>195</v>
      </c>
    </row>
    <row r="770" spans="1:19" x14ac:dyDescent="0.3">
      <c r="A770" s="97" t="s">
        <v>963</v>
      </c>
      <c r="B770" s="97" t="s">
        <v>22</v>
      </c>
      <c r="C770">
        <v>2025</v>
      </c>
      <c r="D770">
        <v>1</v>
      </c>
      <c r="E770" s="2">
        <v>45685</v>
      </c>
      <c r="F770" s="97" t="s">
        <v>7</v>
      </c>
      <c r="G770" s="97" t="s">
        <v>8</v>
      </c>
      <c r="H770" s="97" t="s">
        <v>74</v>
      </c>
      <c r="I770" s="97" t="s">
        <v>82</v>
      </c>
      <c r="J770" s="97" t="s">
        <v>83</v>
      </c>
      <c r="K770" s="97" t="s">
        <v>73</v>
      </c>
      <c r="L770">
        <v>709000</v>
      </c>
      <c r="M770" s="97" t="s">
        <v>86</v>
      </c>
      <c r="N770" s="97" t="s">
        <v>33</v>
      </c>
      <c r="O770">
        <v>0</v>
      </c>
      <c r="P770">
        <v>-150</v>
      </c>
      <c r="Q770">
        <v>-0.15</v>
      </c>
      <c r="R770" s="97" t="s">
        <v>1203</v>
      </c>
      <c r="S770" s="97" t="s">
        <v>195</v>
      </c>
    </row>
    <row r="771" spans="1:19" x14ac:dyDescent="0.3">
      <c r="A771" s="97" t="s">
        <v>964</v>
      </c>
      <c r="B771" s="97" t="s">
        <v>22</v>
      </c>
      <c r="C771">
        <v>2025</v>
      </c>
      <c r="D771">
        <v>1</v>
      </c>
      <c r="E771" s="2">
        <v>45685</v>
      </c>
      <c r="F771" s="97" t="s">
        <v>7</v>
      </c>
      <c r="G771" s="97" t="s">
        <v>8</v>
      </c>
      <c r="H771" s="97" t="s">
        <v>74</v>
      </c>
      <c r="I771" s="97" t="s">
        <v>82</v>
      </c>
      <c r="J771" s="97" t="s">
        <v>83</v>
      </c>
      <c r="K771" s="97" t="s">
        <v>73</v>
      </c>
      <c r="L771">
        <v>709000</v>
      </c>
      <c r="M771" s="97" t="s">
        <v>86</v>
      </c>
      <c r="N771" s="97" t="s">
        <v>33</v>
      </c>
      <c r="O771">
        <v>0</v>
      </c>
      <c r="P771">
        <v>-1430</v>
      </c>
      <c r="Q771">
        <v>-1.43</v>
      </c>
      <c r="R771" s="97" t="s">
        <v>1198</v>
      </c>
      <c r="S771" s="97" t="s">
        <v>195</v>
      </c>
    </row>
    <row r="772" spans="1:19" x14ac:dyDescent="0.3">
      <c r="A772" s="97" t="s">
        <v>965</v>
      </c>
      <c r="B772" s="97" t="s">
        <v>22</v>
      </c>
      <c r="C772">
        <v>2025</v>
      </c>
      <c r="D772">
        <v>2</v>
      </c>
      <c r="E772" s="2">
        <v>45696</v>
      </c>
      <c r="F772" s="97" t="s">
        <v>7</v>
      </c>
      <c r="G772" s="97" t="s">
        <v>8</v>
      </c>
      <c r="H772" s="97" t="s">
        <v>74</v>
      </c>
      <c r="I772" s="97" t="s">
        <v>84</v>
      </c>
      <c r="J772" s="97" t="s">
        <v>85</v>
      </c>
      <c r="K772" s="97" t="s">
        <v>73</v>
      </c>
      <c r="L772">
        <v>701000</v>
      </c>
      <c r="M772" s="97" t="s">
        <v>62</v>
      </c>
      <c r="N772" s="97" t="s">
        <v>33</v>
      </c>
      <c r="O772">
        <v>3738</v>
      </c>
      <c r="P772">
        <v>0.95</v>
      </c>
      <c r="Q772">
        <v>3.55</v>
      </c>
      <c r="R772" s="97" t="s">
        <v>1200</v>
      </c>
      <c r="S772" s="97" t="s">
        <v>195</v>
      </c>
    </row>
    <row r="773" spans="1:19" x14ac:dyDescent="0.3">
      <c r="A773" s="97" t="s">
        <v>966</v>
      </c>
      <c r="B773" s="97" t="s">
        <v>22</v>
      </c>
      <c r="C773">
        <v>2025</v>
      </c>
      <c r="D773">
        <v>2</v>
      </c>
      <c r="E773" s="2">
        <v>45696</v>
      </c>
      <c r="F773" s="97" t="s">
        <v>7</v>
      </c>
      <c r="G773" s="97" t="s">
        <v>8</v>
      </c>
      <c r="H773" s="97" t="s">
        <v>74</v>
      </c>
      <c r="I773" s="97" t="s">
        <v>84</v>
      </c>
      <c r="J773" s="97" t="s">
        <v>85</v>
      </c>
      <c r="K773" s="97" t="s">
        <v>73</v>
      </c>
      <c r="L773">
        <v>701000</v>
      </c>
      <c r="M773" s="97" t="s">
        <v>62</v>
      </c>
      <c r="N773" s="97" t="s">
        <v>33</v>
      </c>
      <c r="O773">
        <v>1023</v>
      </c>
      <c r="P773">
        <v>0.95</v>
      </c>
      <c r="Q773">
        <v>0.97</v>
      </c>
      <c r="R773" s="97" t="s">
        <v>1197</v>
      </c>
      <c r="S773" s="97" t="s">
        <v>195</v>
      </c>
    </row>
    <row r="774" spans="1:19" x14ac:dyDescent="0.3">
      <c r="A774" s="97" t="s">
        <v>967</v>
      </c>
      <c r="B774" s="97" t="s">
        <v>22</v>
      </c>
      <c r="C774">
        <v>2025</v>
      </c>
      <c r="D774">
        <v>2</v>
      </c>
      <c r="E774" s="2">
        <v>45696</v>
      </c>
      <c r="F774" s="97" t="s">
        <v>7</v>
      </c>
      <c r="G774" s="97" t="s">
        <v>8</v>
      </c>
      <c r="H774" s="97" t="s">
        <v>74</v>
      </c>
      <c r="I774" s="97" t="s">
        <v>84</v>
      </c>
      <c r="J774" s="97" t="s">
        <v>85</v>
      </c>
      <c r="K774" s="97" t="s">
        <v>73</v>
      </c>
      <c r="L774">
        <v>701000</v>
      </c>
      <c r="M774" s="97" t="s">
        <v>62</v>
      </c>
      <c r="N774" s="97" t="s">
        <v>33</v>
      </c>
      <c r="O774">
        <v>2660</v>
      </c>
      <c r="P774">
        <v>0.95</v>
      </c>
      <c r="Q774">
        <v>2.5299999999999998</v>
      </c>
      <c r="R774" s="97" t="s">
        <v>1203</v>
      </c>
      <c r="S774" s="97" t="s">
        <v>195</v>
      </c>
    </row>
    <row r="775" spans="1:19" x14ac:dyDescent="0.3">
      <c r="A775" s="97" t="s">
        <v>968</v>
      </c>
      <c r="B775" s="97" t="s">
        <v>22</v>
      </c>
      <c r="C775">
        <v>2025</v>
      </c>
      <c r="D775">
        <v>2</v>
      </c>
      <c r="E775" s="2">
        <v>45696</v>
      </c>
      <c r="F775" s="97" t="s">
        <v>7</v>
      </c>
      <c r="G775" s="97" t="s">
        <v>8</v>
      </c>
      <c r="H775" s="97" t="s">
        <v>74</v>
      </c>
      <c r="I775" s="97" t="s">
        <v>84</v>
      </c>
      <c r="J775" s="97" t="s">
        <v>85</v>
      </c>
      <c r="K775" s="97" t="s">
        <v>73</v>
      </c>
      <c r="L775">
        <v>701000</v>
      </c>
      <c r="M775" s="97" t="s">
        <v>62</v>
      </c>
      <c r="N775" s="97" t="s">
        <v>33</v>
      </c>
      <c r="O775">
        <v>1479</v>
      </c>
      <c r="P775">
        <v>0.95</v>
      </c>
      <c r="Q775">
        <v>1.41</v>
      </c>
      <c r="R775" s="97" t="s">
        <v>1205</v>
      </c>
      <c r="S775" s="97" t="s">
        <v>195</v>
      </c>
    </row>
    <row r="776" spans="1:19" x14ac:dyDescent="0.3">
      <c r="A776" s="97" t="s">
        <v>969</v>
      </c>
      <c r="B776" s="97" t="s">
        <v>22</v>
      </c>
      <c r="C776">
        <v>2025</v>
      </c>
      <c r="D776">
        <v>2</v>
      </c>
      <c r="E776" s="2">
        <v>45696</v>
      </c>
      <c r="F776" s="97" t="s">
        <v>7</v>
      </c>
      <c r="G776" s="97" t="s">
        <v>8</v>
      </c>
      <c r="H776" s="97" t="s">
        <v>74</v>
      </c>
      <c r="I776" s="97" t="s">
        <v>84</v>
      </c>
      <c r="J776" s="97" t="s">
        <v>85</v>
      </c>
      <c r="K776" s="97" t="s">
        <v>73</v>
      </c>
      <c r="L776">
        <v>701000</v>
      </c>
      <c r="M776" s="97" t="s">
        <v>62</v>
      </c>
      <c r="N776" s="97" t="s">
        <v>33</v>
      </c>
      <c r="O776">
        <v>5748</v>
      </c>
      <c r="P776">
        <v>0.95</v>
      </c>
      <c r="Q776">
        <v>5.46</v>
      </c>
      <c r="R776" s="97" t="s">
        <v>1202</v>
      </c>
      <c r="S776" s="97" t="s">
        <v>195</v>
      </c>
    </row>
    <row r="777" spans="1:19" x14ac:dyDescent="0.3">
      <c r="A777" s="97" t="s">
        <v>970</v>
      </c>
      <c r="B777" s="97" t="s">
        <v>22</v>
      </c>
      <c r="C777">
        <v>2025</v>
      </c>
      <c r="D777">
        <v>2</v>
      </c>
      <c r="E777" s="2">
        <v>45716</v>
      </c>
      <c r="F777" s="97" t="s">
        <v>7</v>
      </c>
      <c r="G777" s="97" t="s">
        <v>8</v>
      </c>
      <c r="H777" s="97" t="s">
        <v>70</v>
      </c>
      <c r="I777" s="97" t="s">
        <v>84</v>
      </c>
      <c r="J777" s="97" t="s">
        <v>85</v>
      </c>
      <c r="K777" s="97" t="s">
        <v>73</v>
      </c>
      <c r="L777">
        <v>701000</v>
      </c>
      <c r="M777" s="97" t="s">
        <v>62</v>
      </c>
      <c r="N777" s="97" t="s">
        <v>33</v>
      </c>
      <c r="O777">
        <v>1177</v>
      </c>
      <c r="P777">
        <v>0.95</v>
      </c>
      <c r="Q777">
        <v>1.1200000000000001</v>
      </c>
      <c r="R777" s="97" t="s">
        <v>1200</v>
      </c>
      <c r="S777" s="97" t="s">
        <v>195</v>
      </c>
    </row>
    <row r="778" spans="1:19" x14ac:dyDescent="0.3">
      <c r="A778" s="97" t="s">
        <v>971</v>
      </c>
      <c r="B778" s="97" t="s">
        <v>22</v>
      </c>
      <c r="C778">
        <v>2025</v>
      </c>
      <c r="D778">
        <v>2</v>
      </c>
      <c r="E778" s="2">
        <v>45716</v>
      </c>
      <c r="F778" s="97" t="s">
        <v>7</v>
      </c>
      <c r="G778" s="97" t="s">
        <v>8</v>
      </c>
      <c r="H778" s="97" t="s">
        <v>70</v>
      </c>
      <c r="I778" s="97" t="s">
        <v>84</v>
      </c>
      <c r="J778" s="97" t="s">
        <v>85</v>
      </c>
      <c r="K778" s="97" t="s">
        <v>73</v>
      </c>
      <c r="L778">
        <v>701000</v>
      </c>
      <c r="M778" s="97" t="s">
        <v>62</v>
      </c>
      <c r="N778" s="97" t="s">
        <v>33</v>
      </c>
      <c r="O778">
        <v>3652</v>
      </c>
      <c r="P778">
        <v>0.95</v>
      </c>
      <c r="Q778">
        <v>3.47</v>
      </c>
      <c r="R778" s="97" t="s">
        <v>1201</v>
      </c>
      <c r="S778" s="97" t="s">
        <v>195</v>
      </c>
    </row>
    <row r="779" spans="1:19" x14ac:dyDescent="0.3">
      <c r="A779" s="97" t="s">
        <v>972</v>
      </c>
      <c r="B779" s="97" t="s">
        <v>22</v>
      </c>
      <c r="C779">
        <v>2025</v>
      </c>
      <c r="D779">
        <v>2</v>
      </c>
      <c r="E779" s="2">
        <v>45716</v>
      </c>
      <c r="F779" s="97" t="s">
        <v>7</v>
      </c>
      <c r="G779" s="97" t="s">
        <v>8</v>
      </c>
      <c r="H779" s="97" t="s">
        <v>70</v>
      </c>
      <c r="I779" s="97" t="s">
        <v>84</v>
      </c>
      <c r="J779" s="97" t="s">
        <v>85</v>
      </c>
      <c r="K779" s="97" t="s">
        <v>73</v>
      </c>
      <c r="L779">
        <v>701000</v>
      </c>
      <c r="M779" s="97" t="s">
        <v>62</v>
      </c>
      <c r="N779" s="97" t="s">
        <v>33</v>
      </c>
      <c r="O779">
        <v>2629</v>
      </c>
      <c r="P779">
        <v>0.95</v>
      </c>
      <c r="Q779">
        <v>2.5</v>
      </c>
      <c r="R779" s="97" t="s">
        <v>1205</v>
      </c>
      <c r="S779" s="97" t="s">
        <v>195</v>
      </c>
    </row>
    <row r="780" spans="1:19" x14ac:dyDescent="0.3">
      <c r="A780" s="97" t="s">
        <v>973</v>
      </c>
      <c r="B780" s="97" t="s">
        <v>22</v>
      </c>
      <c r="C780">
        <v>2025</v>
      </c>
      <c r="D780">
        <v>2</v>
      </c>
      <c r="E780" s="2">
        <v>45716</v>
      </c>
      <c r="F780" s="97" t="s">
        <v>7</v>
      </c>
      <c r="G780" s="97" t="s">
        <v>8</v>
      </c>
      <c r="H780" s="97" t="s">
        <v>70</v>
      </c>
      <c r="I780" s="97" t="s">
        <v>84</v>
      </c>
      <c r="J780" s="97" t="s">
        <v>85</v>
      </c>
      <c r="K780" s="97" t="s">
        <v>73</v>
      </c>
      <c r="L780">
        <v>701000</v>
      </c>
      <c r="M780" s="97" t="s">
        <v>62</v>
      </c>
      <c r="N780" s="97" t="s">
        <v>33</v>
      </c>
      <c r="O780">
        <v>6404</v>
      </c>
      <c r="P780">
        <v>0.95</v>
      </c>
      <c r="Q780">
        <v>6.08</v>
      </c>
      <c r="R780" s="97" t="s">
        <v>1204</v>
      </c>
      <c r="S780" s="97" t="s">
        <v>195</v>
      </c>
    </row>
    <row r="781" spans="1:19" x14ac:dyDescent="0.3">
      <c r="A781" s="97" t="s">
        <v>974</v>
      </c>
      <c r="B781" s="97" t="s">
        <v>22</v>
      </c>
      <c r="C781">
        <v>2025</v>
      </c>
      <c r="D781">
        <v>2</v>
      </c>
      <c r="E781" s="2">
        <v>45716</v>
      </c>
      <c r="F781" s="97" t="s">
        <v>7</v>
      </c>
      <c r="G781" s="97" t="s">
        <v>8</v>
      </c>
      <c r="H781" s="97" t="s">
        <v>70</v>
      </c>
      <c r="I781" s="97" t="s">
        <v>84</v>
      </c>
      <c r="J781" s="97" t="s">
        <v>85</v>
      </c>
      <c r="K781" s="97" t="s">
        <v>73</v>
      </c>
      <c r="L781">
        <v>701000</v>
      </c>
      <c r="M781" s="97" t="s">
        <v>62</v>
      </c>
      <c r="N781" s="97" t="s">
        <v>33</v>
      </c>
      <c r="O781">
        <v>3475</v>
      </c>
      <c r="P781">
        <v>0.95</v>
      </c>
      <c r="Q781">
        <v>3.3</v>
      </c>
      <c r="R781" s="97" t="s">
        <v>1202</v>
      </c>
      <c r="S781" s="97" t="s">
        <v>195</v>
      </c>
    </row>
    <row r="782" spans="1:19" x14ac:dyDescent="0.3">
      <c r="A782" s="97" t="s">
        <v>975</v>
      </c>
      <c r="B782" s="97" t="s">
        <v>22</v>
      </c>
      <c r="C782">
        <v>2025</v>
      </c>
      <c r="D782">
        <v>2</v>
      </c>
      <c r="E782" s="2">
        <v>45715</v>
      </c>
      <c r="F782" s="97" t="s">
        <v>7</v>
      </c>
      <c r="G782" s="97" t="s">
        <v>8</v>
      </c>
      <c r="H782" s="97" t="s">
        <v>74</v>
      </c>
      <c r="I782" s="97" t="s">
        <v>84</v>
      </c>
      <c r="J782" s="97" t="s">
        <v>85</v>
      </c>
      <c r="K782" s="97" t="s">
        <v>73</v>
      </c>
      <c r="L782">
        <v>701000</v>
      </c>
      <c r="M782" s="97" t="s">
        <v>62</v>
      </c>
      <c r="N782" s="97" t="s">
        <v>33</v>
      </c>
      <c r="O782">
        <v>5581</v>
      </c>
      <c r="P782">
        <v>0.95</v>
      </c>
      <c r="Q782">
        <v>5.3</v>
      </c>
      <c r="R782" s="97" t="s">
        <v>1203</v>
      </c>
      <c r="S782" s="97" t="s">
        <v>195</v>
      </c>
    </row>
    <row r="783" spans="1:19" x14ac:dyDescent="0.3">
      <c r="A783" s="97" t="s">
        <v>976</v>
      </c>
      <c r="B783" s="97" t="s">
        <v>22</v>
      </c>
      <c r="C783">
        <v>2025</v>
      </c>
      <c r="D783">
        <v>2</v>
      </c>
      <c r="E783" s="2">
        <v>45715</v>
      </c>
      <c r="F783" s="97" t="s">
        <v>7</v>
      </c>
      <c r="G783" s="97" t="s">
        <v>8</v>
      </c>
      <c r="H783" s="97" t="s">
        <v>74</v>
      </c>
      <c r="I783" s="97" t="s">
        <v>84</v>
      </c>
      <c r="J783" s="97" t="s">
        <v>85</v>
      </c>
      <c r="K783" s="97" t="s">
        <v>73</v>
      </c>
      <c r="L783">
        <v>701000</v>
      </c>
      <c r="M783" s="97" t="s">
        <v>62</v>
      </c>
      <c r="N783" s="97" t="s">
        <v>33</v>
      </c>
      <c r="O783">
        <v>1213</v>
      </c>
      <c r="P783">
        <v>0.95</v>
      </c>
      <c r="Q783">
        <v>1.1499999999999999</v>
      </c>
      <c r="R783" s="97" t="s">
        <v>1197</v>
      </c>
      <c r="S783" s="97" t="s">
        <v>195</v>
      </c>
    </row>
    <row r="784" spans="1:19" x14ac:dyDescent="0.3">
      <c r="A784" s="97" t="s">
        <v>977</v>
      </c>
      <c r="B784" s="97" t="s">
        <v>22</v>
      </c>
      <c r="C784">
        <v>2025</v>
      </c>
      <c r="D784">
        <v>2</v>
      </c>
      <c r="E784" s="2">
        <v>45715</v>
      </c>
      <c r="F784" s="97" t="s">
        <v>7</v>
      </c>
      <c r="G784" s="97" t="s">
        <v>8</v>
      </c>
      <c r="H784" s="97" t="s">
        <v>74</v>
      </c>
      <c r="I784" s="97" t="s">
        <v>84</v>
      </c>
      <c r="J784" s="97" t="s">
        <v>85</v>
      </c>
      <c r="K784" s="97" t="s">
        <v>73</v>
      </c>
      <c r="L784">
        <v>701000</v>
      </c>
      <c r="M784" s="97" t="s">
        <v>62</v>
      </c>
      <c r="N784" s="97" t="s">
        <v>33</v>
      </c>
      <c r="O784">
        <v>2242</v>
      </c>
      <c r="P784">
        <v>0.95</v>
      </c>
      <c r="Q784">
        <v>2.13</v>
      </c>
      <c r="R784" s="97" t="s">
        <v>1199</v>
      </c>
      <c r="S784" s="97" t="s">
        <v>195</v>
      </c>
    </row>
    <row r="785" spans="1:19" x14ac:dyDescent="0.3">
      <c r="A785" s="97" t="s">
        <v>978</v>
      </c>
      <c r="B785" s="97" t="s">
        <v>22</v>
      </c>
      <c r="C785">
        <v>2025</v>
      </c>
      <c r="D785">
        <v>2</v>
      </c>
      <c r="E785" s="2">
        <v>45715</v>
      </c>
      <c r="F785" s="97" t="s">
        <v>7</v>
      </c>
      <c r="G785" s="97" t="s">
        <v>8</v>
      </c>
      <c r="H785" s="97" t="s">
        <v>74</v>
      </c>
      <c r="I785" s="97" t="s">
        <v>84</v>
      </c>
      <c r="J785" s="97" t="s">
        <v>85</v>
      </c>
      <c r="K785" s="97" t="s">
        <v>73</v>
      </c>
      <c r="L785">
        <v>701000</v>
      </c>
      <c r="M785" s="97" t="s">
        <v>62</v>
      </c>
      <c r="N785" s="97" t="s">
        <v>33</v>
      </c>
      <c r="O785">
        <v>3878</v>
      </c>
      <c r="P785">
        <v>0.95</v>
      </c>
      <c r="Q785">
        <v>3.68</v>
      </c>
      <c r="R785" s="97" t="s">
        <v>1198</v>
      </c>
      <c r="S785" s="97" t="s">
        <v>195</v>
      </c>
    </row>
    <row r="786" spans="1:19" x14ac:dyDescent="0.3">
      <c r="A786" s="97" t="s">
        <v>979</v>
      </c>
      <c r="B786" s="97" t="s">
        <v>22</v>
      </c>
      <c r="C786">
        <v>2025</v>
      </c>
      <c r="D786">
        <v>2</v>
      </c>
      <c r="E786" s="2">
        <v>45715</v>
      </c>
      <c r="F786" s="97" t="s">
        <v>7</v>
      </c>
      <c r="G786" s="97" t="s">
        <v>8</v>
      </c>
      <c r="H786" s="97" t="s">
        <v>74</v>
      </c>
      <c r="I786" s="97" t="s">
        <v>84</v>
      </c>
      <c r="J786" s="97" t="s">
        <v>85</v>
      </c>
      <c r="K786" s="97" t="s">
        <v>73</v>
      </c>
      <c r="L786">
        <v>701000</v>
      </c>
      <c r="M786" s="97" t="s">
        <v>62</v>
      </c>
      <c r="N786" s="97" t="s">
        <v>33</v>
      </c>
      <c r="O786">
        <v>6688</v>
      </c>
      <c r="P786">
        <v>0.95</v>
      </c>
      <c r="Q786">
        <v>6.36</v>
      </c>
      <c r="R786" s="97" t="s">
        <v>1202</v>
      </c>
      <c r="S786" s="97" t="s">
        <v>195</v>
      </c>
    </row>
    <row r="787" spans="1:19" x14ac:dyDescent="0.3">
      <c r="A787" s="97" t="s">
        <v>980</v>
      </c>
      <c r="B787" s="97" t="s">
        <v>22</v>
      </c>
      <c r="C787">
        <v>2025</v>
      </c>
      <c r="D787">
        <v>2</v>
      </c>
      <c r="E787" s="2">
        <v>45710</v>
      </c>
      <c r="F787" s="97" t="s">
        <v>7</v>
      </c>
      <c r="G787" s="97" t="s">
        <v>8</v>
      </c>
      <c r="H787" s="97" t="s">
        <v>74</v>
      </c>
      <c r="I787" s="97" t="s">
        <v>84</v>
      </c>
      <c r="J787" s="97" t="s">
        <v>85</v>
      </c>
      <c r="K787" s="97" t="s">
        <v>73</v>
      </c>
      <c r="L787">
        <v>701000</v>
      </c>
      <c r="M787" s="97" t="s">
        <v>62</v>
      </c>
      <c r="N787" s="97" t="s">
        <v>33</v>
      </c>
      <c r="O787">
        <v>1956</v>
      </c>
      <c r="P787">
        <v>0.95</v>
      </c>
      <c r="Q787">
        <v>1.86</v>
      </c>
      <c r="R787" s="97" t="s">
        <v>1203</v>
      </c>
      <c r="S787" s="97" t="s">
        <v>195</v>
      </c>
    </row>
    <row r="788" spans="1:19" x14ac:dyDescent="0.3">
      <c r="A788" s="97" t="s">
        <v>981</v>
      </c>
      <c r="B788" s="97" t="s">
        <v>22</v>
      </c>
      <c r="C788">
        <v>2025</v>
      </c>
      <c r="D788">
        <v>2</v>
      </c>
      <c r="E788" s="2">
        <v>45710</v>
      </c>
      <c r="F788" s="97" t="s">
        <v>7</v>
      </c>
      <c r="G788" s="97" t="s">
        <v>8</v>
      </c>
      <c r="H788" s="97" t="s">
        <v>74</v>
      </c>
      <c r="I788" s="97" t="s">
        <v>84</v>
      </c>
      <c r="J788" s="97" t="s">
        <v>85</v>
      </c>
      <c r="K788" s="97" t="s">
        <v>73</v>
      </c>
      <c r="L788">
        <v>701000</v>
      </c>
      <c r="M788" s="97" t="s">
        <v>62</v>
      </c>
      <c r="N788" s="97" t="s">
        <v>33</v>
      </c>
      <c r="O788">
        <v>2459</v>
      </c>
      <c r="P788">
        <v>0.95</v>
      </c>
      <c r="Q788">
        <v>2.34</v>
      </c>
      <c r="R788" s="97" t="s">
        <v>1200</v>
      </c>
      <c r="S788" s="97" t="s">
        <v>195</v>
      </c>
    </row>
    <row r="789" spans="1:19" x14ac:dyDescent="0.3">
      <c r="A789" s="97" t="s">
        <v>982</v>
      </c>
      <c r="B789" s="97" t="s">
        <v>22</v>
      </c>
      <c r="C789">
        <v>2025</v>
      </c>
      <c r="D789">
        <v>2</v>
      </c>
      <c r="E789" s="2">
        <v>45710</v>
      </c>
      <c r="F789" s="97" t="s">
        <v>7</v>
      </c>
      <c r="G789" s="97" t="s">
        <v>8</v>
      </c>
      <c r="H789" s="97" t="s">
        <v>74</v>
      </c>
      <c r="I789" s="97" t="s">
        <v>84</v>
      </c>
      <c r="J789" s="97" t="s">
        <v>85</v>
      </c>
      <c r="K789" s="97" t="s">
        <v>73</v>
      </c>
      <c r="L789">
        <v>701000</v>
      </c>
      <c r="M789" s="97" t="s">
        <v>62</v>
      </c>
      <c r="N789" s="97" t="s">
        <v>33</v>
      </c>
      <c r="O789">
        <v>2276</v>
      </c>
      <c r="P789">
        <v>0.95</v>
      </c>
      <c r="Q789">
        <v>2.16</v>
      </c>
      <c r="R789" s="97" t="s">
        <v>1201</v>
      </c>
      <c r="S789" s="97" t="s">
        <v>195</v>
      </c>
    </row>
    <row r="790" spans="1:19" x14ac:dyDescent="0.3">
      <c r="A790" s="97" t="s">
        <v>983</v>
      </c>
      <c r="B790" s="97" t="s">
        <v>22</v>
      </c>
      <c r="C790">
        <v>2025</v>
      </c>
      <c r="D790">
        <v>2</v>
      </c>
      <c r="E790" s="2">
        <v>45710</v>
      </c>
      <c r="F790" s="97" t="s">
        <v>7</v>
      </c>
      <c r="G790" s="97" t="s">
        <v>8</v>
      </c>
      <c r="H790" s="97" t="s">
        <v>74</v>
      </c>
      <c r="I790" s="97" t="s">
        <v>84</v>
      </c>
      <c r="J790" s="97" t="s">
        <v>85</v>
      </c>
      <c r="K790" s="97" t="s">
        <v>73</v>
      </c>
      <c r="L790">
        <v>701000</v>
      </c>
      <c r="M790" s="97" t="s">
        <v>62</v>
      </c>
      <c r="N790" s="97" t="s">
        <v>33</v>
      </c>
      <c r="O790">
        <v>5976</v>
      </c>
      <c r="P790">
        <v>0.95</v>
      </c>
      <c r="Q790">
        <v>5.68</v>
      </c>
      <c r="R790" s="97" t="s">
        <v>1205</v>
      </c>
      <c r="S790" s="97" t="s">
        <v>195</v>
      </c>
    </row>
    <row r="791" spans="1:19" x14ac:dyDescent="0.3">
      <c r="A791" s="97" t="s">
        <v>984</v>
      </c>
      <c r="B791" s="97" t="s">
        <v>22</v>
      </c>
      <c r="C791">
        <v>2025</v>
      </c>
      <c r="D791">
        <v>2</v>
      </c>
      <c r="E791" s="2">
        <v>45710</v>
      </c>
      <c r="F791" s="97" t="s">
        <v>7</v>
      </c>
      <c r="G791" s="97" t="s">
        <v>8</v>
      </c>
      <c r="H791" s="97" t="s">
        <v>74</v>
      </c>
      <c r="I791" s="97" t="s">
        <v>84</v>
      </c>
      <c r="J791" s="97" t="s">
        <v>85</v>
      </c>
      <c r="K791" s="97" t="s">
        <v>73</v>
      </c>
      <c r="L791">
        <v>701000</v>
      </c>
      <c r="M791" s="97" t="s">
        <v>62</v>
      </c>
      <c r="N791" s="97" t="s">
        <v>33</v>
      </c>
      <c r="O791">
        <v>3350</v>
      </c>
      <c r="P791">
        <v>0.95</v>
      </c>
      <c r="Q791">
        <v>3.18</v>
      </c>
      <c r="R791" s="97" t="s">
        <v>1199</v>
      </c>
      <c r="S791" s="97" t="s">
        <v>195</v>
      </c>
    </row>
    <row r="792" spans="1:19" x14ac:dyDescent="0.3">
      <c r="A792" s="97" t="s">
        <v>985</v>
      </c>
      <c r="B792" s="97" t="s">
        <v>22</v>
      </c>
      <c r="C792">
        <v>2025</v>
      </c>
      <c r="D792">
        <v>2</v>
      </c>
      <c r="E792" s="2">
        <v>45703</v>
      </c>
      <c r="F792" s="97" t="s">
        <v>7</v>
      </c>
      <c r="G792" s="97" t="s">
        <v>8</v>
      </c>
      <c r="H792" s="97" t="s">
        <v>70</v>
      </c>
      <c r="I792" s="97" t="s">
        <v>84</v>
      </c>
      <c r="J792" s="97" t="s">
        <v>85</v>
      </c>
      <c r="K792" s="97" t="s">
        <v>73</v>
      </c>
      <c r="L792">
        <v>701000</v>
      </c>
      <c r="M792" s="97" t="s">
        <v>62</v>
      </c>
      <c r="N792" s="97" t="s">
        <v>33</v>
      </c>
      <c r="O792">
        <v>4018</v>
      </c>
      <c r="P792">
        <v>0.95</v>
      </c>
      <c r="Q792">
        <v>3.82</v>
      </c>
      <c r="R792" s="97" t="s">
        <v>1204</v>
      </c>
      <c r="S792" s="97" t="s">
        <v>195</v>
      </c>
    </row>
    <row r="793" spans="1:19" x14ac:dyDescent="0.3">
      <c r="A793" s="97" t="s">
        <v>986</v>
      </c>
      <c r="B793" s="97" t="s">
        <v>22</v>
      </c>
      <c r="C793">
        <v>2025</v>
      </c>
      <c r="D793">
        <v>2</v>
      </c>
      <c r="E793" s="2">
        <v>45703</v>
      </c>
      <c r="F793" s="97" t="s">
        <v>7</v>
      </c>
      <c r="G793" s="97" t="s">
        <v>8</v>
      </c>
      <c r="H793" s="97" t="s">
        <v>70</v>
      </c>
      <c r="I793" s="97" t="s">
        <v>84</v>
      </c>
      <c r="J793" s="97" t="s">
        <v>85</v>
      </c>
      <c r="K793" s="97" t="s">
        <v>73</v>
      </c>
      <c r="L793">
        <v>701000</v>
      </c>
      <c r="M793" s="97" t="s">
        <v>62</v>
      </c>
      <c r="N793" s="97" t="s">
        <v>33</v>
      </c>
      <c r="O793">
        <v>3517</v>
      </c>
      <c r="P793">
        <v>0.95</v>
      </c>
      <c r="Q793">
        <v>3.34</v>
      </c>
      <c r="R793" s="97" t="s">
        <v>1201</v>
      </c>
      <c r="S793" s="97" t="s">
        <v>195</v>
      </c>
    </row>
    <row r="794" spans="1:19" x14ac:dyDescent="0.3">
      <c r="A794" s="97" t="s">
        <v>987</v>
      </c>
      <c r="B794" s="97" t="s">
        <v>22</v>
      </c>
      <c r="C794">
        <v>2025</v>
      </c>
      <c r="D794">
        <v>2</v>
      </c>
      <c r="E794" s="2">
        <v>45703</v>
      </c>
      <c r="F794" s="97" t="s">
        <v>7</v>
      </c>
      <c r="G794" s="97" t="s">
        <v>8</v>
      </c>
      <c r="H794" s="97" t="s">
        <v>70</v>
      </c>
      <c r="I794" s="97" t="s">
        <v>84</v>
      </c>
      <c r="J794" s="97" t="s">
        <v>85</v>
      </c>
      <c r="K794" s="97" t="s">
        <v>73</v>
      </c>
      <c r="L794">
        <v>701000</v>
      </c>
      <c r="M794" s="97" t="s">
        <v>62</v>
      </c>
      <c r="N794" s="97" t="s">
        <v>33</v>
      </c>
      <c r="O794">
        <v>2630</v>
      </c>
      <c r="P794">
        <v>0.95</v>
      </c>
      <c r="Q794">
        <v>2.5</v>
      </c>
      <c r="R794" s="97" t="s">
        <v>1197</v>
      </c>
      <c r="S794" s="97" t="s">
        <v>195</v>
      </c>
    </row>
    <row r="795" spans="1:19" x14ac:dyDescent="0.3">
      <c r="A795" s="97" t="s">
        <v>988</v>
      </c>
      <c r="B795" s="97" t="s">
        <v>22</v>
      </c>
      <c r="C795">
        <v>2025</v>
      </c>
      <c r="D795">
        <v>2</v>
      </c>
      <c r="E795" s="2">
        <v>45703</v>
      </c>
      <c r="F795" s="97" t="s">
        <v>7</v>
      </c>
      <c r="G795" s="97" t="s">
        <v>8</v>
      </c>
      <c r="H795" s="97" t="s">
        <v>70</v>
      </c>
      <c r="I795" s="97" t="s">
        <v>84</v>
      </c>
      <c r="J795" s="97" t="s">
        <v>85</v>
      </c>
      <c r="K795" s="97" t="s">
        <v>73</v>
      </c>
      <c r="L795">
        <v>701000</v>
      </c>
      <c r="M795" s="97" t="s">
        <v>62</v>
      </c>
      <c r="N795" s="97" t="s">
        <v>33</v>
      </c>
      <c r="O795">
        <v>3709</v>
      </c>
      <c r="P795">
        <v>0.95</v>
      </c>
      <c r="Q795">
        <v>3.52</v>
      </c>
      <c r="R795" s="97" t="s">
        <v>1200</v>
      </c>
      <c r="S795" s="97" t="s">
        <v>195</v>
      </c>
    </row>
    <row r="796" spans="1:19" x14ac:dyDescent="0.3">
      <c r="A796" s="97" t="s">
        <v>989</v>
      </c>
      <c r="B796" s="97" t="s">
        <v>22</v>
      </c>
      <c r="C796">
        <v>2025</v>
      </c>
      <c r="D796">
        <v>2</v>
      </c>
      <c r="E796" s="2">
        <v>45703</v>
      </c>
      <c r="F796" s="97" t="s">
        <v>7</v>
      </c>
      <c r="G796" s="97" t="s">
        <v>8</v>
      </c>
      <c r="H796" s="97" t="s">
        <v>70</v>
      </c>
      <c r="I796" s="97" t="s">
        <v>84</v>
      </c>
      <c r="J796" s="97" t="s">
        <v>85</v>
      </c>
      <c r="K796" s="97" t="s">
        <v>73</v>
      </c>
      <c r="L796">
        <v>701000</v>
      </c>
      <c r="M796" s="97" t="s">
        <v>62</v>
      </c>
      <c r="N796" s="97" t="s">
        <v>33</v>
      </c>
      <c r="O796">
        <v>2611</v>
      </c>
      <c r="P796">
        <v>0.95</v>
      </c>
      <c r="Q796">
        <v>2.48</v>
      </c>
      <c r="R796" s="97" t="s">
        <v>1205</v>
      </c>
      <c r="S796" s="97" t="s">
        <v>195</v>
      </c>
    </row>
    <row r="797" spans="1:19" x14ac:dyDescent="0.3">
      <c r="A797" s="97" t="s">
        <v>990</v>
      </c>
      <c r="B797" s="97" t="s">
        <v>22</v>
      </c>
      <c r="C797">
        <v>2025</v>
      </c>
      <c r="D797">
        <v>2</v>
      </c>
      <c r="E797" s="2">
        <v>45693</v>
      </c>
      <c r="F797" s="97" t="s">
        <v>7</v>
      </c>
      <c r="G797" s="97" t="s">
        <v>8</v>
      </c>
      <c r="H797" s="97" t="s">
        <v>70</v>
      </c>
      <c r="I797" s="97" t="s">
        <v>84</v>
      </c>
      <c r="J797" s="97" t="s">
        <v>85</v>
      </c>
      <c r="K797" s="97" t="s">
        <v>73</v>
      </c>
      <c r="L797">
        <v>701000</v>
      </c>
      <c r="M797" s="97" t="s">
        <v>62</v>
      </c>
      <c r="N797" s="97" t="s">
        <v>33</v>
      </c>
      <c r="O797">
        <v>4144</v>
      </c>
      <c r="P797">
        <v>0.95</v>
      </c>
      <c r="Q797">
        <v>3.94</v>
      </c>
      <c r="R797" s="97" t="s">
        <v>1199</v>
      </c>
      <c r="S797" s="97" t="s">
        <v>195</v>
      </c>
    </row>
    <row r="798" spans="1:19" x14ac:dyDescent="0.3">
      <c r="A798" s="97" t="s">
        <v>991</v>
      </c>
      <c r="B798" s="97" t="s">
        <v>22</v>
      </c>
      <c r="C798">
        <v>2025</v>
      </c>
      <c r="D798">
        <v>2</v>
      </c>
      <c r="E798" s="2">
        <v>45693</v>
      </c>
      <c r="F798" s="97" t="s">
        <v>7</v>
      </c>
      <c r="G798" s="97" t="s">
        <v>8</v>
      </c>
      <c r="H798" s="97" t="s">
        <v>70</v>
      </c>
      <c r="I798" s="97" t="s">
        <v>84</v>
      </c>
      <c r="J798" s="97" t="s">
        <v>85</v>
      </c>
      <c r="K798" s="97" t="s">
        <v>73</v>
      </c>
      <c r="L798">
        <v>701000</v>
      </c>
      <c r="M798" s="97" t="s">
        <v>62</v>
      </c>
      <c r="N798" s="97" t="s">
        <v>33</v>
      </c>
      <c r="O798">
        <v>5305</v>
      </c>
      <c r="P798">
        <v>0.95</v>
      </c>
      <c r="Q798">
        <v>5.04</v>
      </c>
      <c r="R798" s="97" t="s">
        <v>1198</v>
      </c>
      <c r="S798" s="97" t="s">
        <v>195</v>
      </c>
    </row>
    <row r="799" spans="1:19" x14ac:dyDescent="0.3">
      <c r="A799" s="97" t="s">
        <v>992</v>
      </c>
      <c r="B799" s="97" t="s">
        <v>22</v>
      </c>
      <c r="C799">
        <v>2025</v>
      </c>
      <c r="D799">
        <v>2</v>
      </c>
      <c r="E799" s="2">
        <v>45693</v>
      </c>
      <c r="F799" s="97" t="s">
        <v>7</v>
      </c>
      <c r="G799" s="97" t="s">
        <v>8</v>
      </c>
      <c r="H799" s="97" t="s">
        <v>70</v>
      </c>
      <c r="I799" s="97" t="s">
        <v>84</v>
      </c>
      <c r="J799" s="97" t="s">
        <v>85</v>
      </c>
      <c r="K799" s="97" t="s">
        <v>73</v>
      </c>
      <c r="L799">
        <v>701000</v>
      </c>
      <c r="M799" s="97" t="s">
        <v>62</v>
      </c>
      <c r="N799" s="97" t="s">
        <v>33</v>
      </c>
      <c r="O799">
        <v>1768</v>
      </c>
      <c r="P799">
        <v>0.95</v>
      </c>
      <c r="Q799">
        <v>1.68</v>
      </c>
      <c r="R799" s="97" t="s">
        <v>1202</v>
      </c>
      <c r="S799" s="97" t="s">
        <v>195</v>
      </c>
    </row>
    <row r="800" spans="1:19" x14ac:dyDescent="0.3">
      <c r="A800" s="97" t="s">
        <v>993</v>
      </c>
      <c r="B800" s="97" t="s">
        <v>22</v>
      </c>
      <c r="C800">
        <v>2025</v>
      </c>
      <c r="D800">
        <v>2</v>
      </c>
      <c r="E800" s="2">
        <v>45693</v>
      </c>
      <c r="F800" s="97" t="s">
        <v>7</v>
      </c>
      <c r="G800" s="97" t="s">
        <v>8</v>
      </c>
      <c r="H800" s="97" t="s">
        <v>70</v>
      </c>
      <c r="I800" s="97" t="s">
        <v>84</v>
      </c>
      <c r="J800" s="97" t="s">
        <v>85</v>
      </c>
      <c r="K800" s="97" t="s">
        <v>73</v>
      </c>
      <c r="L800">
        <v>701000</v>
      </c>
      <c r="M800" s="97" t="s">
        <v>62</v>
      </c>
      <c r="N800" s="97" t="s">
        <v>33</v>
      </c>
      <c r="O800">
        <v>2062</v>
      </c>
      <c r="P800">
        <v>0.95</v>
      </c>
      <c r="Q800">
        <v>1.96</v>
      </c>
      <c r="R800" s="97" t="s">
        <v>1205</v>
      </c>
      <c r="S800" s="97" t="s">
        <v>195</v>
      </c>
    </row>
    <row r="801" spans="1:19" x14ac:dyDescent="0.3">
      <c r="A801" s="97" t="s">
        <v>994</v>
      </c>
      <c r="B801" s="97" t="s">
        <v>22</v>
      </c>
      <c r="C801">
        <v>2025</v>
      </c>
      <c r="D801">
        <v>2</v>
      </c>
      <c r="E801" s="2">
        <v>45693</v>
      </c>
      <c r="F801" s="97" t="s">
        <v>7</v>
      </c>
      <c r="G801" s="97" t="s">
        <v>8</v>
      </c>
      <c r="H801" s="97" t="s">
        <v>70</v>
      </c>
      <c r="I801" s="97" t="s">
        <v>84</v>
      </c>
      <c r="J801" s="97" t="s">
        <v>85</v>
      </c>
      <c r="K801" s="97" t="s">
        <v>73</v>
      </c>
      <c r="L801">
        <v>701000</v>
      </c>
      <c r="M801" s="97" t="s">
        <v>62</v>
      </c>
      <c r="N801" s="97" t="s">
        <v>33</v>
      </c>
      <c r="O801">
        <v>1144</v>
      </c>
      <c r="P801">
        <v>0.94</v>
      </c>
      <c r="Q801">
        <v>1.08</v>
      </c>
      <c r="R801" s="97" t="s">
        <v>1200</v>
      </c>
      <c r="S801" s="97" t="s">
        <v>195</v>
      </c>
    </row>
    <row r="802" spans="1:19" x14ac:dyDescent="0.3">
      <c r="A802" s="97" t="s">
        <v>995</v>
      </c>
      <c r="B802" s="97" t="s">
        <v>22</v>
      </c>
      <c r="C802">
        <v>2025</v>
      </c>
      <c r="D802">
        <v>2</v>
      </c>
      <c r="E802" s="2">
        <v>45705</v>
      </c>
      <c r="F802" s="97" t="s">
        <v>7</v>
      </c>
      <c r="G802" s="97" t="s">
        <v>8</v>
      </c>
      <c r="H802" s="97" t="s">
        <v>74</v>
      </c>
      <c r="I802" s="97" t="s">
        <v>84</v>
      </c>
      <c r="J802" s="97" t="s">
        <v>85</v>
      </c>
      <c r="K802" s="97" t="s">
        <v>73</v>
      </c>
      <c r="L802">
        <v>701000</v>
      </c>
      <c r="M802" s="97" t="s">
        <v>62</v>
      </c>
      <c r="N802" s="97" t="s">
        <v>33</v>
      </c>
      <c r="O802">
        <v>1524</v>
      </c>
      <c r="P802">
        <v>0.95</v>
      </c>
      <c r="Q802">
        <v>1.45</v>
      </c>
      <c r="R802" s="97" t="s">
        <v>1197</v>
      </c>
      <c r="S802" s="97" t="s">
        <v>195</v>
      </c>
    </row>
    <row r="803" spans="1:19" x14ac:dyDescent="0.3">
      <c r="A803" s="97" t="s">
        <v>996</v>
      </c>
      <c r="B803" s="97" t="s">
        <v>22</v>
      </c>
      <c r="C803">
        <v>2025</v>
      </c>
      <c r="D803">
        <v>2</v>
      </c>
      <c r="E803" s="2">
        <v>45705</v>
      </c>
      <c r="F803" s="97" t="s">
        <v>7</v>
      </c>
      <c r="G803" s="97" t="s">
        <v>8</v>
      </c>
      <c r="H803" s="97" t="s">
        <v>74</v>
      </c>
      <c r="I803" s="97" t="s">
        <v>84</v>
      </c>
      <c r="J803" s="97" t="s">
        <v>85</v>
      </c>
      <c r="K803" s="97" t="s">
        <v>73</v>
      </c>
      <c r="L803">
        <v>701000</v>
      </c>
      <c r="M803" s="97" t="s">
        <v>62</v>
      </c>
      <c r="N803" s="97" t="s">
        <v>33</v>
      </c>
      <c r="O803">
        <v>4236</v>
      </c>
      <c r="P803">
        <v>0.95</v>
      </c>
      <c r="Q803">
        <v>4.03</v>
      </c>
      <c r="R803" s="97" t="s">
        <v>1203</v>
      </c>
      <c r="S803" s="97" t="s">
        <v>195</v>
      </c>
    </row>
    <row r="804" spans="1:19" x14ac:dyDescent="0.3">
      <c r="A804" s="97" t="s">
        <v>997</v>
      </c>
      <c r="B804" s="97" t="s">
        <v>22</v>
      </c>
      <c r="C804">
        <v>2025</v>
      </c>
      <c r="D804">
        <v>2</v>
      </c>
      <c r="E804" s="2">
        <v>45705</v>
      </c>
      <c r="F804" s="97" t="s">
        <v>7</v>
      </c>
      <c r="G804" s="97" t="s">
        <v>8</v>
      </c>
      <c r="H804" s="97" t="s">
        <v>74</v>
      </c>
      <c r="I804" s="97" t="s">
        <v>84</v>
      </c>
      <c r="J804" s="97" t="s">
        <v>85</v>
      </c>
      <c r="K804" s="97" t="s">
        <v>73</v>
      </c>
      <c r="L804">
        <v>701000</v>
      </c>
      <c r="M804" s="97" t="s">
        <v>62</v>
      </c>
      <c r="N804" s="97" t="s">
        <v>33</v>
      </c>
      <c r="O804">
        <v>1283</v>
      </c>
      <c r="P804">
        <v>0.95</v>
      </c>
      <c r="Q804">
        <v>1.22</v>
      </c>
      <c r="R804" s="97" t="s">
        <v>1205</v>
      </c>
      <c r="S804" s="97" t="s">
        <v>195</v>
      </c>
    </row>
    <row r="805" spans="1:19" x14ac:dyDescent="0.3">
      <c r="A805" s="97" t="s">
        <v>998</v>
      </c>
      <c r="B805" s="97" t="s">
        <v>22</v>
      </c>
      <c r="C805">
        <v>2025</v>
      </c>
      <c r="D805">
        <v>2</v>
      </c>
      <c r="E805" s="2">
        <v>45705</v>
      </c>
      <c r="F805" s="97" t="s">
        <v>7</v>
      </c>
      <c r="G805" s="97" t="s">
        <v>8</v>
      </c>
      <c r="H805" s="97" t="s">
        <v>74</v>
      </c>
      <c r="I805" s="97" t="s">
        <v>84</v>
      </c>
      <c r="J805" s="97" t="s">
        <v>85</v>
      </c>
      <c r="K805" s="97" t="s">
        <v>73</v>
      </c>
      <c r="L805">
        <v>701000</v>
      </c>
      <c r="M805" s="97" t="s">
        <v>62</v>
      </c>
      <c r="N805" s="97" t="s">
        <v>33</v>
      </c>
      <c r="O805">
        <v>2384</v>
      </c>
      <c r="P805">
        <v>0.95</v>
      </c>
      <c r="Q805">
        <v>2.27</v>
      </c>
      <c r="R805" s="97" t="s">
        <v>1201</v>
      </c>
      <c r="S805" s="97" t="s">
        <v>195</v>
      </c>
    </row>
    <row r="806" spans="1:19" x14ac:dyDescent="0.3">
      <c r="A806" s="97" t="s">
        <v>999</v>
      </c>
      <c r="B806" s="97" t="s">
        <v>22</v>
      </c>
      <c r="C806">
        <v>2025</v>
      </c>
      <c r="D806">
        <v>2</v>
      </c>
      <c r="E806" s="2">
        <v>45705</v>
      </c>
      <c r="F806" s="97" t="s">
        <v>7</v>
      </c>
      <c r="G806" s="97" t="s">
        <v>8</v>
      </c>
      <c r="H806" s="97" t="s">
        <v>74</v>
      </c>
      <c r="I806" s="97" t="s">
        <v>84</v>
      </c>
      <c r="J806" s="97" t="s">
        <v>85</v>
      </c>
      <c r="K806" s="97" t="s">
        <v>73</v>
      </c>
      <c r="L806">
        <v>701000</v>
      </c>
      <c r="M806" s="97" t="s">
        <v>62</v>
      </c>
      <c r="N806" s="97" t="s">
        <v>33</v>
      </c>
      <c r="O806">
        <v>4769</v>
      </c>
      <c r="P806">
        <v>0.95</v>
      </c>
      <c r="Q806">
        <v>4.5199999999999996</v>
      </c>
      <c r="R806" s="97" t="s">
        <v>1204</v>
      </c>
      <c r="S806" s="97" t="s">
        <v>195</v>
      </c>
    </row>
    <row r="807" spans="1:19" x14ac:dyDescent="0.3">
      <c r="A807" s="97" t="s">
        <v>1000</v>
      </c>
      <c r="B807" s="97" t="s">
        <v>22</v>
      </c>
      <c r="C807">
        <v>2025</v>
      </c>
      <c r="D807">
        <v>2</v>
      </c>
      <c r="E807" s="2">
        <v>45689</v>
      </c>
      <c r="F807" s="97" t="s">
        <v>7</v>
      </c>
      <c r="G807" s="97" t="s">
        <v>8</v>
      </c>
      <c r="H807" s="97" t="s">
        <v>70</v>
      </c>
      <c r="I807" s="97" t="s">
        <v>84</v>
      </c>
      <c r="J807" s="97" t="s">
        <v>85</v>
      </c>
      <c r="K807" s="97" t="s">
        <v>73</v>
      </c>
      <c r="L807">
        <v>701000</v>
      </c>
      <c r="M807" s="97" t="s">
        <v>62</v>
      </c>
      <c r="N807" s="97" t="s">
        <v>33</v>
      </c>
      <c r="O807">
        <v>870</v>
      </c>
      <c r="P807">
        <v>0.95</v>
      </c>
      <c r="Q807">
        <v>0.83</v>
      </c>
      <c r="R807" s="97" t="s">
        <v>1200</v>
      </c>
      <c r="S807" s="97" t="s">
        <v>195</v>
      </c>
    </row>
    <row r="808" spans="1:19" x14ac:dyDescent="0.3">
      <c r="A808" s="97" t="s">
        <v>1001</v>
      </c>
      <c r="B808" s="97" t="s">
        <v>22</v>
      </c>
      <c r="C808">
        <v>2025</v>
      </c>
      <c r="D808">
        <v>2</v>
      </c>
      <c r="E808" s="2">
        <v>45689</v>
      </c>
      <c r="F808" s="97" t="s">
        <v>7</v>
      </c>
      <c r="G808" s="97" t="s">
        <v>8</v>
      </c>
      <c r="H808" s="97" t="s">
        <v>70</v>
      </c>
      <c r="I808" s="97" t="s">
        <v>84</v>
      </c>
      <c r="J808" s="97" t="s">
        <v>85</v>
      </c>
      <c r="K808" s="97" t="s">
        <v>73</v>
      </c>
      <c r="L808">
        <v>701000</v>
      </c>
      <c r="M808" s="97" t="s">
        <v>62</v>
      </c>
      <c r="N808" s="97" t="s">
        <v>33</v>
      </c>
      <c r="O808">
        <v>911</v>
      </c>
      <c r="P808">
        <v>0.95</v>
      </c>
      <c r="Q808">
        <v>0.87</v>
      </c>
      <c r="R808" s="97" t="s">
        <v>1198</v>
      </c>
      <c r="S808" s="97" t="s">
        <v>195</v>
      </c>
    </row>
    <row r="809" spans="1:19" x14ac:dyDescent="0.3">
      <c r="A809" s="97" t="s">
        <v>1002</v>
      </c>
      <c r="B809" s="97" t="s">
        <v>22</v>
      </c>
      <c r="C809">
        <v>2025</v>
      </c>
      <c r="D809">
        <v>2</v>
      </c>
      <c r="E809" s="2">
        <v>45689</v>
      </c>
      <c r="F809" s="97" t="s">
        <v>7</v>
      </c>
      <c r="G809" s="97" t="s">
        <v>8</v>
      </c>
      <c r="H809" s="97" t="s">
        <v>70</v>
      </c>
      <c r="I809" s="97" t="s">
        <v>84</v>
      </c>
      <c r="J809" s="97" t="s">
        <v>85</v>
      </c>
      <c r="K809" s="97" t="s">
        <v>73</v>
      </c>
      <c r="L809">
        <v>701000</v>
      </c>
      <c r="M809" s="97" t="s">
        <v>62</v>
      </c>
      <c r="N809" s="97" t="s">
        <v>33</v>
      </c>
      <c r="O809">
        <v>5451</v>
      </c>
      <c r="P809">
        <v>0.95</v>
      </c>
      <c r="Q809">
        <v>5.18</v>
      </c>
      <c r="R809" s="97" t="s">
        <v>1201</v>
      </c>
      <c r="S809" s="97" t="s">
        <v>195</v>
      </c>
    </row>
    <row r="810" spans="1:19" x14ac:dyDescent="0.3">
      <c r="A810" s="97" t="s">
        <v>1003</v>
      </c>
      <c r="B810" s="97" t="s">
        <v>22</v>
      </c>
      <c r="C810">
        <v>2025</v>
      </c>
      <c r="D810">
        <v>2</v>
      </c>
      <c r="E810" s="2">
        <v>45689</v>
      </c>
      <c r="F810" s="97" t="s">
        <v>7</v>
      </c>
      <c r="G810" s="97" t="s">
        <v>8</v>
      </c>
      <c r="H810" s="97" t="s">
        <v>70</v>
      </c>
      <c r="I810" s="97" t="s">
        <v>84</v>
      </c>
      <c r="J810" s="97" t="s">
        <v>85</v>
      </c>
      <c r="K810" s="97" t="s">
        <v>73</v>
      </c>
      <c r="L810">
        <v>701000</v>
      </c>
      <c r="M810" s="97" t="s">
        <v>62</v>
      </c>
      <c r="N810" s="97" t="s">
        <v>33</v>
      </c>
      <c r="O810">
        <v>5049</v>
      </c>
      <c r="P810">
        <v>0.95</v>
      </c>
      <c r="Q810">
        <v>4.8</v>
      </c>
      <c r="R810" s="97" t="s">
        <v>1197</v>
      </c>
      <c r="S810" s="97" t="s">
        <v>195</v>
      </c>
    </row>
    <row r="811" spans="1:19" x14ac:dyDescent="0.3">
      <c r="A811" s="97" t="s">
        <v>1004</v>
      </c>
      <c r="B811" s="97" t="s">
        <v>22</v>
      </c>
      <c r="C811">
        <v>2025</v>
      </c>
      <c r="D811">
        <v>2</v>
      </c>
      <c r="E811" s="2">
        <v>45689</v>
      </c>
      <c r="F811" s="97" t="s">
        <v>7</v>
      </c>
      <c r="G811" s="97" t="s">
        <v>8</v>
      </c>
      <c r="H811" s="97" t="s">
        <v>70</v>
      </c>
      <c r="I811" s="97" t="s">
        <v>84</v>
      </c>
      <c r="J811" s="97" t="s">
        <v>85</v>
      </c>
      <c r="K811" s="97" t="s">
        <v>73</v>
      </c>
      <c r="L811">
        <v>701000</v>
      </c>
      <c r="M811" s="97" t="s">
        <v>62</v>
      </c>
      <c r="N811" s="97" t="s">
        <v>33</v>
      </c>
      <c r="O811">
        <v>2883</v>
      </c>
      <c r="P811">
        <v>0.95</v>
      </c>
      <c r="Q811">
        <v>2.73</v>
      </c>
      <c r="R811" s="97" t="s">
        <v>1203</v>
      </c>
      <c r="S811" s="97" t="s">
        <v>195</v>
      </c>
    </row>
    <row r="812" spans="1:19" x14ac:dyDescent="0.3">
      <c r="A812" s="97" t="s">
        <v>1005</v>
      </c>
      <c r="B812" s="97" t="s">
        <v>22</v>
      </c>
      <c r="C812">
        <v>2025</v>
      </c>
      <c r="D812">
        <v>2</v>
      </c>
      <c r="E812" s="2">
        <v>45710</v>
      </c>
      <c r="F812" s="97" t="s">
        <v>7</v>
      </c>
      <c r="G812" s="97" t="s">
        <v>8</v>
      </c>
      <c r="H812" s="97" t="s">
        <v>70</v>
      </c>
      <c r="I812" s="97" t="s">
        <v>84</v>
      </c>
      <c r="J812" s="97" t="s">
        <v>85</v>
      </c>
      <c r="K812" s="97" t="s">
        <v>73</v>
      </c>
      <c r="L812">
        <v>701000</v>
      </c>
      <c r="M812" s="97" t="s">
        <v>62</v>
      </c>
      <c r="N812" s="97" t="s">
        <v>33</v>
      </c>
      <c r="O812">
        <v>7643</v>
      </c>
      <c r="P812">
        <v>0.95</v>
      </c>
      <c r="Q812">
        <v>7.26</v>
      </c>
      <c r="R812" s="97" t="s">
        <v>1198</v>
      </c>
      <c r="S812" s="97" t="s">
        <v>195</v>
      </c>
    </row>
    <row r="813" spans="1:19" x14ac:dyDescent="0.3">
      <c r="A813" s="97" t="s">
        <v>1006</v>
      </c>
      <c r="B813" s="97" t="s">
        <v>22</v>
      </c>
      <c r="C813">
        <v>2025</v>
      </c>
      <c r="D813">
        <v>2</v>
      </c>
      <c r="E813" s="2">
        <v>45710</v>
      </c>
      <c r="F813" s="97" t="s">
        <v>7</v>
      </c>
      <c r="G813" s="97" t="s">
        <v>8</v>
      </c>
      <c r="H813" s="97" t="s">
        <v>70</v>
      </c>
      <c r="I813" s="97" t="s">
        <v>84</v>
      </c>
      <c r="J813" s="97" t="s">
        <v>85</v>
      </c>
      <c r="K813" s="97" t="s">
        <v>73</v>
      </c>
      <c r="L813">
        <v>701000</v>
      </c>
      <c r="M813" s="97" t="s">
        <v>62</v>
      </c>
      <c r="N813" s="97" t="s">
        <v>33</v>
      </c>
      <c r="O813">
        <v>1347</v>
      </c>
      <c r="P813">
        <v>0.95</v>
      </c>
      <c r="Q813">
        <v>1.28</v>
      </c>
      <c r="R813" s="97" t="s">
        <v>1200</v>
      </c>
      <c r="S813" s="97" t="s">
        <v>195</v>
      </c>
    </row>
    <row r="814" spans="1:19" x14ac:dyDescent="0.3">
      <c r="A814" s="97" t="s">
        <v>1007</v>
      </c>
      <c r="B814" s="97" t="s">
        <v>22</v>
      </c>
      <c r="C814">
        <v>2025</v>
      </c>
      <c r="D814">
        <v>2</v>
      </c>
      <c r="E814" s="2">
        <v>45710</v>
      </c>
      <c r="F814" s="97" t="s">
        <v>7</v>
      </c>
      <c r="G814" s="97" t="s">
        <v>8</v>
      </c>
      <c r="H814" s="97" t="s">
        <v>70</v>
      </c>
      <c r="I814" s="97" t="s">
        <v>84</v>
      </c>
      <c r="J814" s="97" t="s">
        <v>85</v>
      </c>
      <c r="K814" s="97" t="s">
        <v>73</v>
      </c>
      <c r="L814">
        <v>701000</v>
      </c>
      <c r="M814" s="97" t="s">
        <v>62</v>
      </c>
      <c r="N814" s="97" t="s">
        <v>33</v>
      </c>
      <c r="O814">
        <v>3911</v>
      </c>
      <c r="P814">
        <v>0.95</v>
      </c>
      <c r="Q814">
        <v>3.71</v>
      </c>
      <c r="R814" s="97" t="s">
        <v>1201</v>
      </c>
      <c r="S814" s="97" t="s">
        <v>195</v>
      </c>
    </row>
    <row r="815" spans="1:19" x14ac:dyDescent="0.3">
      <c r="A815" s="97" t="s">
        <v>1008</v>
      </c>
      <c r="B815" s="97" t="s">
        <v>22</v>
      </c>
      <c r="C815">
        <v>2025</v>
      </c>
      <c r="D815">
        <v>2</v>
      </c>
      <c r="E815" s="2">
        <v>45710</v>
      </c>
      <c r="F815" s="97" t="s">
        <v>7</v>
      </c>
      <c r="G815" s="97" t="s">
        <v>8</v>
      </c>
      <c r="H815" s="97" t="s">
        <v>70</v>
      </c>
      <c r="I815" s="97" t="s">
        <v>84</v>
      </c>
      <c r="J815" s="97" t="s">
        <v>85</v>
      </c>
      <c r="K815" s="97" t="s">
        <v>73</v>
      </c>
      <c r="L815">
        <v>701000</v>
      </c>
      <c r="M815" s="97" t="s">
        <v>62</v>
      </c>
      <c r="N815" s="97" t="s">
        <v>33</v>
      </c>
      <c r="O815">
        <v>2415</v>
      </c>
      <c r="P815">
        <v>0.95</v>
      </c>
      <c r="Q815">
        <v>2.29</v>
      </c>
      <c r="R815" s="97" t="s">
        <v>1203</v>
      </c>
      <c r="S815" s="97" t="s">
        <v>195</v>
      </c>
    </row>
    <row r="816" spans="1:19" x14ac:dyDescent="0.3">
      <c r="A816" s="97" t="s">
        <v>1009</v>
      </c>
      <c r="B816" s="97" t="s">
        <v>22</v>
      </c>
      <c r="C816">
        <v>2025</v>
      </c>
      <c r="D816">
        <v>2</v>
      </c>
      <c r="E816" s="2">
        <v>45710</v>
      </c>
      <c r="F816" s="97" t="s">
        <v>7</v>
      </c>
      <c r="G816" s="97" t="s">
        <v>8</v>
      </c>
      <c r="H816" s="97" t="s">
        <v>70</v>
      </c>
      <c r="I816" s="97" t="s">
        <v>84</v>
      </c>
      <c r="J816" s="97" t="s">
        <v>85</v>
      </c>
      <c r="K816" s="97" t="s">
        <v>73</v>
      </c>
      <c r="L816">
        <v>701000</v>
      </c>
      <c r="M816" s="97" t="s">
        <v>62</v>
      </c>
      <c r="N816" s="97" t="s">
        <v>33</v>
      </c>
      <c r="O816">
        <v>3562</v>
      </c>
      <c r="P816">
        <v>0.95</v>
      </c>
      <c r="Q816">
        <v>3.39</v>
      </c>
      <c r="R816" s="97" t="s">
        <v>1199</v>
      </c>
      <c r="S816" s="97" t="s">
        <v>195</v>
      </c>
    </row>
    <row r="817" spans="1:19" x14ac:dyDescent="0.3">
      <c r="A817" s="97" t="s">
        <v>1010</v>
      </c>
      <c r="B817" s="97" t="s">
        <v>22</v>
      </c>
      <c r="C817">
        <v>2025</v>
      </c>
      <c r="D817">
        <v>2</v>
      </c>
      <c r="E817" s="2">
        <v>45696</v>
      </c>
      <c r="F817" s="97" t="s">
        <v>7</v>
      </c>
      <c r="G817" s="97" t="s">
        <v>8</v>
      </c>
      <c r="H817" s="97" t="s">
        <v>70</v>
      </c>
      <c r="I817" s="97" t="s">
        <v>84</v>
      </c>
      <c r="J817" s="97" t="s">
        <v>85</v>
      </c>
      <c r="K817" s="97" t="s">
        <v>73</v>
      </c>
      <c r="L817">
        <v>701000</v>
      </c>
      <c r="M817" s="97" t="s">
        <v>62</v>
      </c>
      <c r="N817" s="97" t="s">
        <v>33</v>
      </c>
      <c r="O817">
        <v>2774</v>
      </c>
      <c r="P817">
        <v>0.95</v>
      </c>
      <c r="Q817">
        <v>2.64</v>
      </c>
      <c r="R817" s="97" t="s">
        <v>1201</v>
      </c>
      <c r="S817" s="97" t="s">
        <v>195</v>
      </c>
    </row>
    <row r="818" spans="1:19" x14ac:dyDescent="0.3">
      <c r="A818" s="97" t="s">
        <v>1011</v>
      </c>
      <c r="B818" s="97" t="s">
        <v>22</v>
      </c>
      <c r="C818">
        <v>2025</v>
      </c>
      <c r="D818">
        <v>2</v>
      </c>
      <c r="E818" s="2">
        <v>45696</v>
      </c>
      <c r="F818" s="97" t="s">
        <v>7</v>
      </c>
      <c r="G818" s="97" t="s">
        <v>8</v>
      </c>
      <c r="H818" s="97" t="s">
        <v>70</v>
      </c>
      <c r="I818" s="97" t="s">
        <v>84</v>
      </c>
      <c r="J818" s="97" t="s">
        <v>85</v>
      </c>
      <c r="K818" s="97" t="s">
        <v>73</v>
      </c>
      <c r="L818">
        <v>701000</v>
      </c>
      <c r="M818" s="97" t="s">
        <v>62</v>
      </c>
      <c r="N818" s="97" t="s">
        <v>33</v>
      </c>
      <c r="O818">
        <v>3569</v>
      </c>
      <c r="P818">
        <v>0.95</v>
      </c>
      <c r="Q818">
        <v>3.39</v>
      </c>
      <c r="R818" s="97" t="s">
        <v>1204</v>
      </c>
      <c r="S818" s="97" t="s">
        <v>195</v>
      </c>
    </row>
    <row r="819" spans="1:19" x14ac:dyDescent="0.3">
      <c r="A819" s="97" t="s">
        <v>1012</v>
      </c>
      <c r="B819" s="97" t="s">
        <v>22</v>
      </c>
      <c r="C819">
        <v>2025</v>
      </c>
      <c r="D819">
        <v>2</v>
      </c>
      <c r="E819" s="2">
        <v>45696</v>
      </c>
      <c r="F819" s="97" t="s">
        <v>7</v>
      </c>
      <c r="G819" s="97" t="s">
        <v>8</v>
      </c>
      <c r="H819" s="97" t="s">
        <v>70</v>
      </c>
      <c r="I819" s="97" t="s">
        <v>84</v>
      </c>
      <c r="J819" s="97" t="s">
        <v>85</v>
      </c>
      <c r="K819" s="97" t="s">
        <v>73</v>
      </c>
      <c r="L819">
        <v>701000</v>
      </c>
      <c r="M819" s="97" t="s">
        <v>62</v>
      </c>
      <c r="N819" s="97" t="s">
        <v>33</v>
      </c>
      <c r="O819">
        <v>5035</v>
      </c>
      <c r="P819">
        <v>0.95</v>
      </c>
      <c r="Q819">
        <v>4.78</v>
      </c>
      <c r="R819" s="97" t="s">
        <v>1205</v>
      </c>
      <c r="S819" s="97" t="s">
        <v>195</v>
      </c>
    </row>
    <row r="820" spans="1:19" x14ac:dyDescent="0.3">
      <c r="A820" s="97" t="s">
        <v>1013</v>
      </c>
      <c r="B820" s="97" t="s">
        <v>22</v>
      </c>
      <c r="C820">
        <v>2025</v>
      </c>
      <c r="D820">
        <v>2</v>
      </c>
      <c r="E820" s="2">
        <v>45696</v>
      </c>
      <c r="F820" s="97" t="s">
        <v>7</v>
      </c>
      <c r="G820" s="97" t="s">
        <v>8</v>
      </c>
      <c r="H820" s="97" t="s">
        <v>70</v>
      </c>
      <c r="I820" s="97" t="s">
        <v>84</v>
      </c>
      <c r="J820" s="97" t="s">
        <v>85</v>
      </c>
      <c r="K820" s="97" t="s">
        <v>73</v>
      </c>
      <c r="L820">
        <v>701000</v>
      </c>
      <c r="M820" s="97" t="s">
        <v>62</v>
      </c>
      <c r="N820" s="97" t="s">
        <v>33</v>
      </c>
      <c r="O820">
        <v>2608</v>
      </c>
      <c r="P820">
        <v>0.95</v>
      </c>
      <c r="Q820">
        <v>2.48</v>
      </c>
      <c r="R820" s="97" t="s">
        <v>1200</v>
      </c>
      <c r="S820" s="97" t="s">
        <v>195</v>
      </c>
    </row>
    <row r="821" spans="1:19" x14ac:dyDescent="0.3">
      <c r="A821" s="97" t="s">
        <v>1014</v>
      </c>
      <c r="B821" s="97" t="s">
        <v>22</v>
      </c>
      <c r="C821">
        <v>2025</v>
      </c>
      <c r="D821">
        <v>2</v>
      </c>
      <c r="E821" s="2">
        <v>45696</v>
      </c>
      <c r="F821" s="97" t="s">
        <v>7</v>
      </c>
      <c r="G821" s="97" t="s">
        <v>8</v>
      </c>
      <c r="H821" s="97" t="s">
        <v>70</v>
      </c>
      <c r="I821" s="97" t="s">
        <v>84</v>
      </c>
      <c r="J821" s="97" t="s">
        <v>85</v>
      </c>
      <c r="K821" s="97" t="s">
        <v>73</v>
      </c>
      <c r="L821">
        <v>701000</v>
      </c>
      <c r="M821" s="97" t="s">
        <v>62</v>
      </c>
      <c r="N821" s="97" t="s">
        <v>33</v>
      </c>
      <c r="O821">
        <v>673</v>
      </c>
      <c r="P821">
        <v>0.95</v>
      </c>
      <c r="Q821">
        <v>0.64</v>
      </c>
      <c r="R821" s="97" t="s">
        <v>1202</v>
      </c>
      <c r="S821" s="97" t="s">
        <v>195</v>
      </c>
    </row>
    <row r="822" spans="1:19" x14ac:dyDescent="0.3">
      <c r="A822" s="97" t="s">
        <v>1015</v>
      </c>
      <c r="B822" s="97" t="s">
        <v>22</v>
      </c>
      <c r="C822">
        <v>2025</v>
      </c>
      <c r="D822">
        <v>2</v>
      </c>
      <c r="E822" s="2">
        <v>45697</v>
      </c>
      <c r="F822" s="97" t="s">
        <v>7</v>
      </c>
      <c r="G822" s="97" t="s">
        <v>8</v>
      </c>
      <c r="H822" s="97" t="s">
        <v>70</v>
      </c>
      <c r="I822" s="97" t="s">
        <v>84</v>
      </c>
      <c r="J822" s="97" t="s">
        <v>85</v>
      </c>
      <c r="K822" s="97" t="s">
        <v>73</v>
      </c>
      <c r="L822">
        <v>701000</v>
      </c>
      <c r="M822" s="97" t="s">
        <v>62</v>
      </c>
      <c r="N822" s="97" t="s">
        <v>33</v>
      </c>
      <c r="O822">
        <v>3176</v>
      </c>
      <c r="P822">
        <v>0.95</v>
      </c>
      <c r="Q822">
        <v>3.02</v>
      </c>
      <c r="R822" s="97" t="s">
        <v>1201</v>
      </c>
      <c r="S822" s="97" t="s">
        <v>195</v>
      </c>
    </row>
    <row r="823" spans="1:19" x14ac:dyDescent="0.3">
      <c r="A823" s="97" t="s">
        <v>1016</v>
      </c>
      <c r="B823" s="97" t="s">
        <v>22</v>
      </c>
      <c r="C823">
        <v>2025</v>
      </c>
      <c r="D823">
        <v>2</v>
      </c>
      <c r="E823" s="2">
        <v>45697</v>
      </c>
      <c r="F823" s="97" t="s">
        <v>7</v>
      </c>
      <c r="G823" s="97" t="s">
        <v>8</v>
      </c>
      <c r="H823" s="97" t="s">
        <v>70</v>
      </c>
      <c r="I823" s="97" t="s">
        <v>84</v>
      </c>
      <c r="J823" s="97" t="s">
        <v>85</v>
      </c>
      <c r="K823" s="97" t="s">
        <v>73</v>
      </c>
      <c r="L823">
        <v>701000</v>
      </c>
      <c r="M823" s="97" t="s">
        <v>62</v>
      </c>
      <c r="N823" s="97" t="s">
        <v>33</v>
      </c>
      <c r="O823">
        <v>5135</v>
      </c>
      <c r="P823">
        <v>0.95</v>
      </c>
      <c r="Q823">
        <v>4.88</v>
      </c>
      <c r="R823" s="97" t="s">
        <v>1200</v>
      </c>
      <c r="S823" s="97" t="s">
        <v>195</v>
      </c>
    </row>
    <row r="824" spans="1:19" x14ac:dyDescent="0.3">
      <c r="A824" s="97" t="s">
        <v>1017</v>
      </c>
      <c r="B824" s="97" t="s">
        <v>22</v>
      </c>
      <c r="C824">
        <v>2025</v>
      </c>
      <c r="D824">
        <v>2</v>
      </c>
      <c r="E824" s="2">
        <v>45697</v>
      </c>
      <c r="F824" s="97" t="s">
        <v>7</v>
      </c>
      <c r="G824" s="97" t="s">
        <v>8</v>
      </c>
      <c r="H824" s="97" t="s">
        <v>70</v>
      </c>
      <c r="I824" s="97" t="s">
        <v>84</v>
      </c>
      <c r="J824" s="97" t="s">
        <v>85</v>
      </c>
      <c r="K824" s="97" t="s">
        <v>73</v>
      </c>
      <c r="L824">
        <v>701000</v>
      </c>
      <c r="M824" s="97" t="s">
        <v>62</v>
      </c>
      <c r="N824" s="97" t="s">
        <v>33</v>
      </c>
      <c r="O824">
        <v>1433</v>
      </c>
      <c r="P824">
        <v>0.95</v>
      </c>
      <c r="Q824">
        <v>1.36</v>
      </c>
      <c r="R824" s="97" t="s">
        <v>1203</v>
      </c>
      <c r="S824" s="97" t="s">
        <v>195</v>
      </c>
    </row>
    <row r="825" spans="1:19" x14ac:dyDescent="0.3">
      <c r="A825" s="97" t="s">
        <v>1018</v>
      </c>
      <c r="B825" s="97" t="s">
        <v>22</v>
      </c>
      <c r="C825">
        <v>2025</v>
      </c>
      <c r="D825">
        <v>2</v>
      </c>
      <c r="E825" s="2">
        <v>45697</v>
      </c>
      <c r="F825" s="97" t="s">
        <v>7</v>
      </c>
      <c r="G825" s="97" t="s">
        <v>8</v>
      </c>
      <c r="H825" s="97" t="s">
        <v>70</v>
      </c>
      <c r="I825" s="97" t="s">
        <v>84</v>
      </c>
      <c r="J825" s="97" t="s">
        <v>85</v>
      </c>
      <c r="K825" s="97" t="s">
        <v>73</v>
      </c>
      <c r="L825">
        <v>701000</v>
      </c>
      <c r="M825" s="97" t="s">
        <v>62</v>
      </c>
      <c r="N825" s="97" t="s">
        <v>33</v>
      </c>
      <c r="O825">
        <v>4516</v>
      </c>
      <c r="P825">
        <v>0.95</v>
      </c>
      <c r="Q825">
        <v>4.29</v>
      </c>
      <c r="R825" s="97" t="s">
        <v>1198</v>
      </c>
      <c r="S825" s="97" t="s">
        <v>195</v>
      </c>
    </row>
    <row r="826" spans="1:19" x14ac:dyDescent="0.3">
      <c r="A826" s="97" t="s">
        <v>1019</v>
      </c>
      <c r="B826" s="97" t="s">
        <v>22</v>
      </c>
      <c r="C826">
        <v>2025</v>
      </c>
      <c r="D826">
        <v>2</v>
      </c>
      <c r="E826" s="2">
        <v>45697</v>
      </c>
      <c r="F826" s="97" t="s">
        <v>7</v>
      </c>
      <c r="G826" s="97" t="s">
        <v>8</v>
      </c>
      <c r="H826" s="97" t="s">
        <v>70</v>
      </c>
      <c r="I826" s="97" t="s">
        <v>84</v>
      </c>
      <c r="J826" s="97" t="s">
        <v>85</v>
      </c>
      <c r="K826" s="97" t="s">
        <v>73</v>
      </c>
      <c r="L826">
        <v>701000</v>
      </c>
      <c r="M826" s="97" t="s">
        <v>62</v>
      </c>
      <c r="N826" s="97" t="s">
        <v>33</v>
      </c>
      <c r="O826">
        <v>1660</v>
      </c>
      <c r="P826">
        <v>0.95</v>
      </c>
      <c r="Q826">
        <v>1.57</v>
      </c>
      <c r="R826" s="97" t="s">
        <v>1202</v>
      </c>
      <c r="S826" s="97" t="s">
        <v>195</v>
      </c>
    </row>
    <row r="827" spans="1:19" x14ac:dyDescent="0.3">
      <c r="A827" s="97" t="s">
        <v>1020</v>
      </c>
      <c r="B827" s="97" t="s">
        <v>22</v>
      </c>
      <c r="C827">
        <v>2025</v>
      </c>
      <c r="D827">
        <v>2</v>
      </c>
      <c r="E827" s="2">
        <v>45710</v>
      </c>
      <c r="F827" s="97" t="s">
        <v>7</v>
      </c>
      <c r="G827" s="97" t="s">
        <v>8</v>
      </c>
      <c r="H827" s="97" t="s">
        <v>70</v>
      </c>
      <c r="I827" s="97" t="s">
        <v>84</v>
      </c>
      <c r="J827" s="97" t="s">
        <v>85</v>
      </c>
      <c r="K827" s="97" t="s">
        <v>73</v>
      </c>
      <c r="L827">
        <v>701000</v>
      </c>
      <c r="M827" s="97" t="s">
        <v>62</v>
      </c>
      <c r="N827" s="97" t="s">
        <v>33</v>
      </c>
      <c r="O827">
        <v>4026</v>
      </c>
      <c r="P827">
        <v>0.95</v>
      </c>
      <c r="Q827">
        <v>3.82</v>
      </c>
      <c r="R827" s="97" t="s">
        <v>1202</v>
      </c>
      <c r="S827" s="97" t="s">
        <v>195</v>
      </c>
    </row>
    <row r="828" spans="1:19" x14ac:dyDescent="0.3">
      <c r="A828" s="97" t="s">
        <v>1021</v>
      </c>
      <c r="B828" s="97" t="s">
        <v>22</v>
      </c>
      <c r="C828">
        <v>2025</v>
      </c>
      <c r="D828">
        <v>2</v>
      </c>
      <c r="E828" s="2">
        <v>45710</v>
      </c>
      <c r="F828" s="97" t="s">
        <v>7</v>
      </c>
      <c r="G828" s="97" t="s">
        <v>8</v>
      </c>
      <c r="H828" s="97" t="s">
        <v>70</v>
      </c>
      <c r="I828" s="97" t="s">
        <v>84</v>
      </c>
      <c r="J828" s="97" t="s">
        <v>85</v>
      </c>
      <c r="K828" s="97" t="s">
        <v>73</v>
      </c>
      <c r="L828">
        <v>701000</v>
      </c>
      <c r="M828" s="97" t="s">
        <v>62</v>
      </c>
      <c r="N828" s="97" t="s">
        <v>33</v>
      </c>
      <c r="O828">
        <v>2741</v>
      </c>
      <c r="P828">
        <v>0.95</v>
      </c>
      <c r="Q828">
        <v>2.6</v>
      </c>
      <c r="R828" s="97" t="s">
        <v>1198</v>
      </c>
      <c r="S828" s="97" t="s">
        <v>195</v>
      </c>
    </row>
    <row r="829" spans="1:19" x14ac:dyDescent="0.3">
      <c r="A829" s="97" t="s">
        <v>1022</v>
      </c>
      <c r="B829" s="97" t="s">
        <v>22</v>
      </c>
      <c r="C829">
        <v>2025</v>
      </c>
      <c r="D829">
        <v>2</v>
      </c>
      <c r="E829" s="2">
        <v>45710</v>
      </c>
      <c r="F829" s="97" t="s">
        <v>7</v>
      </c>
      <c r="G829" s="97" t="s">
        <v>8</v>
      </c>
      <c r="H829" s="97" t="s">
        <v>70</v>
      </c>
      <c r="I829" s="97" t="s">
        <v>84</v>
      </c>
      <c r="J829" s="97" t="s">
        <v>85</v>
      </c>
      <c r="K829" s="97" t="s">
        <v>73</v>
      </c>
      <c r="L829">
        <v>701000</v>
      </c>
      <c r="M829" s="97" t="s">
        <v>62</v>
      </c>
      <c r="N829" s="97" t="s">
        <v>33</v>
      </c>
      <c r="O829">
        <v>1066</v>
      </c>
      <c r="P829">
        <v>0.95</v>
      </c>
      <c r="Q829">
        <v>1.01</v>
      </c>
      <c r="R829" s="97" t="s">
        <v>1205</v>
      </c>
      <c r="S829" s="97" t="s">
        <v>195</v>
      </c>
    </row>
    <row r="830" spans="1:19" x14ac:dyDescent="0.3">
      <c r="A830" s="97" t="s">
        <v>1023</v>
      </c>
      <c r="B830" s="97" t="s">
        <v>22</v>
      </c>
      <c r="C830">
        <v>2025</v>
      </c>
      <c r="D830">
        <v>2</v>
      </c>
      <c r="E830" s="2">
        <v>45710</v>
      </c>
      <c r="F830" s="97" t="s">
        <v>7</v>
      </c>
      <c r="G830" s="97" t="s">
        <v>8</v>
      </c>
      <c r="H830" s="97" t="s">
        <v>70</v>
      </c>
      <c r="I830" s="97" t="s">
        <v>84</v>
      </c>
      <c r="J830" s="97" t="s">
        <v>85</v>
      </c>
      <c r="K830" s="97" t="s">
        <v>73</v>
      </c>
      <c r="L830">
        <v>701000</v>
      </c>
      <c r="M830" s="97" t="s">
        <v>62</v>
      </c>
      <c r="N830" s="97" t="s">
        <v>33</v>
      </c>
      <c r="O830">
        <v>3860</v>
      </c>
      <c r="P830">
        <v>0.95</v>
      </c>
      <c r="Q830">
        <v>3.67</v>
      </c>
      <c r="R830" s="97" t="s">
        <v>1204</v>
      </c>
      <c r="S830" s="97" t="s">
        <v>195</v>
      </c>
    </row>
    <row r="831" spans="1:19" x14ac:dyDescent="0.3">
      <c r="A831" s="97" t="s">
        <v>1024</v>
      </c>
      <c r="B831" s="97" t="s">
        <v>22</v>
      </c>
      <c r="C831">
        <v>2025</v>
      </c>
      <c r="D831">
        <v>2</v>
      </c>
      <c r="E831" s="2">
        <v>45710</v>
      </c>
      <c r="F831" s="97" t="s">
        <v>7</v>
      </c>
      <c r="G831" s="97" t="s">
        <v>8</v>
      </c>
      <c r="H831" s="97" t="s">
        <v>70</v>
      </c>
      <c r="I831" s="97" t="s">
        <v>84</v>
      </c>
      <c r="J831" s="97" t="s">
        <v>85</v>
      </c>
      <c r="K831" s="97" t="s">
        <v>73</v>
      </c>
      <c r="L831">
        <v>701000</v>
      </c>
      <c r="M831" s="97" t="s">
        <v>62</v>
      </c>
      <c r="N831" s="97" t="s">
        <v>33</v>
      </c>
      <c r="O831">
        <v>3247</v>
      </c>
      <c r="P831">
        <v>0.95</v>
      </c>
      <c r="Q831">
        <v>3.09</v>
      </c>
      <c r="R831" s="97" t="s">
        <v>1200</v>
      </c>
      <c r="S831" s="97" t="s">
        <v>195</v>
      </c>
    </row>
    <row r="832" spans="1:19" x14ac:dyDescent="0.3">
      <c r="A832" s="97" t="s">
        <v>1025</v>
      </c>
      <c r="B832" s="97" t="s">
        <v>22</v>
      </c>
      <c r="C832">
        <v>2025</v>
      </c>
      <c r="D832">
        <v>2</v>
      </c>
      <c r="E832" s="2">
        <v>45689</v>
      </c>
      <c r="F832" s="97" t="s">
        <v>7</v>
      </c>
      <c r="G832" s="97" t="s">
        <v>8</v>
      </c>
      <c r="H832" s="97" t="s">
        <v>74</v>
      </c>
      <c r="I832" s="97" t="s">
        <v>84</v>
      </c>
      <c r="J832" s="97" t="s">
        <v>85</v>
      </c>
      <c r="K832" s="97" t="s">
        <v>73</v>
      </c>
      <c r="L832">
        <v>706000</v>
      </c>
      <c r="M832" s="97" t="s">
        <v>63</v>
      </c>
      <c r="N832" s="97" t="s">
        <v>33</v>
      </c>
      <c r="O832">
        <v>649</v>
      </c>
      <c r="P832">
        <v>0.96</v>
      </c>
      <c r="Q832">
        <v>0.62</v>
      </c>
      <c r="R832" s="97" t="s">
        <v>1201</v>
      </c>
      <c r="S832" s="97" t="s">
        <v>195</v>
      </c>
    </row>
    <row r="833" spans="1:19" x14ac:dyDescent="0.3">
      <c r="A833" s="97" t="s">
        <v>1026</v>
      </c>
      <c r="B833" s="97" t="s">
        <v>22</v>
      </c>
      <c r="C833">
        <v>2025</v>
      </c>
      <c r="D833">
        <v>2</v>
      </c>
      <c r="E833" s="2">
        <v>45689</v>
      </c>
      <c r="F833" s="97" t="s">
        <v>7</v>
      </c>
      <c r="G833" s="97" t="s">
        <v>8</v>
      </c>
      <c r="H833" s="97" t="s">
        <v>74</v>
      </c>
      <c r="I833" s="97" t="s">
        <v>84</v>
      </c>
      <c r="J833" s="97" t="s">
        <v>85</v>
      </c>
      <c r="K833" s="97" t="s">
        <v>73</v>
      </c>
      <c r="L833">
        <v>706000</v>
      </c>
      <c r="M833" s="97" t="s">
        <v>63</v>
      </c>
      <c r="N833" s="97" t="s">
        <v>33</v>
      </c>
      <c r="O833">
        <v>1094</v>
      </c>
      <c r="P833">
        <v>0.95</v>
      </c>
      <c r="Q833">
        <v>1.04</v>
      </c>
      <c r="R833" s="97" t="s">
        <v>1199</v>
      </c>
      <c r="S833" s="97" t="s">
        <v>195</v>
      </c>
    </row>
    <row r="834" spans="1:19" x14ac:dyDescent="0.3">
      <c r="A834" s="97" t="s">
        <v>1027</v>
      </c>
      <c r="B834" s="97" t="s">
        <v>22</v>
      </c>
      <c r="C834">
        <v>2025</v>
      </c>
      <c r="D834">
        <v>2</v>
      </c>
      <c r="E834" s="2">
        <v>45689</v>
      </c>
      <c r="F834" s="97" t="s">
        <v>7</v>
      </c>
      <c r="G834" s="97" t="s">
        <v>8</v>
      </c>
      <c r="H834" s="97" t="s">
        <v>74</v>
      </c>
      <c r="I834" s="97" t="s">
        <v>84</v>
      </c>
      <c r="J834" s="97" t="s">
        <v>85</v>
      </c>
      <c r="K834" s="97" t="s">
        <v>73</v>
      </c>
      <c r="L834">
        <v>706000</v>
      </c>
      <c r="M834" s="97" t="s">
        <v>63</v>
      </c>
      <c r="N834" s="97" t="s">
        <v>33</v>
      </c>
      <c r="O834">
        <v>4486</v>
      </c>
      <c r="P834">
        <v>0.95</v>
      </c>
      <c r="Q834">
        <v>4.26</v>
      </c>
      <c r="R834" s="97" t="s">
        <v>1203</v>
      </c>
      <c r="S834" s="97" t="s">
        <v>195</v>
      </c>
    </row>
    <row r="835" spans="1:19" x14ac:dyDescent="0.3">
      <c r="A835" s="97" t="s">
        <v>1028</v>
      </c>
      <c r="B835" s="97" t="s">
        <v>22</v>
      </c>
      <c r="C835">
        <v>2025</v>
      </c>
      <c r="D835">
        <v>2</v>
      </c>
      <c r="E835" s="2">
        <v>45689</v>
      </c>
      <c r="F835" s="97" t="s">
        <v>7</v>
      </c>
      <c r="G835" s="97" t="s">
        <v>8</v>
      </c>
      <c r="H835" s="97" t="s">
        <v>74</v>
      </c>
      <c r="I835" s="97" t="s">
        <v>84</v>
      </c>
      <c r="J835" s="97" t="s">
        <v>85</v>
      </c>
      <c r="K835" s="97" t="s">
        <v>73</v>
      </c>
      <c r="L835">
        <v>706000</v>
      </c>
      <c r="M835" s="97" t="s">
        <v>63</v>
      </c>
      <c r="N835" s="97" t="s">
        <v>33</v>
      </c>
      <c r="O835">
        <v>2903</v>
      </c>
      <c r="P835">
        <v>0.95</v>
      </c>
      <c r="Q835">
        <v>2.76</v>
      </c>
      <c r="R835" s="97" t="s">
        <v>1197</v>
      </c>
      <c r="S835" s="97" t="s">
        <v>195</v>
      </c>
    </row>
    <row r="836" spans="1:19" x14ac:dyDescent="0.3">
      <c r="A836" s="97" t="s">
        <v>1029</v>
      </c>
      <c r="B836" s="97" t="s">
        <v>22</v>
      </c>
      <c r="C836">
        <v>2025</v>
      </c>
      <c r="D836">
        <v>2</v>
      </c>
      <c r="E836" s="2">
        <v>45689</v>
      </c>
      <c r="F836" s="97" t="s">
        <v>7</v>
      </c>
      <c r="G836" s="97" t="s">
        <v>8</v>
      </c>
      <c r="H836" s="97" t="s">
        <v>74</v>
      </c>
      <c r="I836" s="97" t="s">
        <v>84</v>
      </c>
      <c r="J836" s="97" t="s">
        <v>85</v>
      </c>
      <c r="K836" s="97" t="s">
        <v>73</v>
      </c>
      <c r="L836">
        <v>706000</v>
      </c>
      <c r="M836" s="97" t="s">
        <v>63</v>
      </c>
      <c r="N836" s="97" t="s">
        <v>33</v>
      </c>
      <c r="O836">
        <v>7535</v>
      </c>
      <c r="P836">
        <v>0.95</v>
      </c>
      <c r="Q836">
        <v>7.15</v>
      </c>
      <c r="R836" s="97" t="s">
        <v>1198</v>
      </c>
      <c r="S836" s="97" t="s">
        <v>195</v>
      </c>
    </row>
    <row r="837" spans="1:19" x14ac:dyDescent="0.3">
      <c r="A837" s="97" t="s">
        <v>1030</v>
      </c>
      <c r="B837" s="97" t="s">
        <v>22</v>
      </c>
      <c r="C837">
        <v>2025</v>
      </c>
      <c r="D837">
        <v>2</v>
      </c>
      <c r="E837" s="2">
        <v>45702</v>
      </c>
      <c r="F837" s="97" t="s">
        <v>7</v>
      </c>
      <c r="G837" s="97" t="s">
        <v>8</v>
      </c>
      <c r="H837" s="97" t="s">
        <v>74</v>
      </c>
      <c r="I837" s="97" t="s">
        <v>84</v>
      </c>
      <c r="J837" s="97" t="s">
        <v>85</v>
      </c>
      <c r="K837" s="97" t="s">
        <v>73</v>
      </c>
      <c r="L837">
        <v>701000</v>
      </c>
      <c r="M837" s="97" t="s">
        <v>62</v>
      </c>
      <c r="N837" s="97" t="s">
        <v>33</v>
      </c>
      <c r="O837">
        <v>1583</v>
      </c>
      <c r="P837">
        <v>0.95</v>
      </c>
      <c r="Q837">
        <v>1.5</v>
      </c>
      <c r="R837" s="97" t="s">
        <v>1197</v>
      </c>
      <c r="S837" s="97" t="s">
        <v>195</v>
      </c>
    </row>
    <row r="838" spans="1:19" x14ac:dyDescent="0.3">
      <c r="A838" s="97" t="s">
        <v>1031</v>
      </c>
      <c r="B838" s="97" t="s">
        <v>22</v>
      </c>
      <c r="C838">
        <v>2025</v>
      </c>
      <c r="D838">
        <v>2</v>
      </c>
      <c r="E838" s="2">
        <v>45702</v>
      </c>
      <c r="F838" s="97" t="s">
        <v>7</v>
      </c>
      <c r="G838" s="97" t="s">
        <v>8</v>
      </c>
      <c r="H838" s="97" t="s">
        <v>74</v>
      </c>
      <c r="I838" s="97" t="s">
        <v>84</v>
      </c>
      <c r="J838" s="97" t="s">
        <v>85</v>
      </c>
      <c r="K838" s="97" t="s">
        <v>73</v>
      </c>
      <c r="L838">
        <v>701000</v>
      </c>
      <c r="M838" s="97" t="s">
        <v>62</v>
      </c>
      <c r="N838" s="97" t="s">
        <v>33</v>
      </c>
      <c r="O838">
        <v>2679</v>
      </c>
      <c r="P838">
        <v>0.95</v>
      </c>
      <c r="Q838">
        <v>2.5499999999999998</v>
      </c>
      <c r="R838" s="97" t="s">
        <v>1199</v>
      </c>
      <c r="S838" s="97" t="s">
        <v>195</v>
      </c>
    </row>
    <row r="839" spans="1:19" x14ac:dyDescent="0.3">
      <c r="A839" s="97" t="s">
        <v>1032</v>
      </c>
      <c r="B839" s="97" t="s">
        <v>22</v>
      </c>
      <c r="C839">
        <v>2025</v>
      </c>
      <c r="D839">
        <v>2</v>
      </c>
      <c r="E839" s="2">
        <v>45702</v>
      </c>
      <c r="F839" s="97" t="s">
        <v>7</v>
      </c>
      <c r="G839" s="97" t="s">
        <v>8</v>
      </c>
      <c r="H839" s="97" t="s">
        <v>74</v>
      </c>
      <c r="I839" s="97" t="s">
        <v>84</v>
      </c>
      <c r="J839" s="97" t="s">
        <v>85</v>
      </c>
      <c r="K839" s="97" t="s">
        <v>73</v>
      </c>
      <c r="L839">
        <v>701000</v>
      </c>
      <c r="M839" s="97" t="s">
        <v>62</v>
      </c>
      <c r="N839" s="97" t="s">
        <v>33</v>
      </c>
      <c r="O839">
        <v>6048</v>
      </c>
      <c r="P839">
        <v>0.95</v>
      </c>
      <c r="Q839">
        <v>5.75</v>
      </c>
      <c r="R839" s="97" t="s">
        <v>1201</v>
      </c>
      <c r="S839" s="97" t="s">
        <v>195</v>
      </c>
    </row>
    <row r="840" spans="1:19" x14ac:dyDescent="0.3">
      <c r="A840" s="97" t="s">
        <v>1033</v>
      </c>
      <c r="B840" s="97" t="s">
        <v>22</v>
      </c>
      <c r="C840">
        <v>2025</v>
      </c>
      <c r="D840">
        <v>2</v>
      </c>
      <c r="E840" s="2">
        <v>45702</v>
      </c>
      <c r="F840" s="97" t="s">
        <v>7</v>
      </c>
      <c r="G840" s="97" t="s">
        <v>8</v>
      </c>
      <c r="H840" s="97" t="s">
        <v>74</v>
      </c>
      <c r="I840" s="97" t="s">
        <v>84</v>
      </c>
      <c r="J840" s="97" t="s">
        <v>85</v>
      </c>
      <c r="K840" s="97" t="s">
        <v>73</v>
      </c>
      <c r="L840">
        <v>701000</v>
      </c>
      <c r="M840" s="97" t="s">
        <v>62</v>
      </c>
      <c r="N840" s="97" t="s">
        <v>33</v>
      </c>
      <c r="O840">
        <v>3216</v>
      </c>
      <c r="P840">
        <v>0.95</v>
      </c>
      <c r="Q840">
        <v>3.06</v>
      </c>
      <c r="R840" s="97" t="s">
        <v>1198</v>
      </c>
      <c r="S840" s="97" t="s">
        <v>195</v>
      </c>
    </row>
    <row r="841" spans="1:19" x14ac:dyDescent="0.3">
      <c r="A841" s="97" t="s">
        <v>1034</v>
      </c>
      <c r="B841" s="97" t="s">
        <v>22</v>
      </c>
      <c r="C841">
        <v>2025</v>
      </c>
      <c r="D841">
        <v>2</v>
      </c>
      <c r="E841" s="2">
        <v>45702</v>
      </c>
      <c r="F841" s="97" t="s">
        <v>7</v>
      </c>
      <c r="G841" s="97" t="s">
        <v>8</v>
      </c>
      <c r="H841" s="97" t="s">
        <v>74</v>
      </c>
      <c r="I841" s="97" t="s">
        <v>84</v>
      </c>
      <c r="J841" s="97" t="s">
        <v>85</v>
      </c>
      <c r="K841" s="97" t="s">
        <v>73</v>
      </c>
      <c r="L841">
        <v>701000</v>
      </c>
      <c r="M841" s="97" t="s">
        <v>62</v>
      </c>
      <c r="N841" s="97" t="s">
        <v>33</v>
      </c>
      <c r="O841">
        <v>5303</v>
      </c>
      <c r="P841">
        <v>0.95</v>
      </c>
      <c r="Q841">
        <v>5.03</v>
      </c>
      <c r="R841" s="97" t="s">
        <v>1205</v>
      </c>
      <c r="S841" s="97" t="s">
        <v>195</v>
      </c>
    </row>
    <row r="842" spans="1:19" x14ac:dyDescent="0.3">
      <c r="A842" s="97" t="s">
        <v>1035</v>
      </c>
      <c r="B842" s="97" t="s">
        <v>22</v>
      </c>
      <c r="C842">
        <v>2025</v>
      </c>
      <c r="D842">
        <v>2</v>
      </c>
      <c r="E842" s="2">
        <v>45712</v>
      </c>
      <c r="F842" s="97" t="s">
        <v>7</v>
      </c>
      <c r="G842" s="97" t="s">
        <v>8</v>
      </c>
      <c r="H842" s="97" t="s">
        <v>74</v>
      </c>
      <c r="I842" s="97" t="s">
        <v>84</v>
      </c>
      <c r="J842" s="97" t="s">
        <v>85</v>
      </c>
      <c r="K842" s="97" t="s">
        <v>73</v>
      </c>
      <c r="L842">
        <v>701000</v>
      </c>
      <c r="M842" s="97" t="s">
        <v>62</v>
      </c>
      <c r="N842" s="97" t="s">
        <v>33</v>
      </c>
      <c r="O842">
        <v>6884</v>
      </c>
      <c r="P842">
        <v>0.95</v>
      </c>
      <c r="Q842">
        <v>6.54</v>
      </c>
      <c r="R842" s="97" t="s">
        <v>1205</v>
      </c>
      <c r="S842" s="97" t="s">
        <v>195</v>
      </c>
    </row>
    <row r="843" spans="1:19" x14ac:dyDescent="0.3">
      <c r="A843" s="97" t="s">
        <v>1036</v>
      </c>
      <c r="B843" s="97" t="s">
        <v>22</v>
      </c>
      <c r="C843">
        <v>2025</v>
      </c>
      <c r="D843">
        <v>2</v>
      </c>
      <c r="E843" s="2">
        <v>45712</v>
      </c>
      <c r="F843" s="97" t="s">
        <v>7</v>
      </c>
      <c r="G843" s="97" t="s">
        <v>8</v>
      </c>
      <c r="H843" s="97" t="s">
        <v>74</v>
      </c>
      <c r="I843" s="97" t="s">
        <v>84</v>
      </c>
      <c r="J843" s="97" t="s">
        <v>85</v>
      </c>
      <c r="K843" s="97" t="s">
        <v>73</v>
      </c>
      <c r="L843">
        <v>701000</v>
      </c>
      <c r="M843" s="97" t="s">
        <v>62</v>
      </c>
      <c r="N843" s="97" t="s">
        <v>33</v>
      </c>
      <c r="O843">
        <v>4864</v>
      </c>
      <c r="P843">
        <v>0.95</v>
      </c>
      <c r="Q843">
        <v>4.62</v>
      </c>
      <c r="R843" s="97" t="s">
        <v>1204</v>
      </c>
      <c r="S843" s="97" t="s">
        <v>195</v>
      </c>
    </row>
    <row r="844" spans="1:19" x14ac:dyDescent="0.3">
      <c r="A844" s="97" t="s">
        <v>1037</v>
      </c>
      <c r="B844" s="97" t="s">
        <v>22</v>
      </c>
      <c r="C844">
        <v>2025</v>
      </c>
      <c r="D844">
        <v>2</v>
      </c>
      <c r="E844" s="2">
        <v>45712</v>
      </c>
      <c r="F844" s="97" t="s">
        <v>7</v>
      </c>
      <c r="G844" s="97" t="s">
        <v>8</v>
      </c>
      <c r="H844" s="97" t="s">
        <v>74</v>
      </c>
      <c r="I844" s="97" t="s">
        <v>84</v>
      </c>
      <c r="J844" s="97" t="s">
        <v>85</v>
      </c>
      <c r="K844" s="97" t="s">
        <v>73</v>
      </c>
      <c r="L844">
        <v>701000</v>
      </c>
      <c r="M844" s="97" t="s">
        <v>62</v>
      </c>
      <c r="N844" s="97" t="s">
        <v>33</v>
      </c>
      <c r="O844">
        <v>3372</v>
      </c>
      <c r="P844">
        <v>0.95</v>
      </c>
      <c r="Q844">
        <v>3.2</v>
      </c>
      <c r="R844" s="97" t="s">
        <v>1197</v>
      </c>
      <c r="S844" s="97" t="s">
        <v>195</v>
      </c>
    </row>
    <row r="845" spans="1:19" x14ac:dyDescent="0.3">
      <c r="A845" s="97" t="s">
        <v>1038</v>
      </c>
      <c r="B845" s="97" t="s">
        <v>22</v>
      </c>
      <c r="C845">
        <v>2025</v>
      </c>
      <c r="D845">
        <v>2</v>
      </c>
      <c r="E845" s="2">
        <v>45712</v>
      </c>
      <c r="F845" s="97" t="s">
        <v>7</v>
      </c>
      <c r="G845" s="97" t="s">
        <v>8</v>
      </c>
      <c r="H845" s="97" t="s">
        <v>74</v>
      </c>
      <c r="I845" s="97" t="s">
        <v>84</v>
      </c>
      <c r="J845" s="97" t="s">
        <v>85</v>
      </c>
      <c r="K845" s="97" t="s">
        <v>73</v>
      </c>
      <c r="L845">
        <v>701000</v>
      </c>
      <c r="M845" s="97" t="s">
        <v>62</v>
      </c>
      <c r="N845" s="97" t="s">
        <v>33</v>
      </c>
      <c r="O845">
        <v>1705</v>
      </c>
      <c r="P845">
        <v>0.95</v>
      </c>
      <c r="Q845">
        <v>1.62</v>
      </c>
      <c r="R845" s="97" t="s">
        <v>1203</v>
      </c>
      <c r="S845" s="97" t="s">
        <v>195</v>
      </c>
    </row>
    <row r="846" spans="1:19" x14ac:dyDescent="0.3">
      <c r="A846" s="97" t="s">
        <v>1039</v>
      </c>
      <c r="B846" s="97" t="s">
        <v>22</v>
      </c>
      <c r="C846">
        <v>2025</v>
      </c>
      <c r="D846">
        <v>2</v>
      </c>
      <c r="E846" s="2">
        <v>45712</v>
      </c>
      <c r="F846" s="97" t="s">
        <v>7</v>
      </c>
      <c r="G846" s="97" t="s">
        <v>8</v>
      </c>
      <c r="H846" s="97" t="s">
        <v>74</v>
      </c>
      <c r="I846" s="97" t="s">
        <v>84</v>
      </c>
      <c r="J846" s="97" t="s">
        <v>85</v>
      </c>
      <c r="K846" s="97" t="s">
        <v>73</v>
      </c>
      <c r="L846">
        <v>701000</v>
      </c>
      <c r="M846" s="97" t="s">
        <v>62</v>
      </c>
      <c r="N846" s="97" t="s">
        <v>33</v>
      </c>
      <c r="O846">
        <v>1331</v>
      </c>
      <c r="P846">
        <v>0.95</v>
      </c>
      <c r="Q846">
        <v>1.27</v>
      </c>
      <c r="R846" s="97" t="s">
        <v>1201</v>
      </c>
      <c r="S846" s="97" t="s">
        <v>195</v>
      </c>
    </row>
    <row r="847" spans="1:19" x14ac:dyDescent="0.3">
      <c r="A847" s="97" t="s">
        <v>1040</v>
      </c>
      <c r="B847" s="97" t="s">
        <v>22</v>
      </c>
      <c r="C847">
        <v>2025</v>
      </c>
      <c r="D847">
        <v>2</v>
      </c>
      <c r="E847" s="2">
        <v>45702</v>
      </c>
      <c r="F847" s="97" t="s">
        <v>7</v>
      </c>
      <c r="G847" s="97" t="s">
        <v>8</v>
      </c>
      <c r="H847" s="97" t="s">
        <v>74</v>
      </c>
      <c r="I847" s="97" t="s">
        <v>84</v>
      </c>
      <c r="J847" s="97" t="s">
        <v>85</v>
      </c>
      <c r="K847" s="97" t="s">
        <v>73</v>
      </c>
      <c r="L847">
        <v>701000</v>
      </c>
      <c r="M847" s="97" t="s">
        <v>62</v>
      </c>
      <c r="N847" s="97" t="s">
        <v>33</v>
      </c>
      <c r="O847">
        <v>1111</v>
      </c>
      <c r="P847">
        <v>0.95</v>
      </c>
      <c r="Q847">
        <v>1.06</v>
      </c>
      <c r="R847" s="97" t="s">
        <v>1205</v>
      </c>
      <c r="S847" s="97" t="s">
        <v>195</v>
      </c>
    </row>
    <row r="848" spans="1:19" x14ac:dyDescent="0.3">
      <c r="A848" s="97" t="s">
        <v>1041</v>
      </c>
      <c r="B848" s="97" t="s">
        <v>22</v>
      </c>
      <c r="C848">
        <v>2025</v>
      </c>
      <c r="D848">
        <v>2</v>
      </c>
      <c r="E848" s="2">
        <v>45702</v>
      </c>
      <c r="F848" s="97" t="s">
        <v>7</v>
      </c>
      <c r="G848" s="97" t="s">
        <v>8</v>
      </c>
      <c r="H848" s="97" t="s">
        <v>74</v>
      </c>
      <c r="I848" s="97" t="s">
        <v>84</v>
      </c>
      <c r="J848" s="97" t="s">
        <v>85</v>
      </c>
      <c r="K848" s="97" t="s">
        <v>73</v>
      </c>
      <c r="L848">
        <v>701000</v>
      </c>
      <c r="M848" s="97" t="s">
        <v>62</v>
      </c>
      <c r="N848" s="97" t="s">
        <v>33</v>
      </c>
      <c r="O848">
        <v>6925</v>
      </c>
      <c r="P848">
        <v>0.95</v>
      </c>
      <c r="Q848">
        <v>6.58</v>
      </c>
      <c r="R848" s="97" t="s">
        <v>1200</v>
      </c>
      <c r="S848" s="97" t="s">
        <v>195</v>
      </c>
    </row>
    <row r="849" spans="1:19" x14ac:dyDescent="0.3">
      <c r="A849" s="97" t="s">
        <v>1042</v>
      </c>
      <c r="B849" s="97" t="s">
        <v>22</v>
      </c>
      <c r="C849">
        <v>2025</v>
      </c>
      <c r="D849">
        <v>2</v>
      </c>
      <c r="E849" s="2">
        <v>45702</v>
      </c>
      <c r="F849" s="97" t="s">
        <v>7</v>
      </c>
      <c r="G849" s="97" t="s">
        <v>8</v>
      </c>
      <c r="H849" s="97" t="s">
        <v>74</v>
      </c>
      <c r="I849" s="97" t="s">
        <v>84</v>
      </c>
      <c r="J849" s="97" t="s">
        <v>85</v>
      </c>
      <c r="K849" s="97" t="s">
        <v>73</v>
      </c>
      <c r="L849">
        <v>701000</v>
      </c>
      <c r="M849" s="97" t="s">
        <v>62</v>
      </c>
      <c r="N849" s="97" t="s">
        <v>33</v>
      </c>
      <c r="O849">
        <v>3582</v>
      </c>
      <c r="P849">
        <v>0.95</v>
      </c>
      <c r="Q849">
        <v>3.4</v>
      </c>
      <c r="R849" s="97" t="s">
        <v>1201</v>
      </c>
      <c r="S849" s="97" t="s">
        <v>195</v>
      </c>
    </row>
    <row r="850" spans="1:19" x14ac:dyDescent="0.3">
      <c r="A850" s="97" t="s">
        <v>1043</v>
      </c>
      <c r="B850" s="97" t="s">
        <v>22</v>
      </c>
      <c r="C850">
        <v>2025</v>
      </c>
      <c r="D850">
        <v>2</v>
      </c>
      <c r="E850" s="2">
        <v>45702</v>
      </c>
      <c r="F850" s="97" t="s">
        <v>7</v>
      </c>
      <c r="G850" s="97" t="s">
        <v>8</v>
      </c>
      <c r="H850" s="97" t="s">
        <v>74</v>
      </c>
      <c r="I850" s="97" t="s">
        <v>84</v>
      </c>
      <c r="J850" s="97" t="s">
        <v>85</v>
      </c>
      <c r="K850" s="97" t="s">
        <v>73</v>
      </c>
      <c r="L850">
        <v>701000</v>
      </c>
      <c r="M850" s="97" t="s">
        <v>62</v>
      </c>
      <c r="N850" s="97" t="s">
        <v>33</v>
      </c>
      <c r="O850">
        <v>3017</v>
      </c>
      <c r="P850">
        <v>0.95</v>
      </c>
      <c r="Q850">
        <v>2.87</v>
      </c>
      <c r="R850" s="97" t="s">
        <v>1204</v>
      </c>
      <c r="S850" s="97" t="s">
        <v>195</v>
      </c>
    </row>
    <row r="851" spans="1:19" x14ac:dyDescent="0.3">
      <c r="A851" s="97" t="s">
        <v>1044</v>
      </c>
      <c r="B851" s="97" t="s">
        <v>22</v>
      </c>
      <c r="C851">
        <v>2025</v>
      </c>
      <c r="D851">
        <v>2</v>
      </c>
      <c r="E851" s="2">
        <v>45702</v>
      </c>
      <c r="F851" s="97" t="s">
        <v>7</v>
      </c>
      <c r="G851" s="97" t="s">
        <v>8</v>
      </c>
      <c r="H851" s="97" t="s">
        <v>74</v>
      </c>
      <c r="I851" s="97" t="s">
        <v>84</v>
      </c>
      <c r="J851" s="97" t="s">
        <v>85</v>
      </c>
      <c r="K851" s="97" t="s">
        <v>73</v>
      </c>
      <c r="L851">
        <v>701000</v>
      </c>
      <c r="M851" s="97" t="s">
        <v>62</v>
      </c>
      <c r="N851" s="97" t="s">
        <v>33</v>
      </c>
      <c r="O851">
        <v>2547</v>
      </c>
      <c r="P851">
        <v>0.95</v>
      </c>
      <c r="Q851">
        <v>2.41</v>
      </c>
      <c r="R851" s="97" t="s">
        <v>1197</v>
      </c>
      <c r="S851" s="97" t="s">
        <v>195</v>
      </c>
    </row>
    <row r="852" spans="1:19" x14ac:dyDescent="0.3">
      <c r="A852" s="97" t="s">
        <v>1045</v>
      </c>
      <c r="B852" s="97" t="s">
        <v>22</v>
      </c>
      <c r="C852">
        <v>2025</v>
      </c>
      <c r="D852">
        <v>2</v>
      </c>
      <c r="E852" s="2">
        <v>45691</v>
      </c>
      <c r="F852" s="97" t="s">
        <v>7</v>
      </c>
      <c r="G852" s="97" t="s">
        <v>8</v>
      </c>
      <c r="H852" s="97" t="s">
        <v>70</v>
      </c>
      <c r="I852" s="97" t="s">
        <v>84</v>
      </c>
      <c r="J852" s="97" t="s">
        <v>85</v>
      </c>
      <c r="K852" s="97" t="s">
        <v>73</v>
      </c>
      <c r="L852">
        <v>701000</v>
      </c>
      <c r="M852" s="97" t="s">
        <v>62</v>
      </c>
      <c r="N852" s="97" t="s">
        <v>33</v>
      </c>
      <c r="O852">
        <v>2738</v>
      </c>
      <c r="P852">
        <v>0.95</v>
      </c>
      <c r="Q852">
        <v>2.6</v>
      </c>
      <c r="R852" s="97" t="s">
        <v>1201</v>
      </c>
      <c r="S852" s="97" t="s">
        <v>195</v>
      </c>
    </row>
    <row r="853" spans="1:19" x14ac:dyDescent="0.3">
      <c r="A853" s="97" t="s">
        <v>1046</v>
      </c>
      <c r="B853" s="97" t="s">
        <v>22</v>
      </c>
      <c r="C853">
        <v>2025</v>
      </c>
      <c r="D853">
        <v>2</v>
      </c>
      <c r="E853" s="2">
        <v>45691</v>
      </c>
      <c r="F853" s="97" t="s">
        <v>7</v>
      </c>
      <c r="G853" s="97" t="s">
        <v>8</v>
      </c>
      <c r="H853" s="97" t="s">
        <v>70</v>
      </c>
      <c r="I853" s="97" t="s">
        <v>84</v>
      </c>
      <c r="J853" s="97" t="s">
        <v>85</v>
      </c>
      <c r="K853" s="97" t="s">
        <v>73</v>
      </c>
      <c r="L853">
        <v>701000</v>
      </c>
      <c r="M853" s="97" t="s">
        <v>62</v>
      </c>
      <c r="N853" s="97" t="s">
        <v>33</v>
      </c>
      <c r="O853">
        <v>5351</v>
      </c>
      <c r="P853">
        <v>0.95</v>
      </c>
      <c r="Q853">
        <v>5.08</v>
      </c>
      <c r="R853" s="97" t="s">
        <v>1205</v>
      </c>
      <c r="S853" s="97" t="s">
        <v>195</v>
      </c>
    </row>
    <row r="854" spans="1:19" x14ac:dyDescent="0.3">
      <c r="A854" s="97" t="s">
        <v>1047</v>
      </c>
      <c r="B854" s="97" t="s">
        <v>22</v>
      </c>
      <c r="C854">
        <v>2025</v>
      </c>
      <c r="D854">
        <v>2</v>
      </c>
      <c r="E854" s="2">
        <v>45691</v>
      </c>
      <c r="F854" s="97" t="s">
        <v>7</v>
      </c>
      <c r="G854" s="97" t="s">
        <v>8</v>
      </c>
      <c r="H854" s="97" t="s">
        <v>70</v>
      </c>
      <c r="I854" s="97" t="s">
        <v>84</v>
      </c>
      <c r="J854" s="97" t="s">
        <v>85</v>
      </c>
      <c r="K854" s="97" t="s">
        <v>73</v>
      </c>
      <c r="L854">
        <v>701000</v>
      </c>
      <c r="M854" s="97" t="s">
        <v>62</v>
      </c>
      <c r="N854" s="97" t="s">
        <v>33</v>
      </c>
      <c r="O854">
        <v>1841</v>
      </c>
      <c r="P854">
        <v>0.95</v>
      </c>
      <c r="Q854">
        <v>1.75</v>
      </c>
      <c r="R854" s="97" t="s">
        <v>1204</v>
      </c>
      <c r="S854" s="97" t="s">
        <v>195</v>
      </c>
    </row>
    <row r="855" spans="1:19" x14ac:dyDescent="0.3">
      <c r="A855" s="97" t="s">
        <v>1048</v>
      </c>
      <c r="B855" s="97" t="s">
        <v>22</v>
      </c>
      <c r="C855">
        <v>2025</v>
      </c>
      <c r="D855">
        <v>2</v>
      </c>
      <c r="E855" s="2">
        <v>45691</v>
      </c>
      <c r="F855" s="97" t="s">
        <v>7</v>
      </c>
      <c r="G855" s="97" t="s">
        <v>8</v>
      </c>
      <c r="H855" s="97" t="s">
        <v>70</v>
      </c>
      <c r="I855" s="97" t="s">
        <v>84</v>
      </c>
      <c r="J855" s="97" t="s">
        <v>85</v>
      </c>
      <c r="K855" s="97" t="s">
        <v>73</v>
      </c>
      <c r="L855">
        <v>701000</v>
      </c>
      <c r="M855" s="97" t="s">
        <v>62</v>
      </c>
      <c r="N855" s="97" t="s">
        <v>33</v>
      </c>
      <c r="O855">
        <v>3794</v>
      </c>
      <c r="P855">
        <v>0.95</v>
      </c>
      <c r="Q855">
        <v>3.61</v>
      </c>
      <c r="R855" s="97" t="s">
        <v>1202</v>
      </c>
      <c r="S855" s="97" t="s">
        <v>195</v>
      </c>
    </row>
    <row r="856" spans="1:19" x14ac:dyDescent="0.3">
      <c r="A856" s="97" t="s">
        <v>1049</v>
      </c>
      <c r="B856" s="97" t="s">
        <v>22</v>
      </c>
      <c r="C856">
        <v>2025</v>
      </c>
      <c r="D856">
        <v>2</v>
      </c>
      <c r="E856" s="2">
        <v>45691</v>
      </c>
      <c r="F856" s="97" t="s">
        <v>7</v>
      </c>
      <c r="G856" s="97" t="s">
        <v>8</v>
      </c>
      <c r="H856" s="97" t="s">
        <v>70</v>
      </c>
      <c r="I856" s="97" t="s">
        <v>84</v>
      </c>
      <c r="J856" s="97" t="s">
        <v>85</v>
      </c>
      <c r="K856" s="97" t="s">
        <v>73</v>
      </c>
      <c r="L856">
        <v>701000</v>
      </c>
      <c r="M856" s="97" t="s">
        <v>62</v>
      </c>
      <c r="N856" s="97" t="s">
        <v>33</v>
      </c>
      <c r="O856">
        <v>5989</v>
      </c>
      <c r="P856">
        <v>0.95</v>
      </c>
      <c r="Q856">
        <v>5.69</v>
      </c>
      <c r="R856" s="97" t="s">
        <v>1197</v>
      </c>
      <c r="S856" s="97" t="s">
        <v>195</v>
      </c>
    </row>
    <row r="857" spans="1:19" x14ac:dyDescent="0.3">
      <c r="A857" s="97" t="s">
        <v>1050</v>
      </c>
      <c r="B857" s="97" t="s">
        <v>22</v>
      </c>
      <c r="C857">
        <v>2025</v>
      </c>
      <c r="D857">
        <v>2</v>
      </c>
      <c r="E857" s="2">
        <v>45689</v>
      </c>
      <c r="F857" s="97" t="s">
        <v>7</v>
      </c>
      <c r="G857" s="97" t="s">
        <v>8</v>
      </c>
      <c r="H857" s="97" t="s">
        <v>74</v>
      </c>
      <c r="I857" s="97" t="s">
        <v>84</v>
      </c>
      <c r="J857" s="97" t="s">
        <v>85</v>
      </c>
      <c r="K857" s="97" t="s">
        <v>73</v>
      </c>
      <c r="L857">
        <v>701000</v>
      </c>
      <c r="M857" s="97" t="s">
        <v>62</v>
      </c>
      <c r="N857" s="97" t="s">
        <v>33</v>
      </c>
      <c r="O857">
        <v>5134</v>
      </c>
      <c r="P857">
        <v>0.95</v>
      </c>
      <c r="Q857">
        <v>4.88</v>
      </c>
      <c r="R857" s="97" t="s">
        <v>1203</v>
      </c>
      <c r="S857" s="97" t="s">
        <v>195</v>
      </c>
    </row>
    <row r="858" spans="1:19" x14ac:dyDescent="0.3">
      <c r="A858" s="97" t="s">
        <v>1051</v>
      </c>
      <c r="B858" s="97" t="s">
        <v>22</v>
      </c>
      <c r="C858">
        <v>2025</v>
      </c>
      <c r="D858">
        <v>2</v>
      </c>
      <c r="E858" s="2">
        <v>45689</v>
      </c>
      <c r="F858" s="97" t="s">
        <v>7</v>
      </c>
      <c r="G858" s="97" t="s">
        <v>8</v>
      </c>
      <c r="H858" s="97" t="s">
        <v>74</v>
      </c>
      <c r="I858" s="97" t="s">
        <v>84</v>
      </c>
      <c r="J858" s="97" t="s">
        <v>85</v>
      </c>
      <c r="K858" s="97" t="s">
        <v>73</v>
      </c>
      <c r="L858">
        <v>701000</v>
      </c>
      <c r="M858" s="97" t="s">
        <v>62</v>
      </c>
      <c r="N858" s="97" t="s">
        <v>33</v>
      </c>
      <c r="O858">
        <v>2925</v>
      </c>
      <c r="P858">
        <v>0.95</v>
      </c>
      <c r="Q858">
        <v>2.78</v>
      </c>
      <c r="R858" s="97" t="s">
        <v>1205</v>
      </c>
      <c r="S858" s="97" t="s">
        <v>195</v>
      </c>
    </row>
    <row r="859" spans="1:19" x14ac:dyDescent="0.3">
      <c r="A859" s="97" t="s">
        <v>1052</v>
      </c>
      <c r="B859" s="97" t="s">
        <v>22</v>
      </c>
      <c r="C859">
        <v>2025</v>
      </c>
      <c r="D859">
        <v>2</v>
      </c>
      <c r="E859" s="2">
        <v>45689</v>
      </c>
      <c r="F859" s="97" t="s">
        <v>7</v>
      </c>
      <c r="G859" s="97" t="s">
        <v>8</v>
      </c>
      <c r="H859" s="97" t="s">
        <v>74</v>
      </c>
      <c r="I859" s="97" t="s">
        <v>84</v>
      </c>
      <c r="J859" s="97" t="s">
        <v>85</v>
      </c>
      <c r="K859" s="97" t="s">
        <v>73</v>
      </c>
      <c r="L859">
        <v>701000</v>
      </c>
      <c r="M859" s="97" t="s">
        <v>62</v>
      </c>
      <c r="N859" s="97" t="s">
        <v>33</v>
      </c>
      <c r="O859">
        <v>4300</v>
      </c>
      <c r="P859">
        <v>0.95</v>
      </c>
      <c r="Q859">
        <v>4.09</v>
      </c>
      <c r="R859" s="97" t="s">
        <v>1202</v>
      </c>
      <c r="S859" s="97" t="s">
        <v>195</v>
      </c>
    </row>
    <row r="860" spans="1:19" x14ac:dyDescent="0.3">
      <c r="A860" s="97" t="s">
        <v>1053</v>
      </c>
      <c r="B860" s="97" t="s">
        <v>22</v>
      </c>
      <c r="C860">
        <v>2025</v>
      </c>
      <c r="D860">
        <v>2</v>
      </c>
      <c r="E860" s="2">
        <v>45689</v>
      </c>
      <c r="F860" s="97" t="s">
        <v>7</v>
      </c>
      <c r="G860" s="97" t="s">
        <v>8</v>
      </c>
      <c r="H860" s="97" t="s">
        <v>74</v>
      </c>
      <c r="I860" s="97" t="s">
        <v>84</v>
      </c>
      <c r="J860" s="97" t="s">
        <v>85</v>
      </c>
      <c r="K860" s="97" t="s">
        <v>73</v>
      </c>
      <c r="L860">
        <v>701000</v>
      </c>
      <c r="M860" s="97" t="s">
        <v>62</v>
      </c>
      <c r="N860" s="97" t="s">
        <v>33</v>
      </c>
      <c r="O860">
        <v>2620</v>
      </c>
      <c r="P860">
        <v>0.95</v>
      </c>
      <c r="Q860">
        <v>2.4900000000000002</v>
      </c>
      <c r="R860" s="97" t="s">
        <v>1204</v>
      </c>
      <c r="S860" s="97" t="s">
        <v>195</v>
      </c>
    </row>
    <row r="861" spans="1:19" x14ac:dyDescent="0.3">
      <c r="A861" s="97" t="s">
        <v>1054</v>
      </c>
      <c r="B861" s="97" t="s">
        <v>22</v>
      </c>
      <c r="C861">
        <v>2025</v>
      </c>
      <c r="D861">
        <v>2</v>
      </c>
      <c r="E861" s="2">
        <v>45689</v>
      </c>
      <c r="F861" s="97" t="s">
        <v>7</v>
      </c>
      <c r="G861" s="97" t="s">
        <v>8</v>
      </c>
      <c r="H861" s="97" t="s">
        <v>74</v>
      </c>
      <c r="I861" s="97" t="s">
        <v>84</v>
      </c>
      <c r="J861" s="97" t="s">
        <v>85</v>
      </c>
      <c r="K861" s="97" t="s">
        <v>73</v>
      </c>
      <c r="L861">
        <v>701000</v>
      </c>
      <c r="M861" s="97" t="s">
        <v>62</v>
      </c>
      <c r="N861" s="97" t="s">
        <v>33</v>
      </c>
      <c r="O861">
        <v>1944</v>
      </c>
      <c r="P861">
        <v>0.95</v>
      </c>
      <c r="Q861">
        <v>1.84</v>
      </c>
      <c r="R861" s="97" t="s">
        <v>1201</v>
      </c>
      <c r="S861" s="97" t="s">
        <v>195</v>
      </c>
    </row>
    <row r="862" spans="1:19" x14ac:dyDescent="0.3">
      <c r="A862" s="97" t="s">
        <v>1055</v>
      </c>
      <c r="B862" s="97" t="s">
        <v>22</v>
      </c>
      <c r="C862">
        <v>2025</v>
      </c>
      <c r="D862">
        <v>2</v>
      </c>
      <c r="E862" s="2">
        <v>45700</v>
      </c>
      <c r="F862" s="97" t="s">
        <v>7</v>
      </c>
      <c r="G862" s="97" t="s">
        <v>8</v>
      </c>
      <c r="H862" s="97" t="s">
        <v>74</v>
      </c>
      <c r="I862" s="97" t="s">
        <v>84</v>
      </c>
      <c r="J862" s="97" t="s">
        <v>85</v>
      </c>
      <c r="K862" s="97" t="s">
        <v>73</v>
      </c>
      <c r="L862">
        <v>701000</v>
      </c>
      <c r="M862" s="97" t="s">
        <v>62</v>
      </c>
      <c r="N862" s="97" t="s">
        <v>33</v>
      </c>
      <c r="O862">
        <v>4882</v>
      </c>
      <c r="P862">
        <v>0.95</v>
      </c>
      <c r="Q862">
        <v>4.6399999999999997</v>
      </c>
      <c r="R862" s="97" t="s">
        <v>1197</v>
      </c>
      <c r="S862" s="97" t="s">
        <v>195</v>
      </c>
    </row>
    <row r="863" spans="1:19" x14ac:dyDescent="0.3">
      <c r="A863" s="97" t="s">
        <v>1056</v>
      </c>
      <c r="B863" s="97" t="s">
        <v>22</v>
      </c>
      <c r="C863">
        <v>2025</v>
      </c>
      <c r="D863">
        <v>2</v>
      </c>
      <c r="E863" s="2">
        <v>45700</v>
      </c>
      <c r="F863" s="97" t="s">
        <v>7</v>
      </c>
      <c r="G863" s="97" t="s">
        <v>8</v>
      </c>
      <c r="H863" s="97" t="s">
        <v>74</v>
      </c>
      <c r="I863" s="97" t="s">
        <v>84</v>
      </c>
      <c r="J863" s="97" t="s">
        <v>85</v>
      </c>
      <c r="K863" s="97" t="s">
        <v>73</v>
      </c>
      <c r="L863">
        <v>701000</v>
      </c>
      <c r="M863" s="97" t="s">
        <v>62</v>
      </c>
      <c r="N863" s="97" t="s">
        <v>33</v>
      </c>
      <c r="O863">
        <v>2000</v>
      </c>
      <c r="P863">
        <v>0.95</v>
      </c>
      <c r="Q863">
        <v>1.9</v>
      </c>
      <c r="R863" s="97" t="s">
        <v>1201</v>
      </c>
      <c r="S863" s="97" t="s">
        <v>195</v>
      </c>
    </row>
    <row r="864" spans="1:19" x14ac:dyDescent="0.3">
      <c r="A864" s="97" t="s">
        <v>1057</v>
      </c>
      <c r="B864" s="97" t="s">
        <v>22</v>
      </c>
      <c r="C864">
        <v>2025</v>
      </c>
      <c r="D864">
        <v>2</v>
      </c>
      <c r="E864" s="2">
        <v>45700</v>
      </c>
      <c r="F864" s="97" t="s">
        <v>7</v>
      </c>
      <c r="G864" s="97" t="s">
        <v>8</v>
      </c>
      <c r="H864" s="97" t="s">
        <v>74</v>
      </c>
      <c r="I864" s="97" t="s">
        <v>84</v>
      </c>
      <c r="J864" s="97" t="s">
        <v>85</v>
      </c>
      <c r="K864" s="97" t="s">
        <v>73</v>
      </c>
      <c r="L864">
        <v>701000</v>
      </c>
      <c r="M864" s="97" t="s">
        <v>62</v>
      </c>
      <c r="N864" s="97" t="s">
        <v>33</v>
      </c>
      <c r="O864">
        <v>2124</v>
      </c>
      <c r="P864">
        <v>0.95</v>
      </c>
      <c r="Q864">
        <v>2.02</v>
      </c>
      <c r="R864" s="97" t="s">
        <v>1205</v>
      </c>
      <c r="S864" s="97" t="s">
        <v>195</v>
      </c>
    </row>
    <row r="865" spans="1:19" x14ac:dyDescent="0.3">
      <c r="A865" s="97" t="s">
        <v>1058</v>
      </c>
      <c r="B865" s="97" t="s">
        <v>22</v>
      </c>
      <c r="C865">
        <v>2025</v>
      </c>
      <c r="D865">
        <v>2</v>
      </c>
      <c r="E865" s="2">
        <v>45700</v>
      </c>
      <c r="F865" s="97" t="s">
        <v>7</v>
      </c>
      <c r="G865" s="97" t="s">
        <v>8</v>
      </c>
      <c r="H865" s="97" t="s">
        <v>74</v>
      </c>
      <c r="I865" s="97" t="s">
        <v>84</v>
      </c>
      <c r="J865" s="97" t="s">
        <v>85</v>
      </c>
      <c r="K865" s="97" t="s">
        <v>73</v>
      </c>
      <c r="L865">
        <v>701000</v>
      </c>
      <c r="M865" s="97" t="s">
        <v>62</v>
      </c>
      <c r="N865" s="97" t="s">
        <v>33</v>
      </c>
      <c r="O865">
        <v>2960</v>
      </c>
      <c r="P865">
        <v>0.95</v>
      </c>
      <c r="Q865">
        <v>2.81</v>
      </c>
      <c r="R865" s="97" t="s">
        <v>1202</v>
      </c>
      <c r="S865" s="97" t="s">
        <v>195</v>
      </c>
    </row>
    <row r="866" spans="1:19" x14ac:dyDescent="0.3">
      <c r="A866" s="97" t="s">
        <v>1059</v>
      </c>
      <c r="B866" s="97" t="s">
        <v>22</v>
      </c>
      <c r="C866">
        <v>2025</v>
      </c>
      <c r="D866">
        <v>2</v>
      </c>
      <c r="E866" s="2">
        <v>45700</v>
      </c>
      <c r="F866" s="97" t="s">
        <v>7</v>
      </c>
      <c r="G866" s="97" t="s">
        <v>8</v>
      </c>
      <c r="H866" s="97" t="s">
        <v>74</v>
      </c>
      <c r="I866" s="97" t="s">
        <v>84</v>
      </c>
      <c r="J866" s="97" t="s">
        <v>85</v>
      </c>
      <c r="K866" s="97" t="s">
        <v>73</v>
      </c>
      <c r="L866">
        <v>701000</v>
      </c>
      <c r="M866" s="97" t="s">
        <v>62</v>
      </c>
      <c r="N866" s="97" t="s">
        <v>33</v>
      </c>
      <c r="O866">
        <v>3598</v>
      </c>
      <c r="P866">
        <v>0.95</v>
      </c>
      <c r="Q866">
        <v>3.42</v>
      </c>
      <c r="R866" s="97" t="s">
        <v>1203</v>
      </c>
      <c r="S866" s="97" t="s">
        <v>195</v>
      </c>
    </row>
    <row r="867" spans="1:19" x14ac:dyDescent="0.3">
      <c r="A867" s="97" t="s">
        <v>1060</v>
      </c>
      <c r="B867" s="97" t="s">
        <v>22</v>
      </c>
      <c r="C867">
        <v>2025</v>
      </c>
      <c r="D867">
        <v>2</v>
      </c>
      <c r="E867" s="2">
        <v>45696</v>
      </c>
      <c r="F867" s="97" t="s">
        <v>7</v>
      </c>
      <c r="G867" s="97" t="s">
        <v>8</v>
      </c>
      <c r="H867" s="97" t="s">
        <v>70</v>
      </c>
      <c r="I867" s="97" t="s">
        <v>84</v>
      </c>
      <c r="J867" s="97" t="s">
        <v>85</v>
      </c>
      <c r="K867" s="97" t="s">
        <v>73</v>
      </c>
      <c r="L867">
        <v>701000</v>
      </c>
      <c r="M867" s="97" t="s">
        <v>62</v>
      </c>
      <c r="N867" s="97" t="s">
        <v>33</v>
      </c>
      <c r="O867">
        <v>2517</v>
      </c>
      <c r="P867">
        <v>0.95</v>
      </c>
      <c r="Q867">
        <v>2.39</v>
      </c>
      <c r="R867" s="97" t="s">
        <v>1204</v>
      </c>
      <c r="S867" s="97" t="s">
        <v>195</v>
      </c>
    </row>
    <row r="868" spans="1:19" x14ac:dyDescent="0.3">
      <c r="A868" s="97" t="s">
        <v>1061</v>
      </c>
      <c r="B868" s="97" t="s">
        <v>22</v>
      </c>
      <c r="C868">
        <v>2025</v>
      </c>
      <c r="D868">
        <v>2</v>
      </c>
      <c r="E868" s="2">
        <v>45696</v>
      </c>
      <c r="F868" s="97" t="s">
        <v>7</v>
      </c>
      <c r="G868" s="97" t="s">
        <v>8</v>
      </c>
      <c r="H868" s="97" t="s">
        <v>70</v>
      </c>
      <c r="I868" s="97" t="s">
        <v>84</v>
      </c>
      <c r="J868" s="97" t="s">
        <v>85</v>
      </c>
      <c r="K868" s="97" t="s">
        <v>73</v>
      </c>
      <c r="L868">
        <v>701000</v>
      </c>
      <c r="M868" s="97" t="s">
        <v>62</v>
      </c>
      <c r="N868" s="97" t="s">
        <v>33</v>
      </c>
      <c r="O868">
        <v>5763</v>
      </c>
      <c r="P868">
        <v>0.95</v>
      </c>
      <c r="Q868">
        <v>5.47</v>
      </c>
      <c r="R868" s="97" t="s">
        <v>1198</v>
      </c>
      <c r="S868" s="97" t="s">
        <v>195</v>
      </c>
    </row>
    <row r="869" spans="1:19" x14ac:dyDescent="0.3">
      <c r="A869" s="97" t="s">
        <v>1062</v>
      </c>
      <c r="B869" s="97" t="s">
        <v>22</v>
      </c>
      <c r="C869">
        <v>2025</v>
      </c>
      <c r="D869">
        <v>2</v>
      </c>
      <c r="E869" s="2">
        <v>45696</v>
      </c>
      <c r="F869" s="97" t="s">
        <v>7</v>
      </c>
      <c r="G869" s="97" t="s">
        <v>8</v>
      </c>
      <c r="H869" s="97" t="s">
        <v>70</v>
      </c>
      <c r="I869" s="97" t="s">
        <v>84</v>
      </c>
      <c r="J869" s="97" t="s">
        <v>85</v>
      </c>
      <c r="K869" s="97" t="s">
        <v>73</v>
      </c>
      <c r="L869">
        <v>701000</v>
      </c>
      <c r="M869" s="97" t="s">
        <v>62</v>
      </c>
      <c r="N869" s="97" t="s">
        <v>33</v>
      </c>
      <c r="O869">
        <v>4111</v>
      </c>
      <c r="P869">
        <v>0.95</v>
      </c>
      <c r="Q869">
        <v>3.91</v>
      </c>
      <c r="R869" s="97" t="s">
        <v>1203</v>
      </c>
      <c r="S869" s="97" t="s">
        <v>195</v>
      </c>
    </row>
    <row r="870" spans="1:19" x14ac:dyDescent="0.3">
      <c r="A870" s="97" t="s">
        <v>1063</v>
      </c>
      <c r="B870" s="97" t="s">
        <v>22</v>
      </c>
      <c r="C870">
        <v>2025</v>
      </c>
      <c r="D870">
        <v>2</v>
      </c>
      <c r="E870" s="2">
        <v>45696</v>
      </c>
      <c r="F870" s="97" t="s">
        <v>7</v>
      </c>
      <c r="G870" s="97" t="s">
        <v>8</v>
      </c>
      <c r="H870" s="97" t="s">
        <v>70</v>
      </c>
      <c r="I870" s="97" t="s">
        <v>84</v>
      </c>
      <c r="J870" s="97" t="s">
        <v>85</v>
      </c>
      <c r="K870" s="97" t="s">
        <v>73</v>
      </c>
      <c r="L870">
        <v>701000</v>
      </c>
      <c r="M870" s="97" t="s">
        <v>62</v>
      </c>
      <c r="N870" s="97" t="s">
        <v>33</v>
      </c>
      <c r="O870">
        <v>4892</v>
      </c>
      <c r="P870">
        <v>0.95</v>
      </c>
      <c r="Q870">
        <v>4.6500000000000004</v>
      </c>
      <c r="R870" s="97" t="s">
        <v>1197</v>
      </c>
      <c r="S870" s="97" t="s">
        <v>195</v>
      </c>
    </row>
    <row r="871" spans="1:19" x14ac:dyDescent="0.3">
      <c r="A871" s="97" t="s">
        <v>1064</v>
      </c>
      <c r="B871" s="97" t="s">
        <v>22</v>
      </c>
      <c r="C871">
        <v>2025</v>
      </c>
      <c r="D871">
        <v>2</v>
      </c>
      <c r="E871" s="2">
        <v>45696</v>
      </c>
      <c r="F871" s="97" t="s">
        <v>7</v>
      </c>
      <c r="G871" s="97" t="s">
        <v>8</v>
      </c>
      <c r="H871" s="97" t="s">
        <v>70</v>
      </c>
      <c r="I871" s="97" t="s">
        <v>84</v>
      </c>
      <c r="J871" s="97" t="s">
        <v>85</v>
      </c>
      <c r="K871" s="97" t="s">
        <v>73</v>
      </c>
      <c r="L871">
        <v>701000</v>
      </c>
      <c r="M871" s="97" t="s">
        <v>62</v>
      </c>
      <c r="N871" s="97" t="s">
        <v>33</v>
      </c>
      <c r="O871">
        <v>2770</v>
      </c>
      <c r="P871">
        <v>0.95</v>
      </c>
      <c r="Q871">
        <v>2.63</v>
      </c>
      <c r="R871" s="97" t="s">
        <v>1202</v>
      </c>
      <c r="S871" s="97" t="s">
        <v>195</v>
      </c>
    </row>
    <row r="872" spans="1:19" x14ac:dyDescent="0.3">
      <c r="A872" s="97" t="s">
        <v>1065</v>
      </c>
      <c r="B872" s="97" t="s">
        <v>22</v>
      </c>
      <c r="C872">
        <v>2025</v>
      </c>
      <c r="D872">
        <v>2</v>
      </c>
      <c r="E872" s="2">
        <v>45702</v>
      </c>
      <c r="F872" s="97" t="s">
        <v>7</v>
      </c>
      <c r="G872" s="97" t="s">
        <v>8</v>
      </c>
      <c r="H872" s="97" t="s">
        <v>70</v>
      </c>
      <c r="I872" s="97" t="s">
        <v>84</v>
      </c>
      <c r="J872" s="97" t="s">
        <v>85</v>
      </c>
      <c r="K872" s="97" t="s">
        <v>73</v>
      </c>
      <c r="L872">
        <v>701000</v>
      </c>
      <c r="M872" s="97" t="s">
        <v>62</v>
      </c>
      <c r="N872" s="97" t="s">
        <v>33</v>
      </c>
      <c r="O872">
        <v>4961</v>
      </c>
      <c r="P872">
        <v>0.95</v>
      </c>
      <c r="Q872">
        <v>4.71</v>
      </c>
      <c r="R872" s="97" t="s">
        <v>1201</v>
      </c>
      <c r="S872" s="97" t="s">
        <v>195</v>
      </c>
    </row>
    <row r="873" spans="1:19" x14ac:dyDescent="0.3">
      <c r="A873" s="97" t="s">
        <v>1066</v>
      </c>
      <c r="B873" s="97" t="s">
        <v>22</v>
      </c>
      <c r="C873">
        <v>2025</v>
      </c>
      <c r="D873">
        <v>2</v>
      </c>
      <c r="E873" s="2">
        <v>45702</v>
      </c>
      <c r="F873" s="97" t="s">
        <v>7</v>
      </c>
      <c r="G873" s="97" t="s">
        <v>8</v>
      </c>
      <c r="H873" s="97" t="s">
        <v>70</v>
      </c>
      <c r="I873" s="97" t="s">
        <v>84</v>
      </c>
      <c r="J873" s="97" t="s">
        <v>85</v>
      </c>
      <c r="K873" s="97" t="s">
        <v>73</v>
      </c>
      <c r="L873">
        <v>701000</v>
      </c>
      <c r="M873" s="97" t="s">
        <v>62</v>
      </c>
      <c r="N873" s="97" t="s">
        <v>33</v>
      </c>
      <c r="O873">
        <v>3660</v>
      </c>
      <c r="P873">
        <v>0.95</v>
      </c>
      <c r="Q873">
        <v>3.48</v>
      </c>
      <c r="R873" s="97" t="s">
        <v>1203</v>
      </c>
      <c r="S873" s="97" t="s">
        <v>195</v>
      </c>
    </row>
    <row r="874" spans="1:19" x14ac:dyDescent="0.3">
      <c r="A874" s="97" t="s">
        <v>1067</v>
      </c>
      <c r="B874" s="97" t="s">
        <v>22</v>
      </c>
      <c r="C874">
        <v>2025</v>
      </c>
      <c r="D874">
        <v>2</v>
      </c>
      <c r="E874" s="2">
        <v>45702</v>
      </c>
      <c r="F874" s="97" t="s">
        <v>7</v>
      </c>
      <c r="G874" s="97" t="s">
        <v>8</v>
      </c>
      <c r="H874" s="97" t="s">
        <v>70</v>
      </c>
      <c r="I874" s="97" t="s">
        <v>84</v>
      </c>
      <c r="J874" s="97" t="s">
        <v>85</v>
      </c>
      <c r="K874" s="97" t="s">
        <v>73</v>
      </c>
      <c r="L874">
        <v>701000</v>
      </c>
      <c r="M874" s="97" t="s">
        <v>62</v>
      </c>
      <c r="N874" s="97" t="s">
        <v>33</v>
      </c>
      <c r="O874">
        <v>1262</v>
      </c>
      <c r="P874">
        <v>0.95</v>
      </c>
      <c r="Q874">
        <v>1.2</v>
      </c>
      <c r="R874" s="97" t="s">
        <v>1198</v>
      </c>
      <c r="S874" s="97" t="s">
        <v>195</v>
      </c>
    </row>
    <row r="875" spans="1:19" x14ac:dyDescent="0.3">
      <c r="A875" s="97" t="s">
        <v>1068</v>
      </c>
      <c r="B875" s="97" t="s">
        <v>22</v>
      </c>
      <c r="C875">
        <v>2025</v>
      </c>
      <c r="D875">
        <v>2</v>
      </c>
      <c r="E875" s="2">
        <v>45702</v>
      </c>
      <c r="F875" s="97" t="s">
        <v>7</v>
      </c>
      <c r="G875" s="97" t="s">
        <v>8</v>
      </c>
      <c r="H875" s="97" t="s">
        <v>70</v>
      </c>
      <c r="I875" s="97" t="s">
        <v>84</v>
      </c>
      <c r="J875" s="97" t="s">
        <v>85</v>
      </c>
      <c r="K875" s="97" t="s">
        <v>73</v>
      </c>
      <c r="L875">
        <v>701000</v>
      </c>
      <c r="M875" s="97" t="s">
        <v>62</v>
      </c>
      <c r="N875" s="97" t="s">
        <v>33</v>
      </c>
      <c r="O875">
        <v>1843</v>
      </c>
      <c r="P875">
        <v>0.95</v>
      </c>
      <c r="Q875">
        <v>1.75</v>
      </c>
      <c r="R875" s="97" t="s">
        <v>1199</v>
      </c>
      <c r="S875" s="97" t="s">
        <v>195</v>
      </c>
    </row>
    <row r="876" spans="1:19" x14ac:dyDescent="0.3">
      <c r="A876" s="97" t="s">
        <v>1069</v>
      </c>
      <c r="B876" s="97" t="s">
        <v>22</v>
      </c>
      <c r="C876">
        <v>2025</v>
      </c>
      <c r="D876">
        <v>2</v>
      </c>
      <c r="E876" s="2">
        <v>45702</v>
      </c>
      <c r="F876" s="97" t="s">
        <v>7</v>
      </c>
      <c r="G876" s="97" t="s">
        <v>8</v>
      </c>
      <c r="H876" s="97" t="s">
        <v>70</v>
      </c>
      <c r="I876" s="97" t="s">
        <v>84</v>
      </c>
      <c r="J876" s="97" t="s">
        <v>85</v>
      </c>
      <c r="K876" s="97" t="s">
        <v>73</v>
      </c>
      <c r="L876">
        <v>701000</v>
      </c>
      <c r="M876" s="97" t="s">
        <v>62</v>
      </c>
      <c r="N876" s="97" t="s">
        <v>33</v>
      </c>
      <c r="O876">
        <v>4775</v>
      </c>
      <c r="P876">
        <v>0.95</v>
      </c>
      <c r="Q876">
        <v>4.54</v>
      </c>
      <c r="R876" s="97" t="s">
        <v>1197</v>
      </c>
      <c r="S876" s="97" t="s">
        <v>195</v>
      </c>
    </row>
    <row r="877" spans="1:19" x14ac:dyDescent="0.3">
      <c r="A877" s="97" t="s">
        <v>1070</v>
      </c>
      <c r="B877" s="97" t="s">
        <v>22</v>
      </c>
      <c r="C877">
        <v>2025</v>
      </c>
      <c r="D877">
        <v>2</v>
      </c>
      <c r="E877" s="2">
        <v>45708</v>
      </c>
      <c r="F877" s="97" t="s">
        <v>7</v>
      </c>
      <c r="G877" s="97" t="s">
        <v>8</v>
      </c>
      <c r="H877" s="97" t="s">
        <v>74</v>
      </c>
      <c r="I877" s="97" t="s">
        <v>84</v>
      </c>
      <c r="J877" s="97" t="s">
        <v>85</v>
      </c>
      <c r="K877" s="97" t="s">
        <v>73</v>
      </c>
      <c r="L877">
        <v>701000</v>
      </c>
      <c r="M877" s="97" t="s">
        <v>62</v>
      </c>
      <c r="N877" s="97" t="s">
        <v>33</v>
      </c>
      <c r="O877">
        <v>5363</v>
      </c>
      <c r="P877">
        <v>0.95</v>
      </c>
      <c r="Q877">
        <v>5.09</v>
      </c>
      <c r="R877" s="97" t="s">
        <v>1197</v>
      </c>
      <c r="S877" s="97" t="s">
        <v>195</v>
      </c>
    </row>
    <row r="878" spans="1:19" x14ac:dyDescent="0.3">
      <c r="A878" s="97" t="s">
        <v>1071</v>
      </c>
      <c r="B878" s="97" t="s">
        <v>22</v>
      </c>
      <c r="C878">
        <v>2025</v>
      </c>
      <c r="D878">
        <v>2</v>
      </c>
      <c r="E878" s="2">
        <v>45708</v>
      </c>
      <c r="F878" s="97" t="s">
        <v>7</v>
      </c>
      <c r="G878" s="97" t="s">
        <v>8</v>
      </c>
      <c r="H878" s="97" t="s">
        <v>74</v>
      </c>
      <c r="I878" s="97" t="s">
        <v>84</v>
      </c>
      <c r="J878" s="97" t="s">
        <v>85</v>
      </c>
      <c r="K878" s="97" t="s">
        <v>73</v>
      </c>
      <c r="L878">
        <v>701000</v>
      </c>
      <c r="M878" s="97" t="s">
        <v>62</v>
      </c>
      <c r="N878" s="97" t="s">
        <v>33</v>
      </c>
      <c r="O878">
        <v>4860</v>
      </c>
      <c r="P878">
        <v>0.95</v>
      </c>
      <c r="Q878">
        <v>4.62</v>
      </c>
      <c r="R878" s="97" t="s">
        <v>1201</v>
      </c>
      <c r="S878" s="97" t="s">
        <v>195</v>
      </c>
    </row>
    <row r="879" spans="1:19" x14ac:dyDescent="0.3">
      <c r="A879" s="97" t="s">
        <v>1072</v>
      </c>
      <c r="B879" s="97" t="s">
        <v>22</v>
      </c>
      <c r="C879">
        <v>2025</v>
      </c>
      <c r="D879">
        <v>2</v>
      </c>
      <c r="E879" s="2">
        <v>45708</v>
      </c>
      <c r="F879" s="97" t="s">
        <v>7</v>
      </c>
      <c r="G879" s="97" t="s">
        <v>8</v>
      </c>
      <c r="H879" s="97" t="s">
        <v>74</v>
      </c>
      <c r="I879" s="97" t="s">
        <v>84</v>
      </c>
      <c r="J879" s="97" t="s">
        <v>85</v>
      </c>
      <c r="K879" s="97" t="s">
        <v>73</v>
      </c>
      <c r="L879">
        <v>701000</v>
      </c>
      <c r="M879" s="97" t="s">
        <v>62</v>
      </c>
      <c r="N879" s="97" t="s">
        <v>33</v>
      </c>
      <c r="O879">
        <v>728</v>
      </c>
      <c r="P879">
        <v>0.95</v>
      </c>
      <c r="Q879">
        <v>0.69</v>
      </c>
      <c r="R879" s="97" t="s">
        <v>1202</v>
      </c>
      <c r="S879" s="97" t="s">
        <v>195</v>
      </c>
    </row>
    <row r="880" spans="1:19" x14ac:dyDescent="0.3">
      <c r="A880" s="97" t="s">
        <v>1073</v>
      </c>
      <c r="B880" s="97" t="s">
        <v>22</v>
      </c>
      <c r="C880">
        <v>2025</v>
      </c>
      <c r="D880">
        <v>2</v>
      </c>
      <c r="E880" s="2">
        <v>45708</v>
      </c>
      <c r="F880" s="97" t="s">
        <v>7</v>
      </c>
      <c r="G880" s="97" t="s">
        <v>8</v>
      </c>
      <c r="H880" s="97" t="s">
        <v>74</v>
      </c>
      <c r="I880" s="97" t="s">
        <v>84</v>
      </c>
      <c r="J880" s="97" t="s">
        <v>85</v>
      </c>
      <c r="K880" s="97" t="s">
        <v>73</v>
      </c>
      <c r="L880">
        <v>701000</v>
      </c>
      <c r="M880" s="97" t="s">
        <v>62</v>
      </c>
      <c r="N880" s="97" t="s">
        <v>33</v>
      </c>
      <c r="O880">
        <v>6280</v>
      </c>
      <c r="P880">
        <v>0.95</v>
      </c>
      <c r="Q880">
        <v>5.97</v>
      </c>
      <c r="R880" s="97" t="s">
        <v>1203</v>
      </c>
      <c r="S880" s="97" t="s">
        <v>195</v>
      </c>
    </row>
    <row r="881" spans="1:19" x14ac:dyDescent="0.3">
      <c r="A881" s="97" t="s">
        <v>1074</v>
      </c>
      <c r="B881" s="97" t="s">
        <v>22</v>
      </c>
      <c r="C881">
        <v>2025</v>
      </c>
      <c r="D881">
        <v>2</v>
      </c>
      <c r="E881" s="2">
        <v>45708</v>
      </c>
      <c r="F881" s="97" t="s">
        <v>7</v>
      </c>
      <c r="G881" s="97" t="s">
        <v>8</v>
      </c>
      <c r="H881" s="97" t="s">
        <v>74</v>
      </c>
      <c r="I881" s="97" t="s">
        <v>84</v>
      </c>
      <c r="J881" s="97" t="s">
        <v>85</v>
      </c>
      <c r="K881" s="97" t="s">
        <v>73</v>
      </c>
      <c r="L881">
        <v>701000</v>
      </c>
      <c r="M881" s="97" t="s">
        <v>62</v>
      </c>
      <c r="N881" s="97" t="s">
        <v>33</v>
      </c>
      <c r="O881">
        <v>961</v>
      </c>
      <c r="P881">
        <v>0.95</v>
      </c>
      <c r="Q881">
        <v>0.91</v>
      </c>
      <c r="R881" s="97" t="s">
        <v>1205</v>
      </c>
      <c r="S881" s="97" t="s">
        <v>195</v>
      </c>
    </row>
    <row r="882" spans="1:19" x14ac:dyDescent="0.3">
      <c r="A882" s="97" t="s">
        <v>1075</v>
      </c>
      <c r="B882" s="97" t="s">
        <v>22</v>
      </c>
      <c r="C882">
        <v>2025</v>
      </c>
      <c r="D882">
        <v>2</v>
      </c>
      <c r="E882" s="2">
        <v>45694</v>
      </c>
      <c r="F882" s="97" t="s">
        <v>7</v>
      </c>
      <c r="G882" s="97" t="s">
        <v>8</v>
      </c>
      <c r="H882" s="97" t="s">
        <v>70</v>
      </c>
      <c r="I882" s="97" t="s">
        <v>84</v>
      </c>
      <c r="J882" s="97" t="s">
        <v>85</v>
      </c>
      <c r="K882" s="97" t="s">
        <v>73</v>
      </c>
      <c r="L882">
        <v>701000</v>
      </c>
      <c r="M882" s="97" t="s">
        <v>62</v>
      </c>
      <c r="N882" s="97" t="s">
        <v>33</v>
      </c>
      <c r="O882">
        <v>5203</v>
      </c>
      <c r="P882">
        <v>0.95</v>
      </c>
      <c r="Q882">
        <v>4.9400000000000004</v>
      </c>
      <c r="R882" s="97" t="s">
        <v>1202</v>
      </c>
      <c r="S882" s="97" t="s">
        <v>195</v>
      </c>
    </row>
    <row r="883" spans="1:19" x14ac:dyDescent="0.3">
      <c r="A883" s="97" t="s">
        <v>1076</v>
      </c>
      <c r="B883" s="97" t="s">
        <v>22</v>
      </c>
      <c r="C883">
        <v>2025</v>
      </c>
      <c r="D883">
        <v>2</v>
      </c>
      <c r="E883" s="2">
        <v>45694</v>
      </c>
      <c r="F883" s="97" t="s">
        <v>7</v>
      </c>
      <c r="G883" s="97" t="s">
        <v>8</v>
      </c>
      <c r="H883" s="97" t="s">
        <v>70</v>
      </c>
      <c r="I883" s="97" t="s">
        <v>84</v>
      </c>
      <c r="J883" s="97" t="s">
        <v>85</v>
      </c>
      <c r="K883" s="97" t="s">
        <v>73</v>
      </c>
      <c r="L883">
        <v>701000</v>
      </c>
      <c r="M883" s="97" t="s">
        <v>62</v>
      </c>
      <c r="N883" s="97" t="s">
        <v>33</v>
      </c>
      <c r="O883">
        <v>7526</v>
      </c>
      <c r="P883">
        <v>0.95</v>
      </c>
      <c r="Q883">
        <v>7.15</v>
      </c>
      <c r="R883" s="97" t="s">
        <v>1205</v>
      </c>
      <c r="S883" s="97" t="s">
        <v>195</v>
      </c>
    </row>
    <row r="884" spans="1:19" x14ac:dyDescent="0.3">
      <c r="A884" s="97" t="s">
        <v>1077</v>
      </c>
      <c r="B884" s="97" t="s">
        <v>22</v>
      </c>
      <c r="C884">
        <v>2025</v>
      </c>
      <c r="D884">
        <v>2</v>
      </c>
      <c r="E884" s="2">
        <v>45694</v>
      </c>
      <c r="F884" s="97" t="s">
        <v>7</v>
      </c>
      <c r="G884" s="97" t="s">
        <v>8</v>
      </c>
      <c r="H884" s="97" t="s">
        <v>70</v>
      </c>
      <c r="I884" s="97" t="s">
        <v>84</v>
      </c>
      <c r="J884" s="97" t="s">
        <v>85</v>
      </c>
      <c r="K884" s="97" t="s">
        <v>73</v>
      </c>
      <c r="L884">
        <v>701000</v>
      </c>
      <c r="M884" s="97" t="s">
        <v>62</v>
      </c>
      <c r="N884" s="97" t="s">
        <v>33</v>
      </c>
      <c r="O884">
        <v>556</v>
      </c>
      <c r="P884">
        <v>0.95</v>
      </c>
      <c r="Q884">
        <v>0.53</v>
      </c>
      <c r="R884" s="97" t="s">
        <v>1198</v>
      </c>
      <c r="S884" s="97" t="s">
        <v>195</v>
      </c>
    </row>
    <row r="885" spans="1:19" x14ac:dyDescent="0.3">
      <c r="A885" s="97" t="s">
        <v>1078</v>
      </c>
      <c r="B885" s="97" t="s">
        <v>22</v>
      </c>
      <c r="C885">
        <v>2025</v>
      </c>
      <c r="D885">
        <v>2</v>
      </c>
      <c r="E885" s="2">
        <v>45694</v>
      </c>
      <c r="F885" s="97" t="s">
        <v>7</v>
      </c>
      <c r="G885" s="97" t="s">
        <v>8</v>
      </c>
      <c r="H885" s="97" t="s">
        <v>70</v>
      </c>
      <c r="I885" s="97" t="s">
        <v>84</v>
      </c>
      <c r="J885" s="97" t="s">
        <v>85</v>
      </c>
      <c r="K885" s="97" t="s">
        <v>73</v>
      </c>
      <c r="L885">
        <v>701000</v>
      </c>
      <c r="M885" s="97" t="s">
        <v>62</v>
      </c>
      <c r="N885" s="97" t="s">
        <v>33</v>
      </c>
      <c r="O885">
        <v>676</v>
      </c>
      <c r="P885">
        <v>0.95</v>
      </c>
      <c r="Q885">
        <v>0.64</v>
      </c>
      <c r="R885" s="97" t="s">
        <v>1199</v>
      </c>
      <c r="S885" s="97" t="s">
        <v>195</v>
      </c>
    </row>
    <row r="886" spans="1:19" x14ac:dyDescent="0.3">
      <c r="A886" s="97" t="s">
        <v>1079</v>
      </c>
      <c r="B886" s="97" t="s">
        <v>22</v>
      </c>
      <c r="C886">
        <v>2025</v>
      </c>
      <c r="D886">
        <v>2</v>
      </c>
      <c r="E886" s="2">
        <v>45694</v>
      </c>
      <c r="F886" s="97" t="s">
        <v>7</v>
      </c>
      <c r="G886" s="97" t="s">
        <v>8</v>
      </c>
      <c r="H886" s="97" t="s">
        <v>70</v>
      </c>
      <c r="I886" s="97" t="s">
        <v>84</v>
      </c>
      <c r="J886" s="97" t="s">
        <v>85</v>
      </c>
      <c r="K886" s="97" t="s">
        <v>73</v>
      </c>
      <c r="L886">
        <v>701000</v>
      </c>
      <c r="M886" s="97" t="s">
        <v>62</v>
      </c>
      <c r="N886" s="97" t="s">
        <v>33</v>
      </c>
      <c r="O886">
        <v>2529</v>
      </c>
      <c r="P886">
        <v>0.95</v>
      </c>
      <c r="Q886">
        <v>2.41</v>
      </c>
      <c r="R886" s="97" t="s">
        <v>1203</v>
      </c>
      <c r="S886" s="97" t="s">
        <v>195</v>
      </c>
    </row>
    <row r="887" spans="1:19" x14ac:dyDescent="0.3">
      <c r="A887" s="97" t="s">
        <v>1080</v>
      </c>
      <c r="B887" s="97" t="s">
        <v>22</v>
      </c>
      <c r="C887">
        <v>2025</v>
      </c>
      <c r="D887">
        <v>2</v>
      </c>
      <c r="E887" s="2">
        <v>45712</v>
      </c>
      <c r="F887" s="97" t="s">
        <v>7</v>
      </c>
      <c r="G887" s="97" t="s">
        <v>8</v>
      </c>
      <c r="H887" s="97" t="s">
        <v>74</v>
      </c>
      <c r="I887" s="97" t="s">
        <v>84</v>
      </c>
      <c r="J887" s="97" t="s">
        <v>85</v>
      </c>
      <c r="K887" s="97" t="s">
        <v>73</v>
      </c>
      <c r="L887">
        <v>701000</v>
      </c>
      <c r="M887" s="97" t="s">
        <v>62</v>
      </c>
      <c r="N887" s="97" t="s">
        <v>33</v>
      </c>
      <c r="O887">
        <v>1041</v>
      </c>
      <c r="P887">
        <v>0.95</v>
      </c>
      <c r="Q887">
        <v>0.99</v>
      </c>
      <c r="R887" s="97" t="s">
        <v>1200</v>
      </c>
      <c r="S887" s="97" t="s">
        <v>195</v>
      </c>
    </row>
    <row r="888" spans="1:19" x14ac:dyDescent="0.3">
      <c r="A888" s="97" t="s">
        <v>1081</v>
      </c>
      <c r="B888" s="97" t="s">
        <v>22</v>
      </c>
      <c r="C888">
        <v>2025</v>
      </c>
      <c r="D888">
        <v>2</v>
      </c>
      <c r="E888" s="2">
        <v>45712</v>
      </c>
      <c r="F888" s="97" t="s">
        <v>7</v>
      </c>
      <c r="G888" s="97" t="s">
        <v>8</v>
      </c>
      <c r="H888" s="97" t="s">
        <v>74</v>
      </c>
      <c r="I888" s="97" t="s">
        <v>84</v>
      </c>
      <c r="J888" s="97" t="s">
        <v>85</v>
      </c>
      <c r="K888" s="97" t="s">
        <v>73</v>
      </c>
      <c r="L888">
        <v>701000</v>
      </c>
      <c r="M888" s="97" t="s">
        <v>62</v>
      </c>
      <c r="N888" s="97" t="s">
        <v>33</v>
      </c>
      <c r="O888">
        <v>3800</v>
      </c>
      <c r="P888">
        <v>0.95</v>
      </c>
      <c r="Q888">
        <v>3.61</v>
      </c>
      <c r="R888" s="97" t="s">
        <v>1205</v>
      </c>
      <c r="S888" s="97" t="s">
        <v>195</v>
      </c>
    </row>
    <row r="889" spans="1:19" x14ac:dyDescent="0.3">
      <c r="A889" s="97" t="s">
        <v>1082</v>
      </c>
      <c r="B889" s="97" t="s">
        <v>22</v>
      </c>
      <c r="C889">
        <v>2025</v>
      </c>
      <c r="D889">
        <v>2</v>
      </c>
      <c r="E889" s="2">
        <v>45712</v>
      </c>
      <c r="F889" s="97" t="s">
        <v>7</v>
      </c>
      <c r="G889" s="97" t="s">
        <v>8</v>
      </c>
      <c r="H889" s="97" t="s">
        <v>74</v>
      </c>
      <c r="I889" s="97" t="s">
        <v>84</v>
      </c>
      <c r="J889" s="97" t="s">
        <v>85</v>
      </c>
      <c r="K889" s="97" t="s">
        <v>73</v>
      </c>
      <c r="L889">
        <v>701000</v>
      </c>
      <c r="M889" s="97" t="s">
        <v>62</v>
      </c>
      <c r="N889" s="97" t="s">
        <v>33</v>
      </c>
      <c r="O889">
        <v>4610</v>
      </c>
      <c r="P889">
        <v>0.95</v>
      </c>
      <c r="Q889">
        <v>4.38</v>
      </c>
      <c r="R889" s="97" t="s">
        <v>1201</v>
      </c>
      <c r="S889" s="97" t="s">
        <v>195</v>
      </c>
    </row>
    <row r="890" spans="1:19" x14ac:dyDescent="0.3">
      <c r="A890" s="97" t="s">
        <v>1083</v>
      </c>
      <c r="B890" s="97" t="s">
        <v>22</v>
      </c>
      <c r="C890">
        <v>2025</v>
      </c>
      <c r="D890">
        <v>2</v>
      </c>
      <c r="E890" s="2">
        <v>45712</v>
      </c>
      <c r="F890" s="97" t="s">
        <v>7</v>
      </c>
      <c r="G890" s="97" t="s">
        <v>8</v>
      </c>
      <c r="H890" s="97" t="s">
        <v>74</v>
      </c>
      <c r="I890" s="97" t="s">
        <v>84</v>
      </c>
      <c r="J890" s="97" t="s">
        <v>85</v>
      </c>
      <c r="K890" s="97" t="s">
        <v>73</v>
      </c>
      <c r="L890">
        <v>701000</v>
      </c>
      <c r="M890" s="97" t="s">
        <v>62</v>
      </c>
      <c r="N890" s="97" t="s">
        <v>33</v>
      </c>
      <c r="O890">
        <v>3569</v>
      </c>
      <c r="P890">
        <v>0.95</v>
      </c>
      <c r="Q890">
        <v>3.39</v>
      </c>
      <c r="R890" s="97" t="s">
        <v>1203</v>
      </c>
      <c r="S890" s="97" t="s">
        <v>195</v>
      </c>
    </row>
    <row r="891" spans="1:19" x14ac:dyDescent="0.3">
      <c r="A891" s="97" t="s">
        <v>1084</v>
      </c>
      <c r="B891" s="97" t="s">
        <v>22</v>
      </c>
      <c r="C891">
        <v>2025</v>
      </c>
      <c r="D891">
        <v>2</v>
      </c>
      <c r="E891" s="2">
        <v>45712</v>
      </c>
      <c r="F891" s="97" t="s">
        <v>7</v>
      </c>
      <c r="G891" s="97" t="s">
        <v>8</v>
      </c>
      <c r="H891" s="97" t="s">
        <v>74</v>
      </c>
      <c r="I891" s="97" t="s">
        <v>84</v>
      </c>
      <c r="J891" s="97" t="s">
        <v>85</v>
      </c>
      <c r="K891" s="97" t="s">
        <v>73</v>
      </c>
      <c r="L891">
        <v>701000</v>
      </c>
      <c r="M891" s="97" t="s">
        <v>62</v>
      </c>
      <c r="N891" s="97" t="s">
        <v>33</v>
      </c>
      <c r="O891">
        <v>3266</v>
      </c>
      <c r="P891">
        <v>0.95</v>
      </c>
      <c r="Q891">
        <v>3.1</v>
      </c>
      <c r="R891" s="97" t="s">
        <v>1202</v>
      </c>
      <c r="S891" s="97" t="s">
        <v>195</v>
      </c>
    </row>
    <row r="892" spans="1:19" x14ac:dyDescent="0.3">
      <c r="A892" s="97" t="s">
        <v>1085</v>
      </c>
      <c r="B892" s="97" t="s">
        <v>22</v>
      </c>
      <c r="C892">
        <v>2025</v>
      </c>
      <c r="D892">
        <v>2</v>
      </c>
      <c r="E892" s="2">
        <v>45700</v>
      </c>
      <c r="F892" s="97" t="s">
        <v>7</v>
      </c>
      <c r="G892" s="97" t="s">
        <v>8</v>
      </c>
      <c r="H892" s="97" t="s">
        <v>74</v>
      </c>
      <c r="I892" s="97" t="s">
        <v>84</v>
      </c>
      <c r="J892" s="97" t="s">
        <v>85</v>
      </c>
      <c r="K892" s="97" t="s">
        <v>73</v>
      </c>
      <c r="L892">
        <v>701000</v>
      </c>
      <c r="M892" s="97" t="s">
        <v>62</v>
      </c>
      <c r="N892" s="97" t="s">
        <v>33</v>
      </c>
      <c r="O892">
        <v>1348</v>
      </c>
      <c r="P892">
        <v>0.95</v>
      </c>
      <c r="Q892">
        <v>1.28</v>
      </c>
      <c r="R892" s="97" t="s">
        <v>1201</v>
      </c>
      <c r="S892" s="97" t="s">
        <v>195</v>
      </c>
    </row>
    <row r="893" spans="1:19" x14ac:dyDescent="0.3">
      <c r="A893" s="97" t="s">
        <v>1086</v>
      </c>
      <c r="B893" s="97" t="s">
        <v>22</v>
      </c>
      <c r="C893">
        <v>2025</v>
      </c>
      <c r="D893">
        <v>2</v>
      </c>
      <c r="E893" s="2">
        <v>45700</v>
      </c>
      <c r="F893" s="97" t="s">
        <v>7</v>
      </c>
      <c r="G893" s="97" t="s">
        <v>8</v>
      </c>
      <c r="H893" s="97" t="s">
        <v>74</v>
      </c>
      <c r="I893" s="97" t="s">
        <v>84</v>
      </c>
      <c r="J893" s="97" t="s">
        <v>85</v>
      </c>
      <c r="K893" s="97" t="s">
        <v>73</v>
      </c>
      <c r="L893">
        <v>701000</v>
      </c>
      <c r="M893" s="97" t="s">
        <v>62</v>
      </c>
      <c r="N893" s="97" t="s">
        <v>33</v>
      </c>
      <c r="O893">
        <v>1202</v>
      </c>
      <c r="P893">
        <v>0.95</v>
      </c>
      <c r="Q893">
        <v>1.1399999999999999</v>
      </c>
      <c r="R893" s="97" t="s">
        <v>1198</v>
      </c>
      <c r="S893" s="97" t="s">
        <v>195</v>
      </c>
    </row>
    <row r="894" spans="1:19" x14ac:dyDescent="0.3">
      <c r="A894" s="97" t="s">
        <v>1087</v>
      </c>
      <c r="B894" s="97" t="s">
        <v>22</v>
      </c>
      <c r="C894">
        <v>2025</v>
      </c>
      <c r="D894">
        <v>2</v>
      </c>
      <c r="E894" s="2">
        <v>45700</v>
      </c>
      <c r="F894" s="97" t="s">
        <v>7</v>
      </c>
      <c r="G894" s="97" t="s">
        <v>8</v>
      </c>
      <c r="H894" s="97" t="s">
        <v>74</v>
      </c>
      <c r="I894" s="97" t="s">
        <v>84</v>
      </c>
      <c r="J894" s="97" t="s">
        <v>85</v>
      </c>
      <c r="K894" s="97" t="s">
        <v>73</v>
      </c>
      <c r="L894">
        <v>701000</v>
      </c>
      <c r="M894" s="97" t="s">
        <v>62</v>
      </c>
      <c r="N894" s="97" t="s">
        <v>33</v>
      </c>
      <c r="O894">
        <v>4915</v>
      </c>
      <c r="P894">
        <v>0.95</v>
      </c>
      <c r="Q894">
        <v>4.67</v>
      </c>
      <c r="R894" s="97" t="s">
        <v>1202</v>
      </c>
      <c r="S894" s="97" t="s">
        <v>195</v>
      </c>
    </row>
    <row r="895" spans="1:19" x14ac:dyDescent="0.3">
      <c r="A895" s="97" t="s">
        <v>1088</v>
      </c>
      <c r="B895" s="97" t="s">
        <v>22</v>
      </c>
      <c r="C895">
        <v>2025</v>
      </c>
      <c r="D895">
        <v>2</v>
      </c>
      <c r="E895" s="2">
        <v>45700</v>
      </c>
      <c r="F895" s="97" t="s">
        <v>7</v>
      </c>
      <c r="G895" s="97" t="s">
        <v>8</v>
      </c>
      <c r="H895" s="97" t="s">
        <v>74</v>
      </c>
      <c r="I895" s="97" t="s">
        <v>84</v>
      </c>
      <c r="J895" s="97" t="s">
        <v>85</v>
      </c>
      <c r="K895" s="97" t="s">
        <v>73</v>
      </c>
      <c r="L895">
        <v>701000</v>
      </c>
      <c r="M895" s="97" t="s">
        <v>62</v>
      </c>
      <c r="N895" s="97" t="s">
        <v>33</v>
      </c>
      <c r="O895">
        <v>3468</v>
      </c>
      <c r="P895">
        <v>0.95</v>
      </c>
      <c r="Q895">
        <v>3.3</v>
      </c>
      <c r="R895" s="97" t="s">
        <v>1199</v>
      </c>
      <c r="S895" s="97" t="s">
        <v>195</v>
      </c>
    </row>
    <row r="896" spans="1:19" x14ac:dyDescent="0.3">
      <c r="A896" s="97" t="s">
        <v>1089</v>
      </c>
      <c r="B896" s="97" t="s">
        <v>22</v>
      </c>
      <c r="C896">
        <v>2025</v>
      </c>
      <c r="D896">
        <v>2</v>
      </c>
      <c r="E896" s="2">
        <v>45700</v>
      </c>
      <c r="F896" s="97" t="s">
        <v>7</v>
      </c>
      <c r="G896" s="97" t="s">
        <v>8</v>
      </c>
      <c r="H896" s="97" t="s">
        <v>74</v>
      </c>
      <c r="I896" s="97" t="s">
        <v>84</v>
      </c>
      <c r="J896" s="97" t="s">
        <v>85</v>
      </c>
      <c r="K896" s="97" t="s">
        <v>73</v>
      </c>
      <c r="L896">
        <v>701000</v>
      </c>
      <c r="M896" s="97" t="s">
        <v>62</v>
      </c>
      <c r="N896" s="97" t="s">
        <v>33</v>
      </c>
      <c r="O896">
        <v>3158</v>
      </c>
      <c r="P896">
        <v>0.95</v>
      </c>
      <c r="Q896">
        <v>3</v>
      </c>
      <c r="R896" s="97" t="s">
        <v>1197</v>
      </c>
      <c r="S896" s="97" t="s">
        <v>195</v>
      </c>
    </row>
    <row r="897" spans="1:19" x14ac:dyDescent="0.3">
      <c r="A897" s="97" t="s">
        <v>1090</v>
      </c>
      <c r="B897" s="97" t="s">
        <v>22</v>
      </c>
      <c r="C897">
        <v>2025</v>
      </c>
      <c r="D897">
        <v>2</v>
      </c>
      <c r="E897" s="2">
        <v>45707</v>
      </c>
      <c r="F897" s="97" t="s">
        <v>7</v>
      </c>
      <c r="G897" s="97" t="s">
        <v>8</v>
      </c>
      <c r="H897" s="97" t="s">
        <v>74</v>
      </c>
      <c r="I897" s="97" t="s">
        <v>84</v>
      </c>
      <c r="J897" s="97" t="s">
        <v>85</v>
      </c>
      <c r="K897" s="97" t="s">
        <v>73</v>
      </c>
      <c r="L897">
        <v>701000</v>
      </c>
      <c r="M897" s="97" t="s">
        <v>62</v>
      </c>
      <c r="N897" s="97" t="s">
        <v>33</v>
      </c>
      <c r="O897">
        <v>4515</v>
      </c>
      <c r="P897">
        <v>0.95</v>
      </c>
      <c r="Q897">
        <v>4.29</v>
      </c>
      <c r="R897" s="97" t="s">
        <v>1204</v>
      </c>
      <c r="S897" s="97" t="s">
        <v>195</v>
      </c>
    </row>
    <row r="898" spans="1:19" x14ac:dyDescent="0.3">
      <c r="A898" s="97" t="s">
        <v>1091</v>
      </c>
      <c r="B898" s="97" t="s">
        <v>22</v>
      </c>
      <c r="C898">
        <v>2025</v>
      </c>
      <c r="D898">
        <v>2</v>
      </c>
      <c r="E898" s="2">
        <v>45707</v>
      </c>
      <c r="F898" s="97" t="s">
        <v>7</v>
      </c>
      <c r="G898" s="97" t="s">
        <v>8</v>
      </c>
      <c r="H898" s="97" t="s">
        <v>74</v>
      </c>
      <c r="I898" s="97" t="s">
        <v>84</v>
      </c>
      <c r="J898" s="97" t="s">
        <v>85</v>
      </c>
      <c r="K898" s="97" t="s">
        <v>73</v>
      </c>
      <c r="L898">
        <v>701000</v>
      </c>
      <c r="M898" s="97" t="s">
        <v>62</v>
      </c>
      <c r="N898" s="97" t="s">
        <v>33</v>
      </c>
      <c r="O898">
        <v>1686</v>
      </c>
      <c r="P898">
        <v>0.95</v>
      </c>
      <c r="Q898">
        <v>1.6</v>
      </c>
      <c r="R898" s="97" t="s">
        <v>1198</v>
      </c>
      <c r="S898" s="97" t="s">
        <v>195</v>
      </c>
    </row>
    <row r="899" spans="1:19" x14ac:dyDescent="0.3">
      <c r="A899" s="97" t="s">
        <v>1092</v>
      </c>
      <c r="B899" s="97" t="s">
        <v>22</v>
      </c>
      <c r="C899">
        <v>2025</v>
      </c>
      <c r="D899">
        <v>2</v>
      </c>
      <c r="E899" s="2">
        <v>45707</v>
      </c>
      <c r="F899" s="97" t="s">
        <v>7</v>
      </c>
      <c r="G899" s="97" t="s">
        <v>8</v>
      </c>
      <c r="H899" s="97" t="s">
        <v>74</v>
      </c>
      <c r="I899" s="97" t="s">
        <v>84</v>
      </c>
      <c r="J899" s="97" t="s">
        <v>85</v>
      </c>
      <c r="K899" s="97" t="s">
        <v>73</v>
      </c>
      <c r="L899">
        <v>701000</v>
      </c>
      <c r="M899" s="97" t="s">
        <v>62</v>
      </c>
      <c r="N899" s="97" t="s">
        <v>33</v>
      </c>
      <c r="O899">
        <v>2490</v>
      </c>
      <c r="P899">
        <v>0.95</v>
      </c>
      <c r="Q899">
        <v>2.37</v>
      </c>
      <c r="R899" s="97" t="s">
        <v>1202</v>
      </c>
      <c r="S899" s="97" t="s">
        <v>195</v>
      </c>
    </row>
    <row r="900" spans="1:19" x14ac:dyDescent="0.3">
      <c r="A900" s="97" t="s">
        <v>1093</v>
      </c>
      <c r="B900" s="97" t="s">
        <v>22</v>
      </c>
      <c r="C900">
        <v>2025</v>
      </c>
      <c r="D900">
        <v>2</v>
      </c>
      <c r="E900" s="2">
        <v>45707</v>
      </c>
      <c r="F900" s="97" t="s">
        <v>7</v>
      </c>
      <c r="G900" s="97" t="s">
        <v>8</v>
      </c>
      <c r="H900" s="97" t="s">
        <v>74</v>
      </c>
      <c r="I900" s="97" t="s">
        <v>84</v>
      </c>
      <c r="J900" s="97" t="s">
        <v>85</v>
      </c>
      <c r="K900" s="97" t="s">
        <v>73</v>
      </c>
      <c r="L900">
        <v>701000</v>
      </c>
      <c r="M900" s="97" t="s">
        <v>62</v>
      </c>
      <c r="N900" s="97" t="s">
        <v>33</v>
      </c>
      <c r="O900">
        <v>6913</v>
      </c>
      <c r="P900">
        <v>0.95</v>
      </c>
      <c r="Q900">
        <v>6.57</v>
      </c>
      <c r="R900" s="97" t="s">
        <v>1201</v>
      </c>
      <c r="S900" s="97" t="s">
        <v>195</v>
      </c>
    </row>
    <row r="901" spans="1:19" x14ac:dyDescent="0.3">
      <c r="A901" s="97" t="s">
        <v>1094</v>
      </c>
      <c r="B901" s="97" t="s">
        <v>22</v>
      </c>
      <c r="C901">
        <v>2025</v>
      </c>
      <c r="D901">
        <v>2</v>
      </c>
      <c r="E901" s="2">
        <v>45707</v>
      </c>
      <c r="F901" s="97" t="s">
        <v>7</v>
      </c>
      <c r="G901" s="97" t="s">
        <v>8</v>
      </c>
      <c r="H901" s="97" t="s">
        <v>74</v>
      </c>
      <c r="I901" s="97" t="s">
        <v>84</v>
      </c>
      <c r="J901" s="97" t="s">
        <v>85</v>
      </c>
      <c r="K901" s="97" t="s">
        <v>73</v>
      </c>
      <c r="L901">
        <v>701000</v>
      </c>
      <c r="M901" s="97" t="s">
        <v>62</v>
      </c>
      <c r="N901" s="97" t="s">
        <v>33</v>
      </c>
      <c r="O901">
        <v>3114</v>
      </c>
      <c r="P901">
        <v>0.95</v>
      </c>
      <c r="Q901">
        <v>2.95</v>
      </c>
      <c r="R901" s="97" t="s">
        <v>1197</v>
      </c>
      <c r="S901" s="97" t="s">
        <v>195</v>
      </c>
    </row>
    <row r="902" spans="1:19" x14ac:dyDescent="0.3">
      <c r="A902" s="97" t="s">
        <v>1095</v>
      </c>
      <c r="B902" s="97" t="s">
        <v>22</v>
      </c>
      <c r="C902">
        <v>2025</v>
      </c>
      <c r="D902">
        <v>2</v>
      </c>
      <c r="E902" s="2">
        <v>45716</v>
      </c>
      <c r="F902" s="97" t="s">
        <v>7</v>
      </c>
      <c r="G902" s="97" t="s">
        <v>8</v>
      </c>
      <c r="H902" s="97" t="s">
        <v>70</v>
      </c>
      <c r="I902" s="97" t="s">
        <v>84</v>
      </c>
      <c r="J902" s="97" t="s">
        <v>85</v>
      </c>
      <c r="K902" s="97" t="s">
        <v>73</v>
      </c>
      <c r="L902">
        <v>709000</v>
      </c>
      <c r="M902" s="97" t="s">
        <v>86</v>
      </c>
      <c r="N902" s="97" t="s">
        <v>33</v>
      </c>
      <c r="O902">
        <v>0</v>
      </c>
      <c r="P902">
        <v>-1410</v>
      </c>
      <c r="Q902">
        <v>-1.41</v>
      </c>
      <c r="R902" s="97" t="s">
        <v>1205</v>
      </c>
      <c r="S902" s="97" t="s">
        <v>195</v>
      </c>
    </row>
    <row r="903" spans="1:19" x14ac:dyDescent="0.3">
      <c r="A903" s="97" t="s">
        <v>1096</v>
      </c>
      <c r="B903" s="97" t="s">
        <v>22</v>
      </c>
      <c r="C903">
        <v>2025</v>
      </c>
      <c r="D903">
        <v>2</v>
      </c>
      <c r="E903" s="2">
        <v>45716</v>
      </c>
      <c r="F903" s="97" t="s">
        <v>7</v>
      </c>
      <c r="G903" s="97" t="s">
        <v>8</v>
      </c>
      <c r="H903" s="97" t="s">
        <v>70</v>
      </c>
      <c r="I903" s="97" t="s">
        <v>84</v>
      </c>
      <c r="J903" s="97" t="s">
        <v>85</v>
      </c>
      <c r="K903" s="97" t="s">
        <v>73</v>
      </c>
      <c r="L903">
        <v>709000</v>
      </c>
      <c r="M903" s="97" t="s">
        <v>86</v>
      </c>
      <c r="N903" s="97" t="s">
        <v>33</v>
      </c>
      <c r="O903">
        <v>0</v>
      </c>
      <c r="P903">
        <v>-3440</v>
      </c>
      <c r="Q903">
        <v>-3.44</v>
      </c>
      <c r="R903" s="97" t="s">
        <v>1200</v>
      </c>
      <c r="S903" s="97" t="s">
        <v>195</v>
      </c>
    </row>
    <row r="904" spans="1:19" x14ac:dyDescent="0.3">
      <c r="A904" s="97" t="s">
        <v>1097</v>
      </c>
      <c r="B904" s="97" t="s">
        <v>22</v>
      </c>
      <c r="C904">
        <v>2025</v>
      </c>
      <c r="D904">
        <v>2</v>
      </c>
      <c r="E904" s="2">
        <v>45716</v>
      </c>
      <c r="F904" s="97" t="s">
        <v>7</v>
      </c>
      <c r="G904" s="97" t="s">
        <v>8</v>
      </c>
      <c r="H904" s="97" t="s">
        <v>70</v>
      </c>
      <c r="I904" s="97" t="s">
        <v>84</v>
      </c>
      <c r="J904" s="97" t="s">
        <v>85</v>
      </c>
      <c r="K904" s="97" t="s">
        <v>73</v>
      </c>
      <c r="L904">
        <v>709000</v>
      </c>
      <c r="M904" s="97" t="s">
        <v>86</v>
      </c>
      <c r="N904" s="97" t="s">
        <v>33</v>
      </c>
      <c r="O904">
        <v>0</v>
      </c>
      <c r="P904">
        <v>-480</v>
      </c>
      <c r="Q904">
        <v>-0.48</v>
      </c>
      <c r="R904" s="97" t="s">
        <v>1198</v>
      </c>
      <c r="S904" s="97" t="s">
        <v>195</v>
      </c>
    </row>
    <row r="905" spans="1:19" x14ac:dyDescent="0.3">
      <c r="A905" s="97" t="s">
        <v>1098</v>
      </c>
      <c r="B905" s="97" t="s">
        <v>22</v>
      </c>
      <c r="C905">
        <v>2025</v>
      </c>
      <c r="D905">
        <v>2</v>
      </c>
      <c r="E905" s="2">
        <v>45716</v>
      </c>
      <c r="F905" s="97" t="s">
        <v>7</v>
      </c>
      <c r="G905" s="97" t="s">
        <v>8</v>
      </c>
      <c r="H905" s="97" t="s">
        <v>70</v>
      </c>
      <c r="I905" s="97" t="s">
        <v>84</v>
      </c>
      <c r="J905" s="97" t="s">
        <v>85</v>
      </c>
      <c r="K905" s="97" t="s">
        <v>73</v>
      </c>
      <c r="L905">
        <v>709000</v>
      </c>
      <c r="M905" s="97" t="s">
        <v>86</v>
      </c>
      <c r="N905" s="97" t="s">
        <v>33</v>
      </c>
      <c r="O905">
        <v>0</v>
      </c>
      <c r="P905">
        <v>-850</v>
      </c>
      <c r="Q905">
        <v>-0.85</v>
      </c>
      <c r="R905" s="97" t="s">
        <v>1197</v>
      </c>
      <c r="S905" s="97" t="s">
        <v>195</v>
      </c>
    </row>
    <row r="906" spans="1:19" x14ac:dyDescent="0.3">
      <c r="A906" s="97" t="s">
        <v>1099</v>
      </c>
      <c r="B906" s="97" t="s">
        <v>22</v>
      </c>
      <c r="C906">
        <v>2025</v>
      </c>
      <c r="D906">
        <v>2</v>
      </c>
      <c r="E906" s="2">
        <v>45716</v>
      </c>
      <c r="F906" s="97" t="s">
        <v>7</v>
      </c>
      <c r="G906" s="97" t="s">
        <v>8</v>
      </c>
      <c r="H906" s="97" t="s">
        <v>70</v>
      </c>
      <c r="I906" s="97" t="s">
        <v>84</v>
      </c>
      <c r="J906" s="97" t="s">
        <v>85</v>
      </c>
      <c r="K906" s="97" t="s">
        <v>73</v>
      </c>
      <c r="L906">
        <v>709000</v>
      </c>
      <c r="M906" s="97" t="s">
        <v>86</v>
      </c>
      <c r="N906" s="97" t="s">
        <v>33</v>
      </c>
      <c r="O906">
        <v>0</v>
      </c>
      <c r="P906">
        <v>-1510</v>
      </c>
      <c r="Q906">
        <v>-1.51</v>
      </c>
      <c r="R906" s="97" t="s">
        <v>1199</v>
      </c>
      <c r="S906" s="97" t="s">
        <v>195</v>
      </c>
    </row>
    <row r="907" spans="1:19" x14ac:dyDescent="0.3">
      <c r="A907" s="97" t="s">
        <v>1100</v>
      </c>
      <c r="B907" s="97" t="s">
        <v>22</v>
      </c>
      <c r="C907">
        <v>2025</v>
      </c>
      <c r="D907">
        <v>2</v>
      </c>
      <c r="E907" s="2">
        <v>45704</v>
      </c>
      <c r="F907" s="97" t="s">
        <v>7</v>
      </c>
      <c r="G907" s="97" t="s">
        <v>8</v>
      </c>
      <c r="H907" s="97" t="s">
        <v>70</v>
      </c>
      <c r="I907" s="97" t="s">
        <v>71</v>
      </c>
      <c r="J907" s="97" t="s">
        <v>72</v>
      </c>
      <c r="K907" s="97" t="s">
        <v>73</v>
      </c>
      <c r="L907">
        <v>701000</v>
      </c>
      <c r="M907" s="97" t="s">
        <v>62</v>
      </c>
      <c r="N907" s="97" t="s">
        <v>33</v>
      </c>
      <c r="O907">
        <v>1669</v>
      </c>
      <c r="P907">
        <v>1.05</v>
      </c>
      <c r="Q907">
        <v>1.75</v>
      </c>
      <c r="R907" s="97" t="s">
        <v>1197</v>
      </c>
      <c r="S907" s="97" t="s">
        <v>195</v>
      </c>
    </row>
    <row r="908" spans="1:19" x14ac:dyDescent="0.3">
      <c r="A908" s="97" t="s">
        <v>1101</v>
      </c>
      <c r="B908" s="97" t="s">
        <v>22</v>
      </c>
      <c r="C908">
        <v>2025</v>
      </c>
      <c r="D908">
        <v>2</v>
      </c>
      <c r="E908" s="2">
        <v>45704</v>
      </c>
      <c r="F908" s="97" t="s">
        <v>7</v>
      </c>
      <c r="G908" s="97" t="s">
        <v>8</v>
      </c>
      <c r="H908" s="97" t="s">
        <v>70</v>
      </c>
      <c r="I908" s="97" t="s">
        <v>71</v>
      </c>
      <c r="J908" s="97" t="s">
        <v>72</v>
      </c>
      <c r="K908" s="97" t="s">
        <v>73</v>
      </c>
      <c r="L908">
        <v>701000</v>
      </c>
      <c r="M908" s="97" t="s">
        <v>62</v>
      </c>
      <c r="N908" s="97" t="s">
        <v>33</v>
      </c>
      <c r="O908">
        <v>865</v>
      </c>
      <c r="P908">
        <v>1.05</v>
      </c>
      <c r="Q908">
        <v>0.91</v>
      </c>
      <c r="R908" s="97" t="s">
        <v>1204</v>
      </c>
      <c r="S908" s="97" t="s">
        <v>195</v>
      </c>
    </row>
    <row r="909" spans="1:19" x14ac:dyDescent="0.3">
      <c r="A909" s="97" t="s">
        <v>1102</v>
      </c>
      <c r="B909" s="97" t="s">
        <v>22</v>
      </c>
      <c r="C909">
        <v>2025</v>
      </c>
      <c r="D909">
        <v>2</v>
      </c>
      <c r="E909" s="2">
        <v>45704</v>
      </c>
      <c r="F909" s="97" t="s">
        <v>7</v>
      </c>
      <c r="G909" s="97" t="s">
        <v>8</v>
      </c>
      <c r="H909" s="97" t="s">
        <v>70</v>
      </c>
      <c r="I909" s="97" t="s">
        <v>71</v>
      </c>
      <c r="J909" s="97" t="s">
        <v>72</v>
      </c>
      <c r="K909" s="97" t="s">
        <v>73</v>
      </c>
      <c r="L909">
        <v>701000</v>
      </c>
      <c r="M909" s="97" t="s">
        <v>62</v>
      </c>
      <c r="N909" s="97" t="s">
        <v>33</v>
      </c>
      <c r="O909">
        <v>960</v>
      </c>
      <c r="P909">
        <v>1.05</v>
      </c>
      <c r="Q909">
        <v>1.01</v>
      </c>
      <c r="R909" s="97" t="s">
        <v>1202</v>
      </c>
      <c r="S909" s="97" t="s">
        <v>195</v>
      </c>
    </row>
    <row r="910" spans="1:19" x14ac:dyDescent="0.3">
      <c r="A910" s="97" t="s">
        <v>1103</v>
      </c>
      <c r="B910" s="97" t="s">
        <v>22</v>
      </c>
      <c r="C910">
        <v>2025</v>
      </c>
      <c r="D910">
        <v>2</v>
      </c>
      <c r="E910" s="2">
        <v>45704</v>
      </c>
      <c r="F910" s="97" t="s">
        <v>7</v>
      </c>
      <c r="G910" s="97" t="s">
        <v>8</v>
      </c>
      <c r="H910" s="97" t="s">
        <v>70</v>
      </c>
      <c r="I910" s="97" t="s">
        <v>71</v>
      </c>
      <c r="J910" s="97" t="s">
        <v>72</v>
      </c>
      <c r="K910" s="97" t="s">
        <v>73</v>
      </c>
      <c r="L910">
        <v>701000</v>
      </c>
      <c r="M910" s="97" t="s">
        <v>62</v>
      </c>
      <c r="N910" s="97" t="s">
        <v>33</v>
      </c>
      <c r="O910">
        <v>3973</v>
      </c>
      <c r="P910">
        <v>1.05</v>
      </c>
      <c r="Q910">
        <v>4.17</v>
      </c>
      <c r="R910" s="97" t="s">
        <v>1200</v>
      </c>
      <c r="S910" s="97" t="s">
        <v>195</v>
      </c>
    </row>
    <row r="911" spans="1:19" x14ac:dyDescent="0.3">
      <c r="A911" s="97" t="s">
        <v>1104</v>
      </c>
      <c r="B911" s="97" t="s">
        <v>22</v>
      </c>
      <c r="C911">
        <v>2025</v>
      </c>
      <c r="D911">
        <v>2</v>
      </c>
      <c r="E911" s="2">
        <v>45704</v>
      </c>
      <c r="F911" s="97" t="s">
        <v>7</v>
      </c>
      <c r="G911" s="97" t="s">
        <v>8</v>
      </c>
      <c r="H911" s="97" t="s">
        <v>70</v>
      </c>
      <c r="I911" s="97" t="s">
        <v>71</v>
      </c>
      <c r="J911" s="97" t="s">
        <v>72</v>
      </c>
      <c r="K911" s="97" t="s">
        <v>73</v>
      </c>
      <c r="L911">
        <v>701000</v>
      </c>
      <c r="M911" s="97" t="s">
        <v>62</v>
      </c>
      <c r="N911" s="97" t="s">
        <v>33</v>
      </c>
      <c r="O911">
        <v>976</v>
      </c>
      <c r="P911">
        <v>1.05</v>
      </c>
      <c r="Q911">
        <v>1.02</v>
      </c>
      <c r="R911" s="97" t="s">
        <v>1205</v>
      </c>
      <c r="S911" s="97" t="s">
        <v>195</v>
      </c>
    </row>
    <row r="912" spans="1:19" x14ac:dyDescent="0.3">
      <c r="A912" s="97" t="s">
        <v>1105</v>
      </c>
      <c r="B912" s="97" t="s">
        <v>22</v>
      </c>
      <c r="C912">
        <v>2025</v>
      </c>
      <c r="D912">
        <v>2</v>
      </c>
      <c r="E912" s="2">
        <v>45711</v>
      </c>
      <c r="F912" s="97" t="s">
        <v>7</v>
      </c>
      <c r="G912" s="97" t="s">
        <v>8</v>
      </c>
      <c r="H912" s="97" t="s">
        <v>74</v>
      </c>
      <c r="I912" s="97" t="s">
        <v>71</v>
      </c>
      <c r="J912" s="97" t="s">
        <v>72</v>
      </c>
      <c r="K912" s="97" t="s">
        <v>73</v>
      </c>
      <c r="L912">
        <v>701000</v>
      </c>
      <c r="M912" s="97" t="s">
        <v>62</v>
      </c>
      <c r="N912" s="97" t="s">
        <v>33</v>
      </c>
      <c r="O912">
        <v>3224</v>
      </c>
      <c r="P912">
        <v>1.05</v>
      </c>
      <c r="Q912">
        <v>3.38</v>
      </c>
      <c r="R912" s="97" t="s">
        <v>1200</v>
      </c>
      <c r="S912" s="97" t="s">
        <v>195</v>
      </c>
    </row>
    <row r="913" spans="1:19" x14ac:dyDescent="0.3">
      <c r="A913" s="97" t="s">
        <v>1106</v>
      </c>
      <c r="B913" s="97" t="s">
        <v>22</v>
      </c>
      <c r="C913">
        <v>2025</v>
      </c>
      <c r="D913">
        <v>2</v>
      </c>
      <c r="E913" s="2">
        <v>45711</v>
      </c>
      <c r="F913" s="97" t="s">
        <v>7</v>
      </c>
      <c r="G913" s="97" t="s">
        <v>8</v>
      </c>
      <c r="H913" s="97" t="s">
        <v>74</v>
      </c>
      <c r="I913" s="97" t="s">
        <v>71</v>
      </c>
      <c r="J913" s="97" t="s">
        <v>72</v>
      </c>
      <c r="K913" s="97" t="s">
        <v>73</v>
      </c>
      <c r="L913">
        <v>701000</v>
      </c>
      <c r="M913" s="97" t="s">
        <v>62</v>
      </c>
      <c r="N913" s="97" t="s">
        <v>33</v>
      </c>
      <c r="O913">
        <v>1385</v>
      </c>
      <c r="P913">
        <v>1.05</v>
      </c>
      <c r="Q913">
        <v>1.45</v>
      </c>
      <c r="R913" s="97" t="s">
        <v>1203</v>
      </c>
      <c r="S913" s="97" t="s">
        <v>195</v>
      </c>
    </row>
    <row r="914" spans="1:19" x14ac:dyDescent="0.3">
      <c r="A914" s="97" t="s">
        <v>1107</v>
      </c>
      <c r="B914" s="97" t="s">
        <v>22</v>
      </c>
      <c r="C914">
        <v>2025</v>
      </c>
      <c r="D914">
        <v>2</v>
      </c>
      <c r="E914" s="2">
        <v>45711</v>
      </c>
      <c r="F914" s="97" t="s">
        <v>7</v>
      </c>
      <c r="G914" s="97" t="s">
        <v>8</v>
      </c>
      <c r="H914" s="97" t="s">
        <v>74</v>
      </c>
      <c r="I914" s="97" t="s">
        <v>71</v>
      </c>
      <c r="J914" s="97" t="s">
        <v>72</v>
      </c>
      <c r="K914" s="97" t="s">
        <v>73</v>
      </c>
      <c r="L914">
        <v>701000</v>
      </c>
      <c r="M914" s="97" t="s">
        <v>62</v>
      </c>
      <c r="N914" s="97" t="s">
        <v>33</v>
      </c>
      <c r="O914">
        <v>886</v>
      </c>
      <c r="P914">
        <v>1.05</v>
      </c>
      <c r="Q914">
        <v>0.93</v>
      </c>
      <c r="R914" s="97" t="s">
        <v>1199</v>
      </c>
      <c r="S914" s="97" t="s">
        <v>195</v>
      </c>
    </row>
    <row r="915" spans="1:19" x14ac:dyDescent="0.3">
      <c r="A915" s="97" t="s">
        <v>1108</v>
      </c>
      <c r="B915" s="97" t="s">
        <v>22</v>
      </c>
      <c r="C915">
        <v>2025</v>
      </c>
      <c r="D915">
        <v>2</v>
      </c>
      <c r="E915" s="2">
        <v>45711</v>
      </c>
      <c r="F915" s="97" t="s">
        <v>7</v>
      </c>
      <c r="G915" s="97" t="s">
        <v>8</v>
      </c>
      <c r="H915" s="97" t="s">
        <v>74</v>
      </c>
      <c r="I915" s="97" t="s">
        <v>71</v>
      </c>
      <c r="J915" s="97" t="s">
        <v>72</v>
      </c>
      <c r="K915" s="97" t="s">
        <v>73</v>
      </c>
      <c r="L915">
        <v>701000</v>
      </c>
      <c r="M915" s="97" t="s">
        <v>62</v>
      </c>
      <c r="N915" s="97" t="s">
        <v>33</v>
      </c>
      <c r="O915">
        <v>2440</v>
      </c>
      <c r="P915">
        <v>1.05</v>
      </c>
      <c r="Q915">
        <v>2.56</v>
      </c>
      <c r="R915" s="97" t="s">
        <v>1197</v>
      </c>
      <c r="S915" s="97" t="s">
        <v>195</v>
      </c>
    </row>
    <row r="916" spans="1:19" x14ac:dyDescent="0.3">
      <c r="A916" s="97" t="s">
        <v>1109</v>
      </c>
      <c r="B916" s="97" t="s">
        <v>22</v>
      </c>
      <c r="C916">
        <v>2025</v>
      </c>
      <c r="D916">
        <v>2</v>
      </c>
      <c r="E916" s="2">
        <v>45711</v>
      </c>
      <c r="F916" s="97" t="s">
        <v>7</v>
      </c>
      <c r="G916" s="97" t="s">
        <v>8</v>
      </c>
      <c r="H916" s="97" t="s">
        <v>74</v>
      </c>
      <c r="I916" s="97" t="s">
        <v>71</v>
      </c>
      <c r="J916" s="97" t="s">
        <v>72</v>
      </c>
      <c r="K916" s="97" t="s">
        <v>73</v>
      </c>
      <c r="L916">
        <v>701000</v>
      </c>
      <c r="M916" s="97" t="s">
        <v>62</v>
      </c>
      <c r="N916" s="97" t="s">
        <v>33</v>
      </c>
      <c r="O916">
        <v>3126</v>
      </c>
      <c r="P916">
        <v>1.05</v>
      </c>
      <c r="Q916">
        <v>3.29</v>
      </c>
      <c r="R916" s="97" t="s">
        <v>1204</v>
      </c>
      <c r="S916" s="97" t="s">
        <v>195</v>
      </c>
    </row>
    <row r="917" spans="1:19" x14ac:dyDescent="0.3">
      <c r="A917" s="97" t="s">
        <v>1110</v>
      </c>
      <c r="B917" s="97" t="s">
        <v>22</v>
      </c>
      <c r="C917">
        <v>2025</v>
      </c>
      <c r="D917">
        <v>2</v>
      </c>
      <c r="E917" s="2">
        <v>45692</v>
      </c>
      <c r="F917" s="97" t="s">
        <v>7</v>
      </c>
      <c r="G917" s="97" t="s">
        <v>8</v>
      </c>
      <c r="H917" s="97" t="s">
        <v>74</v>
      </c>
      <c r="I917" s="97" t="s">
        <v>71</v>
      </c>
      <c r="J917" s="97" t="s">
        <v>72</v>
      </c>
      <c r="K917" s="97" t="s">
        <v>73</v>
      </c>
      <c r="L917">
        <v>701000</v>
      </c>
      <c r="M917" s="97" t="s">
        <v>62</v>
      </c>
      <c r="N917" s="97" t="s">
        <v>33</v>
      </c>
      <c r="O917">
        <v>1664</v>
      </c>
      <c r="P917">
        <v>1.05</v>
      </c>
      <c r="Q917">
        <v>1.75</v>
      </c>
      <c r="R917" s="97" t="s">
        <v>1202</v>
      </c>
      <c r="S917" s="97" t="s">
        <v>195</v>
      </c>
    </row>
    <row r="918" spans="1:19" x14ac:dyDescent="0.3">
      <c r="A918" s="97" t="s">
        <v>1111</v>
      </c>
      <c r="B918" s="97" t="s">
        <v>22</v>
      </c>
      <c r="C918">
        <v>2025</v>
      </c>
      <c r="D918">
        <v>2</v>
      </c>
      <c r="E918" s="2">
        <v>45692</v>
      </c>
      <c r="F918" s="97" t="s">
        <v>7</v>
      </c>
      <c r="G918" s="97" t="s">
        <v>8</v>
      </c>
      <c r="H918" s="97" t="s">
        <v>74</v>
      </c>
      <c r="I918" s="97" t="s">
        <v>71</v>
      </c>
      <c r="J918" s="97" t="s">
        <v>72</v>
      </c>
      <c r="K918" s="97" t="s">
        <v>73</v>
      </c>
      <c r="L918">
        <v>701000</v>
      </c>
      <c r="M918" s="97" t="s">
        <v>62</v>
      </c>
      <c r="N918" s="97" t="s">
        <v>33</v>
      </c>
      <c r="O918">
        <v>1355</v>
      </c>
      <c r="P918">
        <v>1.05</v>
      </c>
      <c r="Q918">
        <v>1.42</v>
      </c>
      <c r="R918" s="97" t="s">
        <v>1203</v>
      </c>
      <c r="S918" s="97" t="s">
        <v>195</v>
      </c>
    </row>
    <row r="919" spans="1:19" x14ac:dyDescent="0.3">
      <c r="A919" s="97" t="s">
        <v>1112</v>
      </c>
      <c r="B919" s="97" t="s">
        <v>22</v>
      </c>
      <c r="C919">
        <v>2025</v>
      </c>
      <c r="D919">
        <v>2</v>
      </c>
      <c r="E919" s="2">
        <v>45692</v>
      </c>
      <c r="F919" s="97" t="s">
        <v>7</v>
      </c>
      <c r="G919" s="97" t="s">
        <v>8</v>
      </c>
      <c r="H919" s="97" t="s">
        <v>74</v>
      </c>
      <c r="I919" s="97" t="s">
        <v>71</v>
      </c>
      <c r="J919" s="97" t="s">
        <v>72</v>
      </c>
      <c r="K919" s="97" t="s">
        <v>73</v>
      </c>
      <c r="L919">
        <v>701000</v>
      </c>
      <c r="M919" s="97" t="s">
        <v>62</v>
      </c>
      <c r="N919" s="97" t="s">
        <v>33</v>
      </c>
      <c r="O919">
        <v>2439</v>
      </c>
      <c r="P919">
        <v>1.05</v>
      </c>
      <c r="Q919">
        <v>2.56</v>
      </c>
      <c r="R919" s="97" t="s">
        <v>1200</v>
      </c>
      <c r="S919" s="97" t="s">
        <v>195</v>
      </c>
    </row>
    <row r="920" spans="1:19" x14ac:dyDescent="0.3">
      <c r="A920" s="97" t="s">
        <v>1113</v>
      </c>
      <c r="B920" s="97" t="s">
        <v>22</v>
      </c>
      <c r="C920">
        <v>2025</v>
      </c>
      <c r="D920">
        <v>2</v>
      </c>
      <c r="E920" s="2">
        <v>45692</v>
      </c>
      <c r="F920" s="97" t="s">
        <v>7</v>
      </c>
      <c r="G920" s="97" t="s">
        <v>8</v>
      </c>
      <c r="H920" s="97" t="s">
        <v>74</v>
      </c>
      <c r="I920" s="97" t="s">
        <v>71</v>
      </c>
      <c r="J920" s="97" t="s">
        <v>72</v>
      </c>
      <c r="K920" s="97" t="s">
        <v>73</v>
      </c>
      <c r="L920">
        <v>701000</v>
      </c>
      <c r="M920" s="97" t="s">
        <v>62</v>
      </c>
      <c r="N920" s="97" t="s">
        <v>33</v>
      </c>
      <c r="O920">
        <v>1286</v>
      </c>
      <c r="P920">
        <v>1.05</v>
      </c>
      <c r="Q920">
        <v>1.35</v>
      </c>
      <c r="R920" s="97" t="s">
        <v>1199</v>
      </c>
      <c r="S920" s="97" t="s">
        <v>195</v>
      </c>
    </row>
    <row r="921" spans="1:19" x14ac:dyDescent="0.3">
      <c r="A921" s="97" t="s">
        <v>1114</v>
      </c>
      <c r="B921" s="97" t="s">
        <v>22</v>
      </c>
      <c r="C921">
        <v>2025</v>
      </c>
      <c r="D921">
        <v>2</v>
      </c>
      <c r="E921" s="2">
        <v>45692</v>
      </c>
      <c r="F921" s="97" t="s">
        <v>7</v>
      </c>
      <c r="G921" s="97" t="s">
        <v>8</v>
      </c>
      <c r="H921" s="97" t="s">
        <v>74</v>
      </c>
      <c r="I921" s="97" t="s">
        <v>71</v>
      </c>
      <c r="J921" s="97" t="s">
        <v>72</v>
      </c>
      <c r="K921" s="97" t="s">
        <v>73</v>
      </c>
      <c r="L921">
        <v>701000</v>
      </c>
      <c r="M921" s="97" t="s">
        <v>62</v>
      </c>
      <c r="N921" s="97" t="s">
        <v>33</v>
      </c>
      <c r="O921">
        <v>2860</v>
      </c>
      <c r="P921">
        <v>1.05</v>
      </c>
      <c r="Q921">
        <v>3</v>
      </c>
      <c r="R921" s="97" t="s">
        <v>1204</v>
      </c>
      <c r="S921" s="97" t="s">
        <v>195</v>
      </c>
    </row>
    <row r="922" spans="1:19" x14ac:dyDescent="0.3">
      <c r="A922" s="97" t="s">
        <v>1115</v>
      </c>
      <c r="B922" s="97" t="s">
        <v>22</v>
      </c>
      <c r="C922">
        <v>2025</v>
      </c>
      <c r="D922">
        <v>2</v>
      </c>
      <c r="E922" s="2">
        <v>45713</v>
      </c>
      <c r="F922" s="97" t="s">
        <v>7</v>
      </c>
      <c r="G922" s="97" t="s">
        <v>8</v>
      </c>
      <c r="H922" s="97" t="s">
        <v>74</v>
      </c>
      <c r="I922" s="97" t="s">
        <v>71</v>
      </c>
      <c r="J922" s="97" t="s">
        <v>72</v>
      </c>
      <c r="K922" s="97" t="s">
        <v>73</v>
      </c>
      <c r="L922">
        <v>701000</v>
      </c>
      <c r="M922" s="97" t="s">
        <v>62</v>
      </c>
      <c r="N922" s="97" t="s">
        <v>33</v>
      </c>
      <c r="O922">
        <v>942</v>
      </c>
      <c r="P922">
        <v>1.05</v>
      </c>
      <c r="Q922">
        <v>0.99</v>
      </c>
      <c r="R922" s="97" t="s">
        <v>1199</v>
      </c>
      <c r="S922" s="97" t="s">
        <v>195</v>
      </c>
    </row>
    <row r="923" spans="1:19" x14ac:dyDescent="0.3">
      <c r="A923" s="97" t="s">
        <v>1116</v>
      </c>
      <c r="B923" s="97" t="s">
        <v>22</v>
      </c>
      <c r="C923">
        <v>2025</v>
      </c>
      <c r="D923">
        <v>2</v>
      </c>
      <c r="E923" s="2">
        <v>45713</v>
      </c>
      <c r="F923" s="97" t="s">
        <v>7</v>
      </c>
      <c r="G923" s="97" t="s">
        <v>8</v>
      </c>
      <c r="H923" s="97" t="s">
        <v>74</v>
      </c>
      <c r="I923" s="97" t="s">
        <v>71</v>
      </c>
      <c r="J923" s="97" t="s">
        <v>72</v>
      </c>
      <c r="K923" s="97" t="s">
        <v>73</v>
      </c>
      <c r="L923">
        <v>701000</v>
      </c>
      <c r="M923" s="97" t="s">
        <v>62</v>
      </c>
      <c r="N923" s="97" t="s">
        <v>33</v>
      </c>
      <c r="O923">
        <v>1358</v>
      </c>
      <c r="P923">
        <v>1.05</v>
      </c>
      <c r="Q923">
        <v>1.43</v>
      </c>
      <c r="R923" s="97" t="s">
        <v>1197</v>
      </c>
      <c r="S923" s="97" t="s">
        <v>195</v>
      </c>
    </row>
    <row r="924" spans="1:19" x14ac:dyDescent="0.3">
      <c r="A924" s="97" t="s">
        <v>1117</v>
      </c>
      <c r="B924" s="97" t="s">
        <v>22</v>
      </c>
      <c r="C924">
        <v>2025</v>
      </c>
      <c r="D924">
        <v>2</v>
      </c>
      <c r="E924" s="2">
        <v>45713</v>
      </c>
      <c r="F924" s="97" t="s">
        <v>7</v>
      </c>
      <c r="G924" s="97" t="s">
        <v>8</v>
      </c>
      <c r="H924" s="97" t="s">
        <v>74</v>
      </c>
      <c r="I924" s="97" t="s">
        <v>71</v>
      </c>
      <c r="J924" s="97" t="s">
        <v>72</v>
      </c>
      <c r="K924" s="97" t="s">
        <v>73</v>
      </c>
      <c r="L924">
        <v>701000</v>
      </c>
      <c r="M924" s="97" t="s">
        <v>62</v>
      </c>
      <c r="N924" s="97" t="s">
        <v>33</v>
      </c>
      <c r="O924">
        <v>1506</v>
      </c>
      <c r="P924">
        <v>1.05</v>
      </c>
      <c r="Q924">
        <v>1.58</v>
      </c>
      <c r="R924" s="97" t="s">
        <v>1201</v>
      </c>
      <c r="S924" s="97" t="s">
        <v>195</v>
      </c>
    </row>
    <row r="925" spans="1:19" x14ac:dyDescent="0.3">
      <c r="A925" s="97" t="s">
        <v>1118</v>
      </c>
      <c r="B925" s="97" t="s">
        <v>22</v>
      </c>
      <c r="C925">
        <v>2025</v>
      </c>
      <c r="D925">
        <v>2</v>
      </c>
      <c r="E925" s="2">
        <v>45713</v>
      </c>
      <c r="F925" s="97" t="s">
        <v>7</v>
      </c>
      <c r="G925" s="97" t="s">
        <v>8</v>
      </c>
      <c r="H925" s="97" t="s">
        <v>74</v>
      </c>
      <c r="I925" s="97" t="s">
        <v>71</v>
      </c>
      <c r="J925" s="97" t="s">
        <v>72</v>
      </c>
      <c r="K925" s="97" t="s">
        <v>73</v>
      </c>
      <c r="L925">
        <v>701000</v>
      </c>
      <c r="M925" s="97" t="s">
        <v>62</v>
      </c>
      <c r="N925" s="97" t="s">
        <v>33</v>
      </c>
      <c r="O925">
        <v>4226</v>
      </c>
      <c r="P925">
        <v>1.05</v>
      </c>
      <c r="Q925">
        <v>4.4400000000000004</v>
      </c>
      <c r="R925" s="97" t="s">
        <v>1205</v>
      </c>
      <c r="S925" s="97" t="s">
        <v>195</v>
      </c>
    </row>
    <row r="926" spans="1:19" x14ac:dyDescent="0.3">
      <c r="A926" s="97" t="s">
        <v>1119</v>
      </c>
      <c r="B926" s="97" t="s">
        <v>22</v>
      </c>
      <c r="C926">
        <v>2025</v>
      </c>
      <c r="D926">
        <v>2</v>
      </c>
      <c r="E926" s="2">
        <v>45713</v>
      </c>
      <c r="F926" s="97" t="s">
        <v>7</v>
      </c>
      <c r="G926" s="97" t="s">
        <v>8</v>
      </c>
      <c r="H926" s="97" t="s">
        <v>74</v>
      </c>
      <c r="I926" s="97" t="s">
        <v>71</v>
      </c>
      <c r="J926" s="97" t="s">
        <v>72</v>
      </c>
      <c r="K926" s="97" t="s">
        <v>73</v>
      </c>
      <c r="L926">
        <v>701000</v>
      </c>
      <c r="M926" s="97" t="s">
        <v>62</v>
      </c>
      <c r="N926" s="97" t="s">
        <v>33</v>
      </c>
      <c r="O926">
        <v>1606</v>
      </c>
      <c r="P926">
        <v>1.05</v>
      </c>
      <c r="Q926">
        <v>1.68</v>
      </c>
      <c r="R926" s="97" t="s">
        <v>1198</v>
      </c>
      <c r="S926" s="97" t="s">
        <v>195</v>
      </c>
    </row>
    <row r="927" spans="1:19" x14ac:dyDescent="0.3">
      <c r="A927" s="97" t="s">
        <v>1120</v>
      </c>
      <c r="B927" s="97" t="s">
        <v>22</v>
      </c>
      <c r="C927">
        <v>2025</v>
      </c>
      <c r="D927">
        <v>2</v>
      </c>
      <c r="E927" s="2">
        <v>45703</v>
      </c>
      <c r="F927" s="97" t="s">
        <v>7</v>
      </c>
      <c r="G927" s="97" t="s">
        <v>8</v>
      </c>
      <c r="H927" s="97" t="s">
        <v>74</v>
      </c>
      <c r="I927" s="97" t="s">
        <v>71</v>
      </c>
      <c r="J927" s="97" t="s">
        <v>72</v>
      </c>
      <c r="K927" s="97" t="s">
        <v>73</v>
      </c>
      <c r="L927">
        <v>701000</v>
      </c>
      <c r="M927" s="97" t="s">
        <v>62</v>
      </c>
      <c r="N927" s="97" t="s">
        <v>33</v>
      </c>
      <c r="O927">
        <v>1784</v>
      </c>
      <c r="P927">
        <v>1.05</v>
      </c>
      <c r="Q927">
        <v>1.87</v>
      </c>
      <c r="R927" s="97" t="s">
        <v>1203</v>
      </c>
      <c r="S927" s="97" t="s">
        <v>195</v>
      </c>
    </row>
    <row r="928" spans="1:19" x14ac:dyDescent="0.3">
      <c r="A928" s="97" t="s">
        <v>1121</v>
      </c>
      <c r="B928" s="97" t="s">
        <v>22</v>
      </c>
      <c r="C928">
        <v>2025</v>
      </c>
      <c r="D928">
        <v>2</v>
      </c>
      <c r="E928" s="2">
        <v>45703</v>
      </c>
      <c r="F928" s="97" t="s">
        <v>7</v>
      </c>
      <c r="G928" s="97" t="s">
        <v>8</v>
      </c>
      <c r="H928" s="97" t="s">
        <v>74</v>
      </c>
      <c r="I928" s="97" t="s">
        <v>71</v>
      </c>
      <c r="J928" s="97" t="s">
        <v>72</v>
      </c>
      <c r="K928" s="97" t="s">
        <v>73</v>
      </c>
      <c r="L928">
        <v>701000</v>
      </c>
      <c r="M928" s="97" t="s">
        <v>62</v>
      </c>
      <c r="N928" s="97" t="s">
        <v>33</v>
      </c>
      <c r="O928">
        <v>3235</v>
      </c>
      <c r="P928">
        <v>1.05</v>
      </c>
      <c r="Q928">
        <v>3.4</v>
      </c>
      <c r="R928" s="97" t="s">
        <v>1197</v>
      </c>
      <c r="S928" s="97" t="s">
        <v>195</v>
      </c>
    </row>
    <row r="929" spans="1:19" x14ac:dyDescent="0.3">
      <c r="A929" s="97" t="s">
        <v>1122</v>
      </c>
      <c r="B929" s="97" t="s">
        <v>22</v>
      </c>
      <c r="C929">
        <v>2025</v>
      </c>
      <c r="D929">
        <v>2</v>
      </c>
      <c r="E929" s="2">
        <v>45703</v>
      </c>
      <c r="F929" s="97" t="s">
        <v>7</v>
      </c>
      <c r="G929" s="97" t="s">
        <v>8</v>
      </c>
      <c r="H929" s="97" t="s">
        <v>74</v>
      </c>
      <c r="I929" s="97" t="s">
        <v>71</v>
      </c>
      <c r="J929" s="97" t="s">
        <v>72</v>
      </c>
      <c r="K929" s="97" t="s">
        <v>73</v>
      </c>
      <c r="L929">
        <v>701000</v>
      </c>
      <c r="M929" s="97" t="s">
        <v>62</v>
      </c>
      <c r="N929" s="97" t="s">
        <v>33</v>
      </c>
      <c r="O929">
        <v>1756</v>
      </c>
      <c r="P929">
        <v>1.05</v>
      </c>
      <c r="Q929">
        <v>1.84</v>
      </c>
      <c r="R929" s="97" t="s">
        <v>1205</v>
      </c>
      <c r="S929" s="97" t="s">
        <v>195</v>
      </c>
    </row>
    <row r="930" spans="1:19" x14ac:dyDescent="0.3">
      <c r="A930" s="97" t="s">
        <v>1123</v>
      </c>
      <c r="B930" s="97" t="s">
        <v>22</v>
      </c>
      <c r="C930">
        <v>2025</v>
      </c>
      <c r="D930">
        <v>2</v>
      </c>
      <c r="E930" s="2">
        <v>45703</v>
      </c>
      <c r="F930" s="97" t="s">
        <v>7</v>
      </c>
      <c r="G930" s="97" t="s">
        <v>8</v>
      </c>
      <c r="H930" s="97" t="s">
        <v>74</v>
      </c>
      <c r="I930" s="97" t="s">
        <v>71</v>
      </c>
      <c r="J930" s="97" t="s">
        <v>72</v>
      </c>
      <c r="K930" s="97" t="s">
        <v>73</v>
      </c>
      <c r="L930">
        <v>701000</v>
      </c>
      <c r="M930" s="97" t="s">
        <v>62</v>
      </c>
      <c r="N930" s="97" t="s">
        <v>33</v>
      </c>
      <c r="O930">
        <v>1001</v>
      </c>
      <c r="P930">
        <v>1.05</v>
      </c>
      <c r="Q930">
        <v>1.05</v>
      </c>
      <c r="R930" s="97" t="s">
        <v>1200</v>
      </c>
      <c r="S930" s="97" t="s">
        <v>195</v>
      </c>
    </row>
    <row r="931" spans="1:19" x14ac:dyDescent="0.3">
      <c r="A931" s="97" t="s">
        <v>1124</v>
      </c>
      <c r="B931" s="97" t="s">
        <v>22</v>
      </c>
      <c r="C931">
        <v>2025</v>
      </c>
      <c r="D931">
        <v>2</v>
      </c>
      <c r="E931" s="2">
        <v>45703</v>
      </c>
      <c r="F931" s="97" t="s">
        <v>7</v>
      </c>
      <c r="G931" s="97" t="s">
        <v>8</v>
      </c>
      <c r="H931" s="97" t="s">
        <v>74</v>
      </c>
      <c r="I931" s="97" t="s">
        <v>71</v>
      </c>
      <c r="J931" s="97" t="s">
        <v>72</v>
      </c>
      <c r="K931" s="97" t="s">
        <v>73</v>
      </c>
      <c r="L931">
        <v>701000</v>
      </c>
      <c r="M931" s="97" t="s">
        <v>62</v>
      </c>
      <c r="N931" s="97" t="s">
        <v>33</v>
      </c>
      <c r="O931">
        <v>2025</v>
      </c>
      <c r="P931">
        <v>1.05</v>
      </c>
      <c r="Q931">
        <v>2.13</v>
      </c>
      <c r="R931" s="97" t="s">
        <v>1198</v>
      </c>
      <c r="S931" s="97" t="s">
        <v>195</v>
      </c>
    </row>
    <row r="932" spans="1:19" x14ac:dyDescent="0.3">
      <c r="A932" s="97" t="s">
        <v>1125</v>
      </c>
      <c r="B932" s="97" t="s">
        <v>22</v>
      </c>
      <c r="C932">
        <v>2025</v>
      </c>
      <c r="D932">
        <v>2</v>
      </c>
      <c r="E932" s="2">
        <v>45690</v>
      </c>
      <c r="F932" s="97" t="s">
        <v>7</v>
      </c>
      <c r="G932" s="97" t="s">
        <v>8</v>
      </c>
      <c r="H932" s="97" t="s">
        <v>70</v>
      </c>
      <c r="I932" s="97" t="s">
        <v>71</v>
      </c>
      <c r="J932" s="97" t="s">
        <v>72</v>
      </c>
      <c r="K932" s="97" t="s">
        <v>73</v>
      </c>
      <c r="L932">
        <v>701000</v>
      </c>
      <c r="M932" s="97" t="s">
        <v>62</v>
      </c>
      <c r="N932" s="97" t="s">
        <v>33</v>
      </c>
      <c r="O932">
        <v>1267</v>
      </c>
      <c r="P932">
        <v>1.05</v>
      </c>
      <c r="Q932">
        <v>1.33</v>
      </c>
      <c r="R932" s="97" t="s">
        <v>1204</v>
      </c>
      <c r="S932" s="97" t="s">
        <v>195</v>
      </c>
    </row>
    <row r="933" spans="1:19" x14ac:dyDescent="0.3">
      <c r="A933" s="97" t="s">
        <v>1126</v>
      </c>
      <c r="B933" s="97" t="s">
        <v>22</v>
      </c>
      <c r="C933">
        <v>2025</v>
      </c>
      <c r="D933">
        <v>2</v>
      </c>
      <c r="E933" s="2">
        <v>45690</v>
      </c>
      <c r="F933" s="97" t="s">
        <v>7</v>
      </c>
      <c r="G933" s="97" t="s">
        <v>8</v>
      </c>
      <c r="H933" s="97" t="s">
        <v>70</v>
      </c>
      <c r="I933" s="97" t="s">
        <v>71</v>
      </c>
      <c r="J933" s="97" t="s">
        <v>72</v>
      </c>
      <c r="K933" s="97" t="s">
        <v>73</v>
      </c>
      <c r="L933">
        <v>701000</v>
      </c>
      <c r="M933" s="97" t="s">
        <v>62</v>
      </c>
      <c r="N933" s="97" t="s">
        <v>33</v>
      </c>
      <c r="O933">
        <v>2604</v>
      </c>
      <c r="P933">
        <v>1.05</v>
      </c>
      <c r="Q933">
        <v>2.73</v>
      </c>
      <c r="R933" s="97" t="s">
        <v>1205</v>
      </c>
      <c r="S933" s="97" t="s">
        <v>195</v>
      </c>
    </row>
    <row r="934" spans="1:19" x14ac:dyDescent="0.3">
      <c r="A934" s="97" t="s">
        <v>1127</v>
      </c>
      <c r="B934" s="97" t="s">
        <v>22</v>
      </c>
      <c r="C934">
        <v>2025</v>
      </c>
      <c r="D934">
        <v>2</v>
      </c>
      <c r="E934" s="2">
        <v>45690</v>
      </c>
      <c r="F934" s="97" t="s">
        <v>7</v>
      </c>
      <c r="G934" s="97" t="s">
        <v>8</v>
      </c>
      <c r="H934" s="97" t="s">
        <v>70</v>
      </c>
      <c r="I934" s="97" t="s">
        <v>71</v>
      </c>
      <c r="J934" s="97" t="s">
        <v>72</v>
      </c>
      <c r="K934" s="97" t="s">
        <v>73</v>
      </c>
      <c r="L934">
        <v>701000</v>
      </c>
      <c r="M934" s="97" t="s">
        <v>62</v>
      </c>
      <c r="N934" s="97" t="s">
        <v>33</v>
      </c>
      <c r="O934">
        <v>701</v>
      </c>
      <c r="P934">
        <v>1.06</v>
      </c>
      <c r="Q934">
        <v>0.74</v>
      </c>
      <c r="R934" s="97" t="s">
        <v>1201</v>
      </c>
      <c r="S934" s="97" t="s">
        <v>195</v>
      </c>
    </row>
    <row r="935" spans="1:19" x14ac:dyDescent="0.3">
      <c r="A935" s="97" t="s">
        <v>1128</v>
      </c>
      <c r="B935" s="97" t="s">
        <v>22</v>
      </c>
      <c r="C935">
        <v>2025</v>
      </c>
      <c r="D935">
        <v>2</v>
      </c>
      <c r="E935" s="2">
        <v>45690</v>
      </c>
      <c r="F935" s="97" t="s">
        <v>7</v>
      </c>
      <c r="G935" s="97" t="s">
        <v>8</v>
      </c>
      <c r="H935" s="97" t="s">
        <v>70</v>
      </c>
      <c r="I935" s="97" t="s">
        <v>71</v>
      </c>
      <c r="J935" s="97" t="s">
        <v>72</v>
      </c>
      <c r="K935" s="97" t="s">
        <v>73</v>
      </c>
      <c r="L935">
        <v>701000</v>
      </c>
      <c r="M935" s="97" t="s">
        <v>62</v>
      </c>
      <c r="N935" s="97" t="s">
        <v>33</v>
      </c>
      <c r="O935">
        <v>3565</v>
      </c>
      <c r="P935">
        <v>1.05</v>
      </c>
      <c r="Q935">
        <v>3.74</v>
      </c>
      <c r="R935" s="97" t="s">
        <v>1203</v>
      </c>
      <c r="S935" s="97" t="s">
        <v>195</v>
      </c>
    </row>
    <row r="936" spans="1:19" x14ac:dyDescent="0.3">
      <c r="A936" s="97" t="s">
        <v>1129</v>
      </c>
      <c r="B936" s="97" t="s">
        <v>22</v>
      </c>
      <c r="C936">
        <v>2025</v>
      </c>
      <c r="D936">
        <v>2</v>
      </c>
      <c r="E936" s="2">
        <v>45690</v>
      </c>
      <c r="F936" s="97" t="s">
        <v>7</v>
      </c>
      <c r="G936" s="97" t="s">
        <v>8</v>
      </c>
      <c r="H936" s="97" t="s">
        <v>70</v>
      </c>
      <c r="I936" s="97" t="s">
        <v>71</v>
      </c>
      <c r="J936" s="97" t="s">
        <v>72</v>
      </c>
      <c r="K936" s="97" t="s">
        <v>73</v>
      </c>
      <c r="L936">
        <v>701000</v>
      </c>
      <c r="M936" s="97" t="s">
        <v>62</v>
      </c>
      <c r="N936" s="97" t="s">
        <v>33</v>
      </c>
      <c r="O936">
        <v>1214</v>
      </c>
      <c r="P936">
        <v>1.05</v>
      </c>
      <c r="Q936">
        <v>1.28</v>
      </c>
      <c r="R936" s="97" t="s">
        <v>1198</v>
      </c>
      <c r="S936" s="97" t="s">
        <v>195</v>
      </c>
    </row>
    <row r="937" spans="1:19" x14ac:dyDescent="0.3">
      <c r="A937" s="97" t="s">
        <v>1130</v>
      </c>
      <c r="B937" s="97" t="s">
        <v>22</v>
      </c>
      <c r="C937">
        <v>2025</v>
      </c>
      <c r="D937">
        <v>2</v>
      </c>
      <c r="E937" s="2">
        <v>45711</v>
      </c>
      <c r="F937" s="97" t="s">
        <v>7</v>
      </c>
      <c r="G937" s="97" t="s">
        <v>8</v>
      </c>
      <c r="H937" s="97" t="s">
        <v>74</v>
      </c>
      <c r="I937" s="97" t="s">
        <v>71</v>
      </c>
      <c r="J937" s="97" t="s">
        <v>72</v>
      </c>
      <c r="K937" s="97" t="s">
        <v>73</v>
      </c>
      <c r="L937">
        <v>701000</v>
      </c>
      <c r="M937" s="97" t="s">
        <v>62</v>
      </c>
      <c r="N937" s="97" t="s">
        <v>33</v>
      </c>
      <c r="O937">
        <v>2526</v>
      </c>
      <c r="P937">
        <v>1.05</v>
      </c>
      <c r="Q937">
        <v>2.65</v>
      </c>
      <c r="R937" s="97" t="s">
        <v>1205</v>
      </c>
      <c r="S937" s="97" t="s">
        <v>195</v>
      </c>
    </row>
    <row r="938" spans="1:19" x14ac:dyDescent="0.3">
      <c r="A938" s="97" t="s">
        <v>1131</v>
      </c>
      <c r="B938" s="97" t="s">
        <v>22</v>
      </c>
      <c r="C938">
        <v>2025</v>
      </c>
      <c r="D938">
        <v>2</v>
      </c>
      <c r="E938" s="2">
        <v>45711</v>
      </c>
      <c r="F938" s="97" t="s">
        <v>7</v>
      </c>
      <c r="G938" s="97" t="s">
        <v>8</v>
      </c>
      <c r="H938" s="97" t="s">
        <v>74</v>
      </c>
      <c r="I938" s="97" t="s">
        <v>71</v>
      </c>
      <c r="J938" s="97" t="s">
        <v>72</v>
      </c>
      <c r="K938" s="97" t="s">
        <v>73</v>
      </c>
      <c r="L938">
        <v>701000</v>
      </c>
      <c r="M938" s="97" t="s">
        <v>62</v>
      </c>
      <c r="N938" s="97" t="s">
        <v>33</v>
      </c>
      <c r="O938">
        <v>1021</v>
      </c>
      <c r="P938">
        <v>1.05</v>
      </c>
      <c r="Q938">
        <v>1.07</v>
      </c>
      <c r="R938" s="97" t="s">
        <v>1197</v>
      </c>
      <c r="S938" s="97" t="s">
        <v>195</v>
      </c>
    </row>
    <row r="939" spans="1:19" x14ac:dyDescent="0.3">
      <c r="A939" s="97" t="s">
        <v>1132</v>
      </c>
      <c r="B939" s="97" t="s">
        <v>22</v>
      </c>
      <c r="C939">
        <v>2025</v>
      </c>
      <c r="D939">
        <v>2</v>
      </c>
      <c r="E939" s="2">
        <v>45711</v>
      </c>
      <c r="F939" s="97" t="s">
        <v>7</v>
      </c>
      <c r="G939" s="97" t="s">
        <v>8</v>
      </c>
      <c r="H939" s="97" t="s">
        <v>74</v>
      </c>
      <c r="I939" s="97" t="s">
        <v>71</v>
      </c>
      <c r="J939" s="97" t="s">
        <v>72</v>
      </c>
      <c r="K939" s="97" t="s">
        <v>73</v>
      </c>
      <c r="L939">
        <v>701000</v>
      </c>
      <c r="M939" s="97" t="s">
        <v>62</v>
      </c>
      <c r="N939" s="97" t="s">
        <v>33</v>
      </c>
      <c r="O939">
        <v>1887</v>
      </c>
      <c r="P939">
        <v>1.05</v>
      </c>
      <c r="Q939">
        <v>1.98</v>
      </c>
      <c r="R939" s="97" t="s">
        <v>1202</v>
      </c>
      <c r="S939" s="97" t="s">
        <v>195</v>
      </c>
    </row>
    <row r="940" spans="1:19" x14ac:dyDescent="0.3">
      <c r="A940" s="97" t="s">
        <v>1133</v>
      </c>
      <c r="B940" s="97" t="s">
        <v>22</v>
      </c>
      <c r="C940">
        <v>2025</v>
      </c>
      <c r="D940">
        <v>2</v>
      </c>
      <c r="E940" s="2">
        <v>45711</v>
      </c>
      <c r="F940" s="97" t="s">
        <v>7</v>
      </c>
      <c r="G940" s="97" t="s">
        <v>8</v>
      </c>
      <c r="H940" s="97" t="s">
        <v>74</v>
      </c>
      <c r="I940" s="97" t="s">
        <v>71</v>
      </c>
      <c r="J940" s="97" t="s">
        <v>72</v>
      </c>
      <c r="K940" s="97" t="s">
        <v>73</v>
      </c>
      <c r="L940">
        <v>701000</v>
      </c>
      <c r="M940" s="97" t="s">
        <v>62</v>
      </c>
      <c r="N940" s="97" t="s">
        <v>33</v>
      </c>
      <c r="O940">
        <v>629</v>
      </c>
      <c r="P940">
        <v>1.05</v>
      </c>
      <c r="Q940">
        <v>0.66</v>
      </c>
      <c r="R940" s="97" t="s">
        <v>1200</v>
      </c>
      <c r="S940" s="97" t="s">
        <v>195</v>
      </c>
    </row>
    <row r="941" spans="1:19" x14ac:dyDescent="0.3">
      <c r="A941" s="97" t="s">
        <v>1134</v>
      </c>
      <c r="B941" s="97" t="s">
        <v>22</v>
      </c>
      <c r="C941">
        <v>2025</v>
      </c>
      <c r="D941">
        <v>2</v>
      </c>
      <c r="E941" s="2">
        <v>45711</v>
      </c>
      <c r="F941" s="97" t="s">
        <v>7</v>
      </c>
      <c r="G941" s="97" t="s">
        <v>8</v>
      </c>
      <c r="H941" s="97" t="s">
        <v>74</v>
      </c>
      <c r="I941" s="97" t="s">
        <v>71</v>
      </c>
      <c r="J941" s="97" t="s">
        <v>72</v>
      </c>
      <c r="K941" s="97" t="s">
        <v>73</v>
      </c>
      <c r="L941">
        <v>701000</v>
      </c>
      <c r="M941" s="97" t="s">
        <v>62</v>
      </c>
      <c r="N941" s="97" t="s">
        <v>33</v>
      </c>
      <c r="O941">
        <v>2985</v>
      </c>
      <c r="P941">
        <v>1.05</v>
      </c>
      <c r="Q941">
        <v>3.14</v>
      </c>
      <c r="R941" s="97" t="s">
        <v>1199</v>
      </c>
      <c r="S941" s="97" t="s">
        <v>195</v>
      </c>
    </row>
    <row r="942" spans="1:19" x14ac:dyDescent="0.3">
      <c r="A942" s="97" t="s">
        <v>1135</v>
      </c>
      <c r="B942" s="97" t="s">
        <v>22</v>
      </c>
      <c r="C942">
        <v>2025</v>
      </c>
      <c r="D942">
        <v>2</v>
      </c>
      <c r="E942" s="2">
        <v>45715</v>
      </c>
      <c r="F942" s="97" t="s">
        <v>7</v>
      </c>
      <c r="G942" s="97" t="s">
        <v>8</v>
      </c>
      <c r="H942" s="97" t="s">
        <v>70</v>
      </c>
      <c r="I942" s="97" t="s">
        <v>71</v>
      </c>
      <c r="J942" s="97" t="s">
        <v>72</v>
      </c>
      <c r="K942" s="97" t="s">
        <v>73</v>
      </c>
      <c r="L942">
        <v>701000</v>
      </c>
      <c r="M942" s="97" t="s">
        <v>62</v>
      </c>
      <c r="N942" s="97" t="s">
        <v>33</v>
      </c>
      <c r="O942">
        <v>1270</v>
      </c>
      <c r="P942">
        <v>1.05</v>
      </c>
      <c r="Q942">
        <v>1.33</v>
      </c>
      <c r="R942" s="97" t="s">
        <v>1205</v>
      </c>
      <c r="S942" s="97" t="s">
        <v>195</v>
      </c>
    </row>
    <row r="943" spans="1:19" x14ac:dyDescent="0.3">
      <c r="A943" s="97" t="s">
        <v>1136</v>
      </c>
      <c r="B943" s="97" t="s">
        <v>22</v>
      </c>
      <c r="C943">
        <v>2025</v>
      </c>
      <c r="D943">
        <v>2</v>
      </c>
      <c r="E943" s="2">
        <v>45715</v>
      </c>
      <c r="F943" s="97" t="s">
        <v>7</v>
      </c>
      <c r="G943" s="97" t="s">
        <v>8</v>
      </c>
      <c r="H943" s="97" t="s">
        <v>70</v>
      </c>
      <c r="I943" s="97" t="s">
        <v>71</v>
      </c>
      <c r="J943" s="97" t="s">
        <v>72</v>
      </c>
      <c r="K943" s="97" t="s">
        <v>73</v>
      </c>
      <c r="L943">
        <v>701000</v>
      </c>
      <c r="M943" s="97" t="s">
        <v>62</v>
      </c>
      <c r="N943" s="97" t="s">
        <v>33</v>
      </c>
      <c r="O943">
        <v>1339</v>
      </c>
      <c r="P943">
        <v>1.05</v>
      </c>
      <c r="Q943">
        <v>1.41</v>
      </c>
      <c r="R943" s="97" t="s">
        <v>1203</v>
      </c>
      <c r="S943" s="97" t="s">
        <v>195</v>
      </c>
    </row>
    <row r="944" spans="1:19" x14ac:dyDescent="0.3">
      <c r="A944" s="97" t="s">
        <v>1137</v>
      </c>
      <c r="B944" s="97" t="s">
        <v>22</v>
      </c>
      <c r="C944">
        <v>2025</v>
      </c>
      <c r="D944">
        <v>2</v>
      </c>
      <c r="E944" s="2">
        <v>45715</v>
      </c>
      <c r="F944" s="97" t="s">
        <v>7</v>
      </c>
      <c r="G944" s="97" t="s">
        <v>8</v>
      </c>
      <c r="H944" s="97" t="s">
        <v>70</v>
      </c>
      <c r="I944" s="97" t="s">
        <v>71</v>
      </c>
      <c r="J944" s="97" t="s">
        <v>72</v>
      </c>
      <c r="K944" s="97" t="s">
        <v>73</v>
      </c>
      <c r="L944">
        <v>701000</v>
      </c>
      <c r="M944" s="97" t="s">
        <v>62</v>
      </c>
      <c r="N944" s="97" t="s">
        <v>33</v>
      </c>
      <c r="O944">
        <v>2163</v>
      </c>
      <c r="P944">
        <v>1.05</v>
      </c>
      <c r="Q944">
        <v>2.27</v>
      </c>
      <c r="R944" s="97" t="s">
        <v>1200</v>
      </c>
      <c r="S944" s="97" t="s">
        <v>195</v>
      </c>
    </row>
    <row r="945" spans="1:19" x14ac:dyDescent="0.3">
      <c r="A945" s="97" t="s">
        <v>1138</v>
      </c>
      <c r="B945" s="97" t="s">
        <v>22</v>
      </c>
      <c r="C945">
        <v>2025</v>
      </c>
      <c r="D945">
        <v>2</v>
      </c>
      <c r="E945" s="2">
        <v>45715</v>
      </c>
      <c r="F945" s="97" t="s">
        <v>7</v>
      </c>
      <c r="G945" s="97" t="s">
        <v>8</v>
      </c>
      <c r="H945" s="97" t="s">
        <v>70</v>
      </c>
      <c r="I945" s="97" t="s">
        <v>71</v>
      </c>
      <c r="J945" s="97" t="s">
        <v>72</v>
      </c>
      <c r="K945" s="97" t="s">
        <v>73</v>
      </c>
      <c r="L945">
        <v>701000</v>
      </c>
      <c r="M945" s="97" t="s">
        <v>62</v>
      </c>
      <c r="N945" s="97" t="s">
        <v>33</v>
      </c>
      <c r="O945">
        <v>3487</v>
      </c>
      <c r="P945">
        <v>1.05</v>
      </c>
      <c r="Q945">
        <v>3.66</v>
      </c>
      <c r="R945" s="97" t="s">
        <v>1197</v>
      </c>
      <c r="S945" s="97" t="s">
        <v>195</v>
      </c>
    </row>
    <row r="946" spans="1:19" x14ac:dyDescent="0.3">
      <c r="A946" s="97" t="s">
        <v>1139</v>
      </c>
      <c r="B946" s="97" t="s">
        <v>22</v>
      </c>
      <c r="C946">
        <v>2025</v>
      </c>
      <c r="D946">
        <v>2</v>
      </c>
      <c r="E946" s="2">
        <v>45715</v>
      </c>
      <c r="F946" s="97" t="s">
        <v>7</v>
      </c>
      <c r="G946" s="97" t="s">
        <v>8</v>
      </c>
      <c r="H946" s="97" t="s">
        <v>70</v>
      </c>
      <c r="I946" s="97" t="s">
        <v>71</v>
      </c>
      <c r="J946" s="97" t="s">
        <v>72</v>
      </c>
      <c r="K946" s="97" t="s">
        <v>73</v>
      </c>
      <c r="L946">
        <v>701000</v>
      </c>
      <c r="M946" s="97" t="s">
        <v>62</v>
      </c>
      <c r="N946" s="97" t="s">
        <v>33</v>
      </c>
      <c r="O946">
        <v>1468</v>
      </c>
      <c r="P946">
        <v>1.05</v>
      </c>
      <c r="Q946">
        <v>1.54</v>
      </c>
      <c r="R946" s="97" t="s">
        <v>1204</v>
      </c>
      <c r="S946" s="97" t="s">
        <v>195</v>
      </c>
    </row>
    <row r="947" spans="1:19" x14ac:dyDescent="0.3">
      <c r="A947" s="97" t="s">
        <v>1140</v>
      </c>
      <c r="B947" s="97" t="s">
        <v>22</v>
      </c>
      <c r="C947">
        <v>2025</v>
      </c>
      <c r="D947">
        <v>2</v>
      </c>
      <c r="E947" s="2">
        <v>45694</v>
      </c>
      <c r="F947" s="97" t="s">
        <v>7</v>
      </c>
      <c r="G947" s="97" t="s">
        <v>8</v>
      </c>
      <c r="H947" s="97" t="s">
        <v>70</v>
      </c>
      <c r="I947" s="97" t="s">
        <v>71</v>
      </c>
      <c r="J947" s="97" t="s">
        <v>72</v>
      </c>
      <c r="K947" s="97" t="s">
        <v>73</v>
      </c>
      <c r="L947">
        <v>701000</v>
      </c>
      <c r="M947" s="97" t="s">
        <v>62</v>
      </c>
      <c r="N947" s="97" t="s">
        <v>33</v>
      </c>
      <c r="O947">
        <v>357</v>
      </c>
      <c r="P947">
        <v>1.04</v>
      </c>
      <c r="Q947">
        <v>0.37</v>
      </c>
      <c r="R947" s="97" t="s">
        <v>1200</v>
      </c>
      <c r="S947" s="97" t="s">
        <v>195</v>
      </c>
    </row>
    <row r="948" spans="1:19" x14ac:dyDescent="0.3">
      <c r="A948" s="97" t="s">
        <v>1141</v>
      </c>
      <c r="B948" s="97" t="s">
        <v>22</v>
      </c>
      <c r="C948">
        <v>2025</v>
      </c>
      <c r="D948">
        <v>2</v>
      </c>
      <c r="E948" s="2">
        <v>45694</v>
      </c>
      <c r="F948" s="97" t="s">
        <v>7</v>
      </c>
      <c r="G948" s="97" t="s">
        <v>8</v>
      </c>
      <c r="H948" s="97" t="s">
        <v>70</v>
      </c>
      <c r="I948" s="97" t="s">
        <v>71</v>
      </c>
      <c r="J948" s="97" t="s">
        <v>72</v>
      </c>
      <c r="K948" s="97" t="s">
        <v>73</v>
      </c>
      <c r="L948">
        <v>701000</v>
      </c>
      <c r="M948" s="97" t="s">
        <v>62</v>
      </c>
      <c r="N948" s="97" t="s">
        <v>33</v>
      </c>
      <c r="O948">
        <v>1144</v>
      </c>
      <c r="P948">
        <v>1.05</v>
      </c>
      <c r="Q948">
        <v>1.2</v>
      </c>
      <c r="R948" s="97" t="s">
        <v>1199</v>
      </c>
      <c r="S948" s="97" t="s">
        <v>195</v>
      </c>
    </row>
    <row r="949" spans="1:19" x14ac:dyDescent="0.3">
      <c r="A949" s="97" t="s">
        <v>1142</v>
      </c>
      <c r="B949" s="97" t="s">
        <v>22</v>
      </c>
      <c r="C949">
        <v>2025</v>
      </c>
      <c r="D949">
        <v>2</v>
      </c>
      <c r="E949" s="2">
        <v>45694</v>
      </c>
      <c r="F949" s="97" t="s">
        <v>7</v>
      </c>
      <c r="G949" s="97" t="s">
        <v>8</v>
      </c>
      <c r="H949" s="97" t="s">
        <v>70</v>
      </c>
      <c r="I949" s="97" t="s">
        <v>71</v>
      </c>
      <c r="J949" s="97" t="s">
        <v>72</v>
      </c>
      <c r="K949" s="97" t="s">
        <v>73</v>
      </c>
      <c r="L949">
        <v>701000</v>
      </c>
      <c r="M949" s="97" t="s">
        <v>62</v>
      </c>
      <c r="N949" s="97" t="s">
        <v>33</v>
      </c>
      <c r="O949">
        <v>734</v>
      </c>
      <c r="P949">
        <v>1.05</v>
      </c>
      <c r="Q949">
        <v>0.77</v>
      </c>
      <c r="R949" s="97" t="s">
        <v>1205</v>
      </c>
      <c r="S949" s="97" t="s">
        <v>195</v>
      </c>
    </row>
    <row r="950" spans="1:19" x14ac:dyDescent="0.3">
      <c r="A950" s="97" t="s">
        <v>1143</v>
      </c>
      <c r="B950" s="97" t="s">
        <v>22</v>
      </c>
      <c r="C950">
        <v>2025</v>
      </c>
      <c r="D950">
        <v>2</v>
      </c>
      <c r="E950" s="2">
        <v>45694</v>
      </c>
      <c r="F950" s="97" t="s">
        <v>7</v>
      </c>
      <c r="G950" s="97" t="s">
        <v>8</v>
      </c>
      <c r="H950" s="97" t="s">
        <v>70</v>
      </c>
      <c r="I950" s="97" t="s">
        <v>71</v>
      </c>
      <c r="J950" s="97" t="s">
        <v>72</v>
      </c>
      <c r="K950" s="97" t="s">
        <v>73</v>
      </c>
      <c r="L950">
        <v>701000</v>
      </c>
      <c r="M950" s="97" t="s">
        <v>62</v>
      </c>
      <c r="N950" s="97" t="s">
        <v>33</v>
      </c>
      <c r="O950">
        <v>2806</v>
      </c>
      <c r="P950">
        <v>1.05</v>
      </c>
      <c r="Q950">
        <v>2.94</v>
      </c>
      <c r="R950" s="97" t="s">
        <v>1201</v>
      </c>
      <c r="S950" s="97" t="s">
        <v>195</v>
      </c>
    </row>
    <row r="951" spans="1:19" x14ac:dyDescent="0.3">
      <c r="A951" s="97" t="s">
        <v>1144</v>
      </c>
      <c r="B951" s="97" t="s">
        <v>22</v>
      </c>
      <c r="C951">
        <v>2025</v>
      </c>
      <c r="D951">
        <v>2</v>
      </c>
      <c r="E951" s="2">
        <v>45694</v>
      </c>
      <c r="F951" s="97" t="s">
        <v>7</v>
      </c>
      <c r="G951" s="97" t="s">
        <v>8</v>
      </c>
      <c r="H951" s="97" t="s">
        <v>70</v>
      </c>
      <c r="I951" s="97" t="s">
        <v>71</v>
      </c>
      <c r="J951" s="97" t="s">
        <v>72</v>
      </c>
      <c r="K951" s="97" t="s">
        <v>73</v>
      </c>
      <c r="L951">
        <v>701000</v>
      </c>
      <c r="M951" s="97" t="s">
        <v>62</v>
      </c>
      <c r="N951" s="97" t="s">
        <v>33</v>
      </c>
      <c r="O951">
        <v>2838</v>
      </c>
      <c r="P951">
        <v>1.05</v>
      </c>
      <c r="Q951">
        <v>2.99</v>
      </c>
      <c r="R951" s="97" t="s">
        <v>1203</v>
      </c>
      <c r="S951" s="97" t="s">
        <v>195</v>
      </c>
    </row>
    <row r="952" spans="1:19" x14ac:dyDescent="0.3">
      <c r="A952" s="97" t="s">
        <v>1145</v>
      </c>
      <c r="B952" s="97" t="s">
        <v>22</v>
      </c>
      <c r="C952">
        <v>2025</v>
      </c>
      <c r="D952">
        <v>2</v>
      </c>
      <c r="E952" s="2">
        <v>45716</v>
      </c>
      <c r="F952" s="97" t="s">
        <v>7</v>
      </c>
      <c r="G952" s="97" t="s">
        <v>8</v>
      </c>
      <c r="H952" s="97" t="s">
        <v>74</v>
      </c>
      <c r="I952" s="97" t="s">
        <v>71</v>
      </c>
      <c r="J952" s="97" t="s">
        <v>72</v>
      </c>
      <c r="K952" s="97" t="s">
        <v>73</v>
      </c>
      <c r="L952">
        <v>701000</v>
      </c>
      <c r="M952" s="97" t="s">
        <v>62</v>
      </c>
      <c r="N952" s="97" t="s">
        <v>33</v>
      </c>
      <c r="O952">
        <v>1107</v>
      </c>
      <c r="P952">
        <v>1.05</v>
      </c>
      <c r="Q952">
        <v>1.1599999999999999</v>
      </c>
      <c r="R952" s="97" t="s">
        <v>1199</v>
      </c>
      <c r="S952" s="97" t="s">
        <v>195</v>
      </c>
    </row>
    <row r="953" spans="1:19" x14ac:dyDescent="0.3">
      <c r="A953" s="97" t="s">
        <v>1146</v>
      </c>
      <c r="B953" s="97" t="s">
        <v>22</v>
      </c>
      <c r="C953">
        <v>2025</v>
      </c>
      <c r="D953">
        <v>2</v>
      </c>
      <c r="E953" s="2">
        <v>45716</v>
      </c>
      <c r="F953" s="97" t="s">
        <v>7</v>
      </c>
      <c r="G953" s="97" t="s">
        <v>8</v>
      </c>
      <c r="H953" s="97" t="s">
        <v>74</v>
      </c>
      <c r="I953" s="97" t="s">
        <v>71</v>
      </c>
      <c r="J953" s="97" t="s">
        <v>72</v>
      </c>
      <c r="K953" s="97" t="s">
        <v>73</v>
      </c>
      <c r="L953">
        <v>701000</v>
      </c>
      <c r="M953" s="97" t="s">
        <v>62</v>
      </c>
      <c r="N953" s="97" t="s">
        <v>33</v>
      </c>
      <c r="O953">
        <v>2340</v>
      </c>
      <c r="P953">
        <v>1.05</v>
      </c>
      <c r="Q953">
        <v>2.46</v>
      </c>
      <c r="R953" s="97" t="s">
        <v>1205</v>
      </c>
      <c r="S953" s="97" t="s">
        <v>195</v>
      </c>
    </row>
    <row r="954" spans="1:19" x14ac:dyDescent="0.3">
      <c r="A954" s="97" t="s">
        <v>1147</v>
      </c>
      <c r="B954" s="97" t="s">
        <v>22</v>
      </c>
      <c r="C954">
        <v>2025</v>
      </c>
      <c r="D954">
        <v>2</v>
      </c>
      <c r="E954" s="2">
        <v>45716</v>
      </c>
      <c r="F954" s="97" t="s">
        <v>7</v>
      </c>
      <c r="G954" s="97" t="s">
        <v>8</v>
      </c>
      <c r="H954" s="97" t="s">
        <v>74</v>
      </c>
      <c r="I954" s="97" t="s">
        <v>71</v>
      </c>
      <c r="J954" s="97" t="s">
        <v>72</v>
      </c>
      <c r="K954" s="97" t="s">
        <v>73</v>
      </c>
      <c r="L954">
        <v>701000</v>
      </c>
      <c r="M954" s="97" t="s">
        <v>62</v>
      </c>
      <c r="N954" s="97" t="s">
        <v>33</v>
      </c>
      <c r="O954">
        <v>1125</v>
      </c>
      <c r="P954">
        <v>1.05</v>
      </c>
      <c r="Q954">
        <v>1.18</v>
      </c>
      <c r="R954" s="97" t="s">
        <v>1197</v>
      </c>
      <c r="S954" s="97" t="s">
        <v>195</v>
      </c>
    </row>
    <row r="955" spans="1:19" x14ac:dyDescent="0.3">
      <c r="A955" s="97" t="s">
        <v>1148</v>
      </c>
      <c r="B955" s="97" t="s">
        <v>22</v>
      </c>
      <c r="C955">
        <v>2025</v>
      </c>
      <c r="D955">
        <v>2</v>
      </c>
      <c r="E955" s="2">
        <v>45716</v>
      </c>
      <c r="F955" s="97" t="s">
        <v>7</v>
      </c>
      <c r="G955" s="97" t="s">
        <v>8</v>
      </c>
      <c r="H955" s="97" t="s">
        <v>74</v>
      </c>
      <c r="I955" s="97" t="s">
        <v>71</v>
      </c>
      <c r="J955" s="97" t="s">
        <v>72</v>
      </c>
      <c r="K955" s="97" t="s">
        <v>73</v>
      </c>
      <c r="L955">
        <v>701000</v>
      </c>
      <c r="M955" s="97" t="s">
        <v>62</v>
      </c>
      <c r="N955" s="97" t="s">
        <v>33</v>
      </c>
      <c r="O955">
        <v>3051</v>
      </c>
      <c r="P955">
        <v>1.05</v>
      </c>
      <c r="Q955">
        <v>3.2</v>
      </c>
      <c r="R955" s="97" t="s">
        <v>1204</v>
      </c>
      <c r="S955" s="97" t="s">
        <v>195</v>
      </c>
    </row>
    <row r="956" spans="1:19" x14ac:dyDescent="0.3">
      <c r="A956" s="97" t="s">
        <v>1149</v>
      </c>
      <c r="B956" s="97" t="s">
        <v>22</v>
      </c>
      <c r="C956">
        <v>2025</v>
      </c>
      <c r="D956">
        <v>2</v>
      </c>
      <c r="E956" s="2">
        <v>45716</v>
      </c>
      <c r="F956" s="97" t="s">
        <v>7</v>
      </c>
      <c r="G956" s="97" t="s">
        <v>8</v>
      </c>
      <c r="H956" s="97" t="s">
        <v>74</v>
      </c>
      <c r="I956" s="97" t="s">
        <v>71</v>
      </c>
      <c r="J956" s="97" t="s">
        <v>72</v>
      </c>
      <c r="K956" s="97" t="s">
        <v>73</v>
      </c>
      <c r="L956">
        <v>701000</v>
      </c>
      <c r="M956" s="97" t="s">
        <v>62</v>
      </c>
      <c r="N956" s="97" t="s">
        <v>33</v>
      </c>
      <c r="O956">
        <v>1535</v>
      </c>
      <c r="P956">
        <v>1.06</v>
      </c>
      <c r="Q956">
        <v>1.62</v>
      </c>
      <c r="R956" s="97" t="s">
        <v>1201</v>
      </c>
      <c r="S956" s="97" t="s">
        <v>195</v>
      </c>
    </row>
    <row r="957" spans="1:19" x14ac:dyDescent="0.3">
      <c r="A957" s="97" t="s">
        <v>1150</v>
      </c>
      <c r="B957" s="97" t="s">
        <v>22</v>
      </c>
      <c r="C957">
        <v>2025</v>
      </c>
      <c r="D957">
        <v>2</v>
      </c>
      <c r="E957" s="2">
        <v>45703</v>
      </c>
      <c r="F957" s="97" t="s">
        <v>7</v>
      </c>
      <c r="G957" s="97" t="s">
        <v>8</v>
      </c>
      <c r="H957" s="97" t="s">
        <v>70</v>
      </c>
      <c r="I957" s="97" t="s">
        <v>71</v>
      </c>
      <c r="J957" s="97" t="s">
        <v>72</v>
      </c>
      <c r="K957" s="97" t="s">
        <v>73</v>
      </c>
      <c r="L957">
        <v>701000</v>
      </c>
      <c r="M957" s="97" t="s">
        <v>62</v>
      </c>
      <c r="N957" s="97" t="s">
        <v>33</v>
      </c>
      <c r="O957">
        <v>1643</v>
      </c>
      <c r="P957">
        <v>1.05</v>
      </c>
      <c r="Q957">
        <v>1.72</v>
      </c>
      <c r="R957" s="97" t="s">
        <v>1198</v>
      </c>
      <c r="S957" s="97" t="s">
        <v>195</v>
      </c>
    </row>
    <row r="958" spans="1:19" x14ac:dyDescent="0.3">
      <c r="A958" s="97" t="s">
        <v>1151</v>
      </c>
      <c r="B958" s="97" t="s">
        <v>22</v>
      </c>
      <c r="C958">
        <v>2025</v>
      </c>
      <c r="D958">
        <v>2</v>
      </c>
      <c r="E958" s="2">
        <v>45703</v>
      </c>
      <c r="F958" s="97" t="s">
        <v>7</v>
      </c>
      <c r="G958" s="97" t="s">
        <v>8</v>
      </c>
      <c r="H958" s="97" t="s">
        <v>70</v>
      </c>
      <c r="I958" s="97" t="s">
        <v>71</v>
      </c>
      <c r="J958" s="97" t="s">
        <v>72</v>
      </c>
      <c r="K958" s="97" t="s">
        <v>73</v>
      </c>
      <c r="L958">
        <v>701000</v>
      </c>
      <c r="M958" s="97" t="s">
        <v>62</v>
      </c>
      <c r="N958" s="97" t="s">
        <v>33</v>
      </c>
      <c r="O958">
        <v>1897</v>
      </c>
      <c r="P958">
        <v>1.05</v>
      </c>
      <c r="Q958">
        <v>1.99</v>
      </c>
      <c r="R958" s="97" t="s">
        <v>1204</v>
      </c>
      <c r="S958" s="97" t="s">
        <v>195</v>
      </c>
    </row>
    <row r="959" spans="1:19" x14ac:dyDescent="0.3">
      <c r="A959" s="97" t="s">
        <v>1152</v>
      </c>
      <c r="B959" s="97" t="s">
        <v>22</v>
      </c>
      <c r="C959">
        <v>2025</v>
      </c>
      <c r="D959">
        <v>2</v>
      </c>
      <c r="E959" s="2">
        <v>45703</v>
      </c>
      <c r="F959" s="97" t="s">
        <v>7</v>
      </c>
      <c r="G959" s="97" t="s">
        <v>8</v>
      </c>
      <c r="H959" s="97" t="s">
        <v>70</v>
      </c>
      <c r="I959" s="97" t="s">
        <v>71</v>
      </c>
      <c r="J959" s="97" t="s">
        <v>72</v>
      </c>
      <c r="K959" s="97" t="s">
        <v>73</v>
      </c>
      <c r="L959">
        <v>701000</v>
      </c>
      <c r="M959" s="97" t="s">
        <v>62</v>
      </c>
      <c r="N959" s="97" t="s">
        <v>33</v>
      </c>
      <c r="O959">
        <v>800</v>
      </c>
      <c r="P959">
        <v>1.05</v>
      </c>
      <c r="Q959">
        <v>0.84</v>
      </c>
      <c r="R959" s="97" t="s">
        <v>1199</v>
      </c>
      <c r="S959" s="97" t="s">
        <v>195</v>
      </c>
    </row>
    <row r="960" spans="1:19" x14ac:dyDescent="0.3">
      <c r="A960" s="97" t="s">
        <v>1153</v>
      </c>
      <c r="B960" s="97" t="s">
        <v>22</v>
      </c>
      <c r="C960">
        <v>2025</v>
      </c>
      <c r="D960">
        <v>2</v>
      </c>
      <c r="E960" s="2">
        <v>45703</v>
      </c>
      <c r="F960" s="97" t="s">
        <v>7</v>
      </c>
      <c r="G960" s="97" t="s">
        <v>8</v>
      </c>
      <c r="H960" s="97" t="s">
        <v>70</v>
      </c>
      <c r="I960" s="97" t="s">
        <v>71</v>
      </c>
      <c r="J960" s="97" t="s">
        <v>72</v>
      </c>
      <c r="K960" s="97" t="s">
        <v>73</v>
      </c>
      <c r="L960">
        <v>701000</v>
      </c>
      <c r="M960" s="97" t="s">
        <v>62</v>
      </c>
      <c r="N960" s="97" t="s">
        <v>33</v>
      </c>
      <c r="O960">
        <v>2527</v>
      </c>
      <c r="P960">
        <v>1.05</v>
      </c>
      <c r="Q960">
        <v>2.65</v>
      </c>
      <c r="R960" s="97" t="s">
        <v>1205</v>
      </c>
      <c r="S960" s="97" t="s">
        <v>195</v>
      </c>
    </row>
    <row r="961" spans="1:19" x14ac:dyDescent="0.3">
      <c r="A961" s="97" t="s">
        <v>1154</v>
      </c>
      <c r="B961" s="97" t="s">
        <v>22</v>
      </c>
      <c r="C961">
        <v>2025</v>
      </c>
      <c r="D961">
        <v>2</v>
      </c>
      <c r="E961" s="2">
        <v>45703</v>
      </c>
      <c r="F961" s="97" t="s">
        <v>7</v>
      </c>
      <c r="G961" s="97" t="s">
        <v>8</v>
      </c>
      <c r="H961" s="97" t="s">
        <v>70</v>
      </c>
      <c r="I961" s="97" t="s">
        <v>71</v>
      </c>
      <c r="J961" s="97" t="s">
        <v>72</v>
      </c>
      <c r="K961" s="97" t="s">
        <v>73</v>
      </c>
      <c r="L961">
        <v>701000</v>
      </c>
      <c r="M961" s="97" t="s">
        <v>62</v>
      </c>
      <c r="N961" s="97" t="s">
        <v>33</v>
      </c>
      <c r="O961">
        <v>1546</v>
      </c>
      <c r="P961">
        <v>1.05</v>
      </c>
      <c r="Q961">
        <v>1.63</v>
      </c>
      <c r="R961" s="97" t="s">
        <v>1200</v>
      </c>
      <c r="S961" s="97" t="s">
        <v>195</v>
      </c>
    </row>
    <row r="962" spans="1:19" x14ac:dyDescent="0.3">
      <c r="A962" s="97" t="s">
        <v>1155</v>
      </c>
      <c r="B962" s="97" t="s">
        <v>22</v>
      </c>
      <c r="C962">
        <v>2025</v>
      </c>
      <c r="D962">
        <v>2</v>
      </c>
      <c r="E962" s="2">
        <v>45705</v>
      </c>
      <c r="F962" s="97" t="s">
        <v>7</v>
      </c>
      <c r="G962" s="97" t="s">
        <v>8</v>
      </c>
      <c r="H962" s="97" t="s">
        <v>74</v>
      </c>
      <c r="I962" s="97" t="s">
        <v>71</v>
      </c>
      <c r="J962" s="97" t="s">
        <v>72</v>
      </c>
      <c r="K962" s="97" t="s">
        <v>73</v>
      </c>
      <c r="L962">
        <v>701000</v>
      </c>
      <c r="M962" s="97" t="s">
        <v>62</v>
      </c>
      <c r="N962" s="97" t="s">
        <v>33</v>
      </c>
      <c r="O962">
        <v>1860</v>
      </c>
      <c r="P962">
        <v>1.05</v>
      </c>
      <c r="Q962">
        <v>1.95</v>
      </c>
      <c r="R962" s="97" t="s">
        <v>1204</v>
      </c>
      <c r="S962" s="97" t="s">
        <v>195</v>
      </c>
    </row>
    <row r="963" spans="1:19" x14ac:dyDescent="0.3">
      <c r="A963" s="97" t="s">
        <v>1156</v>
      </c>
      <c r="B963" s="97" t="s">
        <v>22</v>
      </c>
      <c r="C963">
        <v>2025</v>
      </c>
      <c r="D963">
        <v>2</v>
      </c>
      <c r="E963" s="2">
        <v>45705</v>
      </c>
      <c r="F963" s="97" t="s">
        <v>7</v>
      </c>
      <c r="G963" s="97" t="s">
        <v>8</v>
      </c>
      <c r="H963" s="97" t="s">
        <v>74</v>
      </c>
      <c r="I963" s="97" t="s">
        <v>71</v>
      </c>
      <c r="J963" s="97" t="s">
        <v>72</v>
      </c>
      <c r="K963" s="97" t="s">
        <v>73</v>
      </c>
      <c r="L963">
        <v>701000</v>
      </c>
      <c r="M963" s="97" t="s">
        <v>62</v>
      </c>
      <c r="N963" s="97" t="s">
        <v>33</v>
      </c>
      <c r="O963">
        <v>2785</v>
      </c>
      <c r="P963">
        <v>1.05</v>
      </c>
      <c r="Q963">
        <v>2.93</v>
      </c>
      <c r="R963" s="97" t="s">
        <v>1198</v>
      </c>
      <c r="S963" s="97" t="s">
        <v>195</v>
      </c>
    </row>
    <row r="964" spans="1:19" x14ac:dyDescent="0.3">
      <c r="A964" s="97" t="s">
        <v>1157</v>
      </c>
      <c r="B964" s="97" t="s">
        <v>22</v>
      </c>
      <c r="C964">
        <v>2025</v>
      </c>
      <c r="D964">
        <v>2</v>
      </c>
      <c r="E964" s="2">
        <v>45705</v>
      </c>
      <c r="F964" s="97" t="s">
        <v>7</v>
      </c>
      <c r="G964" s="97" t="s">
        <v>8</v>
      </c>
      <c r="H964" s="97" t="s">
        <v>74</v>
      </c>
      <c r="I964" s="97" t="s">
        <v>71</v>
      </c>
      <c r="J964" s="97" t="s">
        <v>72</v>
      </c>
      <c r="K964" s="97" t="s">
        <v>73</v>
      </c>
      <c r="L964">
        <v>701000</v>
      </c>
      <c r="M964" s="97" t="s">
        <v>62</v>
      </c>
      <c r="N964" s="97" t="s">
        <v>33</v>
      </c>
      <c r="O964">
        <v>1117</v>
      </c>
      <c r="P964">
        <v>1.05</v>
      </c>
      <c r="Q964">
        <v>1.17</v>
      </c>
      <c r="R964" s="97" t="s">
        <v>1200</v>
      </c>
      <c r="S964" s="97" t="s">
        <v>195</v>
      </c>
    </row>
    <row r="965" spans="1:19" x14ac:dyDescent="0.3">
      <c r="A965" s="97" t="s">
        <v>1158</v>
      </c>
      <c r="B965" s="97" t="s">
        <v>22</v>
      </c>
      <c r="C965">
        <v>2025</v>
      </c>
      <c r="D965">
        <v>2</v>
      </c>
      <c r="E965" s="2">
        <v>45705</v>
      </c>
      <c r="F965" s="97" t="s">
        <v>7</v>
      </c>
      <c r="G965" s="97" t="s">
        <v>8</v>
      </c>
      <c r="H965" s="97" t="s">
        <v>74</v>
      </c>
      <c r="I965" s="97" t="s">
        <v>71</v>
      </c>
      <c r="J965" s="97" t="s">
        <v>72</v>
      </c>
      <c r="K965" s="97" t="s">
        <v>73</v>
      </c>
      <c r="L965">
        <v>701000</v>
      </c>
      <c r="M965" s="97" t="s">
        <v>62</v>
      </c>
      <c r="N965" s="97" t="s">
        <v>33</v>
      </c>
      <c r="O965">
        <v>1244</v>
      </c>
      <c r="P965">
        <v>1.05</v>
      </c>
      <c r="Q965">
        <v>1.31</v>
      </c>
      <c r="R965" s="97" t="s">
        <v>1199</v>
      </c>
      <c r="S965" s="97" t="s">
        <v>195</v>
      </c>
    </row>
    <row r="966" spans="1:19" x14ac:dyDescent="0.3">
      <c r="A966" s="97" t="s">
        <v>1159</v>
      </c>
      <c r="B966" s="97" t="s">
        <v>22</v>
      </c>
      <c r="C966">
        <v>2025</v>
      </c>
      <c r="D966">
        <v>2</v>
      </c>
      <c r="E966" s="2">
        <v>45705</v>
      </c>
      <c r="F966" s="97" t="s">
        <v>7</v>
      </c>
      <c r="G966" s="97" t="s">
        <v>8</v>
      </c>
      <c r="H966" s="97" t="s">
        <v>74</v>
      </c>
      <c r="I966" s="97" t="s">
        <v>71</v>
      </c>
      <c r="J966" s="97" t="s">
        <v>72</v>
      </c>
      <c r="K966" s="97" t="s">
        <v>73</v>
      </c>
      <c r="L966">
        <v>701000</v>
      </c>
      <c r="M966" s="97" t="s">
        <v>62</v>
      </c>
      <c r="N966" s="97" t="s">
        <v>33</v>
      </c>
      <c r="O966">
        <v>2507</v>
      </c>
      <c r="P966">
        <v>1.05</v>
      </c>
      <c r="Q966">
        <v>2.63</v>
      </c>
      <c r="R966" s="97" t="s">
        <v>1203</v>
      </c>
      <c r="S966" s="97" t="s">
        <v>195</v>
      </c>
    </row>
    <row r="967" spans="1:19" x14ac:dyDescent="0.3">
      <c r="A967" s="97" t="s">
        <v>1160</v>
      </c>
      <c r="B967" s="97" t="s">
        <v>22</v>
      </c>
      <c r="C967">
        <v>2025</v>
      </c>
      <c r="D967">
        <v>2</v>
      </c>
      <c r="E967" s="2">
        <v>45698</v>
      </c>
      <c r="F967" s="97" t="s">
        <v>7</v>
      </c>
      <c r="G967" s="97" t="s">
        <v>8</v>
      </c>
      <c r="H967" s="97" t="s">
        <v>70</v>
      </c>
      <c r="I967" s="97" t="s">
        <v>71</v>
      </c>
      <c r="J967" s="97" t="s">
        <v>72</v>
      </c>
      <c r="K967" s="97" t="s">
        <v>73</v>
      </c>
      <c r="L967">
        <v>701000</v>
      </c>
      <c r="M967" s="97" t="s">
        <v>62</v>
      </c>
      <c r="N967" s="97" t="s">
        <v>33</v>
      </c>
      <c r="O967">
        <v>2884</v>
      </c>
      <c r="P967">
        <v>1.05</v>
      </c>
      <c r="Q967">
        <v>3.03</v>
      </c>
      <c r="R967" s="97" t="s">
        <v>1200</v>
      </c>
      <c r="S967" s="97" t="s">
        <v>195</v>
      </c>
    </row>
    <row r="968" spans="1:19" x14ac:dyDescent="0.3">
      <c r="A968" s="97" t="s">
        <v>1161</v>
      </c>
      <c r="B968" s="97" t="s">
        <v>22</v>
      </c>
      <c r="C968">
        <v>2025</v>
      </c>
      <c r="D968">
        <v>2</v>
      </c>
      <c r="E968" s="2">
        <v>45698</v>
      </c>
      <c r="F968" s="97" t="s">
        <v>7</v>
      </c>
      <c r="G968" s="97" t="s">
        <v>8</v>
      </c>
      <c r="H968" s="97" t="s">
        <v>70</v>
      </c>
      <c r="I968" s="97" t="s">
        <v>71</v>
      </c>
      <c r="J968" s="97" t="s">
        <v>72</v>
      </c>
      <c r="K968" s="97" t="s">
        <v>73</v>
      </c>
      <c r="L968">
        <v>701000</v>
      </c>
      <c r="M968" s="97" t="s">
        <v>62</v>
      </c>
      <c r="N968" s="97" t="s">
        <v>33</v>
      </c>
      <c r="O968">
        <v>252</v>
      </c>
      <c r="P968">
        <v>1.03</v>
      </c>
      <c r="Q968">
        <v>0.26</v>
      </c>
      <c r="R968" s="97" t="s">
        <v>1198</v>
      </c>
      <c r="S968" s="97" t="s">
        <v>195</v>
      </c>
    </row>
    <row r="969" spans="1:19" x14ac:dyDescent="0.3">
      <c r="A969" s="97" t="s">
        <v>1162</v>
      </c>
      <c r="B969" s="97" t="s">
        <v>22</v>
      </c>
      <c r="C969">
        <v>2025</v>
      </c>
      <c r="D969">
        <v>2</v>
      </c>
      <c r="E969" s="2">
        <v>45698</v>
      </c>
      <c r="F969" s="97" t="s">
        <v>7</v>
      </c>
      <c r="G969" s="97" t="s">
        <v>8</v>
      </c>
      <c r="H969" s="97" t="s">
        <v>70</v>
      </c>
      <c r="I969" s="97" t="s">
        <v>71</v>
      </c>
      <c r="J969" s="97" t="s">
        <v>72</v>
      </c>
      <c r="K969" s="97" t="s">
        <v>73</v>
      </c>
      <c r="L969">
        <v>701000</v>
      </c>
      <c r="M969" s="97" t="s">
        <v>62</v>
      </c>
      <c r="N969" s="97" t="s">
        <v>33</v>
      </c>
      <c r="O969">
        <v>2283</v>
      </c>
      <c r="P969">
        <v>1.05</v>
      </c>
      <c r="Q969">
        <v>2.4</v>
      </c>
      <c r="R969" s="97" t="s">
        <v>1204</v>
      </c>
      <c r="S969" s="97" t="s">
        <v>195</v>
      </c>
    </row>
    <row r="970" spans="1:19" x14ac:dyDescent="0.3">
      <c r="A970" s="97" t="s">
        <v>1163</v>
      </c>
      <c r="B970" s="97" t="s">
        <v>22</v>
      </c>
      <c r="C970">
        <v>2025</v>
      </c>
      <c r="D970">
        <v>2</v>
      </c>
      <c r="E970" s="2">
        <v>45698</v>
      </c>
      <c r="F970" s="97" t="s">
        <v>7</v>
      </c>
      <c r="G970" s="97" t="s">
        <v>8</v>
      </c>
      <c r="H970" s="97" t="s">
        <v>70</v>
      </c>
      <c r="I970" s="97" t="s">
        <v>71</v>
      </c>
      <c r="J970" s="97" t="s">
        <v>72</v>
      </c>
      <c r="K970" s="97" t="s">
        <v>73</v>
      </c>
      <c r="L970">
        <v>701000</v>
      </c>
      <c r="M970" s="97" t="s">
        <v>62</v>
      </c>
      <c r="N970" s="97" t="s">
        <v>33</v>
      </c>
      <c r="O970">
        <v>3149</v>
      </c>
      <c r="P970">
        <v>1.05</v>
      </c>
      <c r="Q970">
        <v>3.31</v>
      </c>
      <c r="R970" s="97" t="s">
        <v>1197</v>
      </c>
      <c r="S970" s="97" t="s">
        <v>195</v>
      </c>
    </row>
    <row r="971" spans="1:19" x14ac:dyDescent="0.3">
      <c r="A971" s="97" t="s">
        <v>1164</v>
      </c>
      <c r="B971" s="97" t="s">
        <v>22</v>
      </c>
      <c r="C971">
        <v>2025</v>
      </c>
      <c r="D971">
        <v>2</v>
      </c>
      <c r="E971" s="2">
        <v>45698</v>
      </c>
      <c r="F971" s="97" t="s">
        <v>7</v>
      </c>
      <c r="G971" s="97" t="s">
        <v>8</v>
      </c>
      <c r="H971" s="97" t="s">
        <v>70</v>
      </c>
      <c r="I971" s="97" t="s">
        <v>71</v>
      </c>
      <c r="J971" s="97" t="s">
        <v>72</v>
      </c>
      <c r="K971" s="97" t="s">
        <v>73</v>
      </c>
      <c r="L971">
        <v>701000</v>
      </c>
      <c r="M971" s="97" t="s">
        <v>62</v>
      </c>
      <c r="N971" s="97" t="s">
        <v>33</v>
      </c>
      <c r="O971">
        <v>1226</v>
      </c>
      <c r="P971">
        <v>1.04</v>
      </c>
      <c r="Q971">
        <v>1.28</v>
      </c>
      <c r="R971" s="97" t="s">
        <v>1205</v>
      </c>
      <c r="S971" s="97" t="s">
        <v>195</v>
      </c>
    </row>
    <row r="972" spans="1:19" x14ac:dyDescent="0.3">
      <c r="A972" s="97" t="s">
        <v>1165</v>
      </c>
      <c r="B972" s="97" t="s">
        <v>22</v>
      </c>
      <c r="C972">
        <v>2025</v>
      </c>
      <c r="D972">
        <v>2</v>
      </c>
      <c r="E972" s="2">
        <v>45716</v>
      </c>
      <c r="F972" s="97" t="s">
        <v>7</v>
      </c>
      <c r="G972" s="97" t="s">
        <v>8</v>
      </c>
      <c r="H972" s="97" t="s">
        <v>74</v>
      </c>
      <c r="I972" s="97" t="s">
        <v>71</v>
      </c>
      <c r="J972" s="97" t="s">
        <v>72</v>
      </c>
      <c r="K972" s="97" t="s">
        <v>73</v>
      </c>
      <c r="L972">
        <v>701000</v>
      </c>
      <c r="M972" s="97" t="s">
        <v>62</v>
      </c>
      <c r="N972" s="97" t="s">
        <v>33</v>
      </c>
      <c r="O972">
        <v>2269</v>
      </c>
      <c r="P972">
        <v>1.05</v>
      </c>
      <c r="Q972">
        <v>2.38</v>
      </c>
      <c r="R972" s="97" t="s">
        <v>1202</v>
      </c>
      <c r="S972" s="97" t="s">
        <v>195</v>
      </c>
    </row>
    <row r="973" spans="1:19" x14ac:dyDescent="0.3">
      <c r="A973" s="97" t="s">
        <v>1166</v>
      </c>
      <c r="B973" s="97" t="s">
        <v>22</v>
      </c>
      <c r="C973">
        <v>2025</v>
      </c>
      <c r="D973">
        <v>2</v>
      </c>
      <c r="E973" s="2">
        <v>45716</v>
      </c>
      <c r="F973" s="97" t="s">
        <v>7</v>
      </c>
      <c r="G973" s="97" t="s">
        <v>8</v>
      </c>
      <c r="H973" s="97" t="s">
        <v>74</v>
      </c>
      <c r="I973" s="97" t="s">
        <v>71</v>
      </c>
      <c r="J973" s="97" t="s">
        <v>72</v>
      </c>
      <c r="K973" s="97" t="s">
        <v>73</v>
      </c>
      <c r="L973">
        <v>701000</v>
      </c>
      <c r="M973" s="97" t="s">
        <v>62</v>
      </c>
      <c r="N973" s="97" t="s">
        <v>33</v>
      </c>
      <c r="O973">
        <v>1857</v>
      </c>
      <c r="P973">
        <v>1.05</v>
      </c>
      <c r="Q973">
        <v>1.95</v>
      </c>
      <c r="R973" s="97" t="s">
        <v>1197</v>
      </c>
      <c r="S973" s="97" t="s">
        <v>195</v>
      </c>
    </row>
    <row r="974" spans="1:19" x14ac:dyDescent="0.3">
      <c r="A974" s="97" t="s">
        <v>1167</v>
      </c>
      <c r="B974" s="97" t="s">
        <v>22</v>
      </c>
      <c r="C974">
        <v>2025</v>
      </c>
      <c r="D974">
        <v>2</v>
      </c>
      <c r="E974" s="2">
        <v>45716</v>
      </c>
      <c r="F974" s="97" t="s">
        <v>7</v>
      </c>
      <c r="G974" s="97" t="s">
        <v>8</v>
      </c>
      <c r="H974" s="97" t="s">
        <v>74</v>
      </c>
      <c r="I974" s="97" t="s">
        <v>71</v>
      </c>
      <c r="J974" s="97" t="s">
        <v>72</v>
      </c>
      <c r="K974" s="97" t="s">
        <v>73</v>
      </c>
      <c r="L974">
        <v>701000</v>
      </c>
      <c r="M974" s="97" t="s">
        <v>62</v>
      </c>
      <c r="N974" s="97" t="s">
        <v>33</v>
      </c>
      <c r="O974">
        <v>1646</v>
      </c>
      <c r="P974">
        <v>1.05</v>
      </c>
      <c r="Q974">
        <v>1.73</v>
      </c>
      <c r="R974" s="97" t="s">
        <v>1199</v>
      </c>
      <c r="S974" s="97" t="s">
        <v>195</v>
      </c>
    </row>
    <row r="975" spans="1:19" x14ac:dyDescent="0.3">
      <c r="A975" s="97" t="s">
        <v>1168</v>
      </c>
      <c r="B975" s="97" t="s">
        <v>22</v>
      </c>
      <c r="C975">
        <v>2025</v>
      </c>
      <c r="D975">
        <v>2</v>
      </c>
      <c r="E975" s="2">
        <v>45716</v>
      </c>
      <c r="F975" s="97" t="s">
        <v>7</v>
      </c>
      <c r="G975" s="97" t="s">
        <v>8</v>
      </c>
      <c r="H975" s="97" t="s">
        <v>74</v>
      </c>
      <c r="I975" s="97" t="s">
        <v>71</v>
      </c>
      <c r="J975" s="97" t="s">
        <v>72</v>
      </c>
      <c r="K975" s="97" t="s">
        <v>73</v>
      </c>
      <c r="L975">
        <v>701000</v>
      </c>
      <c r="M975" s="97" t="s">
        <v>62</v>
      </c>
      <c r="N975" s="97" t="s">
        <v>33</v>
      </c>
      <c r="O975">
        <v>3922</v>
      </c>
      <c r="P975">
        <v>1.05</v>
      </c>
      <c r="Q975">
        <v>4.12</v>
      </c>
      <c r="R975" s="97" t="s">
        <v>1201</v>
      </c>
      <c r="S975" s="97" t="s">
        <v>195</v>
      </c>
    </row>
    <row r="976" spans="1:19" x14ac:dyDescent="0.3">
      <c r="A976" s="97" t="s">
        <v>1169</v>
      </c>
      <c r="B976" s="97" t="s">
        <v>22</v>
      </c>
      <c r="C976">
        <v>2025</v>
      </c>
      <c r="D976">
        <v>2</v>
      </c>
      <c r="E976" s="2">
        <v>45716</v>
      </c>
      <c r="F976" s="97" t="s">
        <v>7</v>
      </c>
      <c r="G976" s="97" t="s">
        <v>8</v>
      </c>
      <c r="H976" s="97" t="s">
        <v>74</v>
      </c>
      <c r="I976" s="97" t="s">
        <v>71</v>
      </c>
      <c r="J976" s="97" t="s">
        <v>72</v>
      </c>
      <c r="K976" s="97" t="s">
        <v>73</v>
      </c>
      <c r="L976">
        <v>701000</v>
      </c>
      <c r="M976" s="97" t="s">
        <v>62</v>
      </c>
      <c r="N976" s="97" t="s">
        <v>33</v>
      </c>
      <c r="O976">
        <v>765</v>
      </c>
      <c r="P976">
        <v>1.05</v>
      </c>
      <c r="Q976">
        <v>0.8</v>
      </c>
      <c r="R976" s="97" t="s">
        <v>1205</v>
      </c>
      <c r="S976" s="97" t="s">
        <v>195</v>
      </c>
    </row>
    <row r="977" spans="1:19" x14ac:dyDescent="0.3">
      <c r="A977" s="97" t="s">
        <v>1170</v>
      </c>
      <c r="B977" s="97" t="s">
        <v>22</v>
      </c>
      <c r="C977">
        <v>2025</v>
      </c>
      <c r="D977">
        <v>2</v>
      </c>
      <c r="E977" s="2">
        <v>45714</v>
      </c>
      <c r="F977" s="97" t="s">
        <v>7</v>
      </c>
      <c r="G977" s="97" t="s">
        <v>8</v>
      </c>
      <c r="H977" s="97" t="s">
        <v>74</v>
      </c>
      <c r="I977" s="97" t="s">
        <v>71</v>
      </c>
      <c r="J977" s="97" t="s">
        <v>72</v>
      </c>
      <c r="K977" s="97" t="s">
        <v>73</v>
      </c>
      <c r="L977">
        <v>701000</v>
      </c>
      <c r="M977" s="97" t="s">
        <v>62</v>
      </c>
      <c r="N977" s="97" t="s">
        <v>33</v>
      </c>
      <c r="O977">
        <v>837</v>
      </c>
      <c r="P977">
        <v>1.05</v>
      </c>
      <c r="Q977">
        <v>0.88</v>
      </c>
      <c r="R977" s="97" t="s">
        <v>1204</v>
      </c>
      <c r="S977" s="97" t="s">
        <v>195</v>
      </c>
    </row>
    <row r="978" spans="1:19" x14ac:dyDescent="0.3">
      <c r="A978" s="97" t="s">
        <v>1171</v>
      </c>
      <c r="B978" s="97" t="s">
        <v>22</v>
      </c>
      <c r="C978">
        <v>2025</v>
      </c>
      <c r="D978">
        <v>2</v>
      </c>
      <c r="E978" s="2">
        <v>45714</v>
      </c>
      <c r="F978" s="97" t="s">
        <v>7</v>
      </c>
      <c r="G978" s="97" t="s">
        <v>8</v>
      </c>
      <c r="H978" s="97" t="s">
        <v>74</v>
      </c>
      <c r="I978" s="97" t="s">
        <v>71</v>
      </c>
      <c r="J978" s="97" t="s">
        <v>72</v>
      </c>
      <c r="K978" s="97" t="s">
        <v>73</v>
      </c>
      <c r="L978">
        <v>701000</v>
      </c>
      <c r="M978" s="97" t="s">
        <v>62</v>
      </c>
      <c r="N978" s="97" t="s">
        <v>33</v>
      </c>
      <c r="O978">
        <v>1887</v>
      </c>
      <c r="P978">
        <v>1.05</v>
      </c>
      <c r="Q978">
        <v>1.98</v>
      </c>
      <c r="R978" s="97" t="s">
        <v>1197</v>
      </c>
      <c r="S978" s="97" t="s">
        <v>195</v>
      </c>
    </row>
    <row r="979" spans="1:19" x14ac:dyDescent="0.3">
      <c r="A979" s="97" t="s">
        <v>1172</v>
      </c>
      <c r="B979" s="97" t="s">
        <v>22</v>
      </c>
      <c r="C979">
        <v>2025</v>
      </c>
      <c r="D979">
        <v>2</v>
      </c>
      <c r="E979" s="2">
        <v>45714</v>
      </c>
      <c r="F979" s="97" t="s">
        <v>7</v>
      </c>
      <c r="G979" s="97" t="s">
        <v>8</v>
      </c>
      <c r="H979" s="97" t="s">
        <v>74</v>
      </c>
      <c r="I979" s="97" t="s">
        <v>71</v>
      </c>
      <c r="J979" s="97" t="s">
        <v>72</v>
      </c>
      <c r="K979" s="97" t="s">
        <v>73</v>
      </c>
      <c r="L979">
        <v>701000</v>
      </c>
      <c r="M979" s="97" t="s">
        <v>62</v>
      </c>
      <c r="N979" s="97" t="s">
        <v>33</v>
      </c>
      <c r="O979">
        <v>1406</v>
      </c>
      <c r="P979">
        <v>1.05</v>
      </c>
      <c r="Q979">
        <v>1.48</v>
      </c>
      <c r="R979" s="97" t="s">
        <v>1199</v>
      </c>
      <c r="S979" s="97" t="s">
        <v>195</v>
      </c>
    </row>
    <row r="980" spans="1:19" x14ac:dyDescent="0.3">
      <c r="A980" s="97" t="s">
        <v>1173</v>
      </c>
      <c r="B980" s="97" t="s">
        <v>22</v>
      </c>
      <c r="C980">
        <v>2025</v>
      </c>
      <c r="D980">
        <v>2</v>
      </c>
      <c r="E980" s="2">
        <v>45714</v>
      </c>
      <c r="F980" s="97" t="s">
        <v>7</v>
      </c>
      <c r="G980" s="97" t="s">
        <v>8</v>
      </c>
      <c r="H980" s="97" t="s">
        <v>74</v>
      </c>
      <c r="I980" s="97" t="s">
        <v>71</v>
      </c>
      <c r="J980" s="97" t="s">
        <v>72</v>
      </c>
      <c r="K980" s="97" t="s">
        <v>73</v>
      </c>
      <c r="L980">
        <v>701000</v>
      </c>
      <c r="M980" s="97" t="s">
        <v>62</v>
      </c>
      <c r="N980" s="97" t="s">
        <v>33</v>
      </c>
      <c r="O980">
        <v>2985</v>
      </c>
      <c r="P980">
        <v>1.05</v>
      </c>
      <c r="Q980">
        <v>3.13</v>
      </c>
      <c r="R980" s="97" t="s">
        <v>1205</v>
      </c>
      <c r="S980" s="97" t="s">
        <v>195</v>
      </c>
    </row>
    <row r="981" spans="1:19" x14ac:dyDescent="0.3">
      <c r="A981" s="97" t="s">
        <v>1174</v>
      </c>
      <c r="B981" s="97" t="s">
        <v>22</v>
      </c>
      <c r="C981">
        <v>2025</v>
      </c>
      <c r="D981">
        <v>2</v>
      </c>
      <c r="E981" s="2">
        <v>45714</v>
      </c>
      <c r="F981" s="97" t="s">
        <v>7</v>
      </c>
      <c r="G981" s="97" t="s">
        <v>8</v>
      </c>
      <c r="H981" s="97" t="s">
        <v>74</v>
      </c>
      <c r="I981" s="97" t="s">
        <v>71</v>
      </c>
      <c r="J981" s="97" t="s">
        <v>72</v>
      </c>
      <c r="K981" s="97" t="s">
        <v>73</v>
      </c>
      <c r="L981">
        <v>701000</v>
      </c>
      <c r="M981" s="97" t="s">
        <v>62</v>
      </c>
      <c r="N981" s="97" t="s">
        <v>33</v>
      </c>
      <c r="O981">
        <v>1049</v>
      </c>
      <c r="P981">
        <v>1.05</v>
      </c>
      <c r="Q981">
        <v>1.1000000000000001</v>
      </c>
      <c r="R981" s="97" t="s">
        <v>1201</v>
      </c>
      <c r="S981" s="97" t="s">
        <v>195</v>
      </c>
    </row>
    <row r="982" spans="1:19" x14ac:dyDescent="0.3">
      <c r="A982" s="97" t="s">
        <v>1175</v>
      </c>
      <c r="B982" s="97" t="s">
        <v>22</v>
      </c>
      <c r="C982">
        <v>2025</v>
      </c>
      <c r="D982">
        <v>2</v>
      </c>
      <c r="E982" s="2">
        <v>45692</v>
      </c>
      <c r="F982" s="97" t="s">
        <v>7</v>
      </c>
      <c r="G982" s="97" t="s">
        <v>8</v>
      </c>
      <c r="H982" s="97" t="s">
        <v>74</v>
      </c>
      <c r="I982" s="97" t="s">
        <v>71</v>
      </c>
      <c r="J982" s="97" t="s">
        <v>72</v>
      </c>
      <c r="K982" s="97" t="s">
        <v>73</v>
      </c>
      <c r="L982">
        <v>701000</v>
      </c>
      <c r="M982" s="97" t="s">
        <v>62</v>
      </c>
      <c r="N982" s="97" t="s">
        <v>33</v>
      </c>
      <c r="O982">
        <v>3101</v>
      </c>
      <c r="P982">
        <v>1.05</v>
      </c>
      <c r="Q982">
        <v>3.26</v>
      </c>
      <c r="R982" s="97" t="s">
        <v>1198</v>
      </c>
      <c r="S982" s="97" t="s">
        <v>195</v>
      </c>
    </row>
    <row r="983" spans="1:19" x14ac:dyDescent="0.3">
      <c r="A983" s="97" t="s">
        <v>1176</v>
      </c>
      <c r="B983" s="97" t="s">
        <v>22</v>
      </c>
      <c r="C983">
        <v>2025</v>
      </c>
      <c r="D983">
        <v>2</v>
      </c>
      <c r="E983" s="2">
        <v>45692</v>
      </c>
      <c r="F983" s="97" t="s">
        <v>7</v>
      </c>
      <c r="G983" s="97" t="s">
        <v>8</v>
      </c>
      <c r="H983" s="97" t="s">
        <v>74</v>
      </c>
      <c r="I983" s="97" t="s">
        <v>71</v>
      </c>
      <c r="J983" s="97" t="s">
        <v>72</v>
      </c>
      <c r="K983" s="97" t="s">
        <v>73</v>
      </c>
      <c r="L983">
        <v>701000</v>
      </c>
      <c r="M983" s="97" t="s">
        <v>62</v>
      </c>
      <c r="N983" s="97" t="s">
        <v>33</v>
      </c>
      <c r="O983">
        <v>1487</v>
      </c>
      <c r="P983">
        <v>1.05</v>
      </c>
      <c r="Q983">
        <v>1.56</v>
      </c>
      <c r="R983" s="97" t="s">
        <v>1199</v>
      </c>
      <c r="S983" s="97" t="s">
        <v>195</v>
      </c>
    </row>
    <row r="984" spans="1:19" x14ac:dyDescent="0.3">
      <c r="A984" s="97" t="s">
        <v>1177</v>
      </c>
      <c r="B984" s="97" t="s">
        <v>22</v>
      </c>
      <c r="C984">
        <v>2025</v>
      </c>
      <c r="D984">
        <v>2</v>
      </c>
      <c r="E984" s="2">
        <v>45692</v>
      </c>
      <c r="F984" s="97" t="s">
        <v>7</v>
      </c>
      <c r="G984" s="97" t="s">
        <v>8</v>
      </c>
      <c r="H984" s="97" t="s">
        <v>74</v>
      </c>
      <c r="I984" s="97" t="s">
        <v>71</v>
      </c>
      <c r="J984" s="97" t="s">
        <v>72</v>
      </c>
      <c r="K984" s="97" t="s">
        <v>73</v>
      </c>
      <c r="L984">
        <v>701000</v>
      </c>
      <c r="M984" s="97" t="s">
        <v>62</v>
      </c>
      <c r="N984" s="97" t="s">
        <v>33</v>
      </c>
      <c r="O984">
        <v>1314</v>
      </c>
      <c r="P984">
        <v>1.05</v>
      </c>
      <c r="Q984">
        <v>1.38</v>
      </c>
      <c r="R984" s="97" t="s">
        <v>1203</v>
      </c>
      <c r="S984" s="97" t="s">
        <v>195</v>
      </c>
    </row>
    <row r="985" spans="1:19" x14ac:dyDescent="0.3">
      <c r="A985" s="97" t="s">
        <v>1178</v>
      </c>
      <c r="B985" s="97" t="s">
        <v>22</v>
      </c>
      <c r="C985">
        <v>2025</v>
      </c>
      <c r="D985">
        <v>2</v>
      </c>
      <c r="E985" s="2">
        <v>45692</v>
      </c>
      <c r="F985" s="97" t="s">
        <v>7</v>
      </c>
      <c r="G985" s="97" t="s">
        <v>8</v>
      </c>
      <c r="H985" s="97" t="s">
        <v>74</v>
      </c>
      <c r="I985" s="97" t="s">
        <v>71</v>
      </c>
      <c r="J985" s="97" t="s">
        <v>72</v>
      </c>
      <c r="K985" s="97" t="s">
        <v>73</v>
      </c>
      <c r="L985">
        <v>701000</v>
      </c>
      <c r="M985" s="97" t="s">
        <v>62</v>
      </c>
      <c r="N985" s="97" t="s">
        <v>33</v>
      </c>
      <c r="O985">
        <v>2361</v>
      </c>
      <c r="P985">
        <v>1.05</v>
      </c>
      <c r="Q985">
        <v>2.48</v>
      </c>
      <c r="R985" s="97" t="s">
        <v>1200</v>
      </c>
      <c r="S985" s="97" t="s">
        <v>195</v>
      </c>
    </row>
    <row r="986" spans="1:19" x14ac:dyDescent="0.3">
      <c r="A986" s="97" t="s">
        <v>1179</v>
      </c>
      <c r="B986" s="97" t="s">
        <v>22</v>
      </c>
      <c r="C986">
        <v>2025</v>
      </c>
      <c r="D986">
        <v>2</v>
      </c>
      <c r="E986" s="2">
        <v>45692</v>
      </c>
      <c r="F986" s="97" t="s">
        <v>7</v>
      </c>
      <c r="G986" s="97" t="s">
        <v>8</v>
      </c>
      <c r="H986" s="97" t="s">
        <v>74</v>
      </c>
      <c r="I986" s="97" t="s">
        <v>71</v>
      </c>
      <c r="J986" s="97" t="s">
        <v>72</v>
      </c>
      <c r="K986" s="97" t="s">
        <v>73</v>
      </c>
      <c r="L986">
        <v>701000</v>
      </c>
      <c r="M986" s="97" t="s">
        <v>62</v>
      </c>
      <c r="N986" s="97" t="s">
        <v>33</v>
      </c>
      <c r="O986">
        <v>2661</v>
      </c>
      <c r="P986">
        <v>1.05</v>
      </c>
      <c r="Q986">
        <v>2.79</v>
      </c>
      <c r="R986" s="97" t="s">
        <v>1202</v>
      </c>
      <c r="S986" s="97" t="s">
        <v>195</v>
      </c>
    </row>
    <row r="987" spans="1:19" x14ac:dyDescent="0.3">
      <c r="A987" s="97" t="s">
        <v>1180</v>
      </c>
      <c r="B987" s="97" t="s">
        <v>22</v>
      </c>
      <c r="C987">
        <v>2025</v>
      </c>
      <c r="D987">
        <v>2</v>
      </c>
      <c r="E987" s="2">
        <v>45701</v>
      </c>
      <c r="F987" s="97" t="s">
        <v>7</v>
      </c>
      <c r="G987" s="97" t="s">
        <v>8</v>
      </c>
      <c r="H987" s="97" t="s">
        <v>70</v>
      </c>
      <c r="I987" s="97" t="s">
        <v>71</v>
      </c>
      <c r="J987" s="97" t="s">
        <v>72</v>
      </c>
      <c r="K987" s="97" t="s">
        <v>73</v>
      </c>
      <c r="L987">
        <v>701000</v>
      </c>
      <c r="M987" s="97" t="s">
        <v>62</v>
      </c>
      <c r="N987" s="97" t="s">
        <v>33</v>
      </c>
      <c r="O987">
        <v>1716</v>
      </c>
      <c r="P987">
        <v>1.05</v>
      </c>
      <c r="Q987">
        <v>1.8</v>
      </c>
      <c r="R987" s="97" t="s">
        <v>1203</v>
      </c>
      <c r="S987" s="97" t="s">
        <v>195</v>
      </c>
    </row>
    <row r="988" spans="1:19" x14ac:dyDescent="0.3">
      <c r="A988" s="97" t="s">
        <v>1181</v>
      </c>
      <c r="B988" s="97" t="s">
        <v>22</v>
      </c>
      <c r="C988">
        <v>2025</v>
      </c>
      <c r="D988">
        <v>2</v>
      </c>
      <c r="E988" s="2">
        <v>45701</v>
      </c>
      <c r="F988" s="97" t="s">
        <v>7</v>
      </c>
      <c r="G988" s="97" t="s">
        <v>8</v>
      </c>
      <c r="H988" s="97" t="s">
        <v>70</v>
      </c>
      <c r="I988" s="97" t="s">
        <v>71</v>
      </c>
      <c r="J988" s="97" t="s">
        <v>72</v>
      </c>
      <c r="K988" s="97" t="s">
        <v>73</v>
      </c>
      <c r="L988">
        <v>701000</v>
      </c>
      <c r="M988" s="97" t="s">
        <v>62</v>
      </c>
      <c r="N988" s="97" t="s">
        <v>33</v>
      </c>
      <c r="O988">
        <v>2236</v>
      </c>
      <c r="P988">
        <v>1.05</v>
      </c>
      <c r="Q988">
        <v>2.35</v>
      </c>
      <c r="R988" s="97" t="s">
        <v>1198</v>
      </c>
      <c r="S988" s="97" t="s">
        <v>195</v>
      </c>
    </row>
    <row r="989" spans="1:19" x14ac:dyDescent="0.3">
      <c r="A989" s="97" t="s">
        <v>1182</v>
      </c>
      <c r="B989" s="97" t="s">
        <v>22</v>
      </c>
      <c r="C989">
        <v>2025</v>
      </c>
      <c r="D989">
        <v>2</v>
      </c>
      <c r="E989" s="2">
        <v>45701</v>
      </c>
      <c r="F989" s="97" t="s">
        <v>7</v>
      </c>
      <c r="G989" s="97" t="s">
        <v>8</v>
      </c>
      <c r="H989" s="97" t="s">
        <v>70</v>
      </c>
      <c r="I989" s="97" t="s">
        <v>71</v>
      </c>
      <c r="J989" s="97" t="s">
        <v>72</v>
      </c>
      <c r="K989" s="97" t="s">
        <v>73</v>
      </c>
      <c r="L989">
        <v>701000</v>
      </c>
      <c r="M989" s="97" t="s">
        <v>62</v>
      </c>
      <c r="N989" s="97" t="s">
        <v>33</v>
      </c>
      <c r="O989">
        <v>1953</v>
      </c>
      <c r="P989">
        <v>1.05</v>
      </c>
      <c r="Q989">
        <v>2.0499999999999998</v>
      </c>
      <c r="R989" s="97" t="s">
        <v>1201</v>
      </c>
      <c r="S989" s="97" t="s">
        <v>195</v>
      </c>
    </row>
    <row r="990" spans="1:19" x14ac:dyDescent="0.3">
      <c r="A990" s="97" t="s">
        <v>1183</v>
      </c>
      <c r="B990" s="97" t="s">
        <v>22</v>
      </c>
      <c r="C990">
        <v>2025</v>
      </c>
      <c r="D990">
        <v>2</v>
      </c>
      <c r="E990" s="2">
        <v>45701</v>
      </c>
      <c r="F990" s="97" t="s">
        <v>7</v>
      </c>
      <c r="G990" s="97" t="s">
        <v>8</v>
      </c>
      <c r="H990" s="97" t="s">
        <v>70</v>
      </c>
      <c r="I990" s="97" t="s">
        <v>71</v>
      </c>
      <c r="J990" s="97" t="s">
        <v>72</v>
      </c>
      <c r="K990" s="97" t="s">
        <v>73</v>
      </c>
      <c r="L990">
        <v>701000</v>
      </c>
      <c r="M990" s="97" t="s">
        <v>62</v>
      </c>
      <c r="N990" s="97" t="s">
        <v>33</v>
      </c>
      <c r="O990">
        <v>2099</v>
      </c>
      <c r="P990">
        <v>1.05</v>
      </c>
      <c r="Q990">
        <v>2.2000000000000002</v>
      </c>
      <c r="R990" s="97" t="s">
        <v>1205</v>
      </c>
      <c r="S990" s="97" t="s">
        <v>195</v>
      </c>
    </row>
    <row r="991" spans="1:19" x14ac:dyDescent="0.3">
      <c r="A991" s="97" t="s">
        <v>1184</v>
      </c>
      <c r="B991" s="97" t="s">
        <v>22</v>
      </c>
      <c r="C991">
        <v>2025</v>
      </c>
      <c r="D991">
        <v>2</v>
      </c>
      <c r="E991" s="2">
        <v>45701</v>
      </c>
      <c r="F991" s="97" t="s">
        <v>7</v>
      </c>
      <c r="G991" s="97" t="s">
        <v>8</v>
      </c>
      <c r="H991" s="97" t="s">
        <v>70</v>
      </c>
      <c r="I991" s="97" t="s">
        <v>71</v>
      </c>
      <c r="J991" s="97" t="s">
        <v>72</v>
      </c>
      <c r="K991" s="97" t="s">
        <v>73</v>
      </c>
      <c r="L991">
        <v>701000</v>
      </c>
      <c r="M991" s="97" t="s">
        <v>62</v>
      </c>
      <c r="N991" s="97" t="s">
        <v>33</v>
      </c>
      <c r="O991">
        <v>465</v>
      </c>
      <c r="P991">
        <v>1.05</v>
      </c>
      <c r="Q991">
        <v>0.49</v>
      </c>
      <c r="R991" s="97" t="s">
        <v>1204</v>
      </c>
      <c r="S991" s="97" t="s">
        <v>195</v>
      </c>
    </row>
    <row r="992" spans="1:19" x14ac:dyDescent="0.3">
      <c r="A992" s="97" t="s">
        <v>1185</v>
      </c>
      <c r="B992" s="97" t="s">
        <v>22</v>
      </c>
      <c r="C992">
        <v>2025</v>
      </c>
      <c r="D992">
        <v>2</v>
      </c>
      <c r="E992" s="2">
        <v>45709</v>
      </c>
      <c r="F992" s="97" t="s">
        <v>7</v>
      </c>
      <c r="G992" s="97" t="s">
        <v>8</v>
      </c>
      <c r="H992" s="97" t="s">
        <v>74</v>
      </c>
      <c r="I992" s="97" t="s">
        <v>71</v>
      </c>
      <c r="J992" s="97" t="s">
        <v>72</v>
      </c>
      <c r="K992" s="97" t="s">
        <v>73</v>
      </c>
      <c r="L992">
        <v>701000</v>
      </c>
      <c r="M992" s="97" t="s">
        <v>62</v>
      </c>
      <c r="N992" s="97" t="s">
        <v>33</v>
      </c>
      <c r="O992">
        <v>1082</v>
      </c>
      <c r="P992">
        <v>1.05</v>
      </c>
      <c r="Q992">
        <v>1.1399999999999999</v>
      </c>
      <c r="R992" s="97" t="s">
        <v>1199</v>
      </c>
      <c r="S992" s="97" t="s">
        <v>195</v>
      </c>
    </row>
    <row r="993" spans="1:19" x14ac:dyDescent="0.3">
      <c r="A993" s="97" t="s">
        <v>1186</v>
      </c>
      <c r="B993" s="97" t="s">
        <v>22</v>
      </c>
      <c r="C993">
        <v>2025</v>
      </c>
      <c r="D993">
        <v>2</v>
      </c>
      <c r="E993" s="2">
        <v>45709</v>
      </c>
      <c r="F993" s="97" t="s">
        <v>7</v>
      </c>
      <c r="G993" s="97" t="s">
        <v>8</v>
      </c>
      <c r="H993" s="97" t="s">
        <v>74</v>
      </c>
      <c r="I993" s="97" t="s">
        <v>71</v>
      </c>
      <c r="J993" s="97" t="s">
        <v>72</v>
      </c>
      <c r="K993" s="97" t="s">
        <v>73</v>
      </c>
      <c r="L993">
        <v>701000</v>
      </c>
      <c r="M993" s="97" t="s">
        <v>62</v>
      </c>
      <c r="N993" s="97" t="s">
        <v>33</v>
      </c>
      <c r="O993">
        <v>2218</v>
      </c>
      <c r="P993">
        <v>1.05</v>
      </c>
      <c r="Q993">
        <v>2.33</v>
      </c>
      <c r="R993" s="97" t="s">
        <v>1202</v>
      </c>
      <c r="S993" s="97" t="s">
        <v>195</v>
      </c>
    </row>
    <row r="994" spans="1:19" x14ac:dyDescent="0.3">
      <c r="A994" s="97" t="s">
        <v>1187</v>
      </c>
      <c r="B994" s="97" t="s">
        <v>22</v>
      </c>
      <c r="C994">
        <v>2025</v>
      </c>
      <c r="D994">
        <v>2</v>
      </c>
      <c r="E994" s="2">
        <v>45709</v>
      </c>
      <c r="F994" s="97" t="s">
        <v>7</v>
      </c>
      <c r="G994" s="97" t="s">
        <v>8</v>
      </c>
      <c r="H994" s="97" t="s">
        <v>74</v>
      </c>
      <c r="I994" s="97" t="s">
        <v>71</v>
      </c>
      <c r="J994" s="97" t="s">
        <v>72</v>
      </c>
      <c r="K994" s="97" t="s">
        <v>73</v>
      </c>
      <c r="L994">
        <v>701000</v>
      </c>
      <c r="M994" s="97" t="s">
        <v>62</v>
      </c>
      <c r="N994" s="97" t="s">
        <v>33</v>
      </c>
      <c r="O994">
        <v>2705</v>
      </c>
      <c r="P994">
        <v>1.05</v>
      </c>
      <c r="Q994">
        <v>2.84</v>
      </c>
      <c r="R994" s="97" t="s">
        <v>1203</v>
      </c>
      <c r="S994" s="97" t="s">
        <v>195</v>
      </c>
    </row>
    <row r="995" spans="1:19" x14ac:dyDescent="0.3">
      <c r="A995" s="97" t="s">
        <v>1188</v>
      </c>
      <c r="B995" s="97" t="s">
        <v>22</v>
      </c>
      <c r="C995">
        <v>2025</v>
      </c>
      <c r="D995">
        <v>2</v>
      </c>
      <c r="E995" s="2">
        <v>45709</v>
      </c>
      <c r="F995" s="97" t="s">
        <v>7</v>
      </c>
      <c r="G995" s="97" t="s">
        <v>8</v>
      </c>
      <c r="H995" s="97" t="s">
        <v>74</v>
      </c>
      <c r="I995" s="97" t="s">
        <v>71</v>
      </c>
      <c r="J995" s="97" t="s">
        <v>72</v>
      </c>
      <c r="K995" s="97" t="s">
        <v>73</v>
      </c>
      <c r="L995">
        <v>701000</v>
      </c>
      <c r="M995" s="97" t="s">
        <v>62</v>
      </c>
      <c r="N995" s="97" t="s">
        <v>33</v>
      </c>
      <c r="O995">
        <v>2290</v>
      </c>
      <c r="P995">
        <v>1.05</v>
      </c>
      <c r="Q995">
        <v>2.4</v>
      </c>
      <c r="R995" s="97" t="s">
        <v>1201</v>
      </c>
      <c r="S995" s="97" t="s">
        <v>195</v>
      </c>
    </row>
    <row r="996" spans="1:19" x14ac:dyDescent="0.3">
      <c r="A996" s="97" t="s">
        <v>1189</v>
      </c>
      <c r="B996" s="97" t="s">
        <v>22</v>
      </c>
      <c r="C996">
        <v>2025</v>
      </c>
      <c r="D996">
        <v>2</v>
      </c>
      <c r="E996" s="2">
        <v>45709</v>
      </c>
      <c r="F996" s="97" t="s">
        <v>7</v>
      </c>
      <c r="G996" s="97" t="s">
        <v>8</v>
      </c>
      <c r="H996" s="97" t="s">
        <v>74</v>
      </c>
      <c r="I996" s="97" t="s">
        <v>71</v>
      </c>
      <c r="J996" s="97" t="s">
        <v>72</v>
      </c>
      <c r="K996" s="97" t="s">
        <v>73</v>
      </c>
      <c r="L996">
        <v>701000</v>
      </c>
      <c r="M996" s="97" t="s">
        <v>62</v>
      </c>
      <c r="N996" s="97" t="s">
        <v>33</v>
      </c>
      <c r="O996">
        <v>2610</v>
      </c>
      <c r="P996">
        <v>1.05</v>
      </c>
      <c r="Q996">
        <v>2.74</v>
      </c>
      <c r="R996" s="97" t="s">
        <v>1197</v>
      </c>
      <c r="S996" s="97" t="s">
        <v>195</v>
      </c>
    </row>
    <row r="997" spans="1:19" x14ac:dyDescent="0.3">
      <c r="A997" s="97" t="s">
        <v>1190</v>
      </c>
      <c r="B997" s="97" t="s">
        <v>22</v>
      </c>
      <c r="C997">
        <v>2025</v>
      </c>
      <c r="D997">
        <v>2</v>
      </c>
      <c r="E997" s="2">
        <v>45703</v>
      </c>
      <c r="F997" s="97" t="s">
        <v>7</v>
      </c>
      <c r="G997" s="97" t="s">
        <v>8</v>
      </c>
      <c r="H997" s="97" t="s">
        <v>70</v>
      </c>
      <c r="I997" s="97" t="s">
        <v>71</v>
      </c>
      <c r="J997" s="97" t="s">
        <v>72</v>
      </c>
      <c r="K997" s="97" t="s">
        <v>73</v>
      </c>
      <c r="L997">
        <v>701000</v>
      </c>
      <c r="M997" s="97" t="s">
        <v>62</v>
      </c>
      <c r="N997" s="97" t="s">
        <v>33</v>
      </c>
      <c r="O997">
        <v>2513</v>
      </c>
      <c r="P997">
        <v>1.05</v>
      </c>
      <c r="Q997">
        <v>2.64</v>
      </c>
      <c r="R997" s="97" t="s">
        <v>1205</v>
      </c>
      <c r="S997" s="97" t="s">
        <v>195</v>
      </c>
    </row>
    <row r="998" spans="1:19" x14ac:dyDescent="0.3">
      <c r="A998" s="97" t="s">
        <v>1191</v>
      </c>
      <c r="B998" s="97" t="s">
        <v>22</v>
      </c>
      <c r="C998">
        <v>2025</v>
      </c>
      <c r="D998">
        <v>2</v>
      </c>
      <c r="E998" s="2">
        <v>45703</v>
      </c>
      <c r="F998" s="97" t="s">
        <v>7</v>
      </c>
      <c r="G998" s="97" t="s">
        <v>8</v>
      </c>
      <c r="H998" s="97" t="s">
        <v>70</v>
      </c>
      <c r="I998" s="97" t="s">
        <v>71</v>
      </c>
      <c r="J998" s="97" t="s">
        <v>72</v>
      </c>
      <c r="K998" s="97" t="s">
        <v>73</v>
      </c>
      <c r="L998">
        <v>701000</v>
      </c>
      <c r="M998" s="97" t="s">
        <v>62</v>
      </c>
      <c r="N998" s="97" t="s">
        <v>33</v>
      </c>
      <c r="O998">
        <v>2858</v>
      </c>
      <c r="P998">
        <v>1.05</v>
      </c>
      <c r="Q998">
        <v>3</v>
      </c>
      <c r="R998" s="97" t="s">
        <v>1199</v>
      </c>
      <c r="S998" s="97" t="s">
        <v>195</v>
      </c>
    </row>
    <row r="999" spans="1:19" x14ac:dyDescent="0.3">
      <c r="A999" s="97" t="s">
        <v>1192</v>
      </c>
      <c r="B999" s="97" t="s">
        <v>22</v>
      </c>
      <c r="C999">
        <v>2025</v>
      </c>
      <c r="D999">
        <v>2</v>
      </c>
      <c r="E999" s="2">
        <v>45703</v>
      </c>
      <c r="F999" s="97" t="s">
        <v>7</v>
      </c>
      <c r="G999" s="97" t="s">
        <v>8</v>
      </c>
      <c r="H999" s="97" t="s">
        <v>70</v>
      </c>
      <c r="I999" s="97" t="s">
        <v>71</v>
      </c>
      <c r="J999" s="97" t="s">
        <v>72</v>
      </c>
      <c r="K999" s="97" t="s">
        <v>73</v>
      </c>
      <c r="L999">
        <v>701000</v>
      </c>
      <c r="M999" s="97" t="s">
        <v>62</v>
      </c>
      <c r="N999" s="97" t="s">
        <v>33</v>
      </c>
      <c r="O999">
        <v>2828</v>
      </c>
      <c r="P999">
        <v>1.05</v>
      </c>
      <c r="Q999">
        <v>2.97</v>
      </c>
      <c r="R999" s="97" t="s">
        <v>1202</v>
      </c>
      <c r="S999" s="97" t="s">
        <v>195</v>
      </c>
    </row>
    <row r="1000" spans="1:19" x14ac:dyDescent="0.3">
      <c r="A1000" s="97" t="s">
        <v>1193</v>
      </c>
      <c r="B1000" s="97" t="s">
        <v>22</v>
      </c>
      <c r="C1000">
        <v>2025</v>
      </c>
      <c r="D1000">
        <v>2</v>
      </c>
      <c r="E1000" s="2">
        <v>45703</v>
      </c>
      <c r="F1000" s="97" t="s">
        <v>7</v>
      </c>
      <c r="G1000" s="97" t="s">
        <v>8</v>
      </c>
      <c r="H1000" s="97" t="s">
        <v>70</v>
      </c>
      <c r="I1000" s="97" t="s">
        <v>71</v>
      </c>
      <c r="J1000" s="97" t="s">
        <v>72</v>
      </c>
      <c r="K1000" s="97" t="s">
        <v>73</v>
      </c>
      <c r="L1000">
        <v>701000</v>
      </c>
      <c r="M1000" s="97" t="s">
        <v>62</v>
      </c>
      <c r="N1000" s="97" t="s">
        <v>33</v>
      </c>
      <c r="O1000">
        <v>598</v>
      </c>
      <c r="P1000">
        <v>1.05</v>
      </c>
      <c r="Q1000">
        <v>0.63</v>
      </c>
      <c r="R1000" s="97" t="s">
        <v>1201</v>
      </c>
      <c r="S1000" s="97" t="s">
        <v>195</v>
      </c>
    </row>
    <row r="1001" spans="1:19" x14ac:dyDescent="0.3">
      <c r="A1001" s="97" t="s">
        <v>1194</v>
      </c>
      <c r="B1001" s="97" t="s">
        <v>22</v>
      </c>
      <c r="C1001">
        <v>2025</v>
      </c>
      <c r="D1001">
        <v>2</v>
      </c>
      <c r="E1001" s="2">
        <v>45703</v>
      </c>
      <c r="F1001" s="97" t="s">
        <v>7</v>
      </c>
      <c r="G1001" s="97" t="s">
        <v>8</v>
      </c>
      <c r="H1001" s="97" t="s">
        <v>70</v>
      </c>
      <c r="I1001" s="97" t="s">
        <v>71</v>
      </c>
      <c r="J1001" s="97" t="s">
        <v>72</v>
      </c>
      <c r="K1001" s="97" t="s">
        <v>73</v>
      </c>
      <c r="L1001">
        <v>701000</v>
      </c>
      <c r="M1001" s="97" t="s">
        <v>62</v>
      </c>
      <c r="N1001" s="97" t="s">
        <v>33</v>
      </c>
      <c r="O1001">
        <v>368</v>
      </c>
      <c r="P1001">
        <v>1.03</v>
      </c>
      <c r="Q1001">
        <v>0.38</v>
      </c>
      <c r="R1001" s="97" t="s">
        <v>1197</v>
      </c>
      <c r="S1001" s="97" t="s">
        <v>195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92229-B429-4978-B6B1-4EE34D31B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pMoisCloture</vt:lpstr>
      <vt:lpstr>PARAM</vt:lpstr>
      <vt:lpstr>DASHBOARD</vt:lpstr>
      <vt:lpstr>PACKAGE_PnL</vt:lpstr>
      <vt:lpstr>SYNTHESE_BU</vt:lpstr>
      <vt:lpstr>_CALC</vt:lpstr>
      <vt:lpstr>MENSUEL_PQ</vt:lpstr>
      <vt:lpstr>AGREG_PQ</vt:lpstr>
      <vt:lpstr>GL_Reel_2026</vt:lpstr>
      <vt:lpstr>GL_Budget_2026</vt:lpstr>
      <vt:lpstr>GL_Reel_2025</vt:lpstr>
      <vt:lpstr>MoisCloture</vt:lpstr>
      <vt:lpstr>SeuilMat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ISMAIL ABGAR</cp:lastModifiedBy>
  <cp:revision>1</cp:revision>
  <cp:lastPrinted>2026-06-08T12:44:57Z</cp:lastPrinted>
  <dcterms:created xsi:type="dcterms:W3CDTF">2026-05-30T14:24:48Z</dcterms:created>
  <dcterms:modified xsi:type="dcterms:W3CDTF">2026-06-08T14:36:06Z</dcterms:modified>
  <dc:language>en-US</dc:language>
</cp:coreProperties>
</file>