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SMAIL ABGAR\OneDrive\Desktop\atlas-agro-package-cloture-main\project files\"/>
    </mc:Choice>
  </mc:AlternateContent>
  <xr:revisionPtr revIDLastSave="0" documentId="13_ncr:1_{93632D9C-116B-49B2-8DC0-315E4D2B4D0F}" xr6:coauthVersionLast="47" xr6:coauthVersionMax="47" xr10:uidLastSave="{00000000-0000-0000-0000-000000000000}"/>
  <bookViews>
    <workbookView xWindow="-5970" yWindow="-21720" windowWidth="38640" windowHeight="21120" tabRatio="500" firstSheet="1" activeTab="2" xr2:uid="{00000000-000D-0000-FFFF-FFFF00000000}"/>
  </bookViews>
  <sheets>
    <sheet name="pMoisCloture" sheetId="34" state="hidden" r:id="rId1"/>
    <sheet name="PARAM" sheetId="1" r:id="rId2"/>
    <sheet name="DASHBOARD" sheetId="28" r:id="rId3"/>
    <sheet name="PACKAGE_PnL" sheetId="30" r:id="rId4"/>
    <sheet name="SYNTHESE_BU" sheetId="29" r:id="rId5"/>
    <sheet name="_CALC" sheetId="26" state="hidden" r:id="rId6"/>
    <sheet name="MENSUEL_PQ" sheetId="27" state="hidden" r:id="rId7"/>
    <sheet name="AGREG_PQ" sheetId="25" r:id="rId8"/>
    <sheet name="GL_Reel_2026" sheetId="21" r:id="rId9"/>
    <sheet name="GL_Budget_2026" sheetId="12" r:id="rId10"/>
    <sheet name="GL_Reel_2025" sheetId="22" r:id="rId11"/>
  </sheets>
  <externalReferences>
    <externalReference r:id="rId12"/>
  </externalReferences>
  <definedNames>
    <definedName name="CheminClasseur">PARAM!$E$4</definedName>
    <definedName name="DonnéesExternes_1" localSheetId="5" hidden="1">_CALC!$A$55:$B$64</definedName>
    <definedName name="DonnéesExternes_1" localSheetId="10" hidden="1">GL_Reel_2025!$A$1:$S$1001</definedName>
    <definedName name="DonnéesExternes_1" localSheetId="8" hidden="1">GL_Reel_2026!$A$1:$S$1001</definedName>
    <definedName name="DonnéesExternes_1" localSheetId="6" hidden="1">MENSUEL_PQ!$A$1:$L$13</definedName>
    <definedName name="DonnéesExternes_1" localSheetId="0" hidden="1">pMoisCloture!$A$1:$A$2</definedName>
    <definedName name="DonnéesExternes_2" localSheetId="5" hidden="1">_CALC!$A$69:$B$70</definedName>
    <definedName name="DonnéesExternes_2" localSheetId="7" hidden="1">AGREG_PQ!$A$1:$J$2</definedName>
    <definedName name="DonnéesExternes_3" localSheetId="5" hidden="1">_CALC!$I$85:$N$86</definedName>
    <definedName name="ExternalData_2" localSheetId="9" hidden="1">GL_Budget_2026!$A$1:$S$1001</definedName>
    <definedName name="MoisCloture">PARAM!$C$4</definedName>
    <definedName name="SeuilMat" localSheetId="5">#REF!</definedName>
    <definedName name="SeuilMat" localSheetId="2">#REF!</definedName>
    <definedName name="SeuilMat" localSheetId="6">#REF!</definedName>
    <definedName name="SeuilMat" localSheetId="3">#REF!</definedName>
    <definedName name="SeuilMat" localSheetId="4">#REF!</definedName>
    <definedName name="SeuilMat">PARAM!$C$15</definedName>
    <definedName name="SM">[1]PARAM!$C$15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7" i="26" l="1"/>
  <c r="I6" i="26"/>
  <c r="I5" i="26"/>
  <c r="I4" i="26"/>
  <c r="I3" i="26"/>
  <c r="H91" i="29"/>
  <c r="G91" i="29"/>
  <c r="F91" i="29"/>
  <c r="D91" i="29"/>
  <c r="C91" i="29"/>
  <c r="B91" i="29"/>
  <c r="H90" i="29"/>
  <c r="G90" i="29"/>
  <c r="F90" i="29"/>
  <c r="D90" i="29"/>
  <c r="C90" i="29"/>
  <c r="B90" i="29"/>
  <c r="H89" i="29"/>
  <c r="G89" i="29"/>
  <c r="F89" i="29"/>
  <c r="D89" i="29"/>
  <c r="C89" i="29"/>
  <c r="B89" i="29"/>
  <c r="L83" i="29"/>
  <c r="K83" i="29"/>
  <c r="J83" i="29"/>
  <c r="I83" i="29"/>
  <c r="H83" i="29"/>
  <c r="G83" i="29"/>
  <c r="F83" i="29"/>
  <c r="E83" i="29"/>
  <c r="D83" i="29"/>
  <c r="C83" i="29"/>
  <c r="L82" i="29"/>
  <c r="K82" i="29"/>
  <c r="J82" i="29"/>
  <c r="I82" i="29"/>
  <c r="H82" i="29"/>
  <c r="G82" i="29"/>
  <c r="F82" i="29"/>
  <c r="E82" i="29"/>
  <c r="D82" i="29"/>
  <c r="C82" i="29"/>
  <c r="L81" i="29"/>
  <c r="K81" i="29"/>
  <c r="J81" i="29"/>
  <c r="I81" i="29"/>
  <c r="H81" i="29"/>
  <c r="G81" i="29"/>
  <c r="F81" i="29"/>
  <c r="E81" i="29"/>
  <c r="D81" i="29"/>
  <c r="C81" i="29"/>
  <c r="L80" i="29"/>
  <c r="K80" i="29"/>
  <c r="J80" i="29"/>
  <c r="I80" i="29"/>
  <c r="H80" i="29"/>
  <c r="G80" i="29"/>
  <c r="F80" i="29"/>
  <c r="E80" i="29"/>
  <c r="D80" i="29"/>
  <c r="C80" i="29"/>
  <c r="L79" i="29"/>
  <c r="K79" i="29"/>
  <c r="J79" i="29"/>
  <c r="I79" i="29"/>
  <c r="H79" i="29"/>
  <c r="G79" i="29"/>
  <c r="F79" i="29"/>
  <c r="E79" i="29"/>
  <c r="D79" i="29"/>
  <c r="C79" i="29"/>
  <c r="G20" i="29"/>
  <c r="D20" i="29"/>
  <c r="C20" i="29"/>
  <c r="G19" i="29"/>
  <c r="D19" i="29"/>
  <c r="C19" i="29"/>
  <c r="G18" i="29"/>
  <c r="D18" i="29"/>
  <c r="C18" i="29"/>
  <c r="G17" i="29"/>
  <c r="D17" i="29"/>
  <c r="C17" i="29"/>
  <c r="G16" i="29"/>
  <c r="D16" i="29"/>
  <c r="C16" i="29"/>
  <c r="M11" i="29"/>
  <c r="K11" i="29"/>
  <c r="E45" i="26" s="1"/>
  <c r="I11" i="29"/>
  <c r="G11" i="29"/>
  <c r="D11" i="29"/>
  <c r="C11" i="29"/>
  <c r="E37" i="29" s="1"/>
  <c r="M10" i="29"/>
  <c r="K10" i="29"/>
  <c r="E44" i="26" s="1"/>
  <c r="I10" i="29"/>
  <c r="G10" i="29"/>
  <c r="D10" i="29"/>
  <c r="C10" i="29"/>
  <c r="M9" i="29"/>
  <c r="K9" i="29"/>
  <c r="E43" i="26" s="1"/>
  <c r="I9" i="29"/>
  <c r="G9" i="29"/>
  <c r="D9" i="29"/>
  <c r="C9" i="29"/>
  <c r="F14" i="26" s="1"/>
  <c r="M8" i="29"/>
  <c r="K8" i="29"/>
  <c r="I8" i="29"/>
  <c r="G8" i="29"/>
  <c r="D8" i="29"/>
  <c r="C8" i="29"/>
  <c r="F34" i="29" s="1"/>
  <c r="M7" i="29"/>
  <c r="K7" i="29"/>
  <c r="I7" i="29"/>
  <c r="G7" i="29"/>
  <c r="D7" i="29"/>
  <c r="C7" i="29"/>
  <c r="D41" i="26" s="1"/>
  <c r="F52" i="30"/>
  <c r="E52" i="30"/>
  <c r="D52" i="30"/>
  <c r="C52" i="30"/>
  <c r="F51" i="30"/>
  <c r="E51" i="30"/>
  <c r="D51" i="30"/>
  <c r="C51" i="30"/>
  <c r="F50" i="30"/>
  <c r="E50" i="30"/>
  <c r="D50" i="30"/>
  <c r="C50" i="30"/>
  <c r="F49" i="30"/>
  <c r="E49" i="30"/>
  <c r="D49" i="30"/>
  <c r="C49" i="30"/>
  <c r="F48" i="30"/>
  <c r="E48" i="30"/>
  <c r="D48" i="30"/>
  <c r="C48" i="30"/>
  <c r="K20" i="30"/>
  <c r="H20" i="30"/>
  <c r="G20" i="30"/>
  <c r="D20" i="30"/>
  <c r="C20" i="30"/>
  <c r="K18" i="30"/>
  <c r="H18" i="30"/>
  <c r="G18" i="30"/>
  <c r="D18" i="30"/>
  <c r="C18" i="30"/>
  <c r="K16" i="30"/>
  <c r="H16" i="30"/>
  <c r="G16" i="30"/>
  <c r="D16" i="30"/>
  <c r="C16" i="30"/>
  <c r="K14" i="30"/>
  <c r="H14" i="30"/>
  <c r="G14" i="30"/>
  <c r="D14" i="30"/>
  <c r="C14" i="30"/>
  <c r="K13" i="30"/>
  <c r="H13" i="30"/>
  <c r="G13" i="30"/>
  <c r="D13" i="30"/>
  <c r="C13" i="30"/>
  <c r="K12" i="30"/>
  <c r="H12" i="30"/>
  <c r="G12" i="30"/>
  <c r="D12" i="30"/>
  <c r="C12" i="30"/>
  <c r="K11" i="30"/>
  <c r="H11" i="30"/>
  <c r="G11" i="30"/>
  <c r="D11" i="30"/>
  <c r="C11" i="30"/>
  <c r="K10" i="30"/>
  <c r="H10" i="30"/>
  <c r="G10" i="30"/>
  <c r="D10" i="30"/>
  <c r="C10" i="30"/>
  <c r="K8" i="30"/>
  <c r="H8" i="30"/>
  <c r="G8" i="30"/>
  <c r="D52" i="28" s="1"/>
  <c r="D8" i="30"/>
  <c r="C8" i="30"/>
  <c r="K7" i="30"/>
  <c r="H7" i="30"/>
  <c r="G7" i="30"/>
  <c r="M7" i="30" s="1"/>
  <c r="D7" i="30"/>
  <c r="C7" i="30"/>
  <c r="O70" i="28"/>
  <c r="N70" i="28"/>
  <c r="M70" i="28"/>
  <c r="L70" i="28"/>
  <c r="K70" i="28"/>
  <c r="J70" i="28"/>
  <c r="I70" i="28"/>
  <c r="H70" i="28"/>
  <c r="G70" i="28"/>
  <c r="F70" i="28"/>
  <c r="O69" i="28"/>
  <c r="N69" i="28"/>
  <c r="M69" i="28"/>
  <c r="L69" i="28"/>
  <c r="K69" i="28"/>
  <c r="J69" i="28"/>
  <c r="I69" i="28"/>
  <c r="H69" i="28"/>
  <c r="G69" i="28"/>
  <c r="F69" i="28"/>
  <c r="O68" i="28"/>
  <c r="N68" i="28"/>
  <c r="M68" i="28"/>
  <c r="L68" i="28"/>
  <c r="K68" i="28"/>
  <c r="J68" i="28"/>
  <c r="I68" i="28"/>
  <c r="H68" i="28"/>
  <c r="G68" i="28"/>
  <c r="F68" i="28"/>
  <c r="O67" i="28"/>
  <c r="N67" i="28"/>
  <c r="M67" i="28"/>
  <c r="L67" i="28"/>
  <c r="K67" i="28"/>
  <c r="J67" i="28"/>
  <c r="I67" i="28"/>
  <c r="H67" i="28"/>
  <c r="G67" i="28"/>
  <c r="F67" i="28"/>
  <c r="O66" i="28"/>
  <c r="N66" i="28"/>
  <c r="M66" i="28"/>
  <c r="L66" i="28"/>
  <c r="K66" i="28"/>
  <c r="J66" i="28"/>
  <c r="I66" i="28"/>
  <c r="H66" i="28"/>
  <c r="G66" i="28"/>
  <c r="F66" i="28"/>
  <c r="B24" i="28"/>
  <c r="B23" i="28"/>
  <c r="N12" i="28"/>
  <c r="C6" i="1"/>
  <c r="B3" i="28" s="1"/>
  <c r="L14" i="30" l="1"/>
  <c r="D53" i="30"/>
  <c r="E17" i="29"/>
  <c r="F17" i="29" s="1"/>
  <c r="C53" i="30"/>
  <c r="E53" i="30"/>
  <c r="E10" i="30"/>
  <c r="F10" i="30" s="1"/>
  <c r="I18" i="30"/>
  <c r="G30" i="26" s="1"/>
  <c r="N16" i="30"/>
  <c r="L13" i="30"/>
  <c r="F37" i="29"/>
  <c r="I10" i="30"/>
  <c r="G24" i="26" s="1"/>
  <c r="G3" i="26"/>
  <c r="E16" i="30"/>
  <c r="F16" i="30" s="1"/>
  <c r="G5" i="26"/>
  <c r="K9" i="30"/>
  <c r="E8" i="30"/>
  <c r="F8" i="30" s="1"/>
  <c r="D9" i="30"/>
  <c r="E18" i="30"/>
  <c r="F18" i="30" s="1"/>
  <c r="H8" i="29"/>
  <c r="D13" i="26" s="1"/>
  <c r="L16" i="30"/>
  <c r="E19" i="29"/>
  <c r="J8" i="29"/>
  <c r="E7" i="30"/>
  <c r="F7" i="30" s="1"/>
  <c r="I14" i="30"/>
  <c r="F28" i="26" s="1"/>
  <c r="F53" i="30"/>
  <c r="I12" i="29"/>
  <c r="E20" i="29"/>
  <c r="F20" i="29" s="1"/>
  <c r="L11" i="30"/>
  <c r="D15" i="30"/>
  <c r="D33" i="29"/>
  <c r="I12" i="30"/>
  <c r="F26" i="26" s="1"/>
  <c r="E20" i="30"/>
  <c r="F20" i="30" s="1"/>
  <c r="E16" i="29"/>
  <c r="F16" i="29" s="1"/>
  <c r="E33" i="29"/>
  <c r="C9" i="30"/>
  <c r="E11" i="30"/>
  <c r="F11" i="30" s="1"/>
  <c r="E34" i="29"/>
  <c r="I20" i="30"/>
  <c r="J20" i="30" s="1"/>
  <c r="M12" i="29"/>
  <c r="E28" i="29" s="1"/>
  <c r="L11" i="29"/>
  <c r="E16" i="26" s="1"/>
  <c r="N11" i="29"/>
  <c r="L12" i="30"/>
  <c r="L7" i="29"/>
  <c r="E12" i="26" s="1"/>
  <c r="N7" i="29"/>
  <c r="M12" i="30"/>
  <c r="E14" i="30"/>
  <c r="F14" i="30" s="1"/>
  <c r="J10" i="29"/>
  <c r="E11" i="29"/>
  <c r="F11" i="29" s="1"/>
  <c r="G35" i="29"/>
  <c r="G7" i="26"/>
  <c r="D45" i="26"/>
  <c r="N7" i="30"/>
  <c r="N13" i="30"/>
  <c r="N9" i="29"/>
  <c r="H17" i="29"/>
  <c r="F7" i="26"/>
  <c r="N12" i="30"/>
  <c r="I16" i="30"/>
  <c r="G29" i="26" s="1"/>
  <c r="L18" i="30"/>
  <c r="L20" i="30"/>
  <c r="E7" i="29"/>
  <c r="F7" i="29" s="1"/>
  <c r="E9" i="29"/>
  <c r="F9" i="29" s="1"/>
  <c r="H35" i="29"/>
  <c r="N18" i="30"/>
  <c r="N20" i="30"/>
  <c r="H11" i="29"/>
  <c r="D16" i="26" s="1"/>
  <c r="H20" i="29"/>
  <c r="C37" i="29"/>
  <c r="D2" i="26"/>
  <c r="H2" i="26" s="1"/>
  <c r="H3" i="26" s="1"/>
  <c r="E4" i="26" s="1"/>
  <c r="E12" i="30"/>
  <c r="F12" i="30" s="1"/>
  <c r="E13" i="30"/>
  <c r="F13" i="30" s="1"/>
  <c r="G12" i="29"/>
  <c r="H9" i="29"/>
  <c r="D14" i="26" s="1"/>
  <c r="H19" i="29"/>
  <c r="C33" i="29"/>
  <c r="D37" i="29"/>
  <c r="F12" i="26"/>
  <c r="D17" i="30"/>
  <c r="G21" i="29"/>
  <c r="H16" i="29"/>
  <c r="F4" i="26"/>
  <c r="E42" i="26"/>
  <c r="G4" i="26"/>
  <c r="D12" i="29"/>
  <c r="H10" i="29"/>
  <c r="D15" i="26" s="1"/>
  <c r="C12" i="29"/>
  <c r="L7" i="30"/>
  <c r="I8" i="30"/>
  <c r="J8" i="30" s="1"/>
  <c r="C15" i="30"/>
  <c r="L10" i="30"/>
  <c r="I11" i="30"/>
  <c r="J11" i="30" s="1"/>
  <c r="L8" i="29"/>
  <c r="E13" i="26" s="1"/>
  <c r="K12" i="29"/>
  <c r="M13" i="30"/>
  <c r="G51" i="26"/>
  <c r="M16" i="30"/>
  <c r="M8" i="30"/>
  <c r="M14" i="30"/>
  <c r="G50" i="26"/>
  <c r="M11" i="30"/>
  <c r="G9" i="30"/>
  <c r="M9" i="30" s="1"/>
  <c r="I7" i="30"/>
  <c r="J7" i="30" s="1"/>
  <c r="M18" i="30"/>
  <c r="M20" i="30"/>
  <c r="H36" i="29"/>
  <c r="G36" i="29"/>
  <c r="C36" i="29"/>
  <c r="F36" i="29"/>
  <c r="E10" i="29"/>
  <c r="F10" i="29" s="1"/>
  <c r="F15" i="26"/>
  <c r="E36" i="29"/>
  <c r="N10" i="29"/>
  <c r="D36" i="29"/>
  <c r="H7" i="29"/>
  <c r="D12" i="26" s="1"/>
  <c r="D44" i="26"/>
  <c r="F19" i="29"/>
  <c r="L8" i="30"/>
  <c r="M10" i="30"/>
  <c r="G15" i="30"/>
  <c r="G6" i="26"/>
  <c r="F6" i="26"/>
  <c r="N11" i="28"/>
  <c r="B28" i="28"/>
  <c r="K15" i="30"/>
  <c r="B6" i="28"/>
  <c r="D49" i="28"/>
  <c r="N10" i="30"/>
  <c r="I13" i="30"/>
  <c r="D34" i="29"/>
  <c r="C34" i="29"/>
  <c r="G34" i="29"/>
  <c r="E8" i="29"/>
  <c r="F8" i="29" s="1"/>
  <c r="D42" i="26"/>
  <c r="F13" i="26"/>
  <c r="N8" i="29"/>
  <c r="H34" i="29"/>
  <c r="L10" i="29"/>
  <c r="E15" i="26" s="1"/>
  <c r="D21" i="29"/>
  <c r="H18" i="29"/>
  <c r="E18" i="29"/>
  <c r="F18" i="29" s="1"/>
  <c r="C21" i="29"/>
  <c r="F33" i="29"/>
  <c r="E41" i="26"/>
  <c r="N14" i="30"/>
  <c r="J7" i="29"/>
  <c r="J9" i="29"/>
  <c r="J11" i="29"/>
  <c r="G33" i="29"/>
  <c r="C35" i="29"/>
  <c r="G37" i="29"/>
  <c r="H15" i="30"/>
  <c r="H9" i="30"/>
  <c r="N9" i="30" s="1"/>
  <c r="N11" i="30"/>
  <c r="H33" i="29"/>
  <c r="D35" i="29"/>
  <c r="H37" i="29"/>
  <c r="F3" i="26"/>
  <c r="F16" i="26"/>
  <c r="N8" i="30"/>
  <c r="L9" i="29"/>
  <c r="E14" i="26" s="1"/>
  <c r="E35" i="29"/>
  <c r="D43" i="26"/>
  <c r="F35" i="29"/>
  <c r="F5" i="26"/>
  <c r="B3" i="29"/>
  <c r="B3" i="30"/>
  <c r="G28" i="26" l="1"/>
  <c r="O14" i="30"/>
  <c r="J18" i="30"/>
  <c r="F30" i="26"/>
  <c r="O18" i="30"/>
  <c r="J10" i="30"/>
  <c r="J16" i="30"/>
  <c r="F24" i="26"/>
  <c r="B30" i="28"/>
  <c r="O16" i="30"/>
  <c r="F29" i="26"/>
  <c r="O10" i="30"/>
  <c r="E9" i="30"/>
  <c r="F9" i="30" s="1"/>
  <c r="E27" i="29"/>
  <c r="E25" i="29"/>
  <c r="G31" i="26"/>
  <c r="H4" i="26"/>
  <c r="H5" i="26" s="1"/>
  <c r="H6" i="26" s="1"/>
  <c r="H7" i="26" s="1"/>
  <c r="J14" i="30"/>
  <c r="E3" i="26"/>
  <c r="E29" i="29"/>
  <c r="E26" i="29"/>
  <c r="O20" i="30"/>
  <c r="O12" i="30"/>
  <c r="F31" i="26"/>
  <c r="G26" i="26"/>
  <c r="H12" i="29"/>
  <c r="J12" i="30"/>
  <c r="B25" i="28"/>
  <c r="D56" i="28"/>
  <c r="B15" i="28"/>
  <c r="G27" i="26"/>
  <c r="F27" i="26"/>
  <c r="O13" i="30"/>
  <c r="E12" i="29"/>
  <c r="F12" i="29" s="1"/>
  <c r="E21" i="29"/>
  <c r="F21" i="29" s="1"/>
  <c r="D29" i="29"/>
  <c r="D8" i="26"/>
  <c r="H8" i="26" s="1"/>
  <c r="D26" i="29"/>
  <c r="D28" i="29"/>
  <c r="D25" i="29"/>
  <c r="D27" i="29"/>
  <c r="J13" i="30"/>
  <c r="B20" i="28"/>
  <c r="D53" i="28"/>
  <c r="K15" i="28"/>
  <c r="H21" i="29"/>
  <c r="K17" i="30"/>
  <c r="L15" i="30"/>
  <c r="G22" i="26"/>
  <c r="O7" i="30"/>
  <c r="F22" i="26"/>
  <c r="G25" i="26"/>
  <c r="O11" i="30"/>
  <c r="F25" i="26"/>
  <c r="G23" i="26"/>
  <c r="F23" i="26"/>
  <c r="O8" i="30"/>
  <c r="H17" i="30"/>
  <c r="N15" i="30"/>
  <c r="G17" i="30"/>
  <c r="I15" i="30"/>
  <c r="O15" i="30" s="1"/>
  <c r="F6" i="28"/>
  <c r="M15" i="30"/>
  <c r="D58" i="28"/>
  <c r="I9" i="30"/>
  <c r="O9" i="30" s="1"/>
  <c r="D55" i="28"/>
  <c r="B10" i="28"/>
  <c r="H15" i="28"/>
  <c r="D50" i="28"/>
  <c r="B8" i="28"/>
  <c r="B27" i="28"/>
  <c r="C17" i="30"/>
  <c r="E15" i="30"/>
  <c r="F15" i="30" s="1"/>
  <c r="C27" i="29"/>
  <c r="C29" i="29"/>
  <c r="B26" i="28"/>
  <c r="C26" i="29"/>
  <c r="N12" i="29"/>
  <c r="C28" i="29"/>
  <c r="L12" i="29"/>
  <c r="C25" i="29"/>
  <c r="J12" i="29"/>
  <c r="D19" i="30"/>
  <c r="L9" i="30"/>
  <c r="E5" i="26" l="1"/>
  <c r="E7" i="26"/>
  <c r="E6" i="26"/>
  <c r="J15" i="30"/>
  <c r="F8" i="28" s="1"/>
  <c r="J9" i="30"/>
  <c r="F10" i="28"/>
  <c r="E15" i="28"/>
  <c r="E17" i="30"/>
  <c r="F17" i="30" s="1"/>
  <c r="C19" i="30"/>
  <c r="K19" i="30"/>
  <c r="L17" i="30"/>
  <c r="H19" i="30"/>
  <c r="N17" i="30"/>
  <c r="B21" i="28"/>
  <c r="D21" i="30"/>
  <c r="G19" i="30"/>
  <c r="I17" i="30"/>
  <c r="O17" i="30" s="1"/>
  <c r="M17" i="30"/>
  <c r="D59" i="28" l="1"/>
  <c r="L19" i="30"/>
  <c r="K21" i="30"/>
  <c r="I19" i="30"/>
  <c r="O19" i="30" s="1"/>
  <c r="B29" i="28" s="1"/>
  <c r="G21" i="30"/>
  <c r="M19" i="30"/>
  <c r="C21" i="30"/>
  <c r="E21" i="30" s="1"/>
  <c r="F21" i="30" s="1"/>
  <c r="E19" i="30"/>
  <c r="F19" i="30" s="1"/>
  <c r="H21" i="30"/>
  <c r="N19" i="30"/>
  <c r="J17" i="30"/>
  <c r="J19" i="30" l="1"/>
  <c r="D32" i="26"/>
  <c r="H32" i="26" s="1"/>
  <c r="I21" i="30"/>
  <c r="O21" i="30" s="1"/>
  <c r="D61" i="28"/>
  <c r="J6" i="28"/>
  <c r="M21" i="30"/>
  <c r="D21" i="26"/>
  <c r="H21" i="26" s="1"/>
  <c r="N21" i="30"/>
  <c r="L21" i="30"/>
  <c r="J21" i="30" l="1"/>
  <c r="J8" i="28" s="1"/>
  <c r="H22" i="26"/>
  <c r="E22" i="26"/>
  <c r="N15" i="28"/>
  <c r="J10" i="28"/>
  <c r="B22" i="28"/>
  <c r="D62" i="28" l="1"/>
  <c r="H23" i="26"/>
  <c r="E23" i="26"/>
  <c r="H24" i="26" l="1"/>
  <c r="E24" i="26"/>
  <c r="H25" i="26" l="1"/>
  <c r="E25" i="26"/>
  <c r="H26" i="26" l="1"/>
  <c r="E26" i="26"/>
  <c r="H27" i="26" l="1"/>
  <c r="E27" i="26"/>
  <c r="H28" i="26" l="1"/>
  <c r="E28" i="26"/>
  <c r="H29" i="26" l="1"/>
  <c r="E29" i="26"/>
  <c r="H30" i="26" l="1"/>
  <c r="E30" i="26"/>
  <c r="H31" i="26" l="1"/>
  <c r="E31" i="2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7862F02-24D2-43DC-B86D-79AC404D75E3}" keepAlive="1" name="Query - GL_Budget_2026" description="Connection to the 'GL_Budget_2026' query in the workbook." type="5" refreshedVersion="8" saveData="1">
    <dbPr connection="Provider=Microsoft.Mashup.OleDb.1;Data Source=$Workbook$;Location=GL_Budget_2026;Extended Properties=&quot;&quot;" command="SELECT * FROM [GL_Budget_2026]"/>
  </connection>
  <connection id="2" xr16:uid="{B7C1B2C4-AB8D-42E8-8BF3-CFDA919AB081}" keepAlive="1" name="Requête - AGREG_PQ" description="Connexion à la requête « AGREG_PQ » dans le classeur." type="5" refreshedVersion="8" saveData="1">
    <dbPr connection="Provider=Microsoft.Mashup.OleDb.1;Data Source=$Workbook$;Location=AGREG_PQ;Extended Properties=&quot;&quot;" command="SELECT * FROM [AGREG_PQ]"/>
  </connection>
  <connection id="3" xr16:uid="{FB4E698C-DED8-4C2A-B9B3-E2307C51BA2A}" keepAlive="1" name="Requête - CHARGES_CC" description="Connexion à la requête « CHARGES_CC » dans le classeur." type="5" refreshedVersion="8" saveData="1">
    <dbPr connection="Provider=Microsoft.Mashup.OleDb.1;Data Source=$Workbook$;Location=CHARGES_CC;Extended Properties=&quot;&quot;" command="SELECT * FROM [CHARGES_CC]"/>
  </connection>
  <connection id="4" xr16:uid="{514CFE99-C8C1-434D-8FC9-51C82E1272CA}" keepAlive="1" name="Requête - EFFET" description="Connexion à la requête « EFFET » dans le classeur." type="5" refreshedVersion="8" saveData="1">
    <dbPr connection="Provider=Microsoft.Mashup.OleDb.1;Data Source=$Workbook$;Location=EFFET;Extended Properties=&quot;&quot;" command="SELECT * FROM [EFFET]"/>
  </connection>
  <connection id="5" xr16:uid="{1BB3E579-BAA5-4883-86E2-7F743CF15E67}" keepAlive="1" name="Requête - GL_Reel_2025" description="Connexion à la requête « GL_Reel_2025 » dans le classeur." type="5" refreshedVersion="8" saveData="1">
    <dbPr connection="Provider=Microsoft.Mashup.OleDb.1;Data Source=$Workbook$;Location=GL_Reel_2025;Extended Properties=&quot;&quot;" command="SELECT * FROM [GL_Reel_2025]"/>
  </connection>
  <connection id="6" xr16:uid="{9B54A058-DCB7-4117-B02B-1F0EA3020B41}" keepAlive="1" name="Requête - GL_Reel_2026(1)" description="Connexion à la requête « GL_Reel_2026 » dans le classeur." type="5" refreshedVersion="8" saveData="1">
    <dbPr connection="Provider=Microsoft.Mashup.OleDb.1;Data Source=$Workbook$;Location=GL_Reel_2026;Extended Properties=&quot;&quot;" command="SELECT * FROM [GL_Reel_2026]"/>
  </connection>
  <connection id="7" xr16:uid="{9CBEB539-5E5B-4B8E-8B96-18A64FC1CEFD}" keepAlive="1" name="Requête - pCheminDonnees" description="Connexion à la requête « pCheminDonnees » dans le classeur." type="5" refreshedVersion="0" background="1">
    <dbPr connection="Provider=Microsoft.Mashup.OleDb.1;Data Source=$Workbook$;Location=pCheminDonnees;Extended Properties=&quot;&quot;" command="SELECT * FROM [pCheminDonnees]"/>
  </connection>
  <connection id="8" xr16:uid="{F490EE68-D60A-4EA0-94A1-95984C9ACEE0}" keepAlive="1" name="Requête - pMoisCloture" description="Connexion à la requête « pMoisCloture » dans le classeur." type="5" refreshedVersion="8" saveData="1">
    <dbPr connection="Provider=Microsoft.Mashup.OleDb.1;Data Source=$Workbook$;Location=pMoisCloture;Extended Properties=&quot;&quot;" command="SELECT * FROM [pMoisCloture]"/>
  </connection>
  <connection id="9" xr16:uid="{808E86CC-FA49-4A7E-8122-8BC878C77C43}" keepAlive="1" name="Requête - Requête1" description="Connexion à la requête « Requête1 » dans le classeur." type="5" refreshedVersion="8" saveData="1">
    <dbPr connection="Provider=Microsoft.Mashup.OleDb.1;Data Source=$Workbook$;Location=Requête1;Extended Properties=&quot;&quot;" command="SELECT * FROM [Requête1]"/>
  </connection>
  <connection id="10" xr16:uid="{FF3064FE-87A3-45BF-9084-45EDD9287A0C}" keepAlive="1" name="Requête - TOP_CLIENT" description="Connexion à la requête « TOP_CLIENT » dans le classeur." type="5" refreshedVersion="8" saveData="1">
    <dbPr connection="Provider=Microsoft.Mashup.OleDb.1;Data Source=$Workbook$;Location=TOP_CLIENT;Extended Properties=&quot;&quot;" command="SELECT * FROM [TOP_CLIENT]"/>
  </connection>
</connections>
</file>

<file path=xl/sharedStrings.xml><?xml version="1.0" encoding="utf-8"?>
<sst xmlns="http://schemas.openxmlformats.org/spreadsheetml/2006/main" count="36383" uniqueCount="1229">
  <si>
    <t>ATLAS AGRO HOLDING — Paramètres de clôture</t>
  </si>
  <si>
    <t>Mois de clôture (Réel 2026)</t>
  </si>
  <si>
    <t>Année de clôture</t>
  </si>
  <si>
    <t>Libellé période</t>
  </si>
  <si>
    <t>Référentiel entités</t>
  </si>
  <si>
    <t>Code</t>
  </si>
  <si>
    <t>Business Unit</t>
  </si>
  <si>
    <t>BU01</t>
  </si>
  <si>
    <t>Céréales &amp; Meunerie</t>
  </si>
  <si>
    <t>BU02</t>
  </si>
  <si>
    <t>Huiles &amp; Corps Gras</t>
  </si>
  <si>
    <t>BU03</t>
  </si>
  <si>
    <t>Lait &amp; Produits Laitiers</t>
  </si>
  <si>
    <t>BU04</t>
  </si>
  <si>
    <t>Sucre &amp; Conserves</t>
  </si>
  <si>
    <t>BU05</t>
  </si>
  <si>
    <t>Boissons &amp; Jus</t>
  </si>
  <si>
    <t>• Tout le package et le dashboard se recalculent automatiquement.</t>
  </si>
  <si>
    <t>• Convention couleurs : bleu = saisie, noir = formule, vert = lien.</t>
  </si>
  <si>
    <t>vs Budget</t>
  </si>
  <si>
    <t>Marge EBITDA</t>
  </si>
  <si>
    <t>Marge nette</t>
  </si>
  <si>
    <t>Réel</t>
  </si>
  <si>
    <t>Budget</t>
  </si>
  <si>
    <t>EBITDA</t>
  </si>
  <si>
    <t>MOIS</t>
  </si>
  <si>
    <t>CUMUL ANNUEL (YTD)</t>
  </si>
  <si>
    <t>COMPARAISON N-1</t>
  </si>
  <si>
    <t>Poste (compte de résultat)</t>
  </si>
  <si>
    <t>Écart</t>
  </si>
  <si>
    <t>Écart %</t>
  </si>
  <si>
    <t>Réel N-1</t>
  </si>
  <si>
    <t>Var %</t>
  </si>
  <si>
    <t>Chiffre d'affaires</t>
  </si>
  <si>
    <t>Coût des matières</t>
  </si>
  <si>
    <t>MARGE BRUTE</t>
  </si>
  <si>
    <t>Charges de personnel</t>
  </si>
  <si>
    <t>Charges externes</t>
  </si>
  <si>
    <t>Transport &amp; logistique</t>
  </si>
  <si>
    <t>Marketing &amp; publicité</t>
  </si>
  <si>
    <t>Autres charges</t>
  </si>
  <si>
    <t>Amortissements</t>
  </si>
  <si>
    <t>RÉSULTAT D'EXPLOITATION</t>
  </si>
  <si>
    <t>Charges financières</t>
  </si>
  <si>
    <t>RÉSULTAT AVANT IMPÔT</t>
  </si>
  <si>
    <t>Impôt</t>
  </si>
  <si>
    <t>RÉSULTAT NET</t>
  </si>
  <si>
    <t>CA Réel</t>
  </si>
  <si>
    <t>CA Budget</t>
  </si>
  <si>
    <t>Marge brute</t>
  </si>
  <si>
    <t>TOTAL GROUPE</t>
  </si>
  <si>
    <t>EcritureID</t>
  </si>
  <si>
    <t>Scenario</t>
  </si>
  <si>
    <t>Annee</t>
  </si>
  <si>
    <t>Mois</t>
  </si>
  <si>
    <t>Date</t>
  </si>
  <si>
    <t>CodeEntite</t>
  </si>
  <si>
    <t>Entite</t>
  </si>
  <si>
    <t>Compte</t>
  </si>
  <si>
    <t>LibelleCompte</t>
  </si>
  <si>
    <t>PosteP&amp;L</t>
  </si>
  <si>
    <t>Montant_kEUR</t>
  </si>
  <si>
    <t>Ventes produits finis</t>
  </si>
  <si>
    <t>Prestations de services</t>
  </si>
  <si>
    <t>Site</t>
  </si>
  <si>
    <t>CodeProduit</t>
  </si>
  <si>
    <t>Produit</t>
  </si>
  <si>
    <t>Canal</t>
  </si>
  <si>
    <t>Quantite</t>
  </si>
  <si>
    <t>PrixUnitaire_EUR</t>
  </si>
  <si>
    <t>Reims</t>
  </si>
  <si>
    <t>P102</t>
  </si>
  <si>
    <t>Farine T65 1kg</t>
  </si>
  <si>
    <t>GMS</t>
  </si>
  <si>
    <t>Roubaix</t>
  </si>
  <si>
    <t>P103</t>
  </si>
  <si>
    <t>Semoule fine 1kg</t>
  </si>
  <si>
    <t>P104</t>
  </si>
  <si>
    <t>Flocons avoine 500g</t>
  </si>
  <si>
    <t>P105</t>
  </si>
  <si>
    <t>Céréales petit-déj 375g</t>
  </si>
  <si>
    <t>Ventes de marchandises</t>
  </si>
  <si>
    <t>P106</t>
  </si>
  <si>
    <t>Mix boulanger 25kg</t>
  </si>
  <si>
    <t>P101</t>
  </si>
  <si>
    <t>Farine T55 1kg</t>
  </si>
  <si>
    <t>RRR accordés</t>
  </si>
  <si>
    <t>Reel_M</t>
  </si>
  <si>
    <t>Budget_M</t>
  </si>
  <si>
    <t>Reel_YTD</t>
  </si>
  <si>
    <t>Budget_YTD</t>
  </si>
  <si>
    <t>Reel_N1_YTD</t>
  </si>
  <si>
    <t>Ecart_M</t>
  </si>
  <si>
    <t>Ecart_YTD</t>
  </si>
  <si>
    <t>Poste</t>
  </si>
  <si>
    <t>FLOP 3 — écarts défavorables</t>
  </si>
  <si>
    <t>TOP 3 — écarts favorables</t>
  </si>
  <si>
    <t>9 ·  TOP / FLOP DES ÉCARTS — détection automatique</t>
  </si>
  <si>
    <t>Vert = écart favorable · Rouge = défavorable. Charges en convention négative.</t>
  </si>
  <si>
    <t>Financier</t>
  </si>
  <si>
    <t>Amort.</t>
  </si>
  <si>
    <t>Autres</t>
  </si>
  <si>
    <t>Marketing</t>
  </si>
  <si>
    <t>Transport</t>
  </si>
  <si>
    <t>Externes</t>
  </si>
  <si>
    <t>Personnel</t>
  </si>
  <si>
    <t>Matières</t>
  </si>
  <si>
    <t>CA</t>
  </si>
  <si>
    <t>BU \ Poste</t>
  </si>
  <si>
    <t>8 ·  HEATMAP DES ÉCARTS vs BUDGET (YTD, k€)</t>
  </si>
  <si>
    <t>7 ·  MATRICE STRATÉGIQUE — Croissance × Marge (taille = CA)</t>
  </si>
  <si>
    <t>6 ·  BRIDGE EBITDA — du budget au réel (YTD, k€)</t>
  </si>
  <si>
    <t>4 ·  STRUCTURE DE COÛTS PAR BU (% du CA, YTD)</t>
  </si>
  <si>
    <t>% du Rés. net</t>
  </si>
  <si>
    <t>% de l'EBITDA</t>
  </si>
  <si>
    <t>% du CA</t>
  </si>
  <si>
    <t>3 ·  CONTRIBUTION AU GROUPE (YTD)</t>
  </si>
  <si>
    <t>EBITDA %</t>
  </si>
  <si>
    <t>EBITDA M</t>
  </si>
  <si>
    <t>Écart €</t>
  </si>
  <si>
    <t>CA Budget M</t>
  </si>
  <si>
    <t>CA Réel M</t>
  </si>
  <si>
    <t>2 ·  PERFORMANCE DU MOIS</t>
  </si>
  <si>
    <t>RN %</t>
  </si>
  <si>
    <t>Rés. net</t>
  </si>
  <si>
    <t>MB %</t>
  </si>
  <si>
    <t>Crois. %</t>
  </si>
  <si>
    <t>CA N-1</t>
  </si>
  <si>
    <t>1 ·  PERFORMANCE CUMULÉE (YTD)</t>
  </si>
  <si>
    <t>SYNTHÈSE PAR BUSINESS UNIT — Analyse de performance</t>
  </si>
  <si>
    <t>BRIDGE DU RÉSULTAT NET — du budget au réel (YTD, k€)</t>
  </si>
  <si>
    <t>Matérialité</t>
  </si>
  <si>
    <t>% Budget</t>
  </si>
  <si>
    <t>% Réel</t>
  </si>
  <si>
    <t>SEUIL</t>
  </si>
  <si>
    <t>ANALYSE % CA</t>
  </si>
  <si>
    <t>ATLAS AGRO HOLDING — PACKAGE DE CLÔTURE MENSUEL (Compte de résultat consolidé, k€)</t>
  </si>
  <si>
    <t>Résultat net</t>
  </si>
  <si>
    <t>CONTRIBUTION AU CA</t>
  </si>
  <si>
    <t>CA PAR BUSINESS UNIT (YTD)</t>
  </si>
  <si>
    <t>KPI FINANCIERS</t>
  </si>
  <si>
    <t>PERFORMANCE PAR ACTIVITÉ</t>
  </si>
  <si>
    <t>TENDANCES MENSUELLES</t>
  </si>
  <si>
    <t>vs N-1</t>
  </si>
  <si>
    <t>Coût matières</t>
  </si>
  <si>
    <t>Croissance CA</t>
  </si>
  <si>
    <t>RÉSULTAT NET — YTD</t>
  </si>
  <si>
    <t>EBITDA — YTD</t>
  </si>
  <si>
    <t>CHIFFRE D'AFFAIRES — YTD</t>
  </si>
  <si>
    <t>ATLAS AGRO HOLDING   —   COMMAND CENTER</t>
  </si>
  <si>
    <t>HEATMAP DES ÉCARTS vs BUDGET (YTD, k€)</t>
  </si>
  <si>
    <t>ATTERRISSAGE CA</t>
  </si>
  <si>
    <t>FAITS MARQUANTS</t>
  </si>
  <si>
    <t>Références (SKU)</t>
  </si>
  <si>
    <t>Seuil de matérialité (k€)</t>
  </si>
  <si>
    <t>Écart YTD ≥ seuil = significatif</t>
  </si>
  <si>
    <t>Déc</t>
  </si>
  <si>
    <t>Nov</t>
  </si>
  <si>
    <t>Oct</t>
  </si>
  <si>
    <t>Sept</t>
  </si>
  <si>
    <t>Août</t>
  </si>
  <si>
    <t>Juil</t>
  </si>
  <si>
    <t>Juin</t>
  </si>
  <si>
    <t>Mai</t>
  </si>
  <si>
    <t>Avr</t>
  </si>
  <si>
    <t>Mars</t>
  </si>
  <si>
    <t>Févr</t>
  </si>
  <si>
    <t>Janv</t>
  </si>
  <si>
    <t>MgEBITDA_R26</t>
  </si>
  <si>
    <t>RN_R26</t>
  </si>
  <si>
    <t>RN_B26</t>
  </si>
  <si>
    <t>RN_R25</t>
  </si>
  <si>
    <t>EBITDA_R26</t>
  </si>
  <si>
    <t>EBITDA_B26</t>
  </si>
  <si>
    <t>EBITDA_R25</t>
  </si>
  <si>
    <t>CA_R26</t>
  </si>
  <si>
    <t>CA_B26</t>
  </si>
  <si>
    <t>CA_R25</t>
  </si>
  <si>
    <t>MoisLabel</t>
  </si>
  <si>
    <t>BU</t>
  </si>
  <si>
    <t>RN Réel</t>
  </si>
  <si>
    <t>RN Budget</t>
  </si>
  <si>
    <t>Run</t>
  </si>
  <si>
    <t>Baisse</t>
  </si>
  <si>
    <t>Hausse</t>
  </si>
  <si>
    <t>Base</t>
  </si>
  <si>
    <t>Total</t>
  </si>
  <si>
    <t>cat</t>
  </si>
  <si>
    <t>marge</t>
  </si>
  <si>
    <t>crois</t>
  </si>
  <si>
    <t>EBITDA Réel</t>
  </si>
  <si>
    <t>EBITDA Budget</t>
  </si>
  <si>
    <t>BudEB</t>
  </si>
  <si>
    <t>Derniere generation</t>
  </si>
  <si>
    <t>EC00000001</t>
  </si>
  <si>
    <t/>
  </si>
  <si>
    <t>EC00000002</t>
  </si>
  <si>
    <t>EC00000003</t>
  </si>
  <si>
    <t>EC00000004</t>
  </si>
  <si>
    <t>EC00000005</t>
  </si>
  <si>
    <t>EC00000006</t>
  </si>
  <si>
    <t>EC00000007</t>
  </si>
  <si>
    <t>EC00000008</t>
  </si>
  <si>
    <t>EC00000009</t>
  </si>
  <si>
    <t>EC00000010</t>
  </si>
  <si>
    <t>EC00000011</t>
  </si>
  <si>
    <t>EC00000012</t>
  </si>
  <si>
    <t>EC00000013</t>
  </si>
  <si>
    <t>EC00000014</t>
  </si>
  <si>
    <t>EC00000015</t>
  </si>
  <si>
    <t>EC00000016</t>
  </si>
  <si>
    <t>EC00000017</t>
  </si>
  <si>
    <t>EC00000018</t>
  </si>
  <si>
    <t>EC00000019</t>
  </si>
  <si>
    <t>EC00000020</t>
  </si>
  <si>
    <t>EC00000021</t>
  </si>
  <si>
    <t>EC00000022</t>
  </si>
  <si>
    <t>EC00000023</t>
  </si>
  <si>
    <t>EC00000024</t>
  </si>
  <si>
    <t>EC00000025</t>
  </si>
  <si>
    <t>EC00000026</t>
  </si>
  <si>
    <t>EC00000027</t>
  </si>
  <si>
    <t>EC00000028</t>
  </si>
  <si>
    <t>EC00000029</t>
  </si>
  <si>
    <t>EC00000030</t>
  </si>
  <si>
    <t>EC00000031</t>
  </si>
  <si>
    <t>EC00000032</t>
  </si>
  <si>
    <t>EC00000033</t>
  </si>
  <si>
    <t>EC00000034</t>
  </si>
  <si>
    <t>EC00000035</t>
  </si>
  <si>
    <t>EC00000036</t>
  </si>
  <si>
    <t>EC00000037</t>
  </si>
  <si>
    <t>EC00000038</t>
  </si>
  <si>
    <t>EC00000039</t>
  </si>
  <si>
    <t>EC00000040</t>
  </si>
  <si>
    <t>EC00000041</t>
  </si>
  <si>
    <t>EC00000042</t>
  </si>
  <si>
    <t>EC00000043</t>
  </si>
  <si>
    <t>EC00000044</t>
  </si>
  <si>
    <t>EC00000045</t>
  </si>
  <si>
    <t>EC00000046</t>
  </si>
  <si>
    <t>EC00000047</t>
  </si>
  <si>
    <t>EC00000048</t>
  </si>
  <si>
    <t>EC00000049</t>
  </si>
  <si>
    <t>EC00000050</t>
  </si>
  <si>
    <t>EC00000051</t>
  </si>
  <si>
    <t>EC00000052</t>
  </si>
  <si>
    <t>EC00000053</t>
  </si>
  <si>
    <t>EC00000054</t>
  </si>
  <si>
    <t>EC00000055</t>
  </si>
  <si>
    <t>EC00000056</t>
  </si>
  <si>
    <t>EC00000057</t>
  </si>
  <si>
    <t>EC00000058</t>
  </si>
  <si>
    <t>EC00000059</t>
  </si>
  <si>
    <t>EC00000060</t>
  </si>
  <si>
    <t>EC00000061</t>
  </si>
  <si>
    <t>EC00000062</t>
  </si>
  <si>
    <t>EC00000063</t>
  </si>
  <si>
    <t>EC00000064</t>
  </si>
  <si>
    <t>EC00000065</t>
  </si>
  <si>
    <t>EC00000066</t>
  </si>
  <si>
    <t>EC00000067</t>
  </si>
  <si>
    <t>EC00000068</t>
  </si>
  <si>
    <t>EC00000069</t>
  </si>
  <si>
    <t>EC00000070</t>
  </si>
  <si>
    <t>EC00000071</t>
  </si>
  <si>
    <t>EC00000072</t>
  </si>
  <si>
    <t>EC00000073</t>
  </si>
  <si>
    <t>EC00000074</t>
  </si>
  <si>
    <t>EC00000075</t>
  </si>
  <si>
    <t>EC00000076</t>
  </si>
  <si>
    <t>EC00000077</t>
  </si>
  <si>
    <t>EC00000078</t>
  </si>
  <si>
    <t>EC00000079</t>
  </si>
  <si>
    <t>EC00000080</t>
  </si>
  <si>
    <t>EC00000081</t>
  </si>
  <si>
    <t>EC00000082</t>
  </si>
  <si>
    <t>EC00000083</t>
  </si>
  <si>
    <t>EC00000084</t>
  </si>
  <si>
    <t>EC00000085</t>
  </si>
  <si>
    <t>EC00000086</t>
  </si>
  <si>
    <t>EC00000087</t>
  </si>
  <si>
    <t>EC00000088</t>
  </si>
  <si>
    <t>EC00000089</t>
  </si>
  <si>
    <t>EC00000090</t>
  </si>
  <si>
    <t>EC00000091</t>
  </si>
  <si>
    <t>EC00000092</t>
  </si>
  <si>
    <t>EC00000093</t>
  </si>
  <si>
    <t>EC00000094</t>
  </si>
  <si>
    <t>EC00000095</t>
  </si>
  <si>
    <t>EC00000096</t>
  </si>
  <si>
    <t>EC00000097</t>
  </si>
  <si>
    <t>EC00000098</t>
  </si>
  <si>
    <t>EC00000099</t>
  </si>
  <si>
    <t>EC00000100</t>
  </si>
  <si>
    <t>EC00000101</t>
  </si>
  <si>
    <t>EC00000102</t>
  </si>
  <si>
    <t>EC00000103</t>
  </si>
  <si>
    <t>EC00000104</t>
  </si>
  <si>
    <t>EC00000105</t>
  </si>
  <si>
    <t>EC00000106</t>
  </si>
  <si>
    <t>EC00000107</t>
  </si>
  <si>
    <t>EC00000108</t>
  </si>
  <si>
    <t>EC00000109</t>
  </si>
  <si>
    <t>EC00000110</t>
  </si>
  <si>
    <t>EC00000111</t>
  </si>
  <si>
    <t>EC00000112</t>
  </si>
  <si>
    <t>EC00000113</t>
  </si>
  <si>
    <t>EC00000114</t>
  </si>
  <si>
    <t>EC00000115</t>
  </si>
  <si>
    <t>EC00000116</t>
  </si>
  <si>
    <t>EC00000117</t>
  </si>
  <si>
    <t>EC00000118</t>
  </si>
  <si>
    <t>EC00000119</t>
  </si>
  <si>
    <t>EC00000120</t>
  </si>
  <si>
    <t>EC00000121</t>
  </si>
  <si>
    <t>EC00000122</t>
  </si>
  <si>
    <t>EC00000123</t>
  </si>
  <si>
    <t>EC00000124</t>
  </si>
  <si>
    <t>EC00000125</t>
  </si>
  <si>
    <t>EC00000126</t>
  </si>
  <si>
    <t>EC00000127</t>
  </si>
  <si>
    <t>EC00000128</t>
  </si>
  <si>
    <t>EC00000129</t>
  </si>
  <si>
    <t>EC00000130</t>
  </si>
  <si>
    <t>EC00000131</t>
  </si>
  <si>
    <t>EC00000132</t>
  </si>
  <si>
    <t>EC00000133</t>
  </si>
  <si>
    <t>EC00000134</t>
  </si>
  <si>
    <t>EC00000135</t>
  </si>
  <si>
    <t>EC00000136</t>
  </si>
  <si>
    <t>EC00000137</t>
  </si>
  <si>
    <t>EC00000138</t>
  </si>
  <si>
    <t>EC00000139</t>
  </si>
  <si>
    <t>EC00000140</t>
  </si>
  <si>
    <t>EC00000141</t>
  </si>
  <si>
    <t>EC00000142</t>
  </si>
  <si>
    <t>EC00000143</t>
  </si>
  <si>
    <t>EC00000144</t>
  </si>
  <si>
    <t>EC00000145</t>
  </si>
  <si>
    <t>EC00000146</t>
  </si>
  <si>
    <t>EC00000147</t>
  </si>
  <si>
    <t>EC00000148</t>
  </si>
  <si>
    <t>EC00000149</t>
  </si>
  <si>
    <t>EC00000150</t>
  </si>
  <si>
    <t>EC00000151</t>
  </si>
  <si>
    <t>EC00000152</t>
  </si>
  <si>
    <t>EC00000153</t>
  </si>
  <si>
    <t>EC00000154</t>
  </si>
  <si>
    <t>EC00000155</t>
  </si>
  <si>
    <t>EC00000156</t>
  </si>
  <si>
    <t>EC00000157</t>
  </si>
  <si>
    <t>EC00000158</t>
  </si>
  <si>
    <t>EC00000159</t>
  </si>
  <si>
    <t>EC00000160</t>
  </si>
  <si>
    <t>EC00000161</t>
  </si>
  <si>
    <t>EC00000162</t>
  </si>
  <si>
    <t>EC00000163</t>
  </si>
  <si>
    <t>EC00000164</t>
  </si>
  <si>
    <t>EC00000165</t>
  </si>
  <si>
    <t>EC00000166</t>
  </si>
  <si>
    <t>EC00000167</t>
  </si>
  <si>
    <t>EC00000168</t>
  </si>
  <si>
    <t>EC00000169</t>
  </si>
  <si>
    <t>EC00000170</t>
  </si>
  <si>
    <t>EC00000171</t>
  </si>
  <si>
    <t>EC00000172</t>
  </si>
  <si>
    <t>EC00000173</t>
  </si>
  <si>
    <t>EC00000174</t>
  </si>
  <si>
    <t>EC00000175</t>
  </si>
  <si>
    <t>EC00000176</t>
  </si>
  <si>
    <t>EC00000177</t>
  </si>
  <si>
    <t>EC00000178</t>
  </si>
  <si>
    <t>EC00000179</t>
  </si>
  <si>
    <t>EC00000180</t>
  </si>
  <si>
    <t>EC00000181</t>
  </si>
  <si>
    <t>EC00000182</t>
  </si>
  <si>
    <t>EC00000183</t>
  </si>
  <si>
    <t>EC00000184</t>
  </si>
  <si>
    <t>EC00000185</t>
  </si>
  <si>
    <t>EC00000186</t>
  </si>
  <si>
    <t>EC00000187</t>
  </si>
  <si>
    <t>EC00000188</t>
  </si>
  <si>
    <t>EC00000189</t>
  </si>
  <si>
    <t>EC00000190</t>
  </si>
  <si>
    <t>EC00000191</t>
  </si>
  <si>
    <t>EC00000192</t>
  </si>
  <si>
    <t>EC00000193</t>
  </si>
  <si>
    <t>EC00000194</t>
  </si>
  <si>
    <t>EC00000195</t>
  </si>
  <si>
    <t>EC00000196</t>
  </si>
  <si>
    <t>EC00000197</t>
  </si>
  <si>
    <t>EC00000198</t>
  </si>
  <si>
    <t>EC00000199</t>
  </si>
  <si>
    <t>EC00000200</t>
  </si>
  <si>
    <t>EC00000201</t>
  </si>
  <si>
    <t>EC00000202</t>
  </si>
  <si>
    <t>EC00000203</t>
  </si>
  <si>
    <t>EC00000204</t>
  </si>
  <si>
    <t>EC00000205</t>
  </si>
  <si>
    <t>EC00000206</t>
  </si>
  <si>
    <t>EC00000207</t>
  </si>
  <si>
    <t>EC00000208</t>
  </si>
  <si>
    <t>EC00000209</t>
  </si>
  <si>
    <t>EC00000210</t>
  </si>
  <si>
    <t>EC00000211</t>
  </si>
  <si>
    <t>EC00000212</t>
  </si>
  <si>
    <t>EC00000213</t>
  </si>
  <si>
    <t>EC00000214</t>
  </si>
  <si>
    <t>EC00000215</t>
  </si>
  <si>
    <t>EC00000216</t>
  </si>
  <si>
    <t>EC00000217</t>
  </si>
  <si>
    <t>EC00000218</t>
  </si>
  <si>
    <t>EC00000219</t>
  </si>
  <si>
    <t>EC00000220</t>
  </si>
  <si>
    <t>EC00000221</t>
  </si>
  <si>
    <t>EC00000222</t>
  </si>
  <si>
    <t>EC00000223</t>
  </si>
  <si>
    <t>EC00000224</t>
  </si>
  <si>
    <t>EC00000225</t>
  </si>
  <si>
    <t>EC00000226</t>
  </si>
  <si>
    <t>EC00000227</t>
  </si>
  <si>
    <t>EC00000228</t>
  </si>
  <si>
    <t>EC00000229</t>
  </si>
  <si>
    <t>EC00000230</t>
  </si>
  <si>
    <t>EC00000231</t>
  </si>
  <si>
    <t>EC00000232</t>
  </si>
  <si>
    <t>EC00000233</t>
  </si>
  <si>
    <t>EC00000234</t>
  </si>
  <si>
    <t>EC00000235</t>
  </si>
  <si>
    <t>EC00000236</t>
  </si>
  <si>
    <t>EC00000237</t>
  </si>
  <si>
    <t>EC00000238</t>
  </si>
  <si>
    <t>EC00000239</t>
  </si>
  <si>
    <t>EC00000240</t>
  </si>
  <si>
    <t>EC00000241</t>
  </si>
  <si>
    <t>EC00000242</t>
  </si>
  <si>
    <t>EC00000243</t>
  </si>
  <si>
    <t>EC00000244</t>
  </si>
  <si>
    <t>EC00000245</t>
  </si>
  <si>
    <t>EC00000246</t>
  </si>
  <si>
    <t>EC00000247</t>
  </si>
  <si>
    <t>EC00000248</t>
  </si>
  <si>
    <t>EC00000249</t>
  </si>
  <si>
    <t>EC00000250</t>
  </si>
  <si>
    <t>EC00000251</t>
  </si>
  <si>
    <t>EC00000252</t>
  </si>
  <si>
    <t>EC00000253</t>
  </si>
  <si>
    <t>EC00000254</t>
  </si>
  <si>
    <t>EC00000255</t>
  </si>
  <si>
    <t>EC00000256</t>
  </si>
  <si>
    <t>EC00000257</t>
  </si>
  <si>
    <t>EC00000258</t>
  </si>
  <si>
    <t>EC00000259</t>
  </si>
  <si>
    <t>EC00000260</t>
  </si>
  <si>
    <t>EC00000261</t>
  </si>
  <si>
    <t>EC00000262</t>
  </si>
  <si>
    <t>EC00000263</t>
  </si>
  <si>
    <t>EC00000264</t>
  </si>
  <si>
    <t>EC00000265</t>
  </si>
  <si>
    <t>EC00000266</t>
  </si>
  <si>
    <t>EC00000267</t>
  </si>
  <si>
    <t>EC00000268</t>
  </si>
  <si>
    <t>EC00000269</t>
  </si>
  <si>
    <t>EC00000270</t>
  </si>
  <si>
    <t>EC00000271</t>
  </si>
  <si>
    <t>EC00000272</t>
  </si>
  <si>
    <t>EC00000273</t>
  </si>
  <si>
    <t>EC00000274</t>
  </si>
  <si>
    <t>EC00000275</t>
  </si>
  <si>
    <t>EC00000276</t>
  </si>
  <si>
    <t>EC00000277</t>
  </si>
  <si>
    <t>EC00000278</t>
  </si>
  <si>
    <t>EC00000279</t>
  </si>
  <si>
    <t>EC00000280</t>
  </si>
  <si>
    <t>EC00000281</t>
  </si>
  <si>
    <t>EC00000282</t>
  </si>
  <si>
    <t>EC00000283</t>
  </si>
  <si>
    <t>EC00000284</t>
  </si>
  <si>
    <t>EC00000285</t>
  </si>
  <si>
    <t>EC00000286</t>
  </si>
  <si>
    <t>EC00000287</t>
  </si>
  <si>
    <t>EC00000288</t>
  </si>
  <si>
    <t>EC00000289</t>
  </si>
  <si>
    <t>EC00000290</t>
  </si>
  <si>
    <t>EC00000291</t>
  </si>
  <si>
    <t>EC00000292</t>
  </si>
  <si>
    <t>EC00000293</t>
  </si>
  <si>
    <t>EC00000294</t>
  </si>
  <si>
    <t>EC00000295</t>
  </si>
  <si>
    <t>EC00000296</t>
  </si>
  <si>
    <t>EC00000297</t>
  </si>
  <si>
    <t>EC00000298</t>
  </si>
  <si>
    <t>EC00000299</t>
  </si>
  <si>
    <t>EC00000300</t>
  </si>
  <si>
    <t>EC00000301</t>
  </si>
  <si>
    <t>EC00000302</t>
  </si>
  <si>
    <t>EC00000303</t>
  </si>
  <si>
    <t>EC00000304</t>
  </si>
  <si>
    <t>EC00000305</t>
  </si>
  <si>
    <t>EC00000306</t>
  </si>
  <si>
    <t>EC00000307</t>
  </si>
  <si>
    <t>EC00000308</t>
  </si>
  <si>
    <t>EC00000309</t>
  </si>
  <si>
    <t>EC00000310</t>
  </si>
  <si>
    <t>EC00000311</t>
  </si>
  <si>
    <t>EC00000312</t>
  </si>
  <si>
    <t>EC00000313</t>
  </si>
  <si>
    <t>EC00000314</t>
  </si>
  <si>
    <t>EC00000315</t>
  </si>
  <si>
    <t>EC00000316</t>
  </si>
  <si>
    <t>EC00000317</t>
  </si>
  <si>
    <t>EC00000318</t>
  </si>
  <si>
    <t>EC00000319</t>
  </si>
  <si>
    <t>EC00000320</t>
  </si>
  <si>
    <t>EC00000321</t>
  </si>
  <si>
    <t>EC00000322</t>
  </si>
  <si>
    <t>EC00000323</t>
  </si>
  <si>
    <t>EC00000324</t>
  </si>
  <si>
    <t>EC00000325</t>
  </si>
  <si>
    <t>EC00000326</t>
  </si>
  <si>
    <t>EC00000327</t>
  </si>
  <si>
    <t>EC00000328</t>
  </si>
  <si>
    <t>EC00000329</t>
  </si>
  <si>
    <t>EC00000330</t>
  </si>
  <si>
    <t>EC00000331</t>
  </si>
  <si>
    <t>EC00000332</t>
  </si>
  <si>
    <t>EC00000333</t>
  </si>
  <si>
    <t>EC00000334</t>
  </si>
  <si>
    <t>EC00000335</t>
  </si>
  <si>
    <t>EC00000336</t>
  </si>
  <si>
    <t>EC00000337</t>
  </si>
  <si>
    <t>EC00000338</t>
  </si>
  <si>
    <t>EC00000339</t>
  </si>
  <si>
    <t>EC00000340</t>
  </si>
  <si>
    <t>EC00000341</t>
  </si>
  <si>
    <t>EC00000342</t>
  </si>
  <si>
    <t>EC00000343</t>
  </si>
  <si>
    <t>EC00000344</t>
  </si>
  <si>
    <t>EC00000345</t>
  </si>
  <si>
    <t>EC00000346</t>
  </si>
  <si>
    <t>EC00000347</t>
  </si>
  <si>
    <t>EC00000348</t>
  </si>
  <si>
    <t>EC00000349</t>
  </si>
  <si>
    <t>EC00000350</t>
  </si>
  <si>
    <t>EC00000351</t>
  </si>
  <si>
    <t>EC00000352</t>
  </si>
  <si>
    <t>EC00000353</t>
  </si>
  <si>
    <t>EC00000354</t>
  </si>
  <si>
    <t>EC00000355</t>
  </si>
  <si>
    <t>EC00000356</t>
  </si>
  <si>
    <t>EC00000357</t>
  </si>
  <si>
    <t>EC00000358</t>
  </si>
  <si>
    <t>EC00000359</t>
  </si>
  <si>
    <t>EC00000360</t>
  </si>
  <si>
    <t>EC00000361</t>
  </si>
  <si>
    <t>EC00000362</t>
  </si>
  <si>
    <t>EC00000363</t>
  </si>
  <si>
    <t>EC00000364</t>
  </si>
  <si>
    <t>EC00000365</t>
  </si>
  <si>
    <t>EC00000366</t>
  </si>
  <si>
    <t>EC00000367</t>
  </si>
  <si>
    <t>EC00000368</t>
  </si>
  <si>
    <t>EC00000369</t>
  </si>
  <si>
    <t>EC00000370</t>
  </si>
  <si>
    <t>EC00000371</t>
  </si>
  <si>
    <t>EC00000372</t>
  </si>
  <si>
    <t>EC00000373</t>
  </si>
  <si>
    <t>EC00000374</t>
  </si>
  <si>
    <t>EC00000375</t>
  </si>
  <si>
    <t>EC00000376</t>
  </si>
  <si>
    <t>EC00000377</t>
  </si>
  <si>
    <t>EC00000378</t>
  </si>
  <si>
    <t>EC00000379</t>
  </si>
  <si>
    <t>EC00000380</t>
  </si>
  <si>
    <t>EC00000381</t>
  </si>
  <si>
    <t>EC00000382</t>
  </si>
  <si>
    <t>EC00000383</t>
  </si>
  <si>
    <t>EC00000384</t>
  </si>
  <si>
    <t>EC00000385</t>
  </si>
  <si>
    <t>EC00000386</t>
  </si>
  <si>
    <t>EC00000387</t>
  </si>
  <si>
    <t>EC00000388</t>
  </si>
  <si>
    <t>EC00000389</t>
  </si>
  <si>
    <t>EC00000390</t>
  </si>
  <si>
    <t>EC00000391</t>
  </si>
  <si>
    <t>EC00000392</t>
  </si>
  <si>
    <t>EC00000393</t>
  </si>
  <si>
    <t>EC00000394</t>
  </si>
  <si>
    <t>EC00000395</t>
  </si>
  <si>
    <t>EC00000396</t>
  </si>
  <si>
    <t>EC00000397</t>
  </si>
  <si>
    <t>EC00000398</t>
  </si>
  <si>
    <t>EC00000399</t>
  </si>
  <si>
    <t>EC00000400</t>
  </si>
  <si>
    <t>EC00000401</t>
  </si>
  <si>
    <t>EC00000402</t>
  </si>
  <si>
    <t>EC00000403</t>
  </si>
  <si>
    <t>EC00000404</t>
  </si>
  <si>
    <t>EC00000405</t>
  </si>
  <si>
    <t>EC00000406</t>
  </si>
  <si>
    <t>EC00000407</t>
  </si>
  <si>
    <t>EC00000408</t>
  </si>
  <si>
    <t>EC00000409</t>
  </si>
  <si>
    <t>EC00000410</t>
  </si>
  <si>
    <t>EC00000411</t>
  </si>
  <si>
    <t>EC00000412</t>
  </si>
  <si>
    <t>EC00000413</t>
  </si>
  <si>
    <t>EC00000414</t>
  </si>
  <si>
    <t>EC00000415</t>
  </si>
  <si>
    <t>EC00000416</t>
  </si>
  <si>
    <t>EC00000417</t>
  </si>
  <si>
    <t>EC00000418</t>
  </si>
  <si>
    <t>EC00000419</t>
  </si>
  <si>
    <t>EC00000420</t>
  </si>
  <si>
    <t>EC00000421</t>
  </si>
  <si>
    <t>EC00000422</t>
  </si>
  <si>
    <t>EC00000423</t>
  </si>
  <si>
    <t>EC00000424</t>
  </si>
  <si>
    <t>EC00000425</t>
  </si>
  <si>
    <t>EC00000426</t>
  </si>
  <si>
    <t>EC00000427</t>
  </si>
  <si>
    <t>EC00000428</t>
  </si>
  <si>
    <t>EC00000429</t>
  </si>
  <si>
    <t>EC00000430</t>
  </si>
  <si>
    <t>EC00000431</t>
  </si>
  <si>
    <t>EC00000432</t>
  </si>
  <si>
    <t>EC00000433</t>
  </si>
  <si>
    <t>EC00000434</t>
  </si>
  <si>
    <t>EC00000435</t>
  </si>
  <si>
    <t>EC00000436</t>
  </si>
  <si>
    <t>EC00000437</t>
  </si>
  <si>
    <t>EC00000438</t>
  </si>
  <si>
    <t>EC00000439</t>
  </si>
  <si>
    <t>EC00000440</t>
  </si>
  <si>
    <t>EC00000441</t>
  </si>
  <si>
    <t>EC00000442</t>
  </si>
  <si>
    <t>EC00000443</t>
  </si>
  <si>
    <t>EC00000444</t>
  </si>
  <si>
    <t>EC00000445</t>
  </si>
  <si>
    <t>EC00000446</t>
  </si>
  <si>
    <t>EC00000447</t>
  </si>
  <si>
    <t>EC00000448</t>
  </si>
  <si>
    <t>EC00000449</t>
  </si>
  <si>
    <t>EC00000450</t>
  </si>
  <si>
    <t>EC00000451</t>
  </si>
  <si>
    <t>EC00000452</t>
  </si>
  <si>
    <t>EC00000453</t>
  </si>
  <si>
    <t>EC00000454</t>
  </si>
  <si>
    <t>EC00000455</t>
  </si>
  <si>
    <t>EC00000456</t>
  </si>
  <si>
    <t>EC00000457</t>
  </si>
  <si>
    <t>EC00000458</t>
  </si>
  <si>
    <t>EC00000459</t>
  </si>
  <si>
    <t>EC00000460</t>
  </si>
  <si>
    <t>EC00000461</t>
  </si>
  <si>
    <t>EC00000462</t>
  </si>
  <si>
    <t>EC00000463</t>
  </si>
  <si>
    <t>EC00000464</t>
  </si>
  <si>
    <t>EC00000465</t>
  </si>
  <si>
    <t>EC00000466</t>
  </si>
  <si>
    <t>EC00000467</t>
  </si>
  <si>
    <t>EC00000468</t>
  </si>
  <si>
    <t>EC00000469</t>
  </si>
  <si>
    <t>EC00000470</t>
  </si>
  <si>
    <t>EC00000471</t>
  </si>
  <si>
    <t>EC00000472</t>
  </si>
  <si>
    <t>EC00000473</t>
  </si>
  <si>
    <t>EC00000474</t>
  </si>
  <si>
    <t>EC00000475</t>
  </si>
  <si>
    <t>EC00000476</t>
  </si>
  <si>
    <t>EC00000477</t>
  </si>
  <si>
    <t>EC00000478</t>
  </si>
  <si>
    <t>EC00000479</t>
  </si>
  <si>
    <t>EC00000480</t>
  </si>
  <si>
    <t>EC00000481</t>
  </si>
  <si>
    <t>EC00000482</t>
  </si>
  <si>
    <t>EC00000483</t>
  </si>
  <si>
    <t>EC00000484</t>
  </si>
  <si>
    <t>EC00000485</t>
  </si>
  <si>
    <t>EC00000486</t>
  </si>
  <si>
    <t>EC00000487</t>
  </si>
  <si>
    <t>EC00000488</t>
  </si>
  <si>
    <t>EC00000489</t>
  </si>
  <si>
    <t>EC00000490</t>
  </si>
  <si>
    <t>EC00000491</t>
  </si>
  <si>
    <t>EC00000492</t>
  </si>
  <si>
    <t>EC00000493</t>
  </si>
  <si>
    <t>EC00000494</t>
  </si>
  <si>
    <t>EC00000495</t>
  </si>
  <si>
    <t>EC00000496</t>
  </si>
  <si>
    <t>EC00000497</t>
  </si>
  <si>
    <t>EC00000498</t>
  </si>
  <si>
    <t>EC00000499</t>
  </si>
  <si>
    <t>EC00000500</t>
  </si>
  <si>
    <t>EC00000501</t>
  </si>
  <si>
    <t>EC00000502</t>
  </si>
  <si>
    <t>EC00000503</t>
  </si>
  <si>
    <t>EC00000504</t>
  </si>
  <si>
    <t>EC00000505</t>
  </si>
  <si>
    <t>EC00000506</t>
  </si>
  <si>
    <t>EC00000507</t>
  </si>
  <si>
    <t>EC00000508</t>
  </si>
  <si>
    <t>EC00000509</t>
  </si>
  <si>
    <t>EC00000510</t>
  </si>
  <si>
    <t>EC00000511</t>
  </si>
  <si>
    <t>EC00000512</t>
  </si>
  <si>
    <t>EC00000513</t>
  </si>
  <si>
    <t>EC00000514</t>
  </si>
  <si>
    <t>EC00000515</t>
  </si>
  <si>
    <t>EC00000516</t>
  </si>
  <si>
    <t>EC00000517</t>
  </si>
  <si>
    <t>EC00000518</t>
  </si>
  <si>
    <t>EC00000519</t>
  </si>
  <si>
    <t>EC00000520</t>
  </si>
  <si>
    <t>EC00000521</t>
  </si>
  <si>
    <t>EC00000522</t>
  </si>
  <si>
    <t>EC00000523</t>
  </si>
  <si>
    <t>EC00000524</t>
  </si>
  <si>
    <t>EC00000525</t>
  </si>
  <si>
    <t>EC00000526</t>
  </si>
  <si>
    <t>EC00000527</t>
  </si>
  <si>
    <t>EC00000528</t>
  </si>
  <si>
    <t>EC00000529</t>
  </si>
  <si>
    <t>EC00000530</t>
  </si>
  <si>
    <t>EC00000531</t>
  </si>
  <si>
    <t>EC00000532</t>
  </si>
  <si>
    <t>EC00000533</t>
  </si>
  <si>
    <t>EC00000534</t>
  </si>
  <si>
    <t>EC00000535</t>
  </si>
  <si>
    <t>EC00000536</t>
  </si>
  <si>
    <t>EC00000537</t>
  </si>
  <si>
    <t>EC00000538</t>
  </si>
  <si>
    <t>EC00000539</t>
  </si>
  <si>
    <t>EC00000540</t>
  </si>
  <si>
    <t>EC00000541</t>
  </si>
  <si>
    <t>EC00000542</t>
  </si>
  <si>
    <t>EC00000543</t>
  </si>
  <si>
    <t>EC00000544</t>
  </si>
  <si>
    <t>EC00000545</t>
  </si>
  <si>
    <t>EC00000546</t>
  </si>
  <si>
    <t>EC00000547</t>
  </si>
  <si>
    <t>EC00000548</t>
  </si>
  <si>
    <t>EC00000549</t>
  </si>
  <si>
    <t>EC00000550</t>
  </si>
  <si>
    <t>EC00000551</t>
  </si>
  <si>
    <t>EC00000552</t>
  </si>
  <si>
    <t>EC00000553</t>
  </si>
  <si>
    <t>EC00000554</t>
  </si>
  <si>
    <t>EC00000555</t>
  </si>
  <si>
    <t>EC00000556</t>
  </si>
  <si>
    <t>EC00000557</t>
  </si>
  <si>
    <t>EC00000558</t>
  </si>
  <si>
    <t>EC00000559</t>
  </si>
  <si>
    <t>EC00000560</t>
  </si>
  <si>
    <t>EC00000561</t>
  </si>
  <si>
    <t>EC00000562</t>
  </si>
  <si>
    <t>EC00000563</t>
  </si>
  <si>
    <t>EC00000564</t>
  </si>
  <si>
    <t>EC00000565</t>
  </si>
  <si>
    <t>EC00000566</t>
  </si>
  <si>
    <t>EC00000567</t>
  </si>
  <si>
    <t>EC00000568</t>
  </si>
  <si>
    <t>EC00000569</t>
  </si>
  <si>
    <t>EC00000570</t>
  </si>
  <si>
    <t>EC00000571</t>
  </si>
  <si>
    <t>EC00000572</t>
  </si>
  <si>
    <t>EC00000573</t>
  </si>
  <si>
    <t>EC00000574</t>
  </si>
  <si>
    <t>EC00000575</t>
  </si>
  <si>
    <t>EC00000576</t>
  </si>
  <si>
    <t>EC00000577</t>
  </si>
  <si>
    <t>EC00000578</t>
  </si>
  <si>
    <t>EC00000579</t>
  </si>
  <si>
    <t>EC00000580</t>
  </si>
  <si>
    <t>EC00000581</t>
  </si>
  <si>
    <t>EC00000582</t>
  </si>
  <si>
    <t>EC00000583</t>
  </si>
  <si>
    <t>EC00000584</t>
  </si>
  <si>
    <t>EC00000585</t>
  </si>
  <si>
    <t>EC00000586</t>
  </si>
  <si>
    <t>EC00000587</t>
  </si>
  <si>
    <t>EC00000588</t>
  </si>
  <si>
    <t>EC00000589</t>
  </si>
  <si>
    <t>EC00000590</t>
  </si>
  <si>
    <t>EC00000591</t>
  </si>
  <si>
    <t>EC00000592</t>
  </si>
  <si>
    <t>EC00000593</t>
  </si>
  <si>
    <t>EC00000594</t>
  </si>
  <si>
    <t>EC00000595</t>
  </si>
  <si>
    <t>EC00000596</t>
  </si>
  <si>
    <t>EC00000597</t>
  </si>
  <si>
    <t>EC00000598</t>
  </si>
  <si>
    <t>EC00000599</t>
  </si>
  <si>
    <t>EC00000600</t>
  </si>
  <si>
    <t>EC00000601</t>
  </si>
  <si>
    <t>EC00000602</t>
  </si>
  <si>
    <t>EC00000603</t>
  </si>
  <si>
    <t>EC00000604</t>
  </si>
  <si>
    <t>EC00000605</t>
  </si>
  <si>
    <t>EC00000606</t>
  </si>
  <si>
    <t>EC00000607</t>
  </si>
  <si>
    <t>EC00000608</t>
  </si>
  <si>
    <t>EC00000609</t>
  </si>
  <si>
    <t>EC00000610</t>
  </si>
  <si>
    <t>EC00000611</t>
  </si>
  <si>
    <t>EC00000612</t>
  </si>
  <si>
    <t>EC00000613</t>
  </si>
  <si>
    <t>EC00000614</t>
  </si>
  <si>
    <t>EC00000615</t>
  </si>
  <si>
    <t>EC00000616</t>
  </si>
  <si>
    <t>EC00000617</t>
  </si>
  <si>
    <t>EC00000618</t>
  </si>
  <si>
    <t>EC00000619</t>
  </si>
  <si>
    <t>EC00000620</t>
  </si>
  <si>
    <t>EC00000621</t>
  </si>
  <si>
    <t>EC00000622</t>
  </si>
  <si>
    <t>EC00000623</t>
  </si>
  <si>
    <t>EC00000624</t>
  </si>
  <si>
    <t>EC00000625</t>
  </si>
  <si>
    <t>EC00000626</t>
  </si>
  <si>
    <t>EC00000627</t>
  </si>
  <si>
    <t>EC00000628</t>
  </si>
  <si>
    <t>EC00000629</t>
  </si>
  <si>
    <t>EC00000630</t>
  </si>
  <si>
    <t>EC00000631</t>
  </si>
  <si>
    <t>EC00000632</t>
  </si>
  <si>
    <t>EC00000633</t>
  </si>
  <si>
    <t>EC00000634</t>
  </si>
  <si>
    <t>EC00000635</t>
  </si>
  <si>
    <t>EC00000636</t>
  </si>
  <si>
    <t>EC00000637</t>
  </si>
  <si>
    <t>EC00000638</t>
  </si>
  <si>
    <t>EC00000639</t>
  </si>
  <si>
    <t>EC00000640</t>
  </si>
  <si>
    <t>EC00000641</t>
  </si>
  <si>
    <t>EC00000642</t>
  </si>
  <si>
    <t>EC00000643</t>
  </si>
  <si>
    <t>EC00000644</t>
  </si>
  <si>
    <t>EC00000645</t>
  </si>
  <si>
    <t>EC00000646</t>
  </si>
  <si>
    <t>EC00000647</t>
  </si>
  <si>
    <t>EC00000648</t>
  </si>
  <si>
    <t>EC00000649</t>
  </si>
  <si>
    <t>EC00000650</t>
  </si>
  <si>
    <t>EC00000651</t>
  </si>
  <si>
    <t>EC00000652</t>
  </si>
  <si>
    <t>EC00000653</t>
  </si>
  <si>
    <t>EC00000654</t>
  </si>
  <si>
    <t>EC00000655</t>
  </si>
  <si>
    <t>EC00000656</t>
  </si>
  <si>
    <t>EC00000657</t>
  </si>
  <si>
    <t>EC00000658</t>
  </si>
  <si>
    <t>EC00000659</t>
  </si>
  <si>
    <t>EC00000660</t>
  </si>
  <si>
    <t>EC00000661</t>
  </si>
  <si>
    <t>EC00000662</t>
  </si>
  <si>
    <t>EC00000663</t>
  </si>
  <si>
    <t>EC00000664</t>
  </si>
  <si>
    <t>EC00000665</t>
  </si>
  <si>
    <t>EC00000666</t>
  </si>
  <si>
    <t>EC00000667</t>
  </si>
  <si>
    <t>EC00000668</t>
  </si>
  <si>
    <t>EC00000669</t>
  </si>
  <si>
    <t>EC00000670</t>
  </si>
  <si>
    <t>EC00000671</t>
  </si>
  <si>
    <t>EC00000672</t>
  </si>
  <si>
    <t>EC00000673</t>
  </si>
  <si>
    <t>EC00000674</t>
  </si>
  <si>
    <t>EC00000675</t>
  </si>
  <si>
    <t>EC00000676</t>
  </si>
  <si>
    <t>EC00000677</t>
  </si>
  <si>
    <t>EC00000678</t>
  </si>
  <si>
    <t>EC00000679</t>
  </si>
  <si>
    <t>EC00000680</t>
  </si>
  <si>
    <t>EC00000681</t>
  </si>
  <si>
    <t>EC00000682</t>
  </si>
  <si>
    <t>EC00000683</t>
  </si>
  <si>
    <t>EC00000684</t>
  </si>
  <si>
    <t>EC00000685</t>
  </si>
  <si>
    <t>EC00000686</t>
  </si>
  <si>
    <t>EC00000687</t>
  </si>
  <si>
    <t>EC00000688</t>
  </si>
  <si>
    <t>EC00000689</t>
  </si>
  <si>
    <t>EC00000690</t>
  </si>
  <si>
    <t>EC00000691</t>
  </si>
  <si>
    <t>EC00000692</t>
  </si>
  <si>
    <t>EC00000693</t>
  </si>
  <si>
    <t>EC00000694</t>
  </si>
  <si>
    <t>EC00000695</t>
  </si>
  <si>
    <t>EC00000696</t>
  </si>
  <si>
    <t>EC00000697</t>
  </si>
  <si>
    <t>EC00000698</t>
  </si>
  <si>
    <t>EC00000699</t>
  </si>
  <si>
    <t>EC00000700</t>
  </si>
  <si>
    <t>EC00000701</t>
  </si>
  <si>
    <t>EC00000702</t>
  </si>
  <si>
    <t>EC00000703</t>
  </si>
  <si>
    <t>EC00000704</t>
  </si>
  <si>
    <t>EC00000705</t>
  </si>
  <si>
    <t>EC00000706</t>
  </si>
  <si>
    <t>EC00000707</t>
  </si>
  <si>
    <t>EC00000708</t>
  </si>
  <si>
    <t>EC00000709</t>
  </si>
  <si>
    <t>EC00000710</t>
  </si>
  <si>
    <t>EC00000711</t>
  </si>
  <si>
    <t>EC00000712</t>
  </si>
  <si>
    <t>EC00000713</t>
  </si>
  <si>
    <t>EC00000714</t>
  </si>
  <si>
    <t>EC00000715</t>
  </si>
  <si>
    <t>EC00000716</t>
  </si>
  <si>
    <t>EC00000717</t>
  </si>
  <si>
    <t>EC00000718</t>
  </si>
  <si>
    <t>EC00000719</t>
  </si>
  <si>
    <t>EC00000720</t>
  </si>
  <si>
    <t>EC00000721</t>
  </si>
  <si>
    <t>EC00000722</t>
  </si>
  <si>
    <t>EC00000723</t>
  </si>
  <si>
    <t>EC00000724</t>
  </si>
  <si>
    <t>EC00000725</t>
  </si>
  <si>
    <t>EC00000726</t>
  </si>
  <si>
    <t>EC00000727</t>
  </si>
  <si>
    <t>EC00000728</t>
  </si>
  <si>
    <t>EC00000729</t>
  </si>
  <si>
    <t>EC00000730</t>
  </si>
  <si>
    <t>EC00000731</t>
  </si>
  <si>
    <t>EC00000732</t>
  </si>
  <si>
    <t>EC00000733</t>
  </si>
  <si>
    <t>EC00000734</t>
  </si>
  <si>
    <t>EC00000735</t>
  </si>
  <si>
    <t>EC00000736</t>
  </si>
  <si>
    <t>EC00000737</t>
  </si>
  <si>
    <t>EC00000738</t>
  </si>
  <si>
    <t>EC00000739</t>
  </si>
  <si>
    <t>EC00000740</t>
  </si>
  <si>
    <t>EC00000741</t>
  </si>
  <si>
    <t>EC00000742</t>
  </si>
  <si>
    <t>EC00000743</t>
  </si>
  <si>
    <t>EC00000744</t>
  </si>
  <si>
    <t>EC00000745</t>
  </si>
  <si>
    <t>EC00000746</t>
  </si>
  <si>
    <t>EC00000747</t>
  </si>
  <si>
    <t>EC00000748</t>
  </si>
  <si>
    <t>EC00000749</t>
  </si>
  <si>
    <t>EC00000750</t>
  </si>
  <si>
    <t>EC00000751</t>
  </si>
  <si>
    <t>EC00000752</t>
  </si>
  <si>
    <t>EC00000753</t>
  </si>
  <si>
    <t>EC00000754</t>
  </si>
  <si>
    <t>EC00000755</t>
  </si>
  <si>
    <t>EC00000756</t>
  </si>
  <si>
    <t>EC00000757</t>
  </si>
  <si>
    <t>EC00000758</t>
  </si>
  <si>
    <t>EC00000759</t>
  </si>
  <si>
    <t>EC00000760</t>
  </si>
  <si>
    <t>EC00000761</t>
  </si>
  <si>
    <t>EC00000762</t>
  </si>
  <si>
    <t>EC00000763</t>
  </si>
  <si>
    <t>EC00000764</t>
  </si>
  <si>
    <t>EC00000765</t>
  </si>
  <si>
    <t>EC00000766</t>
  </si>
  <si>
    <t>EC00000767</t>
  </si>
  <si>
    <t>EC00000768</t>
  </si>
  <si>
    <t>EC00000769</t>
  </si>
  <si>
    <t>EC00000770</t>
  </si>
  <si>
    <t>EC00000771</t>
  </si>
  <si>
    <t>EC00000772</t>
  </si>
  <si>
    <t>EC00000773</t>
  </si>
  <si>
    <t>EC00000774</t>
  </si>
  <si>
    <t>EC00000775</t>
  </si>
  <si>
    <t>EC00000776</t>
  </si>
  <si>
    <t>EC00000777</t>
  </si>
  <si>
    <t>EC00000778</t>
  </si>
  <si>
    <t>EC00000779</t>
  </si>
  <si>
    <t>EC00000780</t>
  </si>
  <si>
    <t>EC00000781</t>
  </si>
  <si>
    <t>EC00000782</t>
  </si>
  <si>
    <t>EC00000783</t>
  </si>
  <si>
    <t>EC00000784</t>
  </si>
  <si>
    <t>EC00000785</t>
  </si>
  <si>
    <t>EC00000786</t>
  </si>
  <si>
    <t>EC00000787</t>
  </si>
  <si>
    <t>EC00000788</t>
  </si>
  <si>
    <t>EC00000789</t>
  </si>
  <si>
    <t>EC00000790</t>
  </si>
  <si>
    <t>EC00000791</t>
  </si>
  <si>
    <t>EC00000792</t>
  </si>
  <si>
    <t>EC00000793</t>
  </si>
  <si>
    <t>EC00000794</t>
  </si>
  <si>
    <t>EC00000795</t>
  </si>
  <si>
    <t>EC00000796</t>
  </si>
  <si>
    <t>EC00000797</t>
  </si>
  <si>
    <t>EC00000798</t>
  </si>
  <si>
    <t>EC00000799</t>
  </si>
  <si>
    <t>EC00000800</t>
  </si>
  <si>
    <t>EC00000801</t>
  </si>
  <si>
    <t>EC00000802</t>
  </si>
  <si>
    <t>EC00000803</t>
  </si>
  <si>
    <t>EC00000804</t>
  </si>
  <si>
    <t>EC00000805</t>
  </si>
  <si>
    <t>EC00000806</t>
  </si>
  <si>
    <t>EC00000807</t>
  </si>
  <si>
    <t>EC00000808</t>
  </si>
  <si>
    <t>EC00000809</t>
  </si>
  <si>
    <t>EC00000810</t>
  </si>
  <si>
    <t>EC00000811</t>
  </si>
  <si>
    <t>EC00000812</t>
  </si>
  <si>
    <t>EC00000813</t>
  </si>
  <si>
    <t>EC00000814</t>
  </si>
  <si>
    <t>EC00000815</t>
  </si>
  <si>
    <t>EC00000816</t>
  </si>
  <si>
    <t>EC00000817</t>
  </si>
  <si>
    <t>EC00000818</t>
  </si>
  <si>
    <t>EC00000819</t>
  </si>
  <si>
    <t>EC00000820</t>
  </si>
  <si>
    <t>EC00000821</t>
  </si>
  <si>
    <t>EC00000822</t>
  </si>
  <si>
    <t>EC00000823</t>
  </si>
  <si>
    <t>EC00000824</t>
  </si>
  <si>
    <t>EC00000825</t>
  </si>
  <si>
    <t>EC00000826</t>
  </si>
  <si>
    <t>EC00000827</t>
  </si>
  <si>
    <t>EC00000828</t>
  </si>
  <si>
    <t>EC00000829</t>
  </si>
  <si>
    <t>EC00000830</t>
  </si>
  <si>
    <t>EC00000831</t>
  </si>
  <si>
    <t>EC00000832</t>
  </si>
  <si>
    <t>EC00000833</t>
  </si>
  <si>
    <t>EC00000834</t>
  </si>
  <si>
    <t>EC00000835</t>
  </si>
  <si>
    <t>EC00000836</t>
  </si>
  <si>
    <t>EC00000837</t>
  </si>
  <si>
    <t>EC00000838</t>
  </si>
  <si>
    <t>EC00000839</t>
  </si>
  <si>
    <t>EC00000840</t>
  </si>
  <si>
    <t>EC00000841</t>
  </si>
  <si>
    <t>EC00000842</t>
  </si>
  <si>
    <t>EC00000843</t>
  </si>
  <si>
    <t>EC00000844</t>
  </si>
  <si>
    <t>EC00000845</t>
  </si>
  <si>
    <t>EC00000846</t>
  </si>
  <si>
    <t>EC00000847</t>
  </si>
  <si>
    <t>EC00000848</t>
  </si>
  <si>
    <t>EC00000849</t>
  </si>
  <si>
    <t>EC00000850</t>
  </si>
  <si>
    <t>EC00000851</t>
  </si>
  <si>
    <t>EC00000852</t>
  </si>
  <si>
    <t>EC00000853</t>
  </si>
  <si>
    <t>EC00000854</t>
  </si>
  <si>
    <t>EC00000855</t>
  </si>
  <si>
    <t>EC00000856</t>
  </si>
  <si>
    <t>EC00000857</t>
  </si>
  <si>
    <t>EC00000858</t>
  </si>
  <si>
    <t>EC00000859</t>
  </si>
  <si>
    <t>EC00000860</t>
  </si>
  <si>
    <t>EC00000861</t>
  </si>
  <si>
    <t>EC00000862</t>
  </si>
  <si>
    <t>EC00000863</t>
  </si>
  <si>
    <t>EC00000864</t>
  </si>
  <si>
    <t>EC00000865</t>
  </si>
  <si>
    <t>EC00000866</t>
  </si>
  <si>
    <t>EC00000867</t>
  </si>
  <si>
    <t>EC00000868</t>
  </si>
  <si>
    <t>EC00000869</t>
  </si>
  <si>
    <t>EC00000870</t>
  </si>
  <si>
    <t>EC00000871</t>
  </si>
  <si>
    <t>EC00000872</t>
  </si>
  <si>
    <t>EC00000873</t>
  </si>
  <si>
    <t>EC00000874</t>
  </si>
  <si>
    <t>EC00000875</t>
  </si>
  <si>
    <t>EC00000876</t>
  </si>
  <si>
    <t>EC00000877</t>
  </si>
  <si>
    <t>EC00000878</t>
  </si>
  <si>
    <t>EC00000879</t>
  </si>
  <si>
    <t>EC00000880</t>
  </si>
  <si>
    <t>EC00000881</t>
  </si>
  <si>
    <t>EC00000882</t>
  </si>
  <si>
    <t>EC00000883</t>
  </si>
  <si>
    <t>EC00000884</t>
  </si>
  <si>
    <t>EC00000885</t>
  </si>
  <si>
    <t>EC00000886</t>
  </si>
  <si>
    <t>EC00000887</t>
  </si>
  <si>
    <t>EC00000888</t>
  </si>
  <si>
    <t>EC00000889</t>
  </si>
  <si>
    <t>EC00000890</t>
  </si>
  <si>
    <t>EC00000891</t>
  </si>
  <si>
    <t>EC00000892</t>
  </si>
  <si>
    <t>EC00000893</t>
  </si>
  <si>
    <t>EC00000894</t>
  </si>
  <si>
    <t>EC00000895</t>
  </si>
  <si>
    <t>EC00000896</t>
  </si>
  <si>
    <t>EC00000897</t>
  </si>
  <si>
    <t>EC00000898</t>
  </si>
  <si>
    <t>EC00000899</t>
  </si>
  <si>
    <t>EC00000900</t>
  </si>
  <si>
    <t>EC00000901</t>
  </si>
  <si>
    <t>EC00000902</t>
  </si>
  <si>
    <t>EC00000903</t>
  </si>
  <si>
    <t>EC00000904</t>
  </si>
  <si>
    <t>EC00000905</t>
  </si>
  <si>
    <t>EC00000906</t>
  </si>
  <si>
    <t>EC00000907</t>
  </si>
  <si>
    <t>EC00000908</t>
  </si>
  <si>
    <t>EC00000909</t>
  </si>
  <si>
    <t>EC00000910</t>
  </si>
  <si>
    <t>EC00000911</t>
  </si>
  <si>
    <t>EC00000912</t>
  </si>
  <si>
    <t>EC00000913</t>
  </si>
  <si>
    <t>EC00000914</t>
  </si>
  <si>
    <t>EC00000915</t>
  </si>
  <si>
    <t>EC00000916</t>
  </si>
  <si>
    <t>EC00000917</t>
  </si>
  <si>
    <t>EC00000918</t>
  </si>
  <si>
    <t>EC00000919</t>
  </si>
  <si>
    <t>EC00000920</t>
  </si>
  <si>
    <t>EC00000921</t>
  </si>
  <si>
    <t>EC00000922</t>
  </si>
  <si>
    <t>EC00000923</t>
  </si>
  <si>
    <t>EC00000924</t>
  </si>
  <si>
    <t>EC00000925</t>
  </si>
  <si>
    <t>EC00000926</t>
  </si>
  <si>
    <t>EC00000927</t>
  </si>
  <si>
    <t>EC00000928</t>
  </si>
  <si>
    <t>EC00000929</t>
  </si>
  <si>
    <t>EC00000930</t>
  </si>
  <si>
    <t>EC00000931</t>
  </si>
  <si>
    <t>EC00000932</t>
  </si>
  <si>
    <t>EC00000933</t>
  </si>
  <si>
    <t>EC00000934</t>
  </si>
  <si>
    <t>EC00000935</t>
  </si>
  <si>
    <t>EC00000936</t>
  </si>
  <si>
    <t>EC00000937</t>
  </si>
  <si>
    <t>EC00000938</t>
  </si>
  <si>
    <t>EC00000939</t>
  </si>
  <si>
    <t>EC00000940</t>
  </si>
  <si>
    <t>EC00000941</t>
  </si>
  <si>
    <t>EC00000942</t>
  </si>
  <si>
    <t>EC00000943</t>
  </si>
  <si>
    <t>EC00000944</t>
  </si>
  <si>
    <t>EC00000945</t>
  </si>
  <si>
    <t>EC00000946</t>
  </si>
  <si>
    <t>EC00000947</t>
  </si>
  <si>
    <t>EC00000948</t>
  </si>
  <si>
    <t>EC00000949</t>
  </si>
  <si>
    <t>EC00000950</t>
  </si>
  <si>
    <t>EC00000951</t>
  </si>
  <si>
    <t>EC00000952</t>
  </si>
  <si>
    <t>EC00000953</t>
  </si>
  <si>
    <t>EC00000954</t>
  </si>
  <si>
    <t>EC00000955</t>
  </si>
  <si>
    <t>EC00000956</t>
  </si>
  <si>
    <t>EC00000957</t>
  </si>
  <si>
    <t>EC00000958</t>
  </si>
  <si>
    <t>EC00000959</t>
  </si>
  <si>
    <t>EC00000960</t>
  </si>
  <si>
    <t>EC00000961</t>
  </si>
  <si>
    <t>EC00000962</t>
  </si>
  <si>
    <t>EC00000963</t>
  </si>
  <si>
    <t>EC00000964</t>
  </si>
  <si>
    <t>EC00000965</t>
  </si>
  <si>
    <t>EC00000966</t>
  </si>
  <si>
    <t>EC00000967</t>
  </si>
  <si>
    <t>EC00000968</t>
  </si>
  <si>
    <t>EC00000969</t>
  </si>
  <si>
    <t>EC00000970</t>
  </si>
  <si>
    <t>EC00000971</t>
  </si>
  <si>
    <t>EC00000972</t>
  </si>
  <si>
    <t>EC00000973</t>
  </si>
  <si>
    <t>EC00000974</t>
  </si>
  <si>
    <t>EC00000975</t>
  </si>
  <si>
    <t>EC00000976</t>
  </si>
  <si>
    <t>EC00000977</t>
  </si>
  <si>
    <t>EC00000978</t>
  </si>
  <si>
    <t>EC00000979</t>
  </si>
  <si>
    <t>EC00000980</t>
  </si>
  <si>
    <t>EC00000981</t>
  </si>
  <si>
    <t>EC00000982</t>
  </si>
  <si>
    <t>EC00000983</t>
  </si>
  <si>
    <t>EC00000984</t>
  </si>
  <si>
    <t>EC00000985</t>
  </si>
  <si>
    <t>EC00000986</t>
  </si>
  <si>
    <t>EC00000987</t>
  </si>
  <si>
    <t>EC00000988</t>
  </si>
  <si>
    <t>EC00000989</t>
  </si>
  <si>
    <t>EC00000990</t>
  </si>
  <si>
    <t>EC00000991</t>
  </si>
  <si>
    <t>EC00000992</t>
  </si>
  <si>
    <t>EC00000993</t>
  </si>
  <si>
    <t>EC00000994</t>
  </si>
  <si>
    <t>EC00000995</t>
  </si>
  <si>
    <t>EC00000996</t>
  </si>
  <si>
    <t>EC00000997</t>
  </si>
  <si>
    <t>EC00000998</t>
  </si>
  <si>
    <t>EC00000999</t>
  </si>
  <si>
    <t>EC00001000</t>
  </si>
  <si>
    <t>Client</t>
  </si>
  <si>
    <t>CentreCout</t>
  </si>
  <si>
    <t>Monoprix</t>
  </si>
  <si>
    <t>Casino</t>
  </si>
  <si>
    <t>Système U</t>
  </si>
  <si>
    <t>Carrefour</t>
  </si>
  <si>
    <t>Intermarché</t>
  </si>
  <si>
    <t>Auchan</t>
  </si>
  <si>
    <t>Cora</t>
  </si>
  <si>
    <t>Géant Casino</t>
  </si>
  <si>
    <t>Leclerc</t>
  </si>
  <si>
    <t>Réalisé</t>
  </si>
  <si>
    <t>Reste</t>
  </si>
  <si>
    <t>CA_YTD</t>
  </si>
  <si>
    <t>Charges_YTD</t>
  </si>
  <si>
    <t>DeltaCA</t>
  </si>
  <si>
    <t>Effet_Volume</t>
  </si>
  <si>
    <t>Effet_Prix</t>
  </si>
  <si>
    <t>Effet_Mix</t>
  </si>
  <si>
    <t>DÉCOMPOSITION VOLUME / PRIX / MIX — Chiffre d'affaires (YTD, k€)</t>
  </si>
  <si>
    <t>Écart CA</t>
  </si>
  <si>
    <t>Effet Volume</t>
  </si>
  <si>
    <t>Effet Prix</t>
  </si>
  <si>
    <t>Effet Mix</t>
  </si>
  <si>
    <t>STRUCTURE DES CHARGES PAR CENTRE DE COÛT (YTD, k€)</t>
  </si>
  <si>
    <t>TOP 10 CLIENTS — CA YTD (k€)</t>
  </si>
  <si>
    <t>Collaborateurs</t>
  </si>
  <si>
    <t>Canaux de vente</t>
  </si>
  <si>
    <t>Sites industriels</t>
  </si>
  <si>
    <t>Business Units</t>
  </si>
  <si>
    <t>REPÈRES GROUPE</t>
  </si>
  <si>
    <t>IKKI</t>
  </si>
  <si>
    <t>pMoisCloture</t>
  </si>
  <si>
    <t>C:\Users\ISMAIL ABGAR\OneDrive\Desktop\atlas-agro-package-cloture-main\project files\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</si>
</sst>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;\(#,##0\);\-"/>
    <numFmt numFmtId="165" formatCode="0.0%;\(0.0%\);\-"/>
    <numFmt numFmtId="166" formatCode="#,##0;\(#,##0\)"/>
    <numFmt numFmtId="167" formatCode="\+0.0%;\-0.0%;0.0%"/>
  </numFmts>
  <fonts count="41" x14ac:knownFonts="1">
    <font>
      <sz val="11"/>
      <color theme="1"/>
      <name val="Calibri"/>
      <family val="2"/>
      <charset val="1"/>
    </font>
    <font>
      <sz val="9"/>
      <color rgb="FF000000"/>
      <name val="Arial"/>
      <family val="2"/>
    </font>
    <font>
      <b/>
      <sz val="14"/>
      <color rgb="FFFFFFFF"/>
      <name val="Arial"/>
      <family val="2"/>
    </font>
    <font>
      <b/>
      <sz val="10"/>
      <color rgb="FF000000"/>
      <name val="Arial"/>
      <family val="2"/>
    </font>
    <font>
      <b/>
      <sz val="12"/>
      <color rgb="FF0000FF"/>
      <name val="Arial"/>
      <family val="2"/>
    </font>
    <font>
      <sz val="10"/>
      <color rgb="FF0000FF"/>
      <name val="Arial"/>
      <family val="2"/>
    </font>
    <font>
      <sz val="10"/>
      <color rgb="FF000000"/>
      <name val="Arial"/>
      <family val="2"/>
    </font>
    <font>
      <i/>
      <sz val="8"/>
      <color rgb="FF808080"/>
      <name val="Arial"/>
      <family val="2"/>
    </font>
    <font>
      <sz val="8"/>
      <name val="Calibri"/>
      <family val="2"/>
      <charset val="1"/>
    </font>
    <font>
      <b/>
      <sz val="11"/>
      <color rgb="FFFFFFFF"/>
      <name val="Arial"/>
      <family val="2"/>
    </font>
    <font>
      <b/>
      <sz val="9"/>
      <color rgb="FFFFFFFF"/>
      <name val="Arial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b/>
      <sz val="12"/>
      <color rgb="FFFFFFFF"/>
      <name val="Arial"/>
      <family val="2"/>
    </font>
    <font>
      <i/>
      <sz val="9"/>
      <color rgb="FF808080"/>
      <name val="Arial"/>
      <family val="2"/>
    </font>
    <font>
      <b/>
      <sz val="16"/>
      <color rgb="FF1F3864"/>
      <name val="Arial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b/>
      <sz val="8"/>
      <color rgb="FFFFFFFF"/>
      <name val="Arial"/>
      <family val="2"/>
    </font>
    <font>
      <b/>
      <sz val="12"/>
      <color rgb="FF1F3864"/>
      <name val="Arial"/>
      <family val="2"/>
    </font>
    <font>
      <b/>
      <sz val="9"/>
      <color rgb="FF808080"/>
      <name val="Arial"/>
      <family val="2"/>
    </font>
    <font>
      <b/>
      <sz val="10"/>
      <color rgb="FFFFFFFF"/>
      <name val="Arial"/>
      <family val="2"/>
    </font>
    <font>
      <sz val="10"/>
      <color rgb="FF1F3864"/>
      <name val="Arial"/>
      <family val="2"/>
    </font>
    <font>
      <i/>
      <sz val="8"/>
      <color rgb="FF808080"/>
      <name val="Arial"/>
      <family val="2"/>
    </font>
    <font>
      <b/>
      <sz val="14"/>
      <color rgb="FF1F3864"/>
      <name val="Arial"/>
      <family val="2"/>
    </font>
    <font>
      <b/>
      <sz val="10"/>
      <color rgb="FF1F3864"/>
      <name val="Arial"/>
      <family val="2"/>
    </font>
    <font>
      <b/>
      <sz val="10"/>
      <color rgb="FF000000"/>
      <name val="Arial"/>
      <family val="2"/>
    </font>
    <font>
      <b/>
      <sz val="20"/>
      <color rgb="FF1F3864"/>
      <name val="Arial"/>
      <family val="2"/>
    </font>
    <font>
      <i/>
      <sz val="10"/>
      <color rgb="FF1F3864"/>
      <name val="Arial"/>
      <family val="2"/>
    </font>
    <font>
      <b/>
      <sz val="16"/>
      <color rgb="FFFFFFFF"/>
      <name val="Arial"/>
      <family val="2"/>
    </font>
    <font>
      <b/>
      <sz val="8"/>
      <color rgb="FF9C0006"/>
      <name val="Arial"/>
      <family val="2"/>
    </font>
    <font>
      <b/>
      <sz val="8"/>
      <color rgb="FF006100"/>
      <name val="Arial"/>
      <family val="2"/>
    </font>
    <font>
      <b/>
      <sz val="9"/>
      <color rgb="FF1F3864"/>
      <name val="Arial"/>
      <family val="2"/>
    </font>
    <font>
      <i/>
      <sz val="9"/>
      <color rgb="FF1F3864"/>
      <name val="Arial"/>
      <family val="2"/>
    </font>
    <font>
      <b/>
      <sz val="14"/>
      <color rgb="FFFFFFFF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sz val="13"/>
      <color rgb="FFFFFFFF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theme="0"/>
      <name val="Calibri"/>
      <family val="2"/>
      <charset val="1"/>
    </font>
  </fonts>
  <fills count="14">
    <fill>
      <patternFill patternType="none"/>
    </fill>
    <fill>
      <patternFill patternType="gray125"/>
    </fill>
    <fill>
      <patternFill patternType="solid">
        <fgColor rgb="FF1F3864"/>
        <bgColor rgb="FF333333"/>
      </patternFill>
    </fill>
    <fill>
      <patternFill patternType="solid">
        <fgColor rgb="FFD9E1F2"/>
        <bgColor rgb="FFD9D9D9"/>
      </patternFill>
    </fill>
    <fill>
      <patternFill patternType="solid">
        <fgColor rgb="FFFFFF00"/>
        <bgColor rgb="FFFFFF00"/>
      </patternFill>
    </fill>
    <fill>
      <patternFill patternType="solid">
        <fgColor rgb="FF2E5496"/>
        <bgColor rgb="FF1F3864"/>
      </patternFill>
    </fill>
    <fill>
      <patternFill patternType="solid">
        <fgColor rgb="FFFFFFFF"/>
        <bgColor rgb="FFF9F9F9"/>
      </patternFill>
    </fill>
    <fill>
      <patternFill patternType="solid">
        <fgColor rgb="FFF7F7F7"/>
        <bgColor rgb="FFF9F9F9"/>
      </patternFill>
    </fill>
    <fill>
      <patternFill patternType="solid">
        <fgColor rgb="FFBDD7EE"/>
        <bgColor rgb="FFD0D0D0"/>
      </patternFill>
    </fill>
    <fill>
      <patternFill patternType="solid">
        <fgColor rgb="FF9C0006"/>
        <bgColor rgb="FF800000"/>
      </patternFill>
    </fill>
    <fill>
      <patternFill patternType="solid">
        <fgColor rgb="FF006100"/>
        <bgColor rgb="FF003300"/>
      </patternFill>
    </fill>
    <fill>
      <patternFill patternType="solid">
        <fgColor rgb="FF8EAADB"/>
        <bgColor rgb="FFA5A5A5"/>
      </patternFill>
    </fill>
    <fill>
      <patternFill patternType="solid">
        <fgColor rgb="FFF2F2F2"/>
        <bgColor rgb="FFF7F7F7"/>
      </patternFill>
    </fill>
    <fill>
      <patternFill patternType="solid">
        <fgColor rgb="FF5B9BD5"/>
        <bgColor rgb="FF4BACC6"/>
      </patternFill>
    </fill>
  </fills>
  <borders count="7">
    <border>
      <left/>
      <right/>
      <top/>
      <bottom/>
      <diagonal/>
    </border>
    <border>
      <left style="thin">
        <color rgb="FFD0D0D0"/>
      </left>
      <right/>
      <top style="thin">
        <color rgb="FFD0D0D0"/>
      </top>
      <bottom style="thin">
        <color rgb="FFD0D0D0"/>
      </bottom>
      <diagonal/>
    </border>
    <border>
      <left style="thin">
        <color rgb="FFD0D0D0"/>
      </left>
      <right/>
      <top style="thin">
        <color rgb="FFD0D0D0"/>
      </top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rgb="FFD0D0D0"/>
      </left>
      <right style="thin">
        <color rgb="FFD0D0D0"/>
      </right>
      <top style="medium">
        <color rgb="FF1F3864"/>
      </top>
      <bottom style="thin">
        <color rgb="FFD0D0D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/>
      <bottom/>
      <diagonal/>
    </border>
  </borders>
  <cellStyleXfs count="1">
    <xf numFmtId="0" fontId="0" fillId="0" borderId="0"/>
  </cellStyleXfs>
  <cellXfs count="98">
    <xf numFmtId="0" fontId="0" fillId="0" borderId="0" xfId="0"/>
    <xf numFmtId="0" fontId="1" fillId="0" borderId="0" xfId="0" applyFont="1" applyAlignment="1">
      <alignment horizontal="left" vertical="center"/>
    </xf>
    <xf numFmtId="14" fontId="0" fillId="0" borderId="0" xfId="0" applyNumberFormat="1"/>
    <xf numFmtId="0" fontId="0" fillId="12" borderId="0" xfId="0" applyFill="1"/>
    <xf numFmtId="0" fontId="3" fillId="3" borderId="3" xfId="0" applyFont="1" applyFill="1" applyBorder="1" applyAlignment="1">
      <alignment horizontal="left" vertical="center"/>
    </xf>
    <xf numFmtId="0" fontId="4" fillId="4" borderId="3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6" fillId="0" borderId="3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10" fillId="2" borderId="0" xfId="0" applyFont="1" applyFill="1" applyAlignment="1">
      <alignment horizontal="center" vertical="center"/>
    </xf>
    <xf numFmtId="0" fontId="11" fillId="1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left" vertical="center"/>
    </xf>
    <xf numFmtId="166" fontId="10" fillId="2" borderId="0" xfId="0" applyNumberFormat="1" applyFont="1" applyFill="1" applyAlignment="1">
      <alignment horizontal="right" vertical="center"/>
    </xf>
    <xf numFmtId="166" fontId="16" fillId="0" borderId="5" xfId="0" applyNumberFormat="1" applyFont="1" applyBorder="1" applyAlignment="1">
      <alignment horizontal="right" vertical="center"/>
    </xf>
    <xf numFmtId="0" fontId="18" fillId="2" borderId="0" xfId="0" applyFont="1" applyFill="1" applyAlignment="1">
      <alignment horizontal="center" vertical="center"/>
    </xf>
    <xf numFmtId="3" fontId="30" fillId="0" borderId="3" xfId="0" applyNumberFormat="1" applyFont="1" applyBorder="1" applyAlignment="1">
      <alignment horizontal="right" vertical="center"/>
    </xf>
    <xf numFmtId="0" fontId="16" fillId="0" borderId="3" xfId="0" applyFont="1" applyBorder="1" applyAlignment="1">
      <alignment horizontal="left" vertical="center"/>
    </xf>
    <xf numFmtId="3" fontId="31" fillId="0" borderId="3" xfId="0" applyNumberFormat="1" applyFont="1" applyBorder="1" applyAlignment="1">
      <alignment horizontal="right" vertical="center"/>
    </xf>
    <xf numFmtId="0" fontId="17" fillId="3" borderId="3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left" vertical="center"/>
    </xf>
    <xf numFmtId="166" fontId="16" fillId="0" borderId="3" xfId="0" applyNumberFormat="1" applyFont="1" applyBorder="1" applyAlignment="1">
      <alignment horizontal="right" vertical="center"/>
    </xf>
    <xf numFmtId="0" fontId="17" fillId="0" borderId="3" xfId="0" applyFont="1" applyBorder="1" applyAlignment="1">
      <alignment horizontal="left" vertical="center"/>
    </xf>
    <xf numFmtId="0" fontId="18" fillId="2" borderId="3" xfId="0" applyFont="1" applyFill="1" applyBorder="1" applyAlignment="1">
      <alignment horizontal="center" vertical="center"/>
    </xf>
    <xf numFmtId="165" fontId="12" fillId="6" borderId="3" xfId="0" applyNumberFormat="1" applyFont="1" applyFill="1" applyBorder="1" applyAlignment="1">
      <alignment horizontal="right" vertical="center"/>
    </xf>
    <xf numFmtId="0" fontId="12" fillId="6" borderId="3" xfId="0" applyFont="1" applyFill="1" applyBorder="1" applyAlignment="1">
      <alignment horizontal="left" vertical="center"/>
    </xf>
    <xf numFmtId="165" fontId="12" fillId="7" borderId="3" xfId="0" applyNumberFormat="1" applyFont="1" applyFill="1" applyBorder="1" applyAlignment="1">
      <alignment horizontal="right" vertical="center"/>
    </xf>
    <xf numFmtId="0" fontId="12" fillId="7" borderId="3" xfId="0" applyFont="1" applyFill="1" applyBorder="1" applyAlignment="1">
      <alignment horizontal="left" vertical="center"/>
    </xf>
    <xf numFmtId="0" fontId="32" fillId="8" borderId="3" xfId="0" applyFont="1" applyFill="1" applyBorder="1" applyAlignment="1">
      <alignment horizontal="center" vertical="center"/>
    </xf>
    <xf numFmtId="0" fontId="32" fillId="8" borderId="3" xfId="0" applyFont="1" applyFill="1" applyBorder="1" applyAlignment="1">
      <alignment horizontal="left" vertical="center"/>
    </xf>
    <xf numFmtId="165" fontId="21" fillId="2" borderId="4" xfId="0" applyNumberFormat="1" applyFont="1" applyFill="1" applyBorder="1" applyAlignment="1">
      <alignment horizontal="right" vertical="center"/>
    </xf>
    <xf numFmtId="164" fontId="21" fillId="2" borderId="4" xfId="0" applyNumberFormat="1" applyFont="1" applyFill="1" applyBorder="1" applyAlignment="1">
      <alignment horizontal="right" vertical="center"/>
    </xf>
    <xf numFmtId="0" fontId="21" fillId="2" borderId="4" xfId="0" applyFont="1" applyFill="1" applyBorder="1" applyAlignment="1">
      <alignment horizontal="left" vertical="center"/>
    </xf>
    <xf numFmtId="164" fontId="12" fillId="6" borderId="3" xfId="0" applyNumberFormat="1" applyFont="1" applyFill="1" applyBorder="1" applyAlignment="1">
      <alignment horizontal="right" vertical="center"/>
    </xf>
    <xf numFmtId="164" fontId="12" fillId="7" borderId="3" xfId="0" applyNumberFormat="1" applyFont="1" applyFill="1" applyBorder="1" applyAlignment="1">
      <alignment horizontal="right" vertical="center"/>
    </xf>
    <xf numFmtId="165" fontId="9" fillId="2" borderId="4" xfId="0" applyNumberFormat="1" applyFont="1" applyFill="1" applyBorder="1" applyAlignment="1">
      <alignment horizontal="right" vertical="center"/>
    </xf>
    <xf numFmtId="164" fontId="9" fillId="2" borderId="4" xfId="0" applyNumberFormat="1" applyFont="1" applyFill="1" applyBorder="1" applyAlignment="1">
      <alignment horizontal="right" vertical="center"/>
    </xf>
    <xf numFmtId="0" fontId="9" fillId="2" borderId="4" xfId="0" applyFont="1" applyFill="1" applyBorder="1" applyAlignment="1">
      <alignment horizontal="left" vertical="center"/>
    </xf>
    <xf numFmtId="165" fontId="35" fillId="7" borderId="3" xfId="0" applyNumberFormat="1" applyFont="1" applyFill="1" applyBorder="1" applyAlignment="1">
      <alignment horizontal="right" vertical="center"/>
    </xf>
    <xf numFmtId="164" fontId="35" fillId="7" borderId="3" xfId="0" applyNumberFormat="1" applyFont="1" applyFill="1" applyBorder="1" applyAlignment="1">
      <alignment horizontal="right" vertical="center"/>
    </xf>
    <xf numFmtId="0" fontId="36" fillId="7" borderId="3" xfId="0" applyFont="1" applyFill="1" applyBorder="1" applyAlignment="1">
      <alignment vertical="center" indent="2"/>
    </xf>
    <xf numFmtId="165" fontId="26" fillId="8" borderId="4" xfId="0" applyNumberFormat="1" applyFont="1" applyFill="1" applyBorder="1" applyAlignment="1">
      <alignment horizontal="right" vertical="center"/>
    </xf>
    <xf numFmtId="164" fontId="26" fillId="8" borderId="4" xfId="0" applyNumberFormat="1" applyFont="1" applyFill="1" applyBorder="1" applyAlignment="1">
      <alignment horizontal="right" vertical="center"/>
    </xf>
    <xf numFmtId="0" fontId="26" fillId="8" borderId="4" xfId="0" applyFont="1" applyFill="1" applyBorder="1" applyAlignment="1">
      <alignment horizontal="left" vertical="center"/>
    </xf>
    <xf numFmtId="165" fontId="26" fillId="11" borderId="4" xfId="0" applyNumberFormat="1" applyFont="1" applyFill="1" applyBorder="1" applyAlignment="1">
      <alignment horizontal="right" vertical="center"/>
    </xf>
    <xf numFmtId="164" fontId="26" fillId="11" borderId="4" xfId="0" applyNumberFormat="1" applyFont="1" applyFill="1" applyBorder="1" applyAlignment="1">
      <alignment horizontal="right" vertical="center"/>
    </xf>
    <xf numFmtId="0" fontId="26" fillId="11" borderId="4" xfId="0" applyFont="1" applyFill="1" applyBorder="1" applyAlignment="1">
      <alignment horizontal="left" vertical="center"/>
    </xf>
    <xf numFmtId="0" fontId="12" fillId="6" borderId="3" xfId="0" applyFont="1" applyFill="1" applyBorder="1" applyAlignment="1">
      <alignment horizontal="center" vertical="center"/>
    </xf>
    <xf numFmtId="165" fontId="35" fillId="6" borderId="3" xfId="0" applyNumberFormat="1" applyFont="1" applyFill="1" applyBorder="1" applyAlignment="1">
      <alignment horizontal="right" vertical="center"/>
    </xf>
    <xf numFmtId="164" fontId="35" fillId="6" borderId="3" xfId="0" applyNumberFormat="1" applyFont="1" applyFill="1" applyBorder="1" applyAlignment="1">
      <alignment horizontal="right" vertical="center"/>
    </xf>
    <xf numFmtId="0" fontId="36" fillId="6" borderId="3" xfId="0" applyFont="1" applyFill="1" applyBorder="1" applyAlignment="1">
      <alignment vertical="center" indent="2"/>
    </xf>
    <xf numFmtId="0" fontId="10" fillId="5" borderId="3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left" vertical="center"/>
    </xf>
    <xf numFmtId="0" fontId="21" fillId="5" borderId="3" xfId="0" applyFont="1" applyFill="1" applyBorder="1" applyAlignment="1">
      <alignment horizontal="center" vertical="center"/>
    </xf>
    <xf numFmtId="2" fontId="12" fillId="12" borderId="5" xfId="0" applyNumberFormat="1" applyFont="1" applyFill="1" applyBorder="1" applyAlignment="1">
      <alignment horizontal="right" vertical="center"/>
    </xf>
    <xf numFmtId="0" fontId="39" fillId="0" borderId="0" xfId="0" applyFont="1"/>
    <xf numFmtId="0" fontId="17" fillId="0" borderId="0" xfId="0" applyFont="1" applyAlignment="1">
      <alignment horizontal="left" vertical="center"/>
    </xf>
    <xf numFmtId="166" fontId="16" fillId="0" borderId="0" xfId="0" applyNumberFormat="1" applyFont="1" applyAlignment="1">
      <alignment horizontal="right" vertical="center"/>
    </xf>
    <xf numFmtId="22" fontId="0" fillId="0" borderId="0" xfId="0" applyNumberFormat="1"/>
    <xf numFmtId="0" fontId="2" fillId="2" borderId="0" xfId="0" applyFont="1" applyFill="1" applyAlignment="1">
      <alignment horizontal="left" vertical="center"/>
    </xf>
    <xf numFmtId="0" fontId="13" fillId="13" borderId="0" xfId="0" applyFont="1" applyFill="1" applyAlignment="1">
      <alignment horizontal="center" vertical="center"/>
    </xf>
    <xf numFmtId="0" fontId="14" fillId="12" borderId="0" xfId="0" applyFont="1" applyFill="1" applyAlignment="1">
      <alignment horizontal="center" vertical="center"/>
    </xf>
    <xf numFmtId="0" fontId="15" fillId="12" borderId="0" xfId="0" applyFont="1" applyFill="1" applyAlignment="1">
      <alignment horizontal="center" vertical="center"/>
    </xf>
    <xf numFmtId="0" fontId="11" fillId="12" borderId="0" xfId="0" applyFont="1" applyFill="1" applyAlignment="1">
      <alignment horizontal="left" vertical="center"/>
    </xf>
    <xf numFmtId="164" fontId="19" fillId="12" borderId="0" xfId="0" applyNumberFormat="1" applyFont="1" applyFill="1" applyAlignment="1">
      <alignment horizontal="right" vertical="center"/>
    </xf>
    <xf numFmtId="167" fontId="11" fillId="12" borderId="0" xfId="0" applyNumberFormat="1" applyFont="1" applyFill="1" applyAlignment="1">
      <alignment horizontal="right" vertical="center"/>
    </xf>
    <xf numFmtId="0" fontId="18" fillId="2" borderId="0" xfId="0" applyFont="1" applyFill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17" fillId="0" borderId="6" xfId="0" applyFont="1" applyBorder="1" applyAlignment="1">
      <alignment horizontal="left" vertical="center"/>
    </xf>
    <xf numFmtId="165" fontId="20" fillId="12" borderId="0" xfId="0" applyNumberFormat="1" applyFont="1" applyFill="1" applyAlignment="1">
      <alignment horizontal="right" vertical="center"/>
    </xf>
    <xf numFmtId="0" fontId="22" fillId="6" borderId="0" xfId="0" applyFont="1" applyFill="1" applyAlignment="1">
      <alignment horizontal="left" vertical="center" indent="1"/>
    </xf>
    <xf numFmtId="0" fontId="22" fillId="12" borderId="0" xfId="0" applyFont="1" applyFill="1" applyAlignment="1">
      <alignment horizontal="left" vertical="center" indent="1"/>
    </xf>
    <xf numFmtId="0" fontId="21" fillId="5" borderId="0" xfId="0" applyFont="1" applyFill="1" applyAlignment="1">
      <alignment horizontal="center" vertical="center"/>
    </xf>
    <xf numFmtId="165" fontId="24" fillId="12" borderId="0" xfId="0" applyNumberFormat="1" applyFont="1" applyFill="1" applyAlignment="1">
      <alignment horizontal="center" vertical="center"/>
    </xf>
    <xf numFmtId="0" fontId="23" fillId="12" borderId="0" xfId="0" applyFont="1" applyFill="1" applyAlignment="1">
      <alignment horizontal="center" vertical="center"/>
    </xf>
    <xf numFmtId="0" fontId="25" fillId="12" borderId="0" xfId="0" applyFont="1" applyFill="1" applyAlignment="1">
      <alignment horizontal="center" vertical="center"/>
    </xf>
    <xf numFmtId="0" fontId="10" fillId="13" borderId="0" xfId="0" applyFont="1" applyFill="1" applyAlignment="1">
      <alignment horizontal="center" vertical="center"/>
    </xf>
    <xf numFmtId="165" fontId="26" fillId="12" borderId="0" xfId="0" applyNumberFormat="1" applyFont="1" applyFill="1" applyAlignment="1">
      <alignment horizontal="center" vertical="center"/>
    </xf>
    <xf numFmtId="164" fontId="27" fillId="12" borderId="0" xfId="0" applyNumberFormat="1" applyFont="1" applyFill="1" applyAlignment="1">
      <alignment horizontal="center" vertical="center"/>
    </xf>
    <xf numFmtId="167" fontId="26" fillId="12" borderId="0" xfId="0" applyNumberFormat="1" applyFont="1" applyFill="1" applyAlignment="1">
      <alignment horizontal="center" vertical="center"/>
    </xf>
    <xf numFmtId="0" fontId="29" fillId="2" borderId="0" xfId="0" applyFont="1" applyFill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1" fillId="5" borderId="1" xfId="0" applyFont="1" applyFill="1" applyBorder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0" fontId="37" fillId="2" borderId="0" xfId="0" applyFont="1" applyFill="1" applyAlignment="1">
      <alignment horizontal="left" vertical="center"/>
    </xf>
    <xf numFmtId="0" fontId="33" fillId="0" borderId="0" xfId="0" applyFont="1" applyAlignment="1">
      <alignment horizontal="left" vertical="center"/>
    </xf>
    <xf numFmtId="0" fontId="21" fillId="5" borderId="3" xfId="0" applyFont="1" applyFill="1" applyBorder="1" applyAlignment="1">
      <alignment horizontal="center" vertical="center"/>
    </xf>
    <xf numFmtId="0" fontId="23" fillId="0" borderId="0" xfId="0" applyFont="1" applyAlignment="1">
      <alignment horizontal="left" vertical="center"/>
    </xf>
    <xf numFmtId="0" fontId="10" fillId="10" borderId="1" xfId="0" applyFont="1" applyFill="1" applyBorder="1" applyAlignment="1">
      <alignment horizontal="center" vertical="center"/>
    </xf>
    <xf numFmtId="0" fontId="10" fillId="9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14" fillId="0" borderId="2" xfId="0" applyFont="1" applyBorder="1" applyAlignment="1">
      <alignment horizontal="left" vertical="top" wrapText="1"/>
    </xf>
    <xf numFmtId="0" fontId="34" fillId="2" borderId="0" xfId="0" applyFont="1" applyFill="1" applyAlignment="1">
      <alignment horizontal="left" vertical="center"/>
    </xf>
    <xf numFmtId="0" fontId="40" fillId="0" borderId="0" xfId="0" applyFont="1" applyFill="1"/>
  </cellXfs>
  <cellStyles count="1">
    <cellStyle name="Normal" xfId="0" builtinId="0"/>
  </cellStyles>
  <dxfs count="72">
    <dxf>
      <font>
        <color rgb="FF9C0006"/>
        <name val="Arial"/>
        <charset val="1"/>
      </font>
      <fill>
        <patternFill>
          <bgColor rgb="FFFFC7CE"/>
        </patternFill>
      </fill>
    </dxf>
    <dxf>
      <font>
        <color rgb="FF006100"/>
        <name val="Arial"/>
        <charset val="1"/>
      </font>
      <fill>
        <patternFill>
          <bgColor rgb="FFC6EFCE"/>
        </patternFill>
      </fill>
    </dxf>
    <dxf>
      <font>
        <color rgb="FF9C0006"/>
        <name val="Arial"/>
        <charset val="1"/>
      </font>
      <fill>
        <patternFill>
          <bgColor rgb="FFFFC7CE"/>
        </patternFill>
      </fill>
    </dxf>
    <dxf>
      <font>
        <color rgb="FF006100"/>
        <name val="Arial"/>
        <charset val="1"/>
      </font>
      <fill>
        <patternFill>
          <bgColor rgb="FFC6EFCE"/>
        </patternFill>
      </fill>
    </dxf>
    <dxf>
      <font>
        <b/>
        <color rgb="FF006100"/>
        <name val="Arial"/>
        <charset val="1"/>
      </font>
      <fill>
        <patternFill>
          <bgColor rgb="FFC6EFCE"/>
        </patternFill>
      </fill>
    </dxf>
    <dxf>
      <font>
        <b/>
        <color rgb="FF9C0006"/>
        <name val="Arial"/>
        <charset val="1"/>
      </font>
      <fill>
        <patternFill>
          <bgColor rgb="FFFFC7CE"/>
        </patternFill>
      </fill>
    </dxf>
    <dxf>
      <font>
        <color rgb="FF9C0006"/>
        <name val="Arial"/>
        <charset val="1"/>
      </font>
      <fill>
        <patternFill>
          <bgColor rgb="FFFFC7CE"/>
        </patternFill>
      </fill>
    </dxf>
    <dxf>
      <font>
        <color rgb="FF006100"/>
        <name val="Arial"/>
        <charset val="1"/>
      </font>
      <fill>
        <patternFill>
          <bgColor rgb="FFC6EFCE"/>
        </patternFill>
      </fill>
    </dxf>
    <dxf>
      <font>
        <color rgb="FF9C0006"/>
        <name val="Arial"/>
        <charset val="1"/>
      </font>
      <fill>
        <patternFill>
          <bgColor rgb="FFFFC7CE"/>
        </patternFill>
      </fill>
    </dxf>
    <dxf>
      <font>
        <color rgb="FF006100"/>
        <name val="Arial"/>
        <charset val="1"/>
      </font>
      <fill>
        <patternFill>
          <bgColor rgb="FFC6EFCE"/>
        </patternFill>
      </fill>
    </dxf>
    <dxf>
      <font>
        <color rgb="FF9C0006"/>
        <name val="Arial"/>
        <charset val="1"/>
      </font>
      <fill>
        <patternFill>
          <bgColor rgb="FFFFC7CE"/>
        </patternFill>
      </fill>
    </dxf>
    <dxf>
      <font>
        <color rgb="FF006100"/>
        <name val="Arial"/>
        <charset val="1"/>
      </font>
      <fill>
        <patternFill>
          <bgColor rgb="FFC6EFCE"/>
        </patternFill>
      </fill>
    </dxf>
    <dxf>
      <font>
        <b/>
        <color rgb="FF9C0006"/>
        <name val="Arial"/>
        <charset val="1"/>
      </font>
    </dxf>
    <dxf>
      <font>
        <b/>
        <color rgb="FF006100"/>
        <name val="Arial"/>
        <charset val="1"/>
      </font>
    </dxf>
    <dxf>
      <font>
        <b/>
        <color rgb="FF9C0006"/>
        <name val="Arial"/>
        <charset val="1"/>
      </font>
    </dxf>
    <dxf>
      <font>
        <b/>
        <color rgb="FF006100"/>
        <name val="Arial"/>
        <charset val="1"/>
      </font>
    </dxf>
    <dxf>
      <font>
        <b/>
        <color rgb="FF9C0006"/>
        <name val="Arial"/>
        <charset val="1"/>
      </font>
    </dxf>
    <dxf>
      <font>
        <b/>
        <color rgb="FF006100"/>
        <name val="Arial"/>
        <charset val="1"/>
      </font>
    </dxf>
    <dxf>
      <font>
        <b/>
        <color rgb="FF9C0006"/>
        <name val="Arial"/>
        <charset val="1"/>
      </font>
    </dxf>
    <dxf>
      <font>
        <b/>
        <color rgb="FF006100"/>
        <name val="Arial"/>
        <charset val="1"/>
      </font>
    </dxf>
    <dxf>
      <font>
        <b/>
        <color rgb="FF9C0006"/>
        <name val="Arial"/>
        <charset val="1"/>
      </font>
    </dxf>
    <dxf>
      <font>
        <b/>
        <color rgb="FF006100"/>
        <name val="Arial"/>
        <charset val="1"/>
      </font>
    </dxf>
    <dxf>
      <font>
        <b/>
        <color rgb="FF9C0006"/>
        <name val="Arial"/>
        <charset val="1"/>
      </font>
    </dxf>
    <dxf>
      <font>
        <b/>
        <color rgb="FF006100"/>
        <name val="Arial"/>
        <charset val="1"/>
      </font>
    </dxf>
    <dxf>
      <font>
        <b/>
        <color rgb="FF9C0006"/>
        <name val="Arial"/>
        <charset val="1"/>
      </font>
    </dxf>
    <dxf>
      <font>
        <b/>
        <color rgb="FF006100"/>
        <name val="Arial"/>
        <charset val="1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00080"/>
      <rgbColor rgb="FF808000"/>
      <rgbColor rgb="FF800080"/>
      <rgbColor rgb="FF008080"/>
      <rgbColor rgb="FFBFBFBF"/>
      <rgbColor rgb="FF808080"/>
      <rgbColor rgb="FF8EAADB"/>
      <rgbColor rgb="FFC0504D"/>
      <rgbColor rgb="FFF9F9F9"/>
      <rgbColor rgb="FFD9E1F2"/>
      <rgbColor rgb="FF660066"/>
      <rgbColor rgb="FFFF8080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7F7F7"/>
      <rgbColor rgb="FFC6EFCE"/>
      <rgbColor rgb="FFD9D9D9"/>
      <rgbColor rgb="FFD0D0D0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4F81BD"/>
      <rgbColor rgb="FF878787"/>
      <rgbColor rgb="FF1F3864"/>
      <rgbColor rgb="FF339966"/>
      <rgbColor rgb="FF003300"/>
      <rgbColor rgb="FF333300"/>
      <rgbColor rgb="FF993300"/>
      <rgbColor rgb="FF993366"/>
      <rgbColor rgb="FF2E5496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026263873878512"/>
          <c:y val="0.11410215736040609"/>
          <c:w val="0.67040564540210912"/>
          <c:h val="0.77161954378538733"/>
        </c:manualLayout>
      </c:layout>
      <c:doughnutChart>
        <c:varyColors val="1"/>
        <c:ser>
          <c:idx val="0"/>
          <c:order val="0"/>
          <c:spPr>
            <a:solidFill>
              <a:srgbClr val="4F81BD"/>
            </a:solidFill>
            <a:ln w="0">
              <a:noFill/>
            </a:ln>
          </c:spPr>
          <c:dPt>
            <c:idx val="0"/>
            <c:bubble3D val="0"/>
            <c:spPr>
              <a:solidFill>
                <a:srgbClr val="1F3864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01-3821-40B6-AE7D-E16E7B02F9CE}"/>
              </c:ext>
            </c:extLst>
          </c:dPt>
          <c:dPt>
            <c:idx val="1"/>
            <c:bubble3D val="0"/>
            <c:spPr>
              <a:solidFill>
                <a:srgbClr val="D9D9D9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03-3821-40B6-AE7D-E16E7B02F9CE}"/>
              </c:ext>
            </c:extLst>
          </c:dPt>
          <c:dLbls>
            <c:dLbl>
              <c:idx val="0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Arial"/>
                    </a:defRPr>
                  </a:pPr>
                  <a:endParaRPr lang="fr-FR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821-40B6-AE7D-E16E7B02F9CE}"/>
                </c:ext>
              </c:extLst>
            </c:dLbl>
            <c:dLbl>
              <c:idx val="1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Arial"/>
                    </a:defRPr>
                  </a:pPr>
                  <a:endParaRPr lang="fr-FR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821-40B6-AE7D-E16E7B02F9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_CALC!$F$50:$F$51</c:f>
              <c:strCache>
                <c:ptCount val="2"/>
                <c:pt idx="0">
                  <c:v>Réalisé</c:v>
                </c:pt>
                <c:pt idx="1">
                  <c:v>Reste</c:v>
                </c:pt>
              </c:strCache>
            </c:strRef>
          </c:cat>
          <c:val>
            <c:numRef>
              <c:f>_CALC!$G$50:$G$51</c:f>
              <c:numCache>
                <c:formatCode>General</c:formatCode>
                <c:ptCount val="2"/>
                <c:pt idx="0" formatCode="#,##0;\(#,##0\);\-">
                  <c:v>2637.590000000002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821-40B6-AE7D-E16E7B02F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_CALC!$D$40</c:f>
              <c:strCache>
                <c:ptCount val="1"/>
                <c:pt idx="0">
                  <c:v>CA</c:v>
                </c:pt>
              </c:strCache>
            </c:strRef>
          </c:tx>
          <c:spPr>
            <a:solidFill>
              <a:srgbClr val="4F81BD"/>
            </a:solidFill>
            <a:ln w="0">
              <a:solidFill>
                <a:srgbClr val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_CALC!$C$41:$C$45</c:f>
              <c:strCache>
                <c:ptCount val="5"/>
                <c:pt idx="0">
                  <c:v>Céréales &amp; Meunerie</c:v>
                </c:pt>
                <c:pt idx="1">
                  <c:v>Huiles &amp; Corps Gras</c:v>
                </c:pt>
                <c:pt idx="2">
                  <c:v>Lait &amp; Produits Laitiers</c:v>
                </c:pt>
                <c:pt idx="3">
                  <c:v>Sucre &amp; Conserves</c:v>
                </c:pt>
                <c:pt idx="4">
                  <c:v>Boissons &amp; Jus</c:v>
                </c:pt>
              </c:strCache>
            </c:strRef>
          </c:cat>
          <c:val>
            <c:numRef>
              <c:f>_CALC!$D$41:$D$45</c:f>
              <c:numCache>
                <c:formatCode>#,##0;\(#,##0\);\-</c:formatCode>
                <c:ptCount val="5"/>
                <c:pt idx="0">
                  <c:v>2637.590000000002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5F-425A-A834-3D479638F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920028"/>
        <c:axId val="98631319"/>
      </c:barChart>
      <c:catAx>
        <c:axId val="36920028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fr-FR"/>
          </a:p>
        </c:txPr>
        <c:crossAx val="98631319"/>
        <c:crosses val="autoZero"/>
        <c:auto val="1"/>
        <c:lblAlgn val="ctr"/>
        <c:lblOffset val="100"/>
        <c:noMultiLvlLbl val="0"/>
      </c:catAx>
      <c:valAx>
        <c:axId val="98631319"/>
        <c:scaling>
          <c:orientation val="minMax"/>
        </c:scaling>
        <c:delete val="0"/>
        <c:axPos val="b"/>
        <c:majorGridlines>
          <c:spPr>
            <a:ln w="0">
              <a:solidFill>
                <a:srgbClr val="B3B3B3"/>
              </a:solidFill>
            </a:ln>
          </c:spPr>
        </c:majorGridlines>
        <c:numFmt formatCode="#,##0;\(#,##0\);\-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fr-FR"/>
          </a:p>
        </c:txPr>
        <c:crossAx val="36920028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_CALC!$D$40</c:f>
              <c:strCache>
                <c:ptCount val="1"/>
                <c:pt idx="0">
                  <c:v>CA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91C-4866-A599-8A785A09E23A}"/>
              </c:ext>
            </c:extLst>
          </c:dPt>
          <c:dPt>
            <c:idx val="1"/>
            <c:bubble3D val="0"/>
            <c:spPr>
              <a:solidFill>
                <a:srgbClr val="C0504D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02-891C-4866-A599-8A785A09E23A}"/>
              </c:ext>
            </c:extLst>
          </c:dPt>
          <c:dPt>
            <c:idx val="2"/>
            <c:bubble3D val="0"/>
            <c:spPr>
              <a:solidFill>
                <a:srgbClr val="9BBB59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04-891C-4866-A599-8A785A09E23A}"/>
              </c:ext>
            </c:extLst>
          </c:dPt>
          <c:dPt>
            <c:idx val="3"/>
            <c:bubble3D val="0"/>
            <c:spPr>
              <a:solidFill>
                <a:srgbClr val="8064A2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06-891C-4866-A599-8A785A09E23A}"/>
              </c:ext>
            </c:extLst>
          </c:dPt>
          <c:dPt>
            <c:idx val="4"/>
            <c:bubble3D val="0"/>
            <c:spPr>
              <a:solidFill>
                <a:srgbClr val="4BACC6"/>
              </a:solidFill>
              <a:ln w="0">
                <a:noFill/>
              </a:ln>
            </c:spPr>
            <c:extLst>
              <c:ext xmlns:c16="http://schemas.microsoft.com/office/drawing/2014/chart" uri="{C3380CC4-5D6E-409C-BE32-E72D297353CC}">
                <c16:uniqueId val="{00000008-891C-4866-A599-8A785A09E23A}"/>
              </c:ext>
            </c:extLst>
          </c:dPt>
          <c:dLbls>
            <c:dLbl>
              <c:idx val="0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Arial"/>
                    </a:defRPr>
                  </a:pPr>
                  <a:endParaRPr lang="fr-FR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91C-4866-A599-8A785A09E23A}"/>
                </c:ext>
              </c:extLst>
            </c:dLbl>
            <c:dLbl>
              <c:idx val="1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Arial"/>
                    </a:defRPr>
                  </a:pPr>
                  <a:endParaRPr lang="fr-FR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91C-4866-A599-8A785A09E23A}"/>
                </c:ext>
              </c:extLst>
            </c:dLbl>
            <c:dLbl>
              <c:idx val="2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Arial"/>
                    </a:defRPr>
                  </a:pPr>
                  <a:endParaRPr lang="fr-FR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91C-4866-A599-8A785A09E23A}"/>
                </c:ext>
              </c:extLst>
            </c:dLbl>
            <c:dLbl>
              <c:idx val="3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Arial"/>
                    </a:defRPr>
                  </a:pPr>
                  <a:endParaRPr lang="fr-FR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91C-4866-A599-8A785A09E23A}"/>
                </c:ext>
              </c:extLst>
            </c:dLbl>
            <c:dLbl>
              <c:idx val="4"/>
              <c:spPr/>
              <c:txPr>
                <a:bodyPr wrap="square"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Arial"/>
                    </a:defRPr>
                  </a:pPr>
                  <a:endParaRPr lang="fr-FR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91C-4866-A599-8A785A09E2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_CALC!$C$41:$C$45</c:f>
              <c:strCache>
                <c:ptCount val="5"/>
                <c:pt idx="0">
                  <c:v>Céréales &amp; Meunerie</c:v>
                </c:pt>
                <c:pt idx="1">
                  <c:v>Huiles &amp; Corps Gras</c:v>
                </c:pt>
                <c:pt idx="2">
                  <c:v>Lait &amp; Produits Laitiers</c:v>
                </c:pt>
                <c:pt idx="3">
                  <c:v>Sucre &amp; Conserves</c:v>
                </c:pt>
                <c:pt idx="4">
                  <c:v>Boissons &amp; Jus</c:v>
                </c:pt>
              </c:strCache>
            </c:strRef>
          </c:cat>
          <c:val>
            <c:numRef>
              <c:f>_CALC!$D$41:$D$45</c:f>
              <c:numCache>
                <c:formatCode>#,##0;\(#,##0\);\-</c:formatCode>
                <c:ptCount val="5"/>
                <c:pt idx="0">
                  <c:v>2637.590000000002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91C-4866-A599-8A785A09E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fr-FR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_CALC!$B$55</c:f>
              <c:strCache>
                <c:ptCount val="1"/>
                <c:pt idx="0">
                  <c:v>CA_YTD</c:v>
                </c:pt>
              </c:strCache>
            </c:strRef>
          </c:tx>
          <c:spPr>
            <a:solidFill>
              <a:srgbClr val="2E5496"/>
            </a:solidFill>
            <a:ln w="0">
              <a:solidFill>
                <a:srgbClr val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_CALC!$A$56:$A$64</c:f>
              <c:strCache>
                <c:ptCount val="9"/>
                <c:pt idx="0">
                  <c:v>Carrefour</c:v>
                </c:pt>
                <c:pt idx="1">
                  <c:v>Casino</c:v>
                </c:pt>
                <c:pt idx="2">
                  <c:v>Monoprix</c:v>
                </c:pt>
                <c:pt idx="3">
                  <c:v>Auchan</c:v>
                </c:pt>
                <c:pt idx="4">
                  <c:v>Géant Casino</c:v>
                </c:pt>
                <c:pt idx="5">
                  <c:v>Système U</c:v>
                </c:pt>
                <c:pt idx="6">
                  <c:v>Leclerc</c:v>
                </c:pt>
                <c:pt idx="7">
                  <c:v>Cora</c:v>
                </c:pt>
                <c:pt idx="8">
                  <c:v>Intermarché</c:v>
                </c:pt>
              </c:strCache>
            </c:strRef>
          </c:cat>
          <c:val>
            <c:numRef>
              <c:f>_CALC!$B$56:$B$64</c:f>
              <c:numCache>
                <c:formatCode>General</c:formatCode>
                <c:ptCount val="9"/>
                <c:pt idx="0">
                  <c:v>312.85999999999996</c:v>
                </c:pt>
                <c:pt idx="1">
                  <c:v>309.33</c:v>
                </c:pt>
                <c:pt idx="2">
                  <c:v>309.05000000000007</c:v>
                </c:pt>
                <c:pt idx="3">
                  <c:v>308</c:v>
                </c:pt>
                <c:pt idx="4">
                  <c:v>296.0900000000002</c:v>
                </c:pt>
                <c:pt idx="5">
                  <c:v>292.68000000000006</c:v>
                </c:pt>
                <c:pt idx="6">
                  <c:v>273.95999999999992</c:v>
                </c:pt>
                <c:pt idx="7">
                  <c:v>273.85999999999996</c:v>
                </c:pt>
                <c:pt idx="8">
                  <c:v>261.75999999999988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6D-4C68-9035-9034D73B84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008232"/>
        <c:axId val="11879787"/>
      </c:barChart>
      <c:catAx>
        <c:axId val="970082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fr-FR"/>
          </a:p>
        </c:txPr>
        <c:crossAx val="11879787"/>
        <c:crosses val="autoZero"/>
        <c:auto val="1"/>
        <c:lblAlgn val="ctr"/>
        <c:lblOffset val="100"/>
        <c:noMultiLvlLbl val="0"/>
      </c:catAx>
      <c:valAx>
        <c:axId val="11879787"/>
        <c:scaling>
          <c:orientation val="minMax"/>
        </c:scaling>
        <c:delete val="0"/>
        <c:axPos val="b"/>
        <c:majorGridlines>
          <c:spPr>
            <a:ln w="0">
              <a:solidFill>
                <a:srgbClr val="B3B3B3"/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fr-FR"/>
          </a:p>
        </c:txPr>
        <c:crossAx val="97008232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900888133030994E-2"/>
          <c:y val="4.5362543159899987E-2"/>
          <c:w val="0.91703026581002767"/>
          <c:h val="0.8182894789062189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_CALC!$B$69</c:f>
              <c:strCache>
                <c:ptCount val="1"/>
                <c:pt idx="0">
                  <c:v>Charges_YTD</c:v>
                </c:pt>
              </c:strCache>
            </c:strRef>
          </c:tx>
          <c:spPr>
            <a:solidFill>
              <a:srgbClr val="1F3864"/>
            </a:solidFill>
            <a:ln w="0">
              <a:solidFill>
                <a:srgbClr val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_CALC!#REF!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_CALC!#REF!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3EB-45B3-B21F-18AD458CF4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813154"/>
        <c:axId val="19971376"/>
      </c:barChart>
      <c:catAx>
        <c:axId val="6681315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gradFill>
                  <a:gsLst>
                    <a:gs pos="8000">
                      <a:srgbClr val="FF0000"/>
                    </a:gs>
                    <a:gs pos="0">
                      <a:schemeClr val="accent1">
                        <a:lumMod val="45000"/>
                        <a:lumOff val="55000"/>
                      </a:schemeClr>
                    </a:gs>
                    <a:gs pos="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  <a:latin typeface="Calibri"/>
              </a:defRPr>
            </a:pPr>
            <a:endParaRPr lang="fr-FR"/>
          </a:p>
        </c:txPr>
        <c:crossAx val="19971376"/>
        <c:crosses val="autoZero"/>
        <c:auto val="1"/>
        <c:lblAlgn val="ctr"/>
        <c:lblOffset val="100"/>
        <c:noMultiLvlLbl val="0"/>
      </c:catAx>
      <c:valAx>
        <c:axId val="19971376"/>
        <c:scaling>
          <c:orientation val="minMax"/>
        </c:scaling>
        <c:delete val="0"/>
        <c:axPos val="b"/>
        <c:majorGridlines>
          <c:spPr>
            <a:ln w="0">
              <a:solidFill>
                <a:srgbClr val="B3B3B3"/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fr-FR"/>
          </a:p>
        </c:txPr>
        <c:crossAx val="66813154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fr-FR" sz="1800" b="1" strike="noStrike" spc="-1">
                <a:solidFill>
                  <a:srgbClr val="000000"/>
                </a:solidFill>
                <a:latin typeface="Calibri"/>
              </a:rPr>
              <a:t>Évolution du CA mensuel (k€)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MENSUEL_PQ!$C$1</c:f>
              <c:strCache>
                <c:ptCount val="1"/>
                <c:pt idx="0">
                  <c:v>CA_R25</c:v>
                </c:pt>
              </c:strCache>
            </c:strRef>
          </c:tx>
          <c:spPr>
            <a:ln w="28080">
              <a:solidFill>
                <a:srgbClr val="A5A5A5"/>
              </a:solidFill>
              <a:round/>
            </a:ln>
          </c:spPr>
          <c:marker>
            <c:symbol val="circle"/>
            <c:size val="5"/>
            <c:spPr>
              <a:solidFill>
                <a:srgbClr val="A5A5A5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fr-FR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[1]MENSUEL_PQ!$B$2:$B$13</c:f>
              <c:strCache>
                <c:ptCount val="12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  <c:pt idx="5">
                  <c:v>Juin</c:v>
                </c:pt>
                <c:pt idx="6">
                  <c:v>Juil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MENSUEL_PQ!$C$2:$C$13</c:f>
              <c:numCache>
                <c:formatCode>General</c:formatCode>
                <c:ptCount val="12"/>
                <c:pt idx="0">
                  <c:v>1772.7099999999978</c:v>
                </c:pt>
                <c:pt idx="1">
                  <c:v>594.63999999999965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CB-4C13-8C38-7E4A804E483F}"/>
            </c:ext>
          </c:extLst>
        </c:ser>
        <c:ser>
          <c:idx val="1"/>
          <c:order val="1"/>
          <c:tx>
            <c:strRef>
              <c:f>MENSUEL_PQ!$D$1</c:f>
              <c:strCache>
                <c:ptCount val="1"/>
                <c:pt idx="0">
                  <c:v>CA_B26</c:v>
                </c:pt>
              </c:strCache>
            </c:strRef>
          </c:tx>
          <c:spPr>
            <a:ln w="28080">
              <a:solidFill>
                <a:srgbClr val="1F3864"/>
              </a:solidFill>
              <a:round/>
            </a:ln>
          </c:spPr>
          <c:marker>
            <c:symbol val="circle"/>
            <c:size val="5"/>
            <c:spPr>
              <a:solidFill>
                <a:srgbClr val="1F3864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fr-FR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[1]MENSUEL_PQ!$B$2:$B$13</c:f>
              <c:strCache>
                <c:ptCount val="12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  <c:pt idx="5">
                  <c:v>Juin</c:v>
                </c:pt>
                <c:pt idx="6">
                  <c:v>Juil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MENSUEL_PQ!$D$2:$D$13</c:f>
              <c:numCache>
                <c:formatCode>General</c:formatCode>
                <c:ptCount val="12"/>
                <c:pt idx="0">
                  <c:v>2033.3299999999965</c:v>
                </c:pt>
                <c:pt idx="1">
                  <c:v>675.28999999999985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CB-4C13-8C38-7E4A804E483F}"/>
            </c:ext>
          </c:extLst>
        </c:ser>
        <c:ser>
          <c:idx val="2"/>
          <c:order val="2"/>
          <c:tx>
            <c:strRef>
              <c:f>MENSUEL_PQ!$E$1</c:f>
              <c:strCache>
                <c:ptCount val="1"/>
                <c:pt idx="0">
                  <c:v>CA_R26</c:v>
                </c:pt>
              </c:strCache>
            </c:strRef>
          </c:tx>
          <c:spPr>
            <a:ln w="28080">
              <a:solidFill>
                <a:srgbClr val="2E9BD6"/>
              </a:solidFill>
              <a:round/>
            </a:ln>
          </c:spPr>
          <c:marker>
            <c:symbol val="circle"/>
            <c:size val="5"/>
            <c:spPr>
              <a:solidFill>
                <a:srgbClr val="2E9BD6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fr-FR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[1]MENSUEL_PQ!$B$2:$B$13</c:f>
              <c:strCache>
                <c:ptCount val="12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  <c:pt idx="5">
                  <c:v>Juin</c:v>
                </c:pt>
                <c:pt idx="6">
                  <c:v>Juil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MENSUEL_PQ!$E$2:$E$13</c:f>
              <c:numCache>
                <c:formatCode>General</c:formatCode>
                <c:ptCount val="12"/>
                <c:pt idx="0">
                  <c:v>1874.2900000000009</c:v>
                </c:pt>
                <c:pt idx="1">
                  <c:v>763.30000000000018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5CB-4C13-8C38-7E4A804E48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0">
              <a:noFill/>
            </a:ln>
          </c:spPr>
        </c:hiLowLines>
        <c:marker val="1"/>
        <c:smooth val="0"/>
        <c:axId val="74781534"/>
        <c:axId val="32111606"/>
      </c:lineChart>
      <c:catAx>
        <c:axId val="7478153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fr-FR"/>
          </a:p>
        </c:txPr>
        <c:crossAx val="32111606"/>
        <c:crosses val="autoZero"/>
        <c:auto val="1"/>
        <c:lblAlgn val="ctr"/>
        <c:lblOffset val="100"/>
        <c:noMultiLvlLbl val="0"/>
      </c:catAx>
      <c:valAx>
        <c:axId val="32111606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fr-FR" sz="1000" b="1" strike="noStrike" spc="-1">
                    <a:solidFill>
                      <a:srgbClr val="000000"/>
                    </a:solidFill>
                    <a:latin typeface="Calibri"/>
                  </a:rPr>
                  <a:t>k€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#,##0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fr-FR"/>
          </a:p>
        </c:txPr>
        <c:crossAx val="74781534"/>
        <c:crosses val="autoZero"/>
        <c:crossBetween val="between"/>
      </c:valAx>
      <c:spPr>
        <a:noFill/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fr-FR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fr-FR" sz="1800" b="1" strike="noStrike" spc="-1">
                <a:solidFill>
                  <a:srgbClr val="000000"/>
                </a:solidFill>
                <a:latin typeface="Calibri"/>
              </a:rPr>
              <a:t>EBITDA mensuel &amp; marge (k€ / %)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MENSUEL_PQ!$F$1</c:f>
              <c:strCache>
                <c:ptCount val="1"/>
                <c:pt idx="0">
                  <c:v>EBITDA_R25</c:v>
                </c:pt>
              </c:strCache>
            </c:strRef>
          </c:tx>
          <c:spPr>
            <a:solidFill>
              <a:srgbClr val="4F81BD"/>
            </a:solidFill>
            <a:ln w="0">
              <a:solidFill>
                <a:srgbClr val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MENSUEL_PQ!$B$2:$B$13</c:f>
              <c:strCache>
                <c:ptCount val="12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  <c:pt idx="5">
                  <c:v>Juin</c:v>
                </c:pt>
                <c:pt idx="6">
                  <c:v>Juil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MENSUEL_PQ!$F$2:$F$13</c:f>
              <c:numCache>
                <c:formatCode>General</c:formatCode>
                <c:ptCount val="12"/>
                <c:pt idx="0">
                  <c:v>1772.7099999999978</c:v>
                </c:pt>
                <c:pt idx="1">
                  <c:v>594.63999999999965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66-4CCA-8C6D-FD0E291899F7}"/>
            </c:ext>
          </c:extLst>
        </c:ser>
        <c:ser>
          <c:idx val="1"/>
          <c:order val="1"/>
          <c:tx>
            <c:strRef>
              <c:f>MENSUEL_PQ!$G$1</c:f>
              <c:strCache>
                <c:ptCount val="1"/>
                <c:pt idx="0">
                  <c:v>EBITDA_B26</c:v>
                </c:pt>
              </c:strCache>
            </c:strRef>
          </c:tx>
          <c:spPr>
            <a:solidFill>
              <a:srgbClr val="C0504D"/>
            </a:solidFill>
            <a:ln w="0">
              <a:solidFill>
                <a:srgbClr val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MENSUEL_PQ!$B$2:$B$13</c:f>
              <c:strCache>
                <c:ptCount val="12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  <c:pt idx="5">
                  <c:v>Juin</c:v>
                </c:pt>
                <c:pt idx="6">
                  <c:v>Juil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MENSUEL_PQ!$G$2:$G$13</c:f>
              <c:numCache>
                <c:formatCode>General</c:formatCode>
                <c:ptCount val="12"/>
                <c:pt idx="0">
                  <c:v>2033.3299999999965</c:v>
                </c:pt>
                <c:pt idx="1">
                  <c:v>675.28999999999985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66-4CCA-8C6D-FD0E291899F7}"/>
            </c:ext>
          </c:extLst>
        </c:ser>
        <c:ser>
          <c:idx val="2"/>
          <c:order val="2"/>
          <c:tx>
            <c:strRef>
              <c:f>MENSUEL_PQ!$H$1</c:f>
              <c:strCache>
                <c:ptCount val="1"/>
                <c:pt idx="0">
                  <c:v>EBITDA_R26</c:v>
                </c:pt>
              </c:strCache>
            </c:strRef>
          </c:tx>
          <c:spPr>
            <a:solidFill>
              <a:srgbClr val="9BBB59"/>
            </a:solidFill>
            <a:ln w="0">
              <a:solidFill>
                <a:srgbClr val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MENSUEL_PQ!$B$2:$B$13</c:f>
              <c:strCache>
                <c:ptCount val="12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  <c:pt idx="5">
                  <c:v>Juin</c:v>
                </c:pt>
                <c:pt idx="6">
                  <c:v>Juil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MENSUEL_PQ!$H$2:$H$13</c:f>
              <c:numCache>
                <c:formatCode>General</c:formatCode>
                <c:ptCount val="12"/>
                <c:pt idx="0">
                  <c:v>1874.2900000000009</c:v>
                </c:pt>
                <c:pt idx="1">
                  <c:v>763.30000000000018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66-4CCA-8C6D-FD0E291899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3128949"/>
        <c:axId val="9709644"/>
      </c:barChart>
      <c:lineChart>
        <c:grouping val="standard"/>
        <c:varyColors val="0"/>
        <c:ser>
          <c:idx val="3"/>
          <c:order val="3"/>
          <c:tx>
            <c:strRef>
              <c:f>MENSUEL_PQ!$L$1</c:f>
              <c:strCache>
                <c:ptCount val="1"/>
                <c:pt idx="0">
                  <c:v>MgEBITDA_R26</c:v>
                </c:pt>
              </c:strCache>
            </c:strRef>
          </c:tx>
          <c:spPr>
            <a:ln w="29880">
              <a:solidFill>
                <a:srgbClr val="FFC000"/>
              </a:solidFill>
              <a:round/>
            </a:ln>
          </c:spPr>
          <c:marker>
            <c:symbol val="circle"/>
            <c:size val="5"/>
            <c:spPr>
              <a:solidFill>
                <a:srgbClr val="FFC000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fr-FR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[1]MENSUEL_PQ!$B$2:$B$13</c:f>
              <c:strCache>
                <c:ptCount val="12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  <c:pt idx="5">
                  <c:v>Juin</c:v>
                </c:pt>
                <c:pt idx="6">
                  <c:v>Juil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MENSUEL_PQ!$L$2:$L$13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66-4CCA-8C6D-FD0E291899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0">
              <a:noFill/>
            </a:ln>
          </c:spPr>
        </c:hiLowLines>
        <c:marker val="1"/>
        <c:smooth val="0"/>
        <c:axId val="95070983"/>
        <c:axId val="34371853"/>
      </c:lineChart>
      <c:catAx>
        <c:axId val="83128949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fr-FR"/>
          </a:p>
        </c:txPr>
        <c:crossAx val="9709644"/>
        <c:crosses val="autoZero"/>
        <c:auto val="1"/>
        <c:lblAlgn val="ctr"/>
        <c:lblOffset val="100"/>
        <c:noMultiLvlLbl val="0"/>
      </c:catAx>
      <c:valAx>
        <c:axId val="9709644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fr-FR" sz="1000" b="1" strike="noStrike" spc="-1">
                    <a:solidFill>
                      <a:srgbClr val="000000"/>
                    </a:solidFill>
                    <a:latin typeface="Calibri"/>
                  </a:rPr>
                  <a:t>k€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#,##0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fr-FR"/>
          </a:p>
        </c:txPr>
        <c:crossAx val="83128949"/>
        <c:crosses val="autoZero"/>
        <c:crossBetween val="between"/>
      </c:valAx>
      <c:catAx>
        <c:axId val="95070983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fr-FR"/>
          </a:p>
        </c:txPr>
        <c:crossAx val="34371853"/>
        <c:crosses val="autoZero"/>
        <c:auto val="1"/>
        <c:lblAlgn val="ctr"/>
        <c:lblOffset val="100"/>
        <c:noMultiLvlLbl val="0"/>
      </c:catAx>
      <c:valAx>
        <c:axId val="34371853"/>
        <c:scaling>
          <c:orientation val="minMax"/>
        </c:scaling>
        <c:delete val="0"/>
        <c:axPos val="r"/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fr-FR" sz="1000" b="1" strike="noStrike" spc="-1">
                    <a:solidFill>
                      <a:srgbClr val="000000"/>
                    </a:solidFill>
                    <a:latin typeface="Calibri"/>
                  </a:rPr>
                  <a:t>Marge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%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fr-FR"/>
          </a:p>
        </c:txPr>
        <c:crossAx val="95070983"/>
        <c:crosses val="max"/>
        <c:crossBetween val="between"/>
      </c:valAx>
      <c:spPr>
        <a:noFill/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fr-FR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fr-FR" sz="1800" b="1" strike="noStrike" spc="-1">
                <a:solidFill>
                  <a:srgbClr val="000000"/>
                </a:solidFill>
                <a:latin typeface="Calibri"/>
              </a:rPr>
              <a:t>Passerelle Résultat net : Budget → Réel (par poste)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Base</c:v>
          </c:tx>
          <c:spPr>
            <a:noFill/>
            <a:ln w="0">
              <a:solidFill>
                <a:srgbClr val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_CALC!$C$21:$C$32</c:f>
              <c:strCache>
                <c:ptCount val="12"/>
                <c:pt idx="0">
                  <c:v>RN Budget</c:v>
                </c:pt>
                <c:pt idx="1">
                  <c:v>CA</c:v>
                </c:pt>
                <c:pt idx="2">
                  <c:v>Matières</c:v>
                </c:pt>
                <c:pt idx="3">
                  <c:v>Personnel</c:v>
                </c:pt>
                <c:pt idx="4">
                  <c:v>Externes</c:v>
                </c:pt>
                <c:pt idx="5">
                  <c:v>Transport</c:v>
                </c:pt>
                <c:pt idx="6">
                  <c:v>Marketing</c:v>
                </c:pt>
                <c:pt idx="7">
                  <c:v>Autres</c:v>
                </c:pt>
                <c:pt idx="8">
                  <c:v>Amort.</c:v>
                </c:pt>
                <c:pt idx="9">
                  <c:v>Financier</c:v>
                </c:pt>
                <c:pt idx="10">
                  <c:v>Impôt</c:v>
                </c:pt>
                <c:pt idx="11">
                  <c:v>RN Réel</c:v>
                </c:pt>
              </c:strCache>
            </c:strRef>
          </c:cat>
          <c:val>
            <c:numRef>
              <c:f>_CALC!$E$21:$E$32</c:f>
              <c:numCache>
                <c:formatCode>#,##0;\(#,##0\);\-</c:formatCode>
                <c:ptCount val="12"/>
                <c:pt idx="0">
                  <c:v>0</c:v>
                </c:pt>
                <c:pt idx="1">
                  <c:v>2637.590000000002</c:v>
                </c:pt>
                <c:pt idx="2">
                  <c:v>2637.590000000002</c:v>
                </c:pt>
                <c:pt idx="3">
                  <c:v>2637.590000000002</c:v>
                </c:pt>
                <c:pt idx="4">
                  <c:v>2637.590000000002</c:v>
                </c:pt>
                <c:pt idx="5">
                  <c:v>2637.590000000002</c:v>
                </c:pt>
                <c:pt idx="6">
                  <c:v>2637.590000000002</c:v>
                </c:pt>
                <c:pt idx="7">
                  <c:v>2637.590000000002</c:v>
                </c:pt>
                <c:pt idx="8">
                  <c:v>2637.590000000002</c:v>
                </c:pt>
                <c:pt idx="9">
                  <c:v>2637.590000000002</c:v>
                </c:pt>
                <c:pt idx="10">
                  <c:v>2637.590000000002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73-4BA8-8924-5DC4C30BC82C}"/>
            </c:ext>
          </c:extLst>
        </c:ser>
        <c:ser>
          <c:idx val="1"/>
          <c:order val="1"/>
          <c:tx>
            <c:v>Baisse</c:v>
          </c:tx>
          <c:spPr>
            <a:solidFill>
              <a:srgbClr val="C00000"/>
            </a:solidFill>
            <a:ln w="0">
              <a:solidFill>
                <a:srgbClr val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_CALC!$C$21:$C$32</c:f>
              <c:strCache>
                <c:ptCount val="12"/>
                <c:pt idx="0">
                  <c:v>RN Budget</c:v>
                </c:pt>
                <c:pt idx="1">
                  <c:v>CA</c:v>
                </c:pt>
                <c:pt idx="2">
                  <c:v>Matières</c:v>
                </c:pt>
                <c:pt idx="3">
                  <c:v>Personnel</c:v>
                </c:pt>
                <c:pt idx="4">
                  <c:v>Externes</c:v>
                </c:pt>
                <c:pt idx="5">
                  <c:v>Transport</c:v>
                </c:pt>
                <c:pt idx="6">
                  <c:v>Marketing</c:v>
                </c:pt>
                <c:pt idx="7">
                  <c:v>Autres</c:v>
                </c:pt>
                <c:pt idx="8">
                  <c:v>Amort.</c:v>
                </c:pt>
                <c:pt idx="9">
                  <c:v>Financier</c:v>
                </c:pt>
                <c:pt idx="10">
                  <c:v>Impôt</c:v>
                </c:pt>
                <c:pt idx="11">
                  <c:v>RN Réel</c:v>
                </c:pt>
              </c:strCache>
            </c:strRef>
          </c:cat>
          <c:val>
            <c:numRef>
              <c:f>_CALC!$G$21:$G$32</c:f>
              <c:numCache>
                <c:formatCode>#,##0;\(#,##0\);\-</c:formatCode>
                <c:ptCount val="12"/>
                <c:pt idx="0">
                  <c:v>0</c:v>
                </c:pt>
                <c:pt idx="1">
                  <c:v>71.029999999995653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73-4BA8-8924-5DC4C30BC82C}"/>
            </c:ext>
          </c:extLst>
        </c:ser>
        <c:ser>
          <c:idx val="2"/>
          <c:order val="2"/>
          <c:tx>
            <c:v>Hausse</c:v>
          </c:tx>
          <c:spPr>
            <a:solidFill>
              <a:srgbClr val="548235"/>
            </a:solidFill>
            <a:ln w="0">
              <a:solidFill>
                <a:srgbClr val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_CALC!$C$21:$C$32</c:f>
              <c:strCache>
                <c:ptCount val="12"/>
                <c:pt idx="0">
                  <c:v>RN Budget</c:v>
                </c:pt>
                <c:pt idx="1">
                  <c:v>CA</c:v>
                </c:pt>
                <c:pt idx="2">
                  <c:v>Matières</c:v>
                </c:pt>
                <c:pt idx="3">
                  <c:v>Personnel</c:v>
                </c:pt>
                <c:pt idx="4">
                  <c:v>Externes</c:v>
                </c:pt>
                <c:pt idx="5">
                  <c:v>Transport</c:v>
                </c:pt>
                <c:pt idx="6">
                  <c:v>Marketing</c:v>
                </c:pt>
                <c:pt idx="7">
                  <c:v>Autres</c:v>
                </c:pt>
                <c:pt idx="8">
                  <c:v>Amort.</c:v>
                </c:pt>
                <c:pt idx="9">
                  <c:v>Financier</c:v>
                </c:pt>
                <c:pt idx="10">
                  <c:v>Impôt</c:v>
                </c:pt>
                <c:pt idx="11">
                  <c:v>RN Réel</c:v>
                </c:pt>
              </c:strCache>
            </c:strRef>
          </c:cat>
          <c:val>
            <c:numRef>
              <c:f>_CALC!$F$21:$F$32</c:f>
              <c:numCache>
                <c:formatCode>#,##0;\(#,##0\);\-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073-4BA8-8924-5DC4C30BC82C}"/>
            </c:ext>
          </c:extLst>
        </c:ser>
        <c:ser>
          <c:idx val="3"/>
          <c:order val="3"/>
          <c:tx>
            <c:v>Total</c:v>
          </c:tx>
          <c:spPr>
            <a:solidFill>
              <a:srgbClr val="1F3864"/>
            </a:solidFill>
            <a:ln w="0">
              <a:solidFill>
                <a:srgbClr val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_CALC!$C$21:$C$32</c:f>
              <c:strCache>
                <c:ptCount val="12"/>
                <c:pt idx="0">
                  <c:v>RN Budget</c:v>
                </c:pt>
                <c:pt idx="1">
                  <c:v>CA</c:v>
                </c:pt>
                <c:pt idx="2">
                  <c:v>Matières</c:v>
                </c:pt>
                <c:pt idx="3">
                  <c:v>Personnel</c:v>
                </c:pt>
                <c:pt idx="4">
                  <c:v>Externes</c:v>
                </c:pt>
                <c:pt idx="5">
                  <c:v>Transport</c:v>
                </c:pt>
                <c:pt idx="6">
                  <c:v>Marketing</c:v>
                </c:pt>
                <c:pt idx="7">
                  <c:v>Autres</c:v>
                </c:pt>
                <c:pt idx="8">
                  <c:v>Amort.</c:v>
                </c:pt>
                <c:pt idx="9">
                  <c:v>Financier</c:v>
                </c:pt>
                <c:pt idx="10">
                  <c:v>Impôt</c:v>
                </c:pt>
                <c:pt idx="11">
                  <c:v>RN Réel</c:v>
                </c:pt>
              </c:strCache>
            </c:strRef>
          </c:cat>
          <c:val>
            <c:numRef>
              <c:f>_CALC!$D$21:$D$32</c:f>
              <c:numCache>
                <c:formatCode>#,##0;\(#,##0\);\-</c:formatCode>
                <c:ptCount val="12"/>
                <c:pt idx="0">
                  <c:v>2708.6199999999976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2637.590000000002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073-4BA8-8924-5DC4C30BC8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75865728"/>
        <c:axId val="907185"/>
      </c:barChart>
      <c:catAx>
        <c:axId val="758657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fr-FR"/>
          </a:p>
        </c:txPr>
        <c:crossAx val="907185"/>
        <c:crosses val="autoZero"/>
        <c:auto val="1"/>
        <c:lblAlgn val="ctr"/>
        <c:lblOffset val="100"/>
        <c:noMultiLvlLbl val="0"/>
      </c:catAx>
      <c:valAx>
        <c:axId val="907185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fr-FR" sz="1000" b="1" strike="noStrike" spc="-1">
                    <a:solidFill>
                      <a:srgbClr val="000000"/>
                    </a:solidFill>
                    <a:latin typeface="Calibri"/>
                  </a:rPr>
                  <a:t>k€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#,##0;\(#,##0\);\-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fr-FR"/>
          </a:p>
        </c:txPr>
        <c:crossAx val="75865728"/>
        <c:crosses val="autoZero"/>
        <c:crossBetween val="between"/>
      </c:valAx>
      <c:spPr>
        <a:noFill/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fr-FR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fr-FR" sz="1800" b="1" strike="noStrike" spc="-1">
                <a:solidFill>
                  <a:srgbClr val="000000"/>
                </a:solidFill>
                <a:latin typeface="Calibri"/>
              </a:rPr>
              <a:t>Décomposition Volume / Prix / Mix par BU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_CALC!$L$85</c:f>
              <c:strCache>
                <c:ptCount val="1"/>
                <c:pt idx="0">
                  <c:v>Effet_Volume</c:v>
                </c:pt>
              </c:strCache>
            </c:strRef>
          </c:tx>
          <c:spPr>
            <a:solidFill>
              <a:srgbClr val="2E5496"/>
            </a:solidFill>
            <a:ln w="0">
              <a:solidFill>
                <a:srgbClr val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_CALC!$J$86:$J$86</c:f>
              <c:strCache>
                <c:ptCount val="1"/>
                <c:pt idx="0">
                  <c:v>Céréales &amp; Meunerie</c:v>
                </c:pt>
              </c:strCache>
            </c:strRef>
          </c:cat>
          <c:val>
            <c:numRef>
              <c:f>_CALC!$L$86:$L$86</c:f>
              <c:numCache>
                <c:formatCode>General</c:formatCode>
                <c:ptCount val="1"/>
                <c:pt idx="0">
                  <c:v>-40.742758745402497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3-46B6-BD5F-279516232EE1}"/>
            </c:ext>
          </c:extLst>
        </c:ser>
        <c:ser>
          <c:idx val="1"/>
          <c:order val="1"/>
          <c:tx>
            <c:strRef>
              <c:f>_CALC!$M$85</c:f>
              <c:strCache>
                <c:ptCount val="1"/>
                <c:pt idx="0">
                  <c:v>Effet_Prix</c:v>
                </c:pt>
              </c:strCache>
            </c:strRef>
          </c:tx>
          <c:spPr>
            <a:solidFill>
              <a:srgbClr val="FFC000"/>
            </a:solidFill>
            <a:ln w="0">
              <a:solidFill>
                <a:srgbClr val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_CALC!$J$86:$J$86</c:f>
              <c:strCache>
                <c:ptCount val="1"/>
                <c:pt idx="0">
                  <c:v>Céréales &amp; Meunerie</c:v>
                </c:pt>
              </c:strCache>
            </c:strRef>
          </c:cat>
          <c:val>
            <c:numRef>
              <c:f>_CALC!$M$86:$M$86</c:f>
              <c:numCache>
                <c:formatCode>General</c:formatCode>
                <c:ptCount val="1"/>
                <c:pt idx="0">
                  <c:v>-30.74977594112913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03-46B6-BD5F-279516232EE1}"/>
            </c:ext>
          </c:extLst>
        </c:ser>
        <c:ser>
          <c:idx val="2"/>
          <c:order val="2"/>
          <c:tx>
            <c:strRef>
              <c:f>_CALC!$N$85</c:f>
              <c:strCache>
                <c:ptCount val="1"/>
                <c:pt idx="0">
                  <c:v>Effet_Mix</c:v>
                </c:pt>
              </c:strCache>
            </c:strRef>
          </c:tx>
          <c:spPr>
            <a:solidFill>
              <a:srgbClr val="C00000"/>
            </a:solidFill>
            <a:ln w="0">
              <a:solidFill>
                <a:srgbClr val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_CALC!$J$86:$J$86</c:f>
              <c:strCache>
                <c:ptCount val="1"/>
                <c:pt idx="0">
                  <c:v>Céréales &amp; Meunerie</c:v>
                </c:pt>
              </c:strCache>
            </c:strRef>
          </c:cat>
          <c:val>
            <c:numRef>
              <c:f>_CALC!$N$86:$N$86</c:f>
              <c:numCache>
                <c:formatCode>General</c:formatCode>
                <c:ptCount val="1"/>
                <c:pt idx="0">
                  <c:v>0.46253468653580321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D03-46B6-BD5F-279516232E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349840"/>
        <c:axId val="82339954"/>
      </c:barChart>
      <c:catAx>
        <c:axId val="36349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fr-FR"/>
          </a:p>
        </c:txPr>
        <c:crossAx val="82339954"/>
        <c:crosses val="autoZero"/>
        <c:auto val="1"/>
        <c:lblAlgn val="ctr"/>
        <c:lblOffset val="100"/>
        <c:noMultiLvlLbl val="0"/>
      </c:catAx>
      <c:valAx>
        <c:axId val="82339954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fr-FR" sz="1000" b="1" strike="noStrike" spc="-1">
                    <a:solidFill>
                      <a:srgbClr val="000000"/>
                    </a:solidFill>
                    <a:latin typeface="Calibri"/>
                  </a:rPr>
                  <a:t>k€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fr-FR"/>
          </a:p>
        </c:txPr>
        <c:crossAx val="36349840"/>
        <c:crosses val="autoZero"/>
        <c:crossBetween val="between"/>
      </c:valAx>
      <c:spPr>
        <a:noFill/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fr-FR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fr-FR" sz="1800" b="1" strike="noStrike" spc="-1">
                <a:solidFill>
                  <a:srgbClr val="000000"/>
                </a:solidFill>
                <a:latin typeface="Calibri"/>
              </a:rPr>
              <a:t>Passerelle EBITDA : Budget → Réel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Base</c:v>
          </c:tx>
          <c:spPr>
            <a:noFill/>
            <a:ln w="9360">
              <a:solidFill>
                <a:srgbClr val="F9F9F9"/>
              </a:solidFill>
              <a:round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_CALC!$C$2:$C$8</c:f>
              <c:strCache>
                <c:ptCount val="7"/>
                <c:pt idx="0">
                  <c:v>EBITDA Budget</c:v>
                </c:pt>
                <c:pt idx="1">
                  <c:v>Céréales &amp; Meunerie</c:v>
                </c:pt>
                <c:pt idx="2">
                  <c:v>Huiles &amp; Corps Gras</c:v>
                </c:pt>
                <c:pt idx="3">
                  <c:v>Lait &amp; Produits Laitiers</c:v>
                </c:pt>
                <c:pt idx="4">
                  <c:v>Sucre &amp; Conserves</c:v>
                </c:pt>
                <c:pt idx="5">
                  <c:v>Boissons &amp; Jus</c:v>
                </c:pt>
                <c:pt idx="6">
                  <c:v>EBITDA Réel</c:v>
                </c:pt>
              </c:strCache>
            </c:strRef>
          </c:cat>
          <c:val>
            <c:numRef>
              <c:f>_CALC!$E$2:$E$8</c:f>
              <c:numCache>
                <c:formatCode>General</c:formatCode>
                <c:ptCount val="7"/>
                <c:pt idx="0">
                  <c:v>0</c:v>
                </c:pt>
                <c:pt idx="1">
                  <c:v>2637.590000000002</c:v>
                </c:pt>
                <c:pt idx="2">
                  <c:v>2637.590000000002</c:v>
                </c:pt>
                <c:pt idx="3">
                  <c:v>2637.590000000002</c:v>
                </c:pt>
                <c:pt idx="4">
                  <c:v>2637.590000000002</c:v>
                </c:pt>
                <c:pt idx="5">
                  <c:v>2637.590000000002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7A-415E-BEA3-7D38A237B23A}"/>
            </c:ext>
          </c:extLst>
        </c:ser>
        <c:ser>
          <c:idx val="1"/>
          <c:order val="1"/>
          <c:tx>
            <c:v>Baisse</c:v>
          </c:tx>
          <c:spPr>
            <a:solidFill>
              <a:srgbClr val="C00000"/>
            </a:solidFill>
            <a:ln w="9360">
              <a:solidFill>
                <a:srgbClr val="F9F9F9"/>
              </a:solidFill>
              <a:round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_CALC!$C$2:$C$8</c:f>
              <c:strCache>
                <c:ptCount val="7"/>
                <c:pt idx="0">
                  <c:v>EBITDA Budget</c:v>
                </c:pt>
                <c:pt idx="1">
                  <c:v>Céréales &amp; Meunerie</c:v>
                </c:pt>
                <c:pt idx="2">
                  <c:v>Huiles &amp; Corps Gras</c:v>
                </c:pt>
                <c:pt idx="3">
                  <c:v>Lait &amp; Produits Laitiers</c:v>
                </c:pt>
                <c:pt idx="4">
                  <c:v>Sucre &amp; Conserves</c:v>
                </c:pt>
                <c:pt idx="5">
                  <c:v>Boissons &amp; Jus</c:v>
                </c:pt>
                <c:pt idx="6">
                  <c:v>EBITDA Réel</c:v>
                </c:pt>
              </c:strCache>
            </c:strRef>
          </c:cat>
          <c:val>
            <c:numRef>
              <c:f>_CALC!$G$2:$G$8</c:f>
              <c:numCache>
                <c:formatCode>General</c:formatCode>
                <c:ptCount val="7"/>
                <c:pt idx="0">
                  <c:v>0</c:v>
                </c:pt>
                <c:pt idx="1">
                  <c:v>71.029999999995653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7A-415E-BEA3-7D38A237B23A}"/>
            </c:ext>
          </c:extLst>
        </c:ser>
        <c:ser>
          <c:idx val="2"/>
          <c:order val="2"/>
          <c:tx>
            <c:v>Hausse</c:v>
          </c:tx>
          <c:spPr>
            <a:solidFill>
              <a:srgbClr val="548235"/>
            </a:solidFill>
            <a:ln w="9360">
              <a:solidFill>
                <a:srgbClr val="F9F9F9"/>
              </a:solidFill>
              <a:round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_CALC!$C$2:$C$8</c:f>
              <c:strCache>
                <c:ptCount val="7"/>
                <c:pt idx="0">
                  <c:v>EBITDA Budget</c:v>
                </c:pt>
                <c:pt idx="1">
                  <c:v>Céréales &amp; Meunerie</c:v>
                </c:pt>
                <c:pt idx="2">
                  <c:v>Huiles &amp; Corps Gras</c:v>
                </c:pt>
                <c:pt idx="3">
                  <c:v>Lait &amp; Produits Laitiers</c:v>
                </c:pt>
                <c:pt idx="4">
                  <c:v>Sucre &amp; Conserves</c:v>
                </c:pt>
                <c:pt idx="5">
                  <c:v>Boissons &amp; Jus</c:v>
                </c:pt>
                <c:pt idx="6">
                  <c:v>EBITDA Réel</c:v>
                </c:pt>
              </c:strCache>
            </c:strRef>
          </c:cat>
          <c:val>
            <c:numRef>
              <c:f>_CALC!$F$2:$F$8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7A-415E-BEA3-7D38A237B23A}"/>
            </c:ext>
          </c:extLst>
        </c:ser>
        <c:ser>
          <c:idx val="3"/>
          <c:order val="3"/>
          <c:tx>
            <c:v>Total</c:v>
          </c:tx>
          <c:spPr>
            <a:solidFill>
              <a:srgbClr val="1F3864"/>
            </a:solidFill>
            <a:ln w="9360">
              <a:solidFill>
                <a:srgbClr val="F9F9F9"/>
              </a:solidFill>
              <a:round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_CALC!$C$2:$C$8</c:f>
              <c:strCache>
                <c:ptCount val="7"/>
                <c:pt idx="0">
                  <c:v>EBITDA Budget</c:v>
                </c:pt>
                <c:pt idx="1">
                  <c:v>Céréales &amp; Meunerie</c:v>
                </c:pt>
                <c:pt idx="2">
                  <c:v>Huiles &amp; Corps Gras</c:v>
                </c:pt>
                <c:pt idx="3">
                  <c:v>Lait &amp; Produits Laitiers</c:v>
                </c:pt>
                <c:pt idx="4">
                  <c:v>Sucre &amp; Conserves</c:v>
                </c:pt>
                <c:pt idx="5">
                  <c:v>Boissons &amp; Jus</c:v>
                </c:pt>
                <c:pt idx="6">
                  <c:v>EBITDA Réel</c:v>
                </c:pt>
              </c:strCache>
            </c:strRef>
          </c:cat>
          <c:val>
            <c:numRef>
              <c:f>_CALC!$D$2:$D$8</c:f>
              <c:numCache>
                <c:formatCode>General</c:formatCode>
                <c:ptCount val="7"/>
                <c:pt idx="0">
                  <c:v>2708.6199999999976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 formatCode="#,##0;\(#,##0\);\-">
                  <c:v>2637.590000000002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7A-415E-BEA3-7D38A237B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20420923"/>
        <c:axId val="45623418"/>
      </c:barChart>
      <c:catAx>
        <c:axId val="20420923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fr-FR"/>
          </a:p>
        </c:txPr>
        <c:crossAx val="45623418"/>
        <c:crosses val="autoZero"/>
        <c:auto val="1"/>
        <c:lblAlgn val="ctr"/>
        <c:lblOffset val="100"/>
        <c:noMultiLvlLbl val="0"/>
      </c:catAx>
      <c:valAx>
        <c:axId val="45623418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fr-FR" sz="1000" b="1" strike="noStrike" spc="-1">
                    <a:solidFill>
                      <a:srgbClr val="000000"/>
                    </a:solidFill>
                    <a:latin typeface="Calibri"/>
                  </a:rPr>
                  <a:t>k€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fr-FR"/>
          </a:p>
        </c:txPr>
        <c:crossAx val="20420923"/>
        <c:crosses val="autoZero"/>
        <c:crossBetween val="between"/>
      </c:valAx>
      <c:spPr>
        <a:noFill/>
        <a:ln w="0">
          <a:noFill/>
        </a:ln>
      </c:spPr>
    </c:plotArea>
    <c:legend>
      <c:legendPos val="b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fr-FR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fr-FR" sz="1800" b="1" strike="noStrike" spc="-1">
                <a:solidFill>
                  <a:srgbClr val="000000"/>
                </a:solidFill>
                <a:latin typeface="Calibri"/>
              </a:rPr>
              <a:t>Positionnement des BU : croissance (x) vs marge EBITDA (y)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ubbleChart>
        <c:varyColors val="0"/>
        <c:ser>
          <c:idx val="0"/>
          <c:order val="0"/>
          <c:tx>
            <c:v>Céréales &amp; Meunerie</c:v>
          </c:tx>
          <c:spPr>
            <a:solidFill>
              <a:srgbClr val="4472C4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fr-FR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_CALC!$D$12</c:f>
              <c:numCache>
                <c:formatCode>0.0%;\(0.0%\);\-</c:formatCode>
                <c:ptCount val="1"/>
                <c:pt idx="0">
                  <c:v>0.11415295583669847</c:v>
                </c:pt>
              </c:numCache>
            </c:numRef>
          </c:xVal>
          <c:yVal>
            <c:numRef>
              <c:f>_CALC!$E$12</c:f>
              <c:numCache>
                <c:formatCode>0.0%;\(0.0%\);\-</c:formatCode>
                <c:ptCount val="1"/>
                <c:pt idx="0">
                  <c:v>1</c:v>
                </c:pt>
              </c:numCache>
            </c:numRef>
          </c:yVal>
          <c:bubbleSize>
            <c:numRef>
              <c:f>_CALC!$F$12</c:f>
              <c:numCache>
                <c:formatCode>#,##0;\(#,##0\);\-</c:formatCode>
                <c:ptCount val="1"/>
                <c:pt idx="0">
                  <c:v>2637.590000000002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9696-4000-B190-81CB4EC7B2DE}"/>
            </c:ext>
          </c:extLst>
        </c:ser>
        <c:ser>
          <c:idx val="1"/>
          <c:order val="1"/>
          <c:tx>
            <c:v>Huiles &amp; Corps Gras</c:v>
          </c:tx>
          <c:spPr>
            <a:solidFill>
              <a:srgbClr val="ED7D31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fr-FR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_CALC!$D$13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_CALC!$E$13</c:f>
              <c:numCache>
                <c:formatCode>0.0%;\(0.0%\);\-</c:formatCode>
                <c:ptCount val="1"/>
                <c:pt idx="0">
                  <c:v>0</c:v>
                </c:pt>
              </c:numCache>
            </c:numRef>
          </c:yVal>
          <c:bubbleSize>
            <c:numRef>
              <c:f>_CALC!$F$13</c:f>
              <c:numCache>
                <c:formatCode>#,##0;\(#,##0\);\-</c:formatCode>
                <c:ptCount val="1"/>
                <c:pt idx="0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1-9696-4000-B190-81CB4EC7B2DE}"/>
            </c:ext>
          </c:extLst>
        </c:ser>
        <c:ser>
          <c:idx val="2"/>
          <c:order val="2"/>
          <c:tx>
            <c:v>Lait &amp; Produits Laitiers</c:v>
          </c:tx>
          <c:spPr>
            <a:solidFill>
              <a:srgbClr val="A5A5A5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fr-FR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_CALC!$D$14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_CALC!$E$14</c:f>
              <c:numCache>
                <c:formatCode>0.0%;\(0.0%\);\-</c:formatCode>
                <c:ptCount val="1"/>
                <c:pt idx="0">
                  <c:v>0</c:v>
                </c:pt>
              </c:numCache>
            </c:numRef>
          </c:yVal>
          <c:bubbleSize>
            <c:numRef>
              <c:f>_CALC!$F$14</c:f>
              <c:numCache>
                <c:formatCode>#,##0;\(#,##0\);\-</c:formatCode>
                <c:ptCount val="1"/>
                <c:pt idx="0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2-9696-4000-B190-81CB4EC7B2DE}"/>
            </c:ext>
          </c:extLst>
        </c:ser>
        <c:ser>
          <c:idx val="3"/>
          <c:order val="3"/>
          <c:tx>
            <c:v>Sucre &amp; Conserves</c:v>
          </c:tx>
          <c:spPr>
            <a:solidFill>
              <a:srgbClr val="FFC000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fr-FR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_CALC!$D$15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_CALC!$E$15</c:f>
              <c:numCache>
                <c:formatCode>0.0%;\(0.0%\);\-</c:formatCode>
                <c:ptCount val="1"/>
                <c:pt idx="0">
                  <c:v>0</c:v>
                </c:pt>
              </c:numCache>
            </c:numRef>
          </c:yVal>
          <c:bubbleSize>
            <c:numRef>
              <c:f>_CALC!$F$15</c:f>
              <c:numCache>
                <c:formatCode>#,##0;\(#,##0\);\-</c:formatCode>
                <c:ptCount val="1"/>
                <c:pt idx="0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3-9696-4000-B190-81CB4EC7B2DE}"/>
            </c:ext>
          </c:extLst>
        </c:ser>
        <c:ser>
          <c:idx val="4"/>
          <c:order val="4"/>
          <c:tx>
            <c:v>Boissons &amp; Jus</c:v>
          </c:tx>
          <c:spPr>
            <a:solidFill>
              <a:srgbClr val="5B9BD5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Arial"/>
                  </a:defRPr>
                </a:pPr>
                <a:endParaRPr lang="fr-FR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_CALC!$D$16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_CALC!$E$16</c:f>
              <c:numCache>
                <c:formatCode>0.0%;\(0.0%\);\-</c:formatCode>
                <c:ptCount val="1"/>
                <c:pt idx="0">
                  <c:v>0</c:v>
                </c:pt>
              </c:numCache>
            </c:numRef>
          </c:yVal>
          <c:bubbleSize>
            <c:numRef>
              <c:f>_CALC!$F$16</c:f>
              <c:numCache>
                <c:formatCode>#,##0;\(#,##0\);\-</c:formatCode>
                <c:ptCount val="1"/>
                <c:pt idx="0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4-9696-4000-B190-81CB4EC7B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1"/>
        <c:axId val="68967935"/>
        <c:axId val="4704486"/>
      </c:bubbleChart>
      <c:valAx>
        <c:axId val="68967935"/>
        <c:scaling>
          <c:orientation val="minMax"/>
        </c:scaling>
        <c:delete val="0"/>
        <c:axPos val="b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fr-FR" sz="1000" b="1" strike="noStrike" spc="-1">
                    <a:solidFill>
                      <a:srgbClr val="000000"/>
                    </a:solidFill>
                    <a:latin typeface="Calibri"/>
                  </a:rPr>
                  <a:t>Croissance vs N-1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%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fr-FR"/>
          </a:p>
        </c:txPr>
        <c:crossAx val="4704486"/>
        <c:crosses val="autoZero"/>
        <c:crossBetween val="midCat"/>
      </c:valAx>
      <c:valAx>
        <c:axId val="4704486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fr-FR" sz="1000" b="1" strike="noStrike" spc="-1">
                    <a:solidFill>
                      <a:srgbClr val="000000"/>
                    </a:solidFill>
                    <a:latin typeface="Calibri"/>
                  </a:rPr>
                  <a:t>Marge EBITDA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%" sourceLinked="0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fr-FR"/>
          </a:p>
        </c:txPr>
        <c:crossAx val="68967935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fr-FR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274320</xdr:colOff>
      <xdr:row>5</xdr:row>
      <xdr:rowOff>15240</xdr:rowOff>
    </xdr:from>
    <xdr:ext cx="1165860" cy="945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A09BED0-4008-4A3D-B672-A386648A39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5</xdr:col>
      <xdr:colOff>68580</xdr:colOff>
      <xdr:row>49</xdr:row>
      <xdr:rowOff>30480</xdr:rowOff>
    </xdr:from>
    <xdr:ext cx="3307080" cy="213432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CC26563-2BEF-4385-A31D-861976B86A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11</xdr:col>
      <xdr:colOff>388620</xdr:colOff>
      <xdr:row>48</xdr:row>
      <xdr:rowOff>138300</xdr:rowOff>
    </xdr:from>
    <xdr:ext cx="3230880" cy="231606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C33F712-00C5-46B5-9B7B-3A77522043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2</xdr:col>
      <xdr:colOff>495300</xdr:colOff>
      <xdr:row>78</xdr:row>
      <xdr:rowOff>53340</xdr:rowOff>
    </xdr:from>
    <xdr:ext cx="6350400" cy="2519340"/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AA2468E-87D2-46F3-9E4F-F10D518308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oneCellAnchor>
    <xdr:from>
      <xdr:col>2</xdr:col>
      <xdr:colOff>447560</xdr:colOff>
      <xdr:row>93</xdr:row>
      <xdr:rowOff>49530</xdr:rowOff>
    </xdr:from>
    <xdr:ext cx="6070480" cy="2257127"/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30713D0-D32C-4E7F-8ACD-43546956A2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161</xdr:col>
          <xdr:colOff>0</xdr:colOff>
          <xdr:row>2</xdr:row>
          <xdr:rowOff>114300</xdr:rowOff>
        </xdr:from>
        <xdr:to>
          <xdr:col>168</xdr:col>
          <xdr:colOff>7620</xdr:colOff>
          <xdr:row>5</xdr:row>
          <xdr:rowOff>160020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Pilotage clôture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</xdr:col>
          <xdr:colOff>15240</xdr:colOff>
          <xdr:row>6</xdr:row>
          <xdr:rowOff>167640</xdr:rowOff>
        </xdr:from>
        <xdr:to>
          <xdr:col>168</xdr:col>
          <xdr:colOff>0</xdr:colOff>
          <xdr:row>10</xdr:row>
          <xdr:rowOff>45720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2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les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161</xdr:col>
          <xdr:colOff>22860</xdr:colOff>
          <xdr:row>11</xdr:row>
          <xdr:rowOff>45720</xdr:rowOff>
        </xdr:from>
        <xdr:to>
          <xdr:col>168</xdr:col>
          <xdr:colOff>0</xdr:colOff>
          <xdr:row>14</xdr:row>
          <xdr:rowOff>137160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2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Génerer le Package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112059</xdr:colOff>
      <xdr:row>32</xdr:row>
      <xdr:rowOff>57934</xdr:rowOff>
    </xdr:from>
    <xdr:to>
      <xdr:col>9</xdr:col>
      <xdr:colOff>112623</xdr:colOff>
      <xdr:row>45</xdr:row>
      <xdr:rowOff>113699</xdr:rowOff>
    </xdr:to>
    <xdr:graphicFrame macro="">
      <xdr:nvGraphicFramePr>
        <xdr:cNvPr id="9" name="Chart 2">
          <a:extLst>
            <a:ext uri="{FF2B5EF4-FFF2-40B4-BE49-F238E27FC236}">
              <a16:creationId xmlns:a16="http://schemas.microsoft.com/office/drawing/2014/main" id="{1FDA673F-2F9F-425F-8739-2F45E3649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9</xdr:col>
      <xdr:colOff>8467</xdr:colOff>
      <xdr:row>32</xdr:row>
      <xdr:rowOff>31712</xdr:rowOff>
    </xdr:from>
    <xdr:to>
      <xdr:col>17</xdr:col>
      <xdr:colOff>136616</xdr:colOff>
      <xdr:row>45</xdr:row>
      <xdr:rowOff>95097</xdr:rowOff>
    </xdr:to>
    <xdr:graphicFrame macro="">
      <xdr:nvGraphicFramePr>
        <xdr:cNvPr id="10" name="Chart 3">
          <a:extLst>
            <a:ext uri="{FF2B5EF4-FFF2-40B4-BE49-F238E27FC236}">
              <a16:creationId xmlns:a16="http://schemas.microsoft.com/office/drawing/2014/main" id="{554D5AC1-A392-4713-B68D-EDC8C39B7E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904875</xdr:colOff>
      <xdr:row>24</xdr:row>
      <xdr:rowOff>62865</xdr:rowOff>
    </xdr:from>
    <xdr:ext cx="8985885" cy="298518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A7DF679-43DD-4771-8F65-AD326DB139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1</xdr:col>
      <xdr:colOff>1407795</xdr:colOff>
      <xdr:row>54</xdr:row>
      <xdr:rowOff>24765</xdr:rowOff>
    </xdr:from>
    <xdr:ext cx="6314220" cy="242064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E2EE97F-164C-4DB4-B5E3-5711C2ACE5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963930</xdr:colOff>
      <xdr:row>39</xdr:row>
      <xdr:rowOff>92340</xdr:rowOff>
    </xdr:from>
    <xdr:ext cx="7011540" cy="294162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A232A39-9B2D-4797-ABDB-F7EBF3BC5E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1</xdr:col>
      <xdr:colOff>685800</xdr:colOff>
      <xdr:row>58</xdr:row>
      <xdr:rowOff>19950</xdr:rowOff>
    </xdr:from>
    <xdr:ext cx="7915275" cy="276516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836A400-BE03-48D5-97E5-7A701D50C2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ISMAIL%20ABGAR\OneDrive\Desktop\stage%20cv\Atlas_Agro_Command_Center%20(3).xlsx" TargetMode="External"/><Relationship Id="rId1" Type="http://schemas.openxmlformats.org/officeDocument/2006/relationships/externalLinkPath" Target="file:///C:\Users\ISMAIL%20ABGAR\OneDrive\Desktop\stage%20cv\Atlas_Agro_Command_Center%20(3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"/>
      <sheetName val="DASHBOARD"/>
      <sheetName val="PACKAGE_PnL"/>
      <sheetName val="SYNTHESE_BU"/>
      <sheetName val="AGREG_PQ"/>
      <sheetName val="MENSUEL_PQ"/>
      <sheetName val="_CALC"/>
    </sheetNames>
    <sheetDataSet>
      <sheetData sheetId="0">
        <row r="15">
          <cell r="C15">
            <v>50</v>
          </cell>
        </row>
      </sheetData>
      <sheetData sheetId="1"/>
      <sheetData sheetId="2"/>
      <sheetData sheetId="3"/>
      <sheetData sheetId="4"/>
      <sheetData sheetId="5">
        <row r="1">
          <cell r="C1" t="str">
            <v>CA_R25</v>
          </cell>
        </row>
        <row r="2">
          <cell r="B2" t="str">
            <v>Janv</v>
          </cell>
        </row>
        <row r="3">
          <cell r="B3" t="str">
            <v>Févr</v>
          </cell>
        </row>
        <row r="4">
          <cell r="B4" t="str">
            <v>Mars</v>
          </cell>
        </row>
        <row r="5">
          <cell r="B5" t="str">
            <v>Avr</v>
          </cell>
        </row>
        <row r="6">
          <cell r="B6" t="str">
            <v>Mai</v>
          </cell>
        </row>
        <row r="7">
          <cell r="B7" t="str">
            <v>Juin</v>
          </cell>
        </row>
        <row r="8">
          <cell r="B8" t="str">
            <v>Juil</v>
          </cell>
        </row>
        <row r="9">
          <cell r="B9" t="str">
            <v>Août</v>
          </cell>
        </row>
        <row r="10">
          <cell r="B10" t="str">
            <v>Sept</v>
          </cell>
        </row>
        <row r="11">
          <cell r="B11" t="str">
            <v>Oct</v>
          </cell>
        </row>
        <row r="12">
          <cell r="B12" t="str">
            <v>Nov</v>
          </cell>
        </row>
        <row r="13">
          <cell r="B13" t="str">
            <v>Déc</v>
          </cell>
        </row>
      </sheetData>
      <sheetData sheetId="6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8" xr16:uid="{0FBCADAE-507E-48E6-AA39-2C3C04F347FB}" autoFormatId="16" applyNumberFormats="0" applyBorderFormats="0" applyFontFormats="0" applyPatternFormats="0" applyAlignmentFormats="0" applyWidthHeightFormats="0">
  <queryTableRefresh nextId="2">
    <queryTableFields count="1">
      <queryTableField id="1" name="pMoisCloture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10" xr16:uid="{860EC590-1D00-45E5-BEC8-814E5C0063D8}" autoFormatId="16" applyNumberFormats="0" applyBorderFormats="0" applyFontFormats="0" applyPatternFormats="0" applyAlignmentFormats="0" applyWidthHeightFormats="0">
  <queryTableRefresh nextId="3">
    <queryTableFields count="2">
      <queryTableField id="1" name="Client" tableColumnId="1"/>
      <queryTableField id="2" name="CA_YTD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" backgroundRefresh="0" connectionId="3" xr16:uid="{CE1ECDB5-E48C-48A7-BACD-71C203EB679F}" autoFormatId="16" applyNumberFormats="0" applyBorderFormats="0" applyFontFormats="0" applyPatternFormats="0" applyAlignmentFormats="0" applyWidthHeightFormats="0">
  <queryTableRefresh nextId="3">
    <queryTableFields count="2">
      <queryTableField id="1" name="CentreCout" tableColumnId="1"/>
      <queryTableField id="2" name="Charges_YTD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3" backgroundRefresh="0" connectionId="4" xr16:uid="{48B7F91A-7C32-4354-8B95-46F605F86D8E}" autoFormatId="16" applyNumberFormats="0" applyBorderFormats="0" applyFontFormats="0" applyPatternFormats="0" applyAlignmentFormats="0" applyWidthHeightFormats="0">
  <queryTableRefresh nextId="8">
    <queryTableFields count="6">
      <queryTableField id="1" name="CodeEntite" tableColumnId="1"/>
      <queryTableField id="2" name="Entite" tableColumnId="2"/>
      <queryTableField id="6" name="DeltaCA" tableColumnId="6"/>
      <queryTableField id="3" name="Effet_Volume" tableColumnId="3"/>
      <queryTableField id="4" name="Effet_Prix" tableColumnId="4"/>
      <queryTableField id="5" name="Effet_Mix" tableColumnId="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9" xr16:uid="{7CF283BA-2989-442D-AE8D-87853920A15F}" autoFormatId="16" applyNumberFormats="0" applyBorderFormats="0" applyFontFormats="0" applyPatternFormats="0" applyAlignmentFormats="0" applyWidthHeightFormats="0">
  <queryTableRefresh nextId="13">
    <queryTableFields count="12">
      <queryTableField id="1" name="Mois" tableColumnId="1"/>
      <queryTableField id="2" name="MoisLabel" tableColumnId="2"/>
      <queryTableField id="3" name="CA_R25" tableColumnId="3"/>
      <queryTableField id="4" name="CA_B26" tableColumnId="4"/>
      <queryTableField id="5" name="CA_R26" tableColumnId="5"/>
      <queryTableField id="6" name="EBITDA_R25" tableColumnId="6"/>
      <queryTableField id="7" name="EBITDA_B26" tableColumnId="7"/>
      <queryTableField id="8" name="EBITDA_R26" tableColumnId="8"/>
      <queryTableField id="9" name="RN_R25" tableColumnId="9"/>
      <queryTableField id="10" name="RN_B26" tableColumnId="10"/>
      <queryTableField id="11" name="RN_R26" tableColumnId="11"/>
      <queryTableField id="12" name="MgEBITDA_R26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" backgroundRefresh="0" connectionId="2" xr16:uid="{7B4D3AB9-6969-4BB8-B987-07D4D3D47721}" autoFormatId="16" applyNumberFormats="0" applyBorderFormats="0" applyFontFormats="0" applyPatternFormats="0" applyAlignmentFormats="0" applyWidthHeightFormats="0">
  <queryTableRefresh nextId="11">
    <queryTableFields count="10">
      <queryTableField id="1" name="CodeEntite" tableColumnId="1"/>
      <queryTableField id="2" name="Entite" tableColumnId="2"/>
      <queryTableField id="3" name="PosteP&amp;L" tableColumnId="3"/>
      <queryTableField id="4" name="Reel_M" tableColumnId="4"/>
      <queryTableField id="5" name="Budget_M" tableColumnId="5"/>
      <queryTableField id="6" name="Reel_YTD" tableColumnId="6"/>
      <queryTableField id="7" name="Budget_YTD" tableColumnId="7"/>
      <queryTableField id="8" name="Reel_N1_YTD" tableColumnId="8"/>
      <queryTableField id="9" name="Ecart_M" tableColumnId="9"/>
      <queryTableField id="10" name="Ecart_YTD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6" xr16:uid="{1DB60761-7F93-482D-A2C1-C065F56AAF0D}" autoFormatId="16" applyNumberFormats="0" applyBorderFormats="0" applyFontFormats="0" applyPatternFormats="0" applyAlignmentFormats="0" applyWidthHeightFormats="0">
  <queryTableRefresh nextId="20">
    <queryTableFields count="19">
      <queryTableField id="1" name="EcritureID" tableColumnId="1"/>
      <queryTableField id="2" name="Scenario" tableColumnId="2"/>
      <queryTableField id="3" name="Annee" tableColumnId="3"/>
      <queryTableField id="4" name="Mois" tableColumnId="4"/>
      <queryTableField id="5" name="Date" tableColumnId="5"/>
      <queryTableField id="6" name="CodeEntite" tableColumnId="6"/>
      <queryTableField id="7" name="Entite" tableColumnId="7"/>
      <queryTableField id="8" name="Site" tableColumnId="8"/>
      <queryTableField id="9" name="CodeProduit" tableColumnId="9"/>
      <queryTableField id="10" name="Produit" tableColumnId="10"/>
      <queryTableField id="11" name="Canal" tableColumnId="11"/>
      <queryTableField id="12" name="Compte" tableColumnId="12"/>
      <queryTableField id="13" name="LibelleCompte" tableColumnId="13"/>
      <queryTableField id="14" name="PosteP&amp;L" tableColumnId="14"/>
      <queryTableField id="15" name="Quantite" tableColumnId="15"/>
      <queryTableField id="16" name="PrixUnitaire_EUR" tableColumnId="16"/>
      <queryTableField id="17" name="Montant_kEUR" tableColumnId="17"/>
      <queryTableField id="18" name="Client" tableColumnId="18"/>
      <queryTableField id="19" name="CentreCout" tableColumnId="19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1" xr16:uid="{4267FE8C-26AC-45E4-8995-681CD351D359}" autoFormatId="16" applyNumberFormats="0" applyBorderFormats="0" applyFontFormats="0" applyPatternFormats="0" applyAlignmentFormats="0" applyWidthHeightFormats="0">
  <queryTableRefresh nextId="20">
    <queryTableFields count="19">
      <queryTableField id="1" name="EcritureID" tableColumnId="1"/>
      <queryTableField id="2" name="Scenario" tableColumnId="2"/>
      <queryTableField id="3" name="Annee" tableColumnId="3"/>
      <queryTableField id="4" name="Mois" tableColumnId="4"/>
      <queryTableField id="5" name="Date" tableColumnId="5"/>
      <queryTableField id="6" name="CodeEntite" tableColumnId="6"/>
      <queryTableField id="7" name="Entite" tableColumnId="7"/>
      <queryTableField id="8" name="Site" tableColumnId="8"/>
      <queryTableField id="9" name="CodeProduit" tableColumnId="9"/>
      <queryTableField id="10" name="Produit" tableColumnId="10"/>
      <queryTableField id="11" name="Canal" tableColumnId="11"/>
      <queryTableField id="12" name="Compte" tableColumnId="12"/>
      <queryTableField id="13" name="LibelleCompte" tableColumnId="13"/>
      <queryTableField id="14" name="PosteP&amp;L" tableColumnId="14"/>
      <queryTableField id="15" name="Quantite" tableColumnId="15"/>
      <queryTableField id="16" name="PrixUnitaire_EUR" tableColumnId="16"/>
      <queryTableField id="17" name="Montant_kEUR" tableColumnId="17"/>
      <queryTableField id="18" name="Client" tableColumnId="18"/>
      <queryTableField id="19" name="CentreCout" tableColumnId="19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5" xr16:uid="{A84D2A56-EECE-4DF8-B714-91F8F57AC4DF}" autoFormatId="16" applyNumberFormats="0" applyBorderFormats="0" applyFontFormats="0" applyPatternFormats="0" applyAlignmentFormats="0" applyWidthHeightFormats="0">
  <queryTableRefresh nextId="20">
    <queryTableFields count="19">
      <queryTableField id="1" name="EcritureID" tableColumnId="1"/>
      <queryTableField id="2" name="Scenario" tableColumnId="2"/>
      <queryTableField id="3" name="Annee" tableColumnId="3"/>
      <queryTableField id="4" name="Mois" tableColumnId="4"/>
      <queryTableField id="5" name="Date" tableColumnId="5"/>
      <queryTableField id="6" name="CodeEntite" tableColumnId="6"/>
      <queryTableField id="7" name="Entite" tableColumnId="7"/>
      <queryTableField id="8" name="Site" tableColumnId="8"/>
      <queryTableField id="9" name="CodeProduit" tableColumnId="9"/>
      <queryTableField id="10" name="Produit" tableColumnId="10"/>
      <queryTableField id="11" name="Canal" tableColumnId="11"/>
      <queryTableField id="12" name="Compte" tableColumnId="12"/>
      <queryTableField id="13" name="LibelleCompte" tableColumnId="13"/>
      <queryTableField id="14" name="PosteP&amp;L" tableColumnId="14"/>
      <queryTableField id="15" name="Quantite" tableColumnId="15"/>
      <queryTableField id="16" name="PrixUnitaire_EUR" tableColumnId="16"/>
      <queryTableField id="17" name="Montant_kEUR" tableColumnId="17"/>
      <queryTableField id="18" name="Client" tableColumnId="18"/>
      <queryTableField id="19" name="CentreCout" tableColumnId="1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79AA4CD-7EF3-4AA3-AF07-A6E283B34A82}" name="pMoisCloture" displayName="pMoisCloture" ref="A1:A2" tableType="queryTable" totalsRowShown="0">
  <autoFilter ref="A1:A2" xr:uid="{C79AA4CD-7EF3-4AA3-AF07-A6E283B34A82}"/>
  <tableColumns count="1">
    <tableColumn id="1" xr3:uid="{1F9B6F19-A72A-4F90-BE65-7A31A5971064}" uniqueName="1" name="pMoisCloture" queryTableFieldId="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12E2050-F899-4B09-B2A4-19056CF8AC21}" name="TOP_CLIENT" displayName="TOP_CLIENT" ref="A55:B64" tableType="queryTable" totalsRowShown="0">
  <autoFilter ref="A55:B64" xr:uid="{512E2050-F899-4B09-B2A4-19056CF8AC21}"/>
  <tableColumns count="2">
    <tableColumn id="1" xr3:uid="{42C1460B-D73E-4CCB-B8D9-1A48B752BA44}" uniqueName="1" name="Client" queryTableFieldId="1" dataDxfId="69"/>
    <tableColumn id="2" xr3:uid="{13488463-7AC6-4C8D-AE2A-290730AFCAA9}" uniqueName="2" name="CA_YTD" queryTableField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20C689C-52D5-475E-9BE8-5C7D1E2FCFCE}" name="CHARGES_CC" displayName="CHARGES_CC" ref="A69:B70" tableType="queryTable" insertRow="1" totalsRowShown="0">
  <autoFilter ref="A69:B70" xr:uid="{E20C689C-52D5-475E-9BE8-5C7D1E2FCFCE}"/>
  <tableColumns count="2">
    <tableColumn id="1" xr3:uid="{232F0A98-B480-4DBC-A934-9A18F9BB322F}" uniqueName="1" name="CentreCout" queryTableFieldId="1"/>
    <tableColumn id="2" xr3:uid="{C9C84220-6209-47C0-B568-7D2649A39527}" uniqueName="2" name="Charges_YTD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1A6B26-DBB6-4C60-A4D3-304C63FE63AF}" name="EFFET" displayName="EFFET" ref="I85:N86" tableType="queryTable" totalsRowShown="0">
  <autoFilter ref="I85:N86" xr:uid="{6B1A6B26-DBB6-4C60-A4D3-304C63FE63AF}"/>
  <tableColumns count="6">
    <tableColumn id="1" xr3:uid="{50D2ACB1-4632-4273-B14A-9085FCC7F2F3}" uniqueName="1" name="CodeEntite" queryTableFieldId="1" dataDxfId="71"/>
    <tableColumn id="2" xr3:uid="{87B42EA7-7A9C-4F60-B051-F1349F6AE355}" uniqueName="2" name="Entite" queryTableFieldId="2" dataDxfId="70"/>
    <tableColumn id="6" xr3:uid="{3DA844FD-E01F-4EB4-B83A-A3550D945CBD}" uniqueName="6" name="DeltaCA" queryTableFieldId="6"/>
    <tableColumn id="3" xr3:uid="{B8EA5943-1BE2-4ACF-940A-F2A21E3D7390}" uniqueName="3" name="Effet_Volume" queryTableFieldId="3"/>
    <tableColumn id="4" xr3:uid="{9D510230-04EF-476E-9AAF-E0425FD813E7}" uniqueName="4" name="Effet_Prix" queryTableFieldId="4"/>
    <tableColumn id="5" xr3:uid="{F01D96CB-15B3-4432-BDA8-4BE705A2528D}" uniqueName="5" name="Effet_Mix" queryTableFieldId="5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161A101-E96C-42EA-B7DB-C890F003982E}" name="Requête1" displayName="Requête1" ref="A1:L13" tableType="queryTable" totalsRowShown="0">
  <autoFilter ref="A1:L13" xr:uid="{5161A101-E96C-42EA-B7DB-C890F003982E}"/>
  <tableColumns count="12">
    <tableColumn id="1" xr3:uid="{4350408C-D558-45B6-9C8B-20F258C55D33}" uniqueName="1" name="Mois" queryTableFieldId="1"/>
    <tableColumn id="2" xr3:uid="{33F362A1-E994-42D9-B70E-199D297361B7}" uniqueName="2" name="MoisLabel" queryTableFieldId="2" dataDxfId="68"/>
    <tableColumn id="3" xr3:uid="{C9935F16-70B1-4727-80F8-28A45EEED79D}" uniqueName="3" name="CA_R25" queryTableFieldId="3"/>
    <tableColumn id="4" xr3:uid="{062A3845-BDFB-41A2-B104-0E54966B0DBA}" uniqueName="4" name="CA_B26" queryTableFieldId="4"/>
    <tableColumn id="5" xr3:uid="{651FED8C-FBCD-48C6-9DE4-0C0CC78C30F7}" uniqueName="5" name="CA_R26" queryTableFieldId="5"/>
    <tableColumn id="6" xr3:uid="{A372C74B-5044-4D37-B20A-E0D6F8A40981}" uniqueName="6" name="EBITDA_R25" queryTableFieldId="6"/>
    <tableColumn id="7" xr3:uid="{A47D1619-EB98-4F32-BC5C-C41D93A89240}" uniqueName="7" name="EBITDA_B26" queryTableFieldId="7"/>
    <tableColumn id="8" xr3:uid="{CBD41D34-EB29-4BC7-A28D-5876F39D5B57}" uniqueName="8" name="EBITDA_R26" queryTableFieldId="8"/>
    <tableColumn id="9" xr3:uid="{704C7FEC-1EA7-481E-9744-B5DAE31DDF45}" uniqueName="9" name="RN_R25" queryTableFieldId="9"/>
    <tableColumn id="10" xr3:uid="{6FC2F54C-09D4-43D8-8878-07EDBE631B64}" uniqueName="10" name="RN_B26" queryTableFieldId="10"/>
    <tableColumn id="11" xr3:uid="{B7ACD0EF-DAF6-45BB-A117-B979D2DDCFBC}" uniqueName="11" name="RN_R26" queryTableFieldId="11"/>
    <tableColumn id="12" xr3:uid="{95B8F9B9-F67B-400E-BEB4-27DA01EAE975}" uniqueName="12" name="MgEBITDA_R26" queryTableFieldId="1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944FD65-862C-4821-ABB0-A94EE8F694B8}" name="AGREG_PQ" displayName="AGREG_PQ" ref="A1:J2" tableType="queryTable" totalsRowShown="0">
  <autoFilter ref="A1:J2" xr:uid="{9944FD65-862C-4821-ABB0-A94EE8F694B8}"/>
  <sortState xmlns:xlrd2="http://schemas.microsoft.com/office/spreadsheetml/2017/richdata2" ref="A2:J2">
    <sortCondition ref="A1:A2"/>
  </sortState>
  <tableColumns count="10">
    <tableColumn id="1" xr3:uid="{AB0E1153-518E-40C1-A3EF-25D397158B3B}" uniqueName="1" name="CodeEntite" queryTableFieldId="1" dataDxfId="67"/>
    <tableColumn id="2" xr3:uid="{44F986D7-DFEF-4677-9C78-95894CED94FC}" uniqueName="2" name="Entite" queryTableFieldId="2" dataDxfId="66"/>
    <tableColumn id="3" xr3:uid="{3C969FF0-CC0D-4AF1-AEF0-CB2F2197BBEF}" uniqueName="3" name="PosteP&amp;L" queryTableFieldId="3" dataDxfId="65"/>
    <tableColumn id="4" xr3:uid="{08BAB101-F808-43A9-957E-74D3A6D5B899}" uniqueName="4" name="Reel_M" queryTableFieldId="4"/>
    <tableColumn id="5" xr3:uid="{3A47F177-BB81-4267-90C3-640A25676F1A}" uniqueName="5" name="Budget_M" queryTableFieldId="5"/>
    <tableColumn id="6" xr3:uid="{AA6A5D30-A57E-4F26-92E5-7AEBF36615CA}" uniqueName="6" name="Reel_YTD" queryTableFieldId="6"/>
    <tableColumn id="7" xr3:uid="{1E62CB74-9C91-42B5-8B10-CBE7A2DABA0A}" uniqueName="7" name="Budget_YTD" queryTableFieldId="7"/>
    <tableColumn id="8" xr3:uid="{4C1C86EC-1F8C-4DA8-8B0E-296831CBF76B}" uniqueName="8" name="Reel_N1_YTD" queryTableFieldId="8"/>
    <tableColumn id="9" xr3:uid="{DF6BDF16-AFDE-467C-983A-77A9DEB9E0B0}" uniqueName="9" name="Ecart_M" queryTableFieldId="9"/>
    <tableColumn id="10" xr3:uid="{BE14494D-DD1A-4ABE-AEEB-1A43605F3E2E}" uniqueName="10" name="Ecart_YTD" queryTableFieldId="1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EF96A43-3678-4222-804B-8829E1F1070B}" name="GL_Reel_2026" displayName="GL_Reel_2026" ref="A1:S1001" tableType="queryTable" totalsRowShown="0">
  <autoFilter ref="A1:S1001" xr:uid="{1EF96A43-3678-4222-804B-8829E1F1070B}"/>
  <sortState xmlns:xlrd2="http://schemas.microsoft.com/office/spreadsheetml/2017/richdata2" ref="A2:S1001">
    <sortCondition ref="E1:E1001"/>
  </sortState>
  <tableColumns count="19">
    <tableColumn id="1" xr3:uid="{AACE3E1F-BE7A-4857-B4A3-C8F23FAA40A9}" uniqueName="1" name="EcritureID" queryTableFieldId="1" dataDxfId="64"/>
    <tableColumn id="2" xr3:uid="{756EA89C-A70C-407B-88C1-3C6EC7F07CE4}" uniqueName="2" name="Scenario" queryTableFieldId="2" dataDxfId="63"/>
    <tableColumn id="3" xr3:uid="{36992560-0A49-4B2F-A256-AF5607A0EE41}" uniqueName="3" name="Annee" queryTableFieldId="3"/>
    <tableColumn id="4" xr3:uid="{3F12F18E-D1F6-4768-8384-9465D4B8A0F8}" uniqueName="4" name="Mois" queryTableFieldId="4"/>
    <tableColumn id="5" xr3:uid="{0CB5974E-0D58-4D72-A442-C84563375531}" uniqueName="5" name="Date" queryTableFieldId="5" dataDxfId="62"/>
    <tableColumn id="6" xr3:uid="{794CBEA0-1F67-468F-8129-F743C948F55D}" uniqueName="6" name="CodeEntite" queryTableFieldId="6" dataDxfId="61"/>
    <tableColumn id="7" xr3:uid="{BEDFD497-C475-4020-A9B6-9B01C38A4F1E}" uniqueName="7" name="Entite" queryTableFieldId="7" dataDxfId="60"/>
    <tableColumn id="8" xr3:uid="{CA9C8A06-4B45-4B0B-A005-3B0A2E91F1A1}" uniqueName="8" name="Site" queryTableFieldId="8" dataDxfId="59"/>
    <tableColumn id="9" xr3:uid="{31EABBE3-50CA-4ECD-A45A-32029F9D2FFE}" uniqueName="9" name="CodeProduit" queryTableFieldId="9" dataDxfId="58"/>
    <tableColumn id="10" xr3:uid="{4E3F3950-DA6F-49DC-AC05-8F0B5D99905B}" uniqueName="10" name="Produit" queryTableFieldId="10" dataDxfId="57"/>
    <tableColumn id="11" xr3:uid="{EEAF81A5-7338-40B8-B328-2C622EDBDAB9}" uniqueName="11" name="Canal" queryTableFieldId="11" dataDxfId="56"/>
    <tableColumn id="12" xr3:uid="{F62AFC0C-C4A4-40C5-BF57-0FC067BBA84E}" uniqueName="12" name="Compte" queryTableFieldId="12"/>
    <tableColumn id="13" xr3:uid="{3F59005B-7C1F-4671-929A-24EA3184B801}" uniqueName="13" name="LibelleCompte" queryTableFieldId="13" dataDxfId="55"/>
    <tableColumn id="14" xr3:uid="{4C9F639D-259A-44FC-BF13-090144A8B685}" uniqueName="14" name="PosteP&amp;L" queryTableFieldId="14" dataDxfId="54"/>
    <tableColumn id="15" xr3:uid="{F227EC5D-8B15-4FEB-AE64-22E6181D5406}" uniqueName="15" name="Quantite" queryTableFieldId="15"/>
    <tableColumn id="16" xr3:uid="{6E7DF3F8-7DE1-4341-8888-F54D07FCB420}" uniqueName="16" name="PrixUnitaire_EUR" queryTableFieldId="16"/>
    <tableColumn id="17" xr3:uid="{DDC07CD5-C2B6-4C1A-8755-2EDD85892DE6}" uniqueName="17" name="Montant_kEUR" queryTableFieldId="17"/>
    <tableColumn id="18" xr3:uid="{39086092-8988-4BF7-9100-C0233547906C}" uniqueName="18" name="Client" queryTableFieldId="18" dataDxfId="53"/>
    <tableColumn id="19" xr3:uid="{11650350-D79D-46C6-B9A6-DCBDC2FEFC4F}" uniqueName="19" name="CentreCout" queryTableFieldId="19" dataDxfId="52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CE3A5EA-15E8-4DE6-9097-0E50545ADCE0}" name="GL_Budget_2026" displayName="GL_Budget_2026" ref="A1:S1001" tableType="queryTable" totalsRowShown="0">
  <autoFilter ref="A1:S1001" xr:uid="{5CE3A5EA-15E8-4DE6-9097-0E50545ADCE0}"/>
  <sortState xmlns:xlrd2="http://schemas.microsoft.com/office/spreadsheetml/2017/richdata2" ref="A2:S1001">
    <sortCondition ref="E1:E1001"/>
  </sortState>
  <tableColumns count="19">
    <tableColumn id="1" xr3:uid="{3C859E91-EE7E-430E-8DB8-11B4AE385B44}" uniqueName="1" name="EcritureID" queryTableFieldId="1" dataDxfId="51"/>
    <tableColumn id="2" xr3:uid="{E4B0D8E0-0DF8-4F3F-8477-6A2E8D8E99A1}" uniqueName="2" name="Scenario" queryTableFieldId="2" dataDxfId="50"/>
    <tableColumn id="3" xr3:uid="{10A25ABB-4E88-4FC4-9A60-A8FC5534098D}" uniqueName="3" name="Annee" queryTableFieldId="3"/>
    <tableColumn id="4" xr3:uid="{222526B9-7B35-430A-AC2B-045F3047A0FA}" uniqueName="4" name="Mois" queryTableFieldId="4"/>
    <tableColumn id="5" xr3:uid="{31E7E2D7-3553-47E4-8763-840B4D3629B3}" uniqueName="5" name="Date" queryTableFieldId="5" dataDxfId="49"/>
    <tableColumn id="6" xr3:uid="{E53FDBE6-529D-495C-9697-8EA8D27D359B}" uniqueName="6" name="CodeEntite" queryTableFieldId="6" dataDxfId="48"/>
    <tableColumn id="7" xr3:uid="{E2DB090E-99E9-4A63-8BD5-A4F93FCE065B}" uniqueName="7" name="Entite" queryTableFieldId="7" dataDxfId="47"/>
    <tableColumn id="8" xr3:uid="{0C0EF574-88DE-403D-A4EB-8510772EB4DB}" uniqueName="8" name="Site" queryTableFieldId="8" dataDxfId="46"/>
    <tableColumn id="9" xr3:uid="{9748F5F4-008B-4DF4-BEA0-2FBCA2458465}" uniqueName="9" name="CodeProduit" queryTableFieldId="9" dataDxfId="45"/>
    <tableColumn id="10" xr3:uid="{1443219E-2E79-4369-BFBA-7E7FD12614EB}" uniqueName="10" name="Produit" queryTableFieldId="10" dataDxfId="44"/>
    <tableColumn id="11" xr3:uid="{5E52E7F5-10E3-42FE-AD51-C1EBC8543644}" uniqueName="11" name="Canal" queryTableFieldId="11" dataDxfId="43"/>
    <tableColumn id="12" xr3:uid="{2832C43C-2FA0-4D34-A4E4-3635249F1383}" uniqueName="12" name="Compte" queryTableFieldId="12"/>
    <tableColumn id="13" xr3:uid="{019F9435-206C-4D33-A142-B2BCE9B054AA}" uniqueName="13" name="LibelleCompte" queryTableFieldId="13" dataDxfId="42"/>
    <tableColumn id="14" xr3:uid="{C963484F-0F4D-4D32-8263-4A22C62A469C}" uniqueName="14" name="PosteP&amp;L" queryTableFieldId="14" dataDxfId="41"/>
    <tableColumn id="15" xr3:uid="{EA7C7D32-1C2D-4C6B-B270-621AC27A5B26}" uniqueName="15" name="Quantite" queryTableFieldId="15"/>
    <tableColumn id="16" xr3:uid="{4CB2E7FC-7630-44F5-8692-3154235D6900}" uniqueName="16" name="PrixUnitaire_EUR" queryTableFieldId="16"/>
    <tableColumn id="17" xr3:uid="{75BD6E6F-6C42-4963-852E-DAA431D34EED}" uniqueName="17" name="Montant_kEUR" queryTableFieldId="17"/>
    <tableColumn id="18" xr3:uid="{7EA3ADFF-0609-4FB8-89DC-15990C89FB60}" uniqueName="18" name="Client" queryTableFieldId="18" dataDxfId="40"/>
    <tableColumn id="19" xr3:uid="{7E232DE3-75E3-4717-B5F0-3B4B2180365A}" uniqueName="19" name="CentreCout" queryTableFieldId="19" dataDxfId="39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9964600-EC57-42C8-A2CC-5486413BB2AE}" name="GL_Reel_2025_1" displayName="GL_Reel_2025_1" ref="A1:S1001" tableType="queryTable" totalsRowShown="0">
  <autoFilter ref="A1:S1001" xr:uid="{F9964600-EC57-42C8-A2CC-5486413BB2AE}"/>
  <tableColumns count="19">
    <tableColumn id="1" xr3:uid="{4B9D2BC6-3C19-44DE-AF7B-DF87382C3A13}" uniqueName="1" name="EcritureID" queryTableFieldId="1" dataDxfId="38"/>
    <tableColumn id="2" xr3:uid="{C1903ACE-7C11-4F42-9E18-F85C4913F2EC}" uniqueName="2" name="Scenario" queryTableFieldId="2" dataDxfId="37"/>
    <tableColumn id="3" xr3:uid="{E1838AC7-BE96-44E9-9C40-DEF3129D800C}" uniqueName="3" name="Annee" queryTableFieldId="3"/>
    <tableColumn id="4" xr3:uid="{0A78EF55-F1DE-4596-B560-63A47F6AB150}" uniqueName="4" name="Mois" queryTableFieldId="4"/>
    <tableColumn id="5" xr3:uid="{F40AC19A-8C42-4704-AA14-CBFF65494201}" uniqueName="5" name="Date" queryTableFieldId="5" dataDxfId="36"/>
    <tableColumn id="6" xr3:uid="{8532F9EA-B9DB-4202-B59E-BCBCF7E33E22}" uniqueName="6" name="CodeEntite" queryTableFieldId="6" dataDxfId="35"/>
    <tableColumn id="7" xr3:uid="{4FC52A1F-AA12-42AB-820E-FE31FCECA60F}" uniqueName="7" name="Entite" queryTableFieldId="7" dataDxfId="34"/>
    <tableColumn id="8" xr3:uid="{FB91FFD8-7BD5-437C-816F-0EE95F570A3D}" uniqueName="8" name="Site" queryTableFieldId="8" dataDxfId="33"/>
    <tableColumn id="9" xr3:uid="{C69B63C9-250C-456B-BED3-7DA24D6C89BA}" uniqueName="9" name="CodeProduit" queryTableFieldId="9" dataDxfId="32"/>
    <tableColumn id="10" xr3:uid="{8B694E58-F4B5-4D92-8724-A642D44D6503}" uniqueName="10" name="Produit" queryTableFieldId="10" dataDxfId="31"/>
    <tableColumn id="11" xr3:uid="{D65C0768-424E-4E18-AB7F-062F525BB720}" uniqueName="11" name="Canal" queryTableFieldId="11" dataDxfId="30"/>
    <tableColumn id="12" xr3:uid="{67CA8CAC-7C7C-4EB9-A159-FA65735A899A}" uniqueName="12" name="Compte" queryTableFieldId="12"/>
    <tableColumn id="13" xr3:uid="{B779532D-0497-4E08-A97A-946CB77E4134}" uniqueName="13" name="LibelleCompte" queryTableFieldId="13" dataDxfId="29"/>
    <tableColumn id="14" xr3:uid="{51BC70DD-E1CA-4505-B5A0-36E175A19C13}" uniqueName="14" name="PosteP&amp;L" queryTableFieldId="14" dataDxfId="28"/>
    <tableColumn id="15" xr3:uid="{7410950A-F8EC-4A3E-8313-1187F737EF32}" uniqueName="15" name="Quantite" queryTableFieldId="15"/>
    <tableColumn id="16" xr3:uid="{9B72E4A2-E121-42C2-BEBB-0B1190F8A7F4}" uniqueName="16" name="PrixUnitaire_EUR" queryTableFieldId="16"/>
    <tableColumn id="17" xr3:uid="{99D4B951-4387-4BB8-A4E8-C1A247735647}" uniqueName="17" name="Montant_kEUR" queryTableFieldId="17"/>
    <tableColumn id="18" xr3:uid="{02733597-CE11-44F6-B574-38E77F22A357}" uniqueName="18" name="Client" queryTableFieldId="18" dataDxfId="27"/>
    <tableColumn id="19" xr3:uid="{08B6B428-C570-4D2F-BC87-BB02D3E9127B}" uniqueName="19" name="CentreCout" queryTableFieldId="19" dataDxfId="2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26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BAF26C5-128D-4353-BA31-30C1FEEB39D5}">
  <we:reference id="wa200009404" version="1.0.0.8" store="en-US" storeType="OMEX"/>
  <we:alternateReferences>
    <we:reference id="wa200009404" version="1.0.0.8" store="en-US" storeType="OMEX"/>
  </we:alternateReferences>
  <we:properties>
    <we:property name="claude.fileId" value="&quot;4362bab2-ba1f-4759-a3cb-2f98051a2492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A8896-733F-4244-97B4-89191D307F8E}">
  <sheetPr codeName="Feuil1"/>
  <dimension ref="A1:A2"/>
  <sheetViews>
    <sheetView workbookViewId="0"/>
  </sheetViews>
  <sheetFormatPr baseColWidth="10" defaultRowHeight="14.4" x14ac:dyDescent="0.3"/>
  <cols>
    <col min="1" max="1" width="15" bestFit="1" customWidth="1"/>
  </cols>
  <sheetData>
    <row r="1" spans="1:1" x14ac:dyDescent="0.3">
      <c r="A1" t="s">
        <v>1227</v>
      </c>
    </row>
    <row r="2" spans="1:1" x14ac:dyDescent="0.3">
      <c r="A2">
        <v>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19"/>
  <sheetViews>
    <sheetView showGridLines="0" zoomScaleNormal="100" workbookViewId="0">
      <selection activeCell="E4" sqref="E4"/>
    </sheetView>
  </sheetViews>
  <sheetFormatPr baseColWidth="10" defaultColWidth="8.6640625" defaultRowHeight="14.4" x14ac:dyDescent="0.3"/>
  <cols>
    <col min="1" max="1" width="3" customWidth="1"/>
    <col min="2" max="2" width="53.33203125" bestFit="1" customWidth="1"/>
    <col min="3" max="3" width="21.88671875" bestFit="1" customWidth="1"/>
    <col min="4" max="4" width="18" customWidth="1"/>
    <col min="5" max="5" width="4" customWidth="1"/>
    <col min="6" max="6" width="30" customWidth="1"/>
  </cols>
  <sheetData>
    <row r="2" spans="2:6" ht="17.399999999999999" x14ac:dyDescent="0.3">
      <c r="B2" s="63" t="s">
        <v>0</v>
      </c>
      <c r="C2" s="63"/>
      <c r="D2" s="63"/>
      <c r="E2" s="63"/>
      <c r="F2" s="63"/>
    </row>
    <row r="4" spans="2:6" ht="15.6" x14ac:dyDescent="0.3">
      <c r="B4" s="4" t="s">
        <v>1</v>
      </c>
      <c r="C4" s="5">
        <v>2</v>
      </c>
      <c r="E4" s="97" t="s">
        <v>1228</v>
      </c>
    </row>
    <row r="5" spans="2:6" x14ac:dyDescent="0.3">
      <c r="B5" s="4" t="s">
        <v>2</v>
      </c>
      <c r="C5" s="6">
        <v>2026</v>
      </c>
    </row>
    <row r="6" spans="2:6" x14ac:dyDescent="0.3">
      <c r="B6" s="4" t="s">
        <v>3</v>
      </c>
      <c r="C6" s="7" t="str">
        <f>"Clôture "&amp;CHOOSE(C4,"janvier","février","mars","avril","mai","juin","juillet","août","septembre","octobre","novembre","décembre")&amp;" "&amp;C5</f>
        <v>Clôture février 2026</v>
      </c>
    </row>
    <row r="8" spans="2:6" x14ac:dyDescent="0.3">
      <c r="B8" s="4" t="s">
        <v>4</v>
      </c>
      <c r="C8" s="8" t="s">
        <v>5</v>
      </c>
      <c r="D8" s="4" t="s">
        <v>6</v>
      </c>
    </row>
    <row r="9" spans="2:6" x14ac:dyDescent="0.3">
      <c r="C9" s="7" t="s">
        <v>7</v>
      </c>
      <c r="D9" s="9" t="s">
        <v>8</v>
      </c>
    </row>
    <row r="10" spans="2:6" x14ac:dyDescent="0.3">
      <c r="C10" s="7" t="s">
        <v>9</v>
      </c>
      <c r="D10" s="9" t="s">
        <v>10</v>
      </c>
    </row>
    <row r="11" spans="2:6" x14ac:dyDescent="0.3">
      <c r="C11" s="7" t="s">
        <v>11</v>
      </c>
      <c r="D11" s="9" t="s">
        <v>12</v>
      </c>
    </row>
    <row r="12" spans="2:6" x14ac:dyDescent="0.3">
      <c r="C12" s="7" t="s">
        <v>13</v>
      </c>
      <c r="D12" s="9" t="s">
        <v>14</v>
      </c>
    </row>
    <row r="13" spans="2:6" x14ac:dyDescent="0.3">
      <c r="C13" s="7" t="s">
        <v>15</v>
      </c>
      <c r="D13" s="9" t="s">
        <v>16</v>
      </c>
    </row>
    <row r="15" spans="2:6" ht="15.6" x14ac:dyDescent="0.3">
      <c r="B15" s="4" t="s">
        <v>154</v>
      </c>
      <c r="C15" s="5">
        <v>45</v>
      </c>
    </row>
    <row r="16" spans="2:6" x14ac:dyDescent="0.3">
      <c r="B16" s="10" t="s">
        <v>155</v>
      </c>
    </row>
    <row r="17" spans="2:3" x14ac:dyDescent="0.3">
      <c r="B17" s="1" t="s">
        <v>17</v>
      </c>
    </row>
    <row r="18" spans="2:3" x14ac:dyDescent="0.3">
      <c r="B18" s="1" t="s">
        <v>193</v>
      </c>
      <c r="C18" s="62">
        <v>46181.614421296297</v>
      </c>
    </row>
    <row r="19" spans="2:3" x14ac:dyDescent="0.3">
      <c r="B19" s="1" t="s">
        <v>18</v>
      </c>
    </row>
  </sheetData>
  <mergeCells count="1">
    <mergeCell ref="B2:F2"/>
  </mergeCells>
  <dataValidations count="1">
    <dataValidation type="whole" sqref="C4" xr:uid="{53092F24-DC6D-4D8C-AF40-295C2BB2C2E7}">
      <formula1>1</formula1>
      <formula2>3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E6B2A-3F94-44CD-BDE9-06F5FBCC34D4}">
  <sheetPr codeName="Feuil2">
    <pageSetUpPr fitToPage="1"/>
  </sheetPr>
  <dimension ref="B2:FC400"/>
  <sheetViews>
    <sheetView showGridLines="0" tabSelected="1" zoomScale="83" zoomScaleNormal="100" workbookViewId="0">
      <selection activeCell="FI7" sqref="FI7"/>
    </sheetView>
  </sheetViews>
  <sheetFormatPr baseColWidth="10" defaultColWidth="8.6640625" defaultRowHeight="14.4" x14ac:dyDescent="0.3"/>
  <cols>
    <col min="1" max="1" width="2" customWidth="1"/>
    <col min="2" max="18" width="7.44140625" customWidth="1"/>
    <col min="19" max="159" width="13" hidden="1" customWidth="1"/>
  </cols>
  <sheetData>
    <row r="2" spans="2:18" ht="19.5" customHeight="1" x14ac:dyDescent="0.3">
      <c r="B2" s="84" t="s">
        <v>149</v>
      </c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</row>
    <row r="3" spans="2:18" ht="15" customHeight="1" x14ac:dyDescent="0.3">
      <c r="B3" s="85" t="str">
        <f>"Reporting Direction Financière      |      "&amp;PARAM!C6&amp;"      |      Montants en k€"</f>
        <v>Reporting Direction Financière      |      Clôture février 2026      |      Montants en k€</v>
      </c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5" spans="2:18" ht="15" customHeight="1" x14ac:dyDescent="0.3">
      <c r="B5" s="76" t="s">
        <v>148</v>
      </c>
      <c r="C5" s="76"/>
      <c r="D5" s="76"/>
      <c r="E5" s="76"/>
      <c r="F5" s="76" t="s">
        <v>147</v>
      </c>
      <c r="G5" s="76"/>
      <c r="H5" s="76"/>
      <c r="I5" s="76"/>
      <c r="J5" s="76" t="s">
        <v>146</v>
      </c>
      <c r="K5" s="76"/>
      <c r="L5" s="76"/>
      <c r="M5" s="76"/>
      <c r="N5" s="76" t="s">
        <v>151</v>
      </c>
      <c r="O5" s="76"/>
      <c r="P5" s="76"/>
      <c r="Q5" s="76"/>
      <c r="R5" s="76"/>
    </row>
    <row r="6" spans="2:18" ht="15" customHeight="1" x14ac:dyDescent="0.3">
      <c r="B6" s="82">
        <f>PACKAGE_PnL!G7</f>
        <v>2637.590000000002</v>
      </c>
      <c r="C6" s="82"/>
      <c r="D6" s="82"/>
      <c r="E6" s="82"/>
      <c r="F6" s="82">
        <f>PACKAGE_PnL!G15</f>
        <v>2637.590000000002</v>
      </c>
      <c r="G6" s="82"/>
      <c r="H6" s="82"/>
      <c r="I6" s="82"/>
      <c r="J6" s="82">
        <f>PACKAGE_PnL!G21</f>
        <v>2637.590000000002</v>
      </c>
      <c r="K6" s="82"/>
      <c r="L6" s="82"/>
      <c r="M6" s="82"/>
      <c r="N6" s="3"/>
      <c r="O6" s="3"/>
      <c r="P6" s="3"/>
      <c r="Q6" s="3"/>
      <c r="R6" s="3"/>
    </row>
    <row r="7" spans="2:18" ht="15" customHeight="1" x14ac:dyDescent="0.3">
      <c r="B7" s="82"/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3"/>
      <c r="O7" s="3"/>
      <c r="P7" s="3"/>
      <c r="Q7" s="3"/>
      <c r="R7" s="3"/>
    </row>
    <row r="8" spans="2:18" ht="15" customHeight="1" x14ac:dyDescent="0.3">
      <c r="B8" s="83">
        <f>PACKAGE_PnL!J7</f>
        <v>-2.6223685862171775E-2</v>
      </c>
      <c r="C8" s="83"/>
      <c r="D8" s="83"/>
      <c r="E8" s="83"/>
      <c r="F8" s="83">
        <f>PACKAGE_PnL!J15</f>
        <v>-2.6223685862171775E-2</v>
      </c>
      <c r="G8" s="83"/>
      <c r="H8" s="83"/>
      <c r="I8" s="83"/>
      <c r="J8" s="83">
        <f>PACKAGE_PnL!J21</f>
        <v>-2.6223685862171775E-2</v>
      </c>
      <c r="K8" s="83"/>
      <c r="L8" s="83"/>
      <c r="M8" s="83"/>
      <c r="N8" s="3"/>
      <c r="O8" s="3"/>
      <c r="P8" s="3"/>
      <c r="Q8" s="3"/>
      <c r="R8" s="3"/>
    </row>
    <row r="9" spans="2:18" ht="15" customHeight="1" x14ac:dyDescent="0.3">
      <c r="B9" s="78" t="s">
        <v>19</v>
      </c>
      <c r="C9" s="78"/>
      <c r="D9" s="78"/>
      <c r="E9" s="78"/>
      <c r="F9" s="78" t="s">
        <v>19</v>
      </c>
      <c r="G9" s="78"/>
      <c r="H9" s="78"/>
      <c r="I9" s="78"/>
      <c r="J9" s="78" t="s">
        <v>19</v>
      </c>
      <c r="K9" s="78"/>
      <c r="L9" s="78"/>
      <c r="M9" s="78"/>
      <c r="N9" s="3"/>
      <c r="O9" s="3"/>
      <c r="P9" s="3"/>
      <c r="Q9" s="3"/>
      <c r="R9" s="3"/>
    </row>
    <row r="10" spans="2:18" ht="15" customHeight="1" x14ac:dyDescent="0.3">
      <c r="B10" s="81">
        <f>PACKAGE_PnL!L7</f>
        <v>0.11415295583669847</v>
      </c>
      <c r="C10" s="81"/>
      <c r="D10" s="81"/>
      <c r="E10" s="81"/>
      <c r="F10" s="81">
        <f>PACKAGE_PnL!M15</f>
        <v>1</v>
      </c>
      <c r="G10" s="81"/>
      <c r="H10" s="81"/>
      <c r="I10" s="81"/>
      <c r="J10" s="81">
        <f>PACKAGE_PnL!M21</f>
        <v>1</v>
      </c>
      <c r="K10" s="81"/>
      <c r="L10" s="81"/>
      <c r="M10" s="81"/>
      <c r="N10" s="3"/>
      <c r="O10" s="3"/>
      <c r="P10" s="3"/>
      <c r="Q10" s="3"/>
      <c r="R10" s="3"/>
    </row>
    <row r="11" spans="2:18" ht="15" customHeight="1" x14ac:dyDescent="0.3">
      <c r="B11" s="78" t="s">
        <v>143</v>
      </c>
      <c r="C11" s="78"/>
      <c r="D11" s="78"/>
      <c r="E11" s="78"/>
      <c r="F11" s="78" t="s">
        <v>20</v>
      </c>
      <c r="G11" s="78"/>
      <c r="H11" s="78"/>
      <c r="I11" s="78"/>
      <c r="J11" s="78" t="s">
        <v>21</v>
      </c>
      <c r="K11" s="78"/>
      <c r="L11" s="78"/>
      <c r="M11" s="78"/>
      <c r="N11" s="79" t="e">
        <f>TEXT(PACKAGE_PnL!G7/SUM(#REF!),"0.0%")&amp;" de l'objectif annuel"</f>
        <v>#REF!</v>
      </c>
      <c r="O11" s="79"/>
      <c r="P11" s="79"/>
      <c r="Q11" s="79"/>
      <c r="R11" s="79"/>
    </row>
    <row r="12" spans="2:18" ht="15" customHeight="1" x14ac:dyDescent="0.3"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78" t="e">
        <f>"Objectif : "&amp;TEXT(SUM(#REF!),"#,##0")&amp;" k€"</f>
        <v>#REF!</v>
      </c>
      <c r="O12" s="78"/>
      <c r="P12" s="78"/>
      <c r="Q12" s="78"/>
      <c r="R12" s="78"/>
    </row>
    <row r="14" spans="2:18" ht="15" customHeight="1" x14ac:dyDescent="0.3">
      <c r="B14" s="80" t="s">
        <v>49</v>
      </c>
      <c r="C14" s="80"/>
      <c r="D14" s="80"/>
      <c r="E14" s="80" t="s">
        <v>20</v>
      </c>
      <c r="F14" s="80"/>
      <c r="G14" s="80"/>
      <c r="H14" s="80" t="s">
        <v>145</v>
      </c>
      <c r="I14" s="80"/>
      <c r="J14" s="80"/>
      <c r="K14" s="80" t="s">
        <v>144</v>
      </c>
      <c r="L14" s="80"/>
      <c r="M14" s="80"/>
      <c r="N14" s="80" t="s">
        <v>21</v>
      </c>
      <c r="O14" s="80"/>
      <c r="P14" s="80"/>
      <c r="Q14" s="80"/>
      <c r="R14" s="80"/>
    </row>
    <row r="15" spans="2:18" ht="15" customHeight="1" x14ac:dyDescent="0.3">
      <c r="B15" s="77">
        <f>PACKAGE_PnL!M9</f>
        <v>1</v>
      </c>
      <c r="C15" s="77"/>
      <c r="D15" s="77"/>
      <c r="E15" s="77">
        <f>PACKAGE_PnL!M15</f>
        <v>1</v>
      </c>
      <c r="F15" s="77"/>
      <c r="G15" s="77"/>
      <c r="H15" s="77">
        <f>PACKAGE_PnL!L7</f>
        <v>0.11415295583669847</v>
      </c>
      <c r="I15" s="77"/>
      <c r="J15" s="77"/>
      <c r="K15" s="77">
        <f>PACKAGE_PnL!M8</f>
        <v>0</v>
      </c>
      <c r="L15" s="77"/>
      <c r="M15" s="77"/>
      <c r="N15" s="77">
        <f>PACKAGE_PnL!M21</f>
        <v>1</v>
      </c>
      <c r="O15" s="77"/>
      <c r="P15" s="77"/>
      <c r="Q15" s="77"/>
      <c r="R15" s="77"/>
    </row>
    <row r="16" spans="2:18" ht="15" customHeight="1" x14ac:dyDescent="0.3">
      <c r="B16" s="77"/>
      <c r="C16" s="77"/>
      <c r="D16" s="77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7"/>
    </row>
    <row r="17" spans="2:18" ht="15" customHeight="1" x14ac:dyDescent="0.3">
      <c r="B17" s="78" t="s">
        <v>115</v>
      </c>
      <c r="C17" s="78"/>
      <c r="D17" s="78"/>
      <c r="E17" s="78" t="s">
        <v>115</v>
      </c>
      <c r="F17" s="78"/>
      <c r="G17" s="78"/>
      <c r="H17" s="78" t="s">
        <v>143</v>
      </c>
      <c r="I17" s="78"/>
      <c r="J17" s="78"/>
      <c r="K17" s="78" t="s">
        <v>115</v>
      </c>
      <c r="L17" s="78"/>
      <c r="M17" s="78"/>
      <c r="N17" s="78" t="s">
        <v>115</v>
      </c>
      <c r="O17" s="78"/>
      <c r="P17" s="78"/>
      <c r="Q17" s="78"/>
      <c r="R17" s="78"/>
    </row>
    <row r="19" spans="2:18" ht="15" customHeight="1" x14ac:dyDescent="0.3">
      <c r="B19" s="64" t="s">
        <v>152</v>
      </c>
      <c r="C19" s="64"/>
      <c r="D19" s="64"/>
      <c r="E19" s="64"/>
      <c r="F19" s="64"/>
      <c r="G19" s="64"/>
      <c r="H19" s="64"/>
      <c r="I19" s="64"/>
      <c r="J19" s="64"/>
      <c r="K19" s="64"/>
      <c r="L19" s="64"/>
      <c r="M19" s="64"/>
      <c r="N19" s="64"/>
      <c r="O19" s="64"/>
      <c r="P19" s="64"/>
      <c r="Q19" s="64"/>
      <c r="R19" s="64"/>
    </row>
    <row r="20" spans="2:18" ht="15" customHeight="1" x14ac:dyDescent="0.3">
      <c r="B20" s="75" t="str">
        <f>"•  Chiffre d'affaires groupe : "&amp;TEXT(PACKAGE_PnL!G7,"#,##0")&amp;" k€  ("&amp;TEXT(PACKAGE_PnL!J7,"+0.0%;-0.0%")&amp;" vs budget, "&amp;TEXT(PACKAGE_PnL!L7,"+0.0%;-0.0%")&amp;" vs N-1)."</f>
        <v>•  Chiffre d'affaires groupe : 2,638 k€  (-2.6% vs budget, +11.4% vs N-1).</v>
      </c>
      <c r="C20" s="75"/>
      <c r="D20" s="75"/>
      <c r="E20" s="75"/>
      <c r="F20" s="75"/>
      <c r="G20" s="75"/>
      <c r="H20" s="75"/>
      <c r="I20" s="75"/>
      <c r="J20" s="75"/>
      <c r="K20" s="75"/>
      <c r="L20" s="75"/>
      <c r="M20" s="75"/>
      <c r="N20" s="75"/>
      <c r="O20" s="75"/>
      <c r="P20" s="75"/>
      <c r="Q20" s="75"/>
      <c r="R20" s="75"/>
    </row>
    <row r="21" spans="2:18" ht="15" customHeight="1" x14ac:dyDescent="0.3">
      <c r="B21" s="74" t="str">
        <f>"•  EBITDA : "&amp;TEXT(PACKAGE_PnL!G15,"#,##0")&amp;" k€ — marge de "&amp;TEXT(PACKAGE_PnL!M15,"0.0%")&amp;"  ("&amp;TEXT(PACKAGE_PnL!J15,"+0.0%;-0.0%")&amp;" vs budget)."</f>
        <v>•  EBITDA : 2,638 k€ — marge de 100.0%  (-2.6% vs budget).</v>
      </c>
      <c r="C21" s="74"/>
      <c r="D21" s="74"/>
      <c r="E21" s="74"/>
      <c r="F21" s="74"/>
      <c r="G21" s="74"/>
      <c r="H21" s="74"/>
      <c r="I21" s="74"/>
      <c r="J21" s="74"/>
      <c r="K21" s="74"/>
      <c r="L21" s="74"/>
      <c r="M21" s="74"/>
      <c r="N21" s="74"/>
      <c r="O21" s="74"/>
      <c r="P21" s="74"/>
      <c r="Q21" s="74"/>
      <c r="R21" s="74"/>
    </row>
    <row r="22" spans="2:18" ht="15" customHeight="1" x14ac:dyDescent="0.3">
      <c r="B22" s="75" t="str">
        <f>"•  Résultat net : "&amp;TEXT(PACKAGE_PnL!G21,"#,##0")&amp;" k€  ("&amp;TEXT(PACKAGE_PnL!J21,"+0.0%;-0.0%")&amp;" vs budget)."</f>
        <v>•  Résultat net : 2,638 k€  (-2.6% vs budget).</v>
      </c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  <c r="R22" s="75"/>
    </row>
    <row r="23" spans="2:18" ht="15" customHeight="1" x14ac:dyDescent="0.3">
      <c r="B23" s="74" t="str">
        <f>"•  Meilleure performance : "&amp;INDEX(AGREG_PQ[Entite],MATCH(LARGE(AGREG_PQ[Ecart_YTD],1),AGREG_PQ[Ecart_YTD],0))&amp;" sur "&amp;INDEX(AGREG_PQ[PosteP&amp;L],MATCH(LARGE(AGREG_PQ[Ecart_YTD],1),AGREG_PQ[Ecart_YTD],0))&amp;" (+"&amp;TEXT(LARGE(AGREG_PQ[Ecart_YTD],1),"#,##0")&amp;" k€)."</f>
        <v>•  Meilleure performance : Céréales &amp; Meunerie sur Chiffre d'affaires (+-71 k€).</v>
      </c>
      <c r="C23" s="74"/>
      <c r="D23" s="74"/>
      <c r="E23" s="74"/>
      <c r="F23" s="74"/>
      <c r="G23" s="74"/>
      <c r="H23" s="74"/>
      <c r="I23" s="74"/>
      <c r="J23" s="74"/>
      <c r="K23" s="74"/>
      <c r="L23" s="74"/>
      <c r="M23" s="74"/>
      <c r="N23" s="74"/>
      <c r="O23" s="74"/>
      <c r="P23" s="74"/>
      <c r="Q23" s="74"/>
      <c r="R23" s="74"/>
    </row>
    <row r="24" spans="2:18" ht="15" customHeight="1" x14ac:dyDescent="0.3">
      <c r="B24" s="75" t="str">
        <f>"•  Point de vigilance : "&amp;INDEX(AGREG_PQ[Entite],MATCH(SMALL(AGREG_PQ[Ecart_YTD],1),AGREG_PQ[Ecart_YTD],0))&amp;" sur "&amp;INDEX(AGREG_PQ[PosteP&amp;L],MATCH(SMALL(AGREG_PQ[Ecart_YTD],1),AGREG_PQ[Ecart_YTD],0))&amp;" ("&amp;TEXT(SMALL(AGREG_PQ[Ecart_YTD],1),"#,##0")&amp;" k€)."</f>
        <v>•  Point de vigilance : Céréales &amp; Meunerie sur Chiffre d'affaires (-71 k€).</v>
      </c>
      <c r="C24" s="75"/>
      <c r="D24" s="75"/>
      <c r="E24" s="75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5"/>
      <c r="Q24" s="75"/>
      <c r="R24" s="75"/>
    </row>
    <row r="25" spans="2:18" ht="15" customHeight="1" x14ac:dyDescent="0.3">
      <c r="B25" s="74" t="str">
        <f>"•  Marge brute groupe : "&amp;TEXT(PACKAGE_PnL!M9,"0.0%")&amp;" du CA ("&amp;TEXT(PACKAGE_PnL!G9,"#,##0")&amp;" k€)."</f>
        <v>•  Marge brute groupe : 100.0% du CA (2,638 k€).</v>
      </c>
      <c r="C25" s="74"/>
      <c r="D25" s="74"/>
      <c r="E25" s="74"/>
      <c r="F25" s="74"/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74"/>
      <c r="R25" s="74"/>
    </row>
    <row r="26" spans="2:18" ht="15" customHeight="1" x14ac:dyDescent="0.3">
      <c r="B26" s="75" t="str">
        <f>"•  1ère contribution au CA : "&amp;INDEX(SYNTHESE_BU!B7:B11,MATCH(MAX(SYNTHESE_BU!C7:C11),SYNTHESE_BU!C7:C11,0))&amp;" ("&amp;TEXT(MAX(SYNTHESE_BU!C7:C11)/SYNTHESE_BU!C12,"0.0%")&amp;" du CA groupe)."</f>
        <v>•  1ère contribution au CA : Céréales &amp; Meunerie (100.0% du CA groupe).</v>
      </c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  <c r="Q26" s="75"/>
      <c r="R26" s="75"/>
    </row>
    <row r="27" spans="2:18" ht="15" customHeight="1" x14ac:dyDescent="0.3">
      <c r="B27" s="74" t="str">
        <f>"•  BU la plus rentable : "&amp;INDEX(SYNTHESE_BU!B7:B11,MATCH(MAX(SYNTHESE_BU!L7:L11),SYNTHESE_BU!L7:L11,0))&amp;" (marge EBITDA "&amp;TEXT(MAX(SYNTHESE_BU!L7:L11),"0.0%")&amp;")."</f>
        <v>•  BU la plus rentable : Céréales &amp; Meunerie (marge EBITDA 100.0%).</v>
      </c>
      <c r="C27" s="74"/>
      <c r="D27" s="74"/>
      <c r="E27" s="74"/>
      <c r="F27" s="74"/>
      <c r="G27" s="74"/>
      <c r="H27" s="74"/>
      <c r="I27" s="74"/>
      <c r="J27" s="74"/>
      <c r="K27" s="74"/>
      <c r="L27" s="74"/>
      <c r="M27" s="74"/>
      <c r="N27" s="74"/>
      <c r="O27" s="74"/>
      <c r="P27" s="74"/>
      <c r="Q27" s="74"/>
      <c r="R27" s="74"/>
    </row>
    <row r="28" spans="2:18" ht="15" customHeight="1" x14ac:dyDescent="0.3">
      <c r="B28" s="75" t="str">
        <f>"•  Poids des charges de personnel : "&amp;TEXT(-PACKAGE_PnL!G10/PACKAGE_PnL!G7,"0.0%")&amp;" du CA."</f>
        <v>•  Poids des charges de personnel : 0.0% du CA.</v>
      </c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  <c r="R28" s="75"/>
    </row>
    <row r="29" spans="2:18" ht="15" customHeight="1" x14ac:dyDescent="0.3">
      <c r="B29" s="74" t="str">
        <f>"•  Écarts significatifs : "&amp;TEXT(COUNTIF(PACKAGE_PnL!O7:O20,"Défavorable")+COUNTIF(PACKAGE_PnL!O7:O20,"Favorable"),"0")&amp;" poste(s) au-delà du seuil de "&amp;TEXT(PARAM!C15,"0")&amp;" k€."</f>
        <v>•  Écarts significatifs : 5 poste(s) au-delà du seuil de 45 k€.</v>
      </c>
      <c r="C29" s="74"/>
      <c r="D29" s="74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74"/>
      <c r="P29" s="74"/>
      <c r="Q29" s="74"/>
      <c r="R29" s="74"/>
    </row>
    <row r="30" spans="2:18" ht="15" customHeight="1" x14ac:dyDescent="0.3">
      <c r="B30" s="75" t="str">
        <f>"•  Dynamique du mois : CA "&amp;TEXT(PACKAGE_PnL!F7,"+0.0%;-0.0%")&amp;" vs budget (cumul YTD : "&amp;TEXT(PACKAGE_PnL!J7,"+0.0%;-0.0%")&amp;")."</f>
        <v>•  Dynamique du mois : CA +13.0% vs budget (cumul YTD : -2.6%).</v>
      </c>
      <c r="C30" s="75"/>
      <c r="D30" s="75"/>
      <c r="E30" s="75"/>
      <c r="F30" s="75"/>
      <c r="G30" s="75"/>
      <c r="H30" s="75"/>
      <c r="I30" s="75"/>
      <c r="J30" s="75"/>
      <c r="K30" s="75"/>
      <c r="L30" s="75"/>
      <c r="M30" s="75"/>
      <c r="N30" s="75"/>
      <c r="O30" s="75"/>
      <c r="P30" s="75"/>
      <c r="Q30" s="75"/>
      <c r="R30" s="75"/>
    </row>
    <row r="32" spans="2:18" ht="15" customHeight="1" x14ac:dyDescent="0.3">
      <c r="B32" s="64" t="s">
        <v>142</v>
      </c>
      <c r="C32" s="64"/>
      <c r="D32" s="64"/>
      <c r="E32" s="64"/>
      <c r="F32" s="64"/>
      <c r="G32" s="64"/>
      <c r="H32" s="64"/>
      <c r="I32" s="64"/>
      <c r="J32" s="64"/>
      <c r="K32" s="64"/>
      <c r="L32" s="64"/>
      <c r="M32" s="64"/>
      <c r="N32" s="64"/>
      <c r="O32" s="64"/>
      <c r="P32" s="64"/>
      <c r="Q32" s="64"/>
      <c r="R32" s="64"/>
    </row>
    <row r="47" spans="2:18" ht="15" customHeight="1" x14ac:dyDescent="0.3">
      <c r="B47" s="64" t="s">
        <v>141</v>
      </c>
      <c r="C47" s="64"/>
      <c r="D47" s="64"/>
      <c r="E47" s="64"/>
      <c r="F47" s="64"/>
      <c r="G47" s="64"/>
      <c r="H47" s="64"/>
      <c r="I47" s="64"/>
      <c r="J47" s="64"/>
      <c r="K47" s="64"/>
      <c r="L47" s="64"/>
      <c r="M47" s="64"/>
      <c r="N47" s="64"/>
      <c r="O47" s="64"/>
      <c r="P47" s="64"/>
      <c r="Q47" s="64"/>
      <c r="R47" s="64"/>
    </row>
    <row r="48" spans="2:18" ht="15" customHeight="1" x14ac:dyDescent="0.3">
      <c r="B48" s="76" t="s">
        <v>140</v>
      </c>
      <c r="C48" s="76"/>
      <c r="D48" s="76"/>
      <c r="E48" s="76"/>
      <c r="F48" s="76" t="s">
        <v>139</v>
      </c>
      <c r="G48" s="76"/>
      <c r="H48" s="76"/>
      <c r="I48" s="76"/>
      <c r="J48" s="76"/>
      <c r="K48" s="76"/>
      <c r="L48" s="76" t="s">
        <v>138</v>
      </c>
      <c r="M48" s="76"/>
      <c r="N48" s="76"/>
      <c r="O48" s="76"/>
      <c r="P48" s="76"/>
      <c r="Q48" s="76"/>
      <c r="R48" s="76"/>
    </row>
    <row r="49" spans="2:18" ht="15" customHeight="1" x14ac:dyDescent="0.3">
      <c r="B49" s="67" t="s">
        <v>33</v>
      </c>
      <c r="C49" s="67"/>
      <c r="D49" s="68">
        <f>PACKAGE_PnL!G7</f>
        <v>2637.590000000002</v>
      </c>
      <c r="E49" s="68"/>
    </row>
    <row r="50" spans="2:18" ht="15" customHeight="1" x14ac:dyDescent="0.3">
      <c r="B50" s="67"/>
      <c r="C50" s="67"/>
      <c r="D50" s="69">
        <f>PACKAGE_PnL!J7</f>
        <v>-2.6223685862171775E-2</v>
      </c>
      <c r="E50" s="69"/>
    </row>
    <row r="52" spans="2:18" ht="15" customHeight="1" x14ac:dyDescent="0.3">
      <c r="B52" s="67" t="s">
        <v>34</v>
      </c>
      <c r="C52" s="67"/>
      <c r="D52" s="68">
        <f>PACKAGE_PnL!G8</f>
        <v>0</v>
      </c>
      <c r="E52" s="68"/>
    </row>
    <row r="53" spans="2:18" ht="15" customHeight="1" x14ac:dyDescent="0.3">
      <c r="B53" s="67"/>
      <c r="C53" s="67"/>
      <c r="D53" s="73">
        <f>PACKAGE_PnL!M8</f>
        <v>0</v>
      </c>
      <c r="E53" s="73"/>
    </row>
    <row r="55" spans="2:18" ht="15" customHeight="1" x14ac:dyDescent="0.3">
      <c r="B55" s="67" t="s">
        <v>49</v>
      </c>
      <c r="C55" s="67"/>
      <c r="D55" s="68">
        <f>PACKAGE_PnL!G9</f>
        <v>2637.590000000002</v>
      </c>
      <c r="E55" s="68"/>
    </row>
    <row r="56" spans="2:18" ht="15" customHeight="1" x14ac:dyDescent="0.3">
      <c r="B56" s="67"/>
      <c r="C56" s="67"/>
      <c r="D56" s="73">
        <f>PACKAGE_PnL!M9</f>
        <v>1</v>
      </c>
      <c r="E56" s="73"/>
    </row>
    <row r="58" spans="2:18" ht="15" customHeight="1" x14ac:dyDescent="0.3">
      <c r="B58" s="67" t="s">
        <v>24</v>
      </c>
      <c r="C58" s="67"/>
      <c r="D58" s="68">
        <f>PACKAGE_PnL!G15</f>
        <v>2637.590000000002</v>
      </c>
      <c r="E58" s="68"/>
    </row>
    <row r="59" spans="2:18" ht="15" customHeight="1" x14ac:dyDescent="0.3">
      <c r="B59" s="67"/>
      <c r="C59" s="67"/>
      <c r="D59" s="69">
        <f>PACKAGE_PnL!J15</f>
        <v>-2.6223685862171775E-2</v>
      </c>
      <c r="E59" s="69"/>
    </row>
    <row r="61" spans="2:18" ht="15" customHeight="1" x14ac:dyDescent="0.3">
      <c r="B61" s="67" t="s">
        <v>137</v>
      </c>
      <c r="C61" s="67"/>
      <c r="D61" s="68">
        <f>PACKAGE_PnL!G21</f>
        <v>2637.590000000002</v>
      </c>
      <c r="E61" s="68"/>
    </row>
    <row r="62" spans="2:18" ht="15" customHeight="1" x14ac:dyDescent="0.3">
      <c r="B62" s="67"/>
      <c r="C62" s="67"/>
      <c r="D62" s="69">
        <f>PACKAGE_PnL!J21</f>
        <v>-2.6223685862171775E-2</v>
      </c>
      <c r="E62" s="69"/>
    </row>
    <row r="64" spans="2:18" ht="15" customHeight="1" x14ac:dyDescent="0.3">
      <c r="B64" s="64" t="s">
        <v>150</v>
      </c>
      <c r="C64" s="64"/>
      <c r="D64" s="64"/>
      <c r="E64" s="64"/>
      <c r="F64" s="64"/>
      <c r="G64" s="64"/>
      <c r="H64" s="64"/>
      <c r="I64" s="64"/>
      <c r="J64" s="64"/>
      <c r="K64" s="64"/>
      <c r="L64" s="64"/>
      <c r="M64" s="64"/>
      <c r="N64" s="64"/>
      <c r="O64" s="64"/>
      <c r="P64" s="64"/>
      <c r="Q64" s="64"/>
      <c r="R64" s="64"/>
    </row>
    <row r="65" spans="2:18" ht="15" customHeight="1" x14ac:dyDescent="0.3">
      <c r="D65" s="70" t="s">
        <v>108</v>
      </c>
      <c r="E65" s="70"/>
      <c r="F65" s="19" t="s">
        <v>107</v>
      </c>
      <c r="G65" s="19" t="s">
        <v>106</v>
      </c>
      <c r="H65" s="19" t="s">
        <v>105</v>
      </c>
      <c r="I65" s="19" t="s">
        <v>104</v>
      </c>
      <c r="J65" s="19" t="s">
        <v>103</v>
      </c>
      <c r="K65" s="19" t="s">
        <v>102</v>
      </c>
      <c r="L65" s="19" t="s">
        <v>101</v>
      </c>
      <c r="M65" s="19" t="s">
        <v>100</v>
      </c>
      <c r="N65" s="19" t="s">
        <v>99</v>
      </c>
      <c r="O65" s="19" t="s">
        <v>45</v>
      </c>
    </row>
    <row r="66" spans="2:18" ht="15" customHeight="1" x14ac:dyDescent="0.3">
      <c r="D66" s="71" t="s">
        <v>8</v>
      </c>
      <c r="E66" s="72"/>
      <c r="F66" s="18">
        <f>SUMIFS(AGREG_PQ[Ecart_YTD],AGREG_PQ[CodeEntite],"BU01",AGREG_PQ[PosteP&amp;L],"Chiffre d'affaires")</f>
        <v>-71.029999999995653</v>
      </c>
      <c r="G66" s="18">
        <f>SUMIFS(AGREG_PQ[Ecart_YTD],AGREG_PQ[CodeEntite],"BU01",AGREG_PQ[PosteP&amp;L],"Coût des matières")</f>
        <v>0</v>
      </c>
      <c r="H66" s="18">
        <f>SUMIFS(AGREG_PQ[Ecart_YTD],AGREG_PQ[CodeEntite],"BU01",AGREG_PQ[PosteP&amp;L],"Charges de personnel")</f>
        <v>0</v>
      </c>
      <c r="I66" s="18">
        <f>SUMIFS(AGREG_PQ[Ecart_YTD],AGREG_PQ[CodeEntite],"BU01",AGREG_PQ[PosteP&amp;L],"Charges externes")</f>
        <v>0</v>
      </c>
      <c r="J66" s="18">
        <f>SUMIFS(AGREG_PQ[Ecart_YTD],AGREG_PQ[CodeEntite],"BU01",AGREG_PQ[PosteP&amp;L],"Transport &amp; logistique")</f>
        <v>0</v>
      </c>
      <c r="K66" s="18">
        <f>SUMIFS(AGREG_PQ[Ecart_YTD],AGREG_PQ[CodeEntite],"BU01",AGREG_PQ[PosteP&amp;L],"Marketing &amp; publicité")</f>
        <v>0</v>
      </c>
      <c r="L66" s="18">
        <f>SUMIFS(AGREG_PQ[Ecart_YTD],AGREG_PQ[CodeEntite],"BU01",AGREG_PQ[PosteP&amp;L],"Autres charges")</f>
        <v>0</v>
      </c>
      <c r="M66" s="18">
        <f>SUMIFS(AGREG_PQ[Ecart_YTD],AGREG_PQ[CodeEntite],"BU01",AGREG_PQ[PosteP&amp;L],"Amortissements")</f>
        <v>0</v>
      </c>
      <c r="N66" s="18">
        <f>SUMIFS(AGREG_PQ[Ecart_YTD],AGREG_PQ[CodeEntite],"BU01",AGREG_PQ[PosteP&amp;L],"Charges financières")</f>
        <v>0</v>
      </c>
      <c r="O66" s="18">
        <f>SUMIFS(AGREG_PQ[Ecart_YTD],AGREG_PQ[CodeEntite],"BU01",AGREG_PQ[PosteP&amp;L],"Impôt")</f>
        <v>0</v>
      </c>
    </row>
    <row r="67" spans="2:18" ht="15" customHeight="1" x14ac:dyDescent="0.3">
      <c r="D67" s="71" t="s">
        <v>10</v>
      </c>
      <c r="E67" s="72"/>
      <c r="F67" s="18">
        <f>SUMIFS(AGREG_PQ[Ecart_YTD],AGREG_PQ[CodeEntite],"BU02",AGREG_PQ[PosteP&amp;L],"Chiffre d'affaires")</f>
        <v>0</v>
      </c>
      <c r="G67" s="18">
        <f>SUMIFS(AGREG_PQ[Ecart_YTD],AGREG_PQ[CodeEntite],"BU02",AGREG_PQ[PosteP&amp;L],"Coût des matières")</f>
        <v>0</v>
      </c>
      <c r="H67" s="18">
        <f>SUMIFS(AGREG_PQ[Ecart_YTD],AGREG_PQ[CodeEntite],"BU02",AGREG_PQ[PosteP&amp;L],"Charges de personnel")</f>
        <v>0</v>
      </c>
      <c r="I67" s="18">
        <f>SUMIFS(AGREG_PQ[Ecart_YTD],AGREG_PQ[CodeEntite],"BU02",AGREG_PQ[PosteP&amp;L],"Charges externes")</f>
        <v>0</v>
      </c>
      <c r="J67" s="18">
        <f>SUMIFS(AGREG_PQ[Ecart_YTD],AGREG_PQ[CodeEntite],"BU02",AGREG_PQ[PosteP&amp;L],"Transport &amp; logistique")</f>
        <v>0</v>
      </c>
      <c r="K67" s="18">
        <f>SUMIFS(AGREG_PQ[Ecart_YTD],AGREG_PQ[CodeEntite],"BU02",AGREG_PQ[PosteP&amp;L],"Marketing &amp; publicité")</f>
        <v>0</v>
      </c>
      <c r="L67" s="18">
        <f>SUMIFS(AGREG_PQ[Ecart_YTD],AGREG_PQ[CodeEntite],"BU02",AGREG_PQ[PosteP&amp;L],"Autres charges")</f>
        <v>0</v>
      </c>
      <c r="M67" s="18">
        <f>SUMIFS(AGREG_PQ[Ecart_YTD],AGREG_PQ[CodeEntite],"BU02",AGREG_PQ[PosteP&amp;L],"Amortissements")</f>
        <v>0</v>
      </c>
      <c r="N67" s="18">
        <f>SUMIFS(AGREG_PQ[Ecart_YTD],AGREG_PQ[CodeEntite],"BU02",AGREG_PQ[PosteP&amp;L],"Charges financières")</f>
        <v>0</v>
      </c>
      <c r="O67" s="18">
        <f>SUMIFS(AGREG_PQ[Ecart_YTD],AGREG_PQ[CodeEntite],"BU02",AGREG_PQ[PosteP&amp;L],"Impôt")</f>
        <v>0</v>
      </c>
    </row>
    <row r="68" spans="2:18" ht="15" customHeight="1" x14ac:dyDescent="0.3">
      <c r="D68" s="71" t="s">
        <v>12</v>
      </c>
      <c r="E68" s="72"/>
      <c r="F68" s="18">
        <f>SUMIFS(AGREG_PQ[Ecart_YTD],AGREG_PQ[CodeEntite],"BU03",AGREG_PQ[PosteP&amp;L],"Chiffre d'affaires")</f>
        <v>0</v>
      </c>
      <c r="G68" s="18">
        <f>SUMIFS(AGREG_PQ[Ecart_YTD],AGREG_PQ[CodeEntite],"BU03",AGREG_PQ[PosteP&amp;L],"Coût des matières")</f>
        <v>0</v>
      </c>
      <c r="H68" s="18">
        <f>SUMIFS(AGREG_PQ[Ecart_YTD],AGREG_PQ[CodeEntite],"BU03",AGREG_PQ[PosteP&amp;L],"Charges de personnel")</f>
        <v>0</v>
      </c>
      <c r="I68" s="18">
        <f>SUMIFS(AGREG_PQ[Ecart_YTD],AGREG_PQ[CodeEntite],"BU03",AGREG_PQ[PosteP&amp;L],"Charges externes")</f>
        <v>0</v>
      </c>
      <c r="J68" s="18">
        <f>SUMIFS(AGREG_PQ[Ecart_YTD],AGREG_PQ[CodeEntite],"BU03",AGREG_PQ[PosteP&amp;L],"Transport &amp; logistique")</f>
        <v>0</v>
      </c>
      <c r="K68" s="18">
        <f>SUMIFS(AGREG_PQ[Ecart_YTD],AGREG_PQ[CodeEntite],"BU03",AGREG_PQ[PosteP&amp;L],"Marketing &amp; publicité")</f>
        <v>0</v>
      </c>
      <c r="L68" s="18">
        <f>SUMIFS(AGREG_PQ[Ecart_YTD],AGREG_PQ[CodeEntite],"BU03",AGREG_PQ[PosteP&amp;L],"Autres charges")</f>
        <v>0</v>
      </c>
      <c r="M68" s="18">
        <f>SUMIFS(AGREG_PQ[Ecart_YTD],AGREG_PQ[CodeEntite],"BU03",AGREG_PQ[PosteP&amp;L],"Amortissements")</f>
        <v>0</v>
      </c>
      <c r="N68" s="18">
        <f>SUMIFS(AGREG_PQ[Ecart_YTD],AGREG_PQ[CodeEntite],"BU03",AGREG_PQ[PosteP&amp;L],"Charges financières")</f>
        <v>0</v>
      </c>
      <c r="O68" s="18">
        <f>SUMIFS(AGREG_PQ[Ecart_YTD],AGREG_PQ[CodeEntite],"BU03",AGREG_PQ[PosteP&amp;L],"Impôt")</f>
        <v>0</v>
      </c>
    </row>
    <row r="69" spans="2:18" ht="15" customHeight="1" x14ac:dyDescent="0.3">
      <c r="D69" s="71" t="s">
        <v>14</v>
      </c>
      <c r="E69" s="72"/>
      <c r="F69" s="18">
        <f>SUMIFS(AGREG_PQ[Ecart_YTD],AGREG_PQ[CodeEntite],"BU04",AGREG_PQ[PosteP&amp;L],"Chiffre d'affaires")</f>
        <v>0</v>
      </c>
      <c r="G69" s="18">
        <f>SUMIFS(AGREG_PQ[Ecart_YTD],AGREG_PQ[CodeEntite],"BU04",AGREG_PQ[PosteP&amp;L],"Coût des matières")</f>
        <v>0</v>
      </c>
      <c r="H69" s="18">
        <f>SUMIFS(AGREG_PQ[Ecart_YTD],AGREG_PQ[CodeEntite],"BU04",AGREG_PQ[PosteP&amp;L],"Charges de personnel")</f>
        <v>0</v>
      </c>
      <c r="I69" s="18">
        <f>SUMIFS(AGREG_PQ[Ecart_YTD],AGREG_PQ[CodeEntite],"BU04",AGREG_PQ[PosteP&amp;L],"Charges externes")</f>
        <v>0</v>
      </c>
      <c r="J69" s="18">
        <f>SUMIFS(AGREG_PQ[Ecart_YTD],AGREG_PQ[CodeEntite],"BU04",AGREG_PQ[PosteP&amp;L],"Transport &amp; logistique")</f>
        <v>0</v>
      </c>
      <c r="K69" s="18">
        <f>SUMIFS(AGREG_PQ[Ecart_YTD],AGREG_PQ[CodeEntite],"BU04",AGREG_PQ[PosteP&amp;L],"Marketing &amp; publicité")</f>
        <v>0</v>
      </c>
      <c r="L69" s="18">
        <f>SUMIFS(AGREG_PQ[Ecart_YTD],AGREG_PQ[CodeEntite],"BU04",AGREG_PQ[PosteP&amp;L],"Autres charges")</f>
        <v>0</v>
      </c>
      <c r="M69" s="18">
        <f>SUMIFS(AGREG_PQ[Ecart_YTD],AGREG_PQ[CodeEntite],"BU04",AGREG_PQ[PosteP&amp;L],"Amortissements")</f>
        <v>0</v>
      </c>
      <c r="N69" s="18">
        <f>SUMIFS(AGREG_PQ[Ecart_YTD],AGREG_PQ[CodeEntite],"BU04",AGREG_PQ[PosteP&amp;L],"Charges financières")</f>
        <v>0</v>
      </c>
      <c r="O69" s="18">
        <f>SUMIFS(AGREG_PQ[Ecart_YTD],AGREG_PQ[CodeEntite],"BU04",AGREG_PQ[PosteP&amp;L],"Impôt")</f>
        <v>0</v>
      </c>
    </row>
    <row r="70" spans="2:18" ht="15" customHeight="1" x14ac:dyDescent="0.3">
      <c r="D70" s="71" t="s">
        <v>16</v>
      </c>
      <c r="E70" s="72"/>
      <c r="F70" s="18">
        <f>SUMIFS(AGREG_PQ[Ecart_YTD],AGREG_PQ[CodeEntite],"BU05",AGREG_PQ[PosteP&amp;L],"Chiffre d'affaires")</f>
        <v>0</v>
      </c>
      <c r="G70" s="18">
        <f>SUMIFS(AGREG_PQ[Ecart_YTD],AGREG_PQ[CodeEntite],"BU05",AGREG_PQ[PosteP&amp;L],"Coût des matières")</f>
        <v>0</v>
      </c>
      <c r="H70" s="18">
        <f>SUMIFS(AGREG_PQ[Ecart_YTD],AGREG_PQ[CodeEntite],"BU05",AGREG_PQ[PosteP&amp;L],"Charges de personnel")</f>
        <v>0</v>
      </c>
      <c r="I70" s="18">
        <f>SUMIFS(AGREG_PQ[Ecart_YTD],AGREG_PQ[CodeEntite],"BU05",AGREG_PQ[PosteP&amp;L],"Charges externes")</f>
        <v>0</v>
      </c>
      <c r="J70" s="18">
        <f>SUMIFS(AGREG_PQ[Ecart_YTD],AGREG_PQ[CodeEntite],"BU05",AGREG_PQ[PosteP&amp;L],"Transport &amp; logistique")</f>
        <v>0</v>
      </c>
      <c r="K70" s="18">
        <f>SUMIFS(AGREG_PQ[Ecart_YTD],AGREG_PQ[CodeEntite],"BU05",AGREG_PQ[PosteP&amp;L],"Marketing &amp; publicité")</f>
        <v>0</v>
      </c>
      <c r="L70" s="18">
        <f>SUMIFS(AGREG_PQ[Ecart_YTD],AGREG_PQ[CodeEntite],"BU05",AGREG_PQ[PosteP&amp;L],"Autres charges")</f>
        <v>0</v>
      </c>
      <c r="M70" s="18">
        <f>SUMIFS(AGREG_PQ[Ecart_YTD],AGREG_PQ[CodeEntite],"BU05",AGREG_PQ[PosteP&amp;L],"Amortissements")</f>
        <v>0</v>
      </c>
      <c r="N70" s="18">
        <f>SUMIFS(AGREG_PQ[Ecart_YTD],AGREG_PQ[CodeEntite],"BU05",AGREG_PQ[PosteP&amp;L],"Charges financières")</f>
        <v>0</v>
      </c>
      <c r="O70" s="18">
        <f>SUMIFS(AGREG_PQ[Ecart_YTD],AGREG_PQ[CodeEntite],"BU05",AGREG_PQ[PosteP&amp;L],"Impôt")</f>
        <v>0</v>
      </c>
    </row>
    <row r="71" spans="2:18" ht="15" customHeight="1" x14ac:dyDescent="0.3">
      <c r="D71" s="60"/>
      <c r="E71" s="60"/>
      <c r="F71" s="61"/>
      <c r="G71" s="61"/>
      <c r="H71" s="61"/>
      <c r="I71" s="61"/>
      <c r="J71" s="61"/>
      <c r="K71" s="61"/>
      <c r="L71" s="61"/>
      <c r="M71" s="61"/>
      <c r="N71" s="61"/>
      <c r="O71" s="61"/>
    </row>
    <row r="73" spans="2:18" ht="15" customHeight="1" x14ac:dyDescent="0.3">
      <c r="B73" s="64" t="s">
        <v>1225</v>
      </c>
      <c r="C73" s="64"/>
      <c r="D73" s="64"/>
      <c r="E73" s="64"/>
      <c r="F73" s="64"/>
      <c r="G73" s="64"/>
      <c r="H73" s="64"/>
      <c r="I73" s="64"/>
      <c r="J73" s="64"/>
      <c r="K73" s="64"/>
      <c r="L73" s="64"/>
      <c r="M73" s="64"/>
      <c r="N73" s="64"/>
      <c r="O73" s="64"/>
      <c r="P73" s="64"/>
      <c r="Q73" s="64"/>
      <c r="R73" s="64"/>
    </row>
    <row r="74" spans="2:18" ht="19.5" customHeight="1" x14ac:dyDescent="0.3">
      <c r="B74" s="66">
        <v>5</v>
      </c>
      <c r="C74" s="66"/>
      <c r="D74" s="66"/>
      <c r="E74" s="66">
        <v>8</v>
      </c>
      <c r="F74" s="66"/>
      <c r="G74" s="66"/>
      <c r="H74" s="66">
        <v>29</v>
      </c>
      <c r="I74" s="66"/>
      <c r="J74" s="66"/>
      <c r="K74" s="66">
        <v>5</v>
      </c>
      <c r="L74" s="66"/>
      <c r="M74" s="66"/>
      <c r="N74" s="66">
        <v>850</v>
      </c>
      <c r="O74" s="66"/>
      <c r="P74" s="66"/>
      <c r="Q74" s="66"/>
      <c r="R74" s="66"/>
    </row>
    <row r="75" spans="2:18" ht="15" customHeight="1" x14ac:dyDescent="0.3">
      <c r="B75" s="65" t="s">
        <v>1224</v>
      </c>
      <c r="C75" s="65"/>
      <c r="D75" s="65"/>
      <c r="E75" s="65" t="s">
        <v>1223</v>
      </c>
      <c r="F75" s="65"/>
      <c r="G75" s="65"/>
      <c r="H75" s="65" t="s">
        <v>153</v>
      </c>
      <c r="I75" s="65"/>
      <c r="J75" s="65"/>
      <c r="K75" s="65" t="s">
        <v>1222</v>
      </c>
      <c r="L75" s="65"/>
      <c r="M75" s="65"/>
      <c r="N75" s="65" t="s">
        <v>1221</v>
      </c>
      <c r="O75" s="65"/>
      <c r="P75" s="65"/>
      <c r="Q75" s="65"/>
      <c r="R75" s="65"/>
    </row>
    <row r="77" spans="2:18" ht="15" customHeight="1" x14ac:dyDescent="0.3"/>
    <row r="78" spans="2:18" ht="15" customHeight="1" x14ac:dyDescent="0.3">
      <c r="B78" s="64" t="s">
        <v>1220</v>
      </c>
      <c r="C78" s="64"/>
      <c r="D78" s="64"/>
      <c r="E78" s="64"/>
      <c r="F78" s="64"/>
      <c r="G78" s="64"/>
      <c r="H78" s="64"/>
      <c r="I78" s="64"/>
      <c r="J78" s="64"/>
      <c r="K78" s="64"/>
      <c r="L78" s="64"/>
      <c r="M78" s="64"/>
      <c r="N78" s="64"/>
      <c r="O78" s="64"/>
      <c r="P78" s="64"/>
      <c r="Q78" s="64"/>
      <c r="R78" s="64"/>
    </row>
    <row r="79" spans="2:18" ht="15" customHeight="1" x14ac:dyDescent="0.3"/>
    <row r="80" spans="2:18" ht="15" customHeight="1" x14ac:dyDescent="0.3"/>
    <row r="81" spans="2:18" ht="15" customHeight="1" x14ac:dyDescent="0.3"/>
    <row r="82" spans="2:18" ht="15" customHeight="1" x14ac:dyDescent="0.3"/>
    <row r="83" spans="2:18" ht="15" customHeight="1" x14ac:dyDescent="0.3"/>
    <row r="84" spans="2:18" ht="15" customHeight="1" x14ac:dyDescent="0.3"/>
    <row r="85" spans="2:18" ht="15" customHeight="1" x14ac:dyDescent="0.3"/>
    <row r="86" spans="2:18" ht="15" customHeight="1" x14ac:dyDescent="0.3"/>
    <row r="87" spans="2:18" ht="15" customHeight="1" x14ac:dyDescent="0.3"/>
    <row r="88" spans="2:18" ht="15" customHeight="1" x14ac:dyDescent="0.3"/>
    <row r="89" spans="2:18" ht="15" customHeight="1" x14ac:dyDescent="0.3"/>
    <row r="90" spans="2:18" ht="15" customHeight="1" x14ac:dyDescent="0.3"/>
    <row r="91" spans="2:18" ht="15" customHeight="1" x14ac:dyDescent="0.3"/>
    <row r="92" spans="2:18" ht="15" customHeight="1" x14ac:dyDescent="0.3"/>
    <row r="93" spans="2:18" ht="15" customHeight="1" x14ac:dyDescent="0.3">
      <c r="B93" s="64" t="s">
        <v>1219</v>
      </c>
      <c r="C93" s="64"/>
      <c r="D93" s="64"/>
      <c r="E93" s="64"/>
      <c r="F93" s="64"/>
      <c r="G93" s="64"/>
      <c r="H93" s="64"/>
      <c r="I93" s="64"/>
      <c r="J93" s="64"/>
      <c r="K93" s="64"/>
      <c r="L93" s="64"/>
      <c r="M93" s="64"/>
      <c r="N93" s="64"/>
      <c r="O93" s="64"/>
      <c r="P93" s="64"/>
      <c r="Q93" s="64"/>
      <c r="R93" s="64"/>
    </row>
    <row r="94" spans="2:18" ht="15" customHeight="1" x14ac:dyDescent="0.3"/>
    <row r="95" spans="2:18" ht="15" customHeight="1" x14ac:dyDescent="0.3"/>
    <row r="96" spans="2:18" ht="15" customHeight="1" x14ac:dyDescent="0.3"/>
    <row r="97" ht="15" customHeight="1" x14ac:dyDescent="0.3"/>
    <row r="98" ht="15" customHeight="1" x14ac:dyDescent="0.3"/>
    <row r="99" ht="15" customHeight="1" x14ac:dyDescent="0.3"/>
    <row r="100" ht="15" customHeight="1" x14ac:dyDescent="0.3"/>
    <row r="101" ht="15" customHeight="1" x14ac:dyDescent="0.3"/>
    <row r="102" ht="15" customHeight="1" x14ac:dyDescent="0.3"/>
    <row r="103" ht="15" customHeight="1" x14ac:dyDescent="0.3"/>
    <row r="104" ht="15" customHeight="1" x14ac:dyDescent="0.3"/>
    <row r="105" ht="15" customHeight="1" x14ac:dyDescent="0.3"/>
    <row r="106" ht="15" customHeight="1" x14ac:dyDescent="0.3"/>
    <row r="107" ht="15" customHeight="1" x14ac:dyDescent="0.3"/>
    <row r="108" ht="15" hidden="1" customHeight="1" x14ac:dyDescent="0.3"/>
    <row r="109" ht="15" hidden="1" customHeight="1" x14ac:dyDescent="0.3"/>
    <row r="110" ht="15" hidden="1" customHeight="1" x14ac:dyDescent="0.3"/>
    <row r="111" ht="15" hidden="1" customHeight="1" x14ac:dyDescent="0.3"/>
    <row r="112" ht="15" hidden="1" customHeight="1" x14ac:dyDescent="0.3"/>
    <row r="113" ht="15" hidden="1" customHeight="1" x14ac:dyDescent="0.3"/>
    <row r="114" ht="15" hidden="1" customHeight="1" x14ac:dyDescent="0.3"/>
    <row r="115" ht="15" hidden="1" customHeight="1" x14ac:dyDescent="0.3"/>
    <row r="116" ht="15" hidden="1" customHeight="1" x14ac:dyDescent="0.3"/>
    <row r="117" ht="15" hidden="1" customHeight="1" x14ac:dyDescent="0.3"/>
    <row r="118" ht="15" hidden="1" customHeight="1" x14ac:dyDescent="0.3"/>
    <row r="119" ht="15" hidden="1" customHeight="1" x14ac:dyDescent="0.3"/>
    <row r="120" ht="15" hidden="1" customHeight="1" x14ac:dyDescent="0.3"/>
    <row r="121" ht="15" hidden="1" customHeight="1" x14ac:dyDescent="0.3"/>
    <row r="122" ht="15" hidden="1" customHeight="1" x14ac:dyDescent="0.3"/>
    <row r="123" ht="15" hidden="1" customHeight="1" x14ac:dyDescent="0.3"/>
    <row r="124" ht="15" hidden="1" customHeight="1" x14ac:dyDescent="0.3"/>
    <row r="125" ht="15" hidden="1" customHeight="1" x14ac:dyDescent="0.3"/>
    <row r="126" ht="15" hidden="1" customHeight="1" x14ac:dyDescent="0.3"/>
    <row r="127" ht="15" hidden="1" customHeight="1" x14ac:dyDescent="0.3"/>
    <row r="128" ht="15" hidden="1" customHeight="1" x14ac:dyDescent="0.3"/>
    <row r="129" ht="15" hidden="1" customHeight="1" x14ac:dyDescent="0.3"/>
    <row r="130" ht="15" hidden="1" customHeight="1" x14ac:dyDescent="0.3"/>
    <row r="131" ht="15" hidden="1" customHeight="1" x14ac:dyDescent="0.3"/>
    <row r="132" ht="15" hidden="1" customHeight="1" x14ac:dyDescent="0.3"/>
    <row r="133" ht="15" hidden="1" customHeight="1" x14ac:dyDescent="0.3"/>
    <row r="134" ht="15" hidden="1" customHeight="1" x14ac:dyDescent="0.3"/>
    <row r="135" ht="15" hidden="1" customHeight="1" x14ac:dyDescent="0.3"/>
    <row r="136" ht="15" hidden="1" customHeight="1" x14ac:dyDescent="0.3"/>
    <row r="137" ht="15" hidden="1" customHeight="1" x14ac:dyDescent="0.3"/>
    <row r="138" ht="15" hidden="1" customHeight="1" x14ac:dyDescent="0.3"/>
    <row r="139" ht="15" hidden="1" customHeight="1" x14ac:dyDescent="0.3"/>
    <row r="140" ht="15" hidden="1" customHeight="1" x14ac:dyDescent="0.3"/>
    <row r="141" ht="15" hidden="1" customHeight="1" x14ac:dyDescent="0.3"/>
    <row r="142" ht="15" hidden="1" customHeight="1" x14ac:dyDescent="0.3"/>
    <row r="143" ht="15" hidden="1" customHeight="1" x14ac:dyDescent="0.3"/>
    <row r="144" ht="15" hidden="1" customHeight="1" x14ac:dyDescent="0.3"/>
    <row r="145" ht="15" hidden="1" customHeight="1" x14ac:dyDescent="0.3"/>
    <row r="146" ht="15" hidden="1" customHeight="1" x14ac:dyDescent="0.3"/>
    <row r="147" ht="15" hidden="1" customHeight="1" x14ac:dyDescent="0.3"/>
    <row r="148" ht="15" hidden="1" customHeight="1" x14ac:dyDescent="0.3"/>
    <row r="149" ht="15" hidden="1" customHeight="1" x14ac:dyDescent="0.3"/>
    <row r="150" ht="15" hidden="1" customHeight="1" x14ac:dyDescent="0.3"/>
    <row r="151" ht="15" hidden="1" customHeight="1" x14ac:dyDescent="0.3"/>
    <row r="152" ht="15" hidden="1" customHeight="1" x14ac:dyDescent="0.3"/>
    <row r="153" ht="15" hidden="1" customHeight="1" x14ac:dyDescent="0.3"/>
    <row r="154" ht="15" hidden="1" customHeight="1" x14ac:dyDescent="0.3"/>
    <row r="155" ht="15" hidden="1" customHeight="1" x14ac:dyDescent="0.3"/>
    <row r="156" ht="15" hidden="1" customHeight="1" x14ac:dyDescent="0.3"/>
    <row r="157" ht="15" hidden="1" customHeight="1" x14ac:dyDescent="0.3"/>
    <row r="158" ht="15" hidden="1" customHeight="1" x14ac:dyDescent="0.3"/>
    <row r="159" ht="15" hidden="1" customHeight="1" x14ac:dyDescent="0.3"/>
    <row r="160" ht="15" hidden="1" customHeight="1" x14ac:dyDescent="0.3"/>
    <row r="161" ht="15" hidden="1" customHeight="1" x14ac:dyDescent="0.3"/>
    <row r="162" ht="15" hidden="1" customHeight="1" x14ac:dyDescent="0.3"/>
    <row r="163" ht="15" hidden="1" customHeight="1" x14ac:dyDescent="0.3"/>
    <row r="164" ht="15" hidden="1" customHeight="1" x14ac:dyDescent="0.3"/>
    <row r="165" ht="15" hidden="1" customHeight="1" x14ac:dyDescent="0.3"/>
    <row r="166" ht="15" hidden="1" customHeight="1" x14ac:dyDescent="0.3"/>
    <row r="167" ht="15" hidden="1" customHeight="1" x14ac:dyDescent="0.3"/>
    <row r="168" ht="15" hidden="1" customHeight="1" x14ac:dyDescent="0.3"/>
    <row r="169" ht="15" hidden="1" customHeight="1" x14ac:dyDescent="0.3"/>
    <row r="170" ht="15" hidden="1" customHeight="1" x14ac:dyDescent="0.3"/>
    <row r="171" ht="15" hidden="1" customHeight="1" x14ac:dyDescent="0.3"/>
    <row r="172" ht="15" hidden="1" customHeight="1" x14ac:dyDescent="0.3"/>
    <row r="173" ht="15" hidden="1" customHeight="1" x14ac:dyDescent="0.3"/>
    <row r="174" ht="15" hidden="1" customHeight="1" x14ac:dyDescent="0.3"/>
    <row r="175" ht="15" hidden="1" customHeight="1" x14ac:dyDescent="0.3"/>
    <row r="176" ht="15" hidden="1" customHeight="1" x14ac:dyDescent="0.3"/>
    <row r="177" ht="15" hidden="1" customHeight="1" x14ac:dyDescent="0.3"/>
    <row r="178" ht="15" hidden="1" customHeight="1" x14ac:dyDescent="0.3"/>
    <row r="179" ht="15" hidden="1" customHeight="1" x14ac:dyDescent="0.3"/>
    <row r="180" ht="15" hidden="1" customHeight="1" x14ac:dyDescent="0.3"/>
    <row r="181" ht="15" hidden="1" customHeight="1" x14ac:dyDescent="0.3"/>
    <row r="182" ht="15" hidden="1" customHeight="1" x14ac:dyDescent="0.3"/>
    <row r="183" ht="15" hidden="1" customHeight="1" x14ac:dyDescent="0.3"/>
    <row r="184" ht="15" hidden="1" customHeight="1" x14ac:dyDescent="0.3"/>
    <row r="185" ht="15" hidden="1" customHeight="1" x14ac:dyDescent="0.3"/>
    <row r="186" ht="15" hidden="1" customHeight="1" x14ac:dyDescent="0.3"/>
    <row r="187" ht="15" hidden="1" customHeight="1" x14ac:dyDescent="0.3"/>
    <row r="188" ht="15" hidden="1" customHeight="1" x14ac:dyDescent="0.3"/>
    <row r="189" ht="15" hidden="1" customHeight="1" x14ac:dyDescent="0.3"/>
    <row r="190" ht="15" hidden="1" customHeight="1" x14ac:dyDescent="0.3"/>
    <row r="191" ht="15" hidden="1" customHeight="1" x14ac:dyDescent="0.3"/>
    <row r="192" ht="15" hidden="1" customHeight="1" x14ac:dyDescent="0.3"/>
    <row r="193" ht="15" hidden="1" customHeight="1" x14ac:dyDescent="0.3"/>
    <row r="194" ht="15" hidden="1" customHeight="1" x14ac:dyDescent="0.3"/>
    <row r="195" ht="15" hidden="1" customHeight="1" x14ac:dyDescent="0.3"/>
    <row r="196" ht="15" hidden="1" customHeight="1" x14ac:dyDescent="0.3"/>
    <row r="197" ht="15" hidden="1" customHeight="1" x14ac:dyDescent="0.3"/>
    <row r="198" ht="15" hidden="1" customHeight="1" x14ac:dyDescent="0.3"/>
    <row r="199" ht="15" hidden="1" customHeight="1" x14ac:dyDescent="0.3"/>
    <row r="200" ht="15" hidden="1" customHeight="1" x14ac:dyDescent="0.3"/>
    <row r="201" ht="15" hidden="1" customHeight="1" x14ac:dyDescent="0.3"/>
    <row r="202" ht="15" hidden="1" customHeight="1" x14ac:dyDescent="0.3"/>
    <row r="203" ht="15" hidden="1" customHeight="1" x14ac:dyDescent="0.3"/>
    <row r="204" ht="15" hidden="1" customHeight="1" x14ac:dyDescent="0.3"/>
    <row r="205" ht="15" hidden="1" customHeight="1" x14ac:dyDescent="0.3"/>
    <row r="206" ht="15" hidden="1" customHeight="1" x14ac:dyDescent="0.3"/>
    <row r="207" ht="15" hidden="1" customHeight="1" x14ac:dyDescent="0.3"/>
    <row r="208" ht="15" hidden="1" customHeight="1" x14ac:dyDescent="0.3"/>
    <row r="209" ht="15" hidden="1" customHeight="1" x14ac:dyDescent="0.3"/>
    <row r="210" ht="15" hidden="1" customHeight="1" x14ac:dyDescent="0.3"/>
    <row r="211" ht="15" hidden="1" customHeight="1" x14ac:dyDescent="0.3"/>
    <row r="212" ht="15" hidden="1" customHeight="1" x14ac:dyDescent="0.3"/>
    <row r="213" ht="15" hidden="1" customHeight="1" x14ac:dyDescent="0.3"/>
    <row r="214" ht="15" hidden="1" customHeight="1" x14ac:dyDescent="0.3"/>
    <row r="215" ht="15" hidden="1" customHeight="1" x14ac:dyDescent="0.3"/>
    <row r="216" ht="15" hidden="1" customHeight="1" x14ac:dyDescent="0.3"/>
    <row r="217" ht="15" hidden="1" customHeight="1" x14ac:dyDescent="0.3"/>
    <row r="218" ht="15" hidden="1" customHeight="1" x14ac:dyDescent="0.3"/>
    <row r="219" ht="15" hidden="1" customHeight="1" x14ac:dyDescent="0.3"/>
    <row r="220" ht="15" hidden="1" customHeight="1" x14ac:dyDescent="0.3"/>
    <row r="221" ht="15" hidden="1" customHeight="1" x14ac:dyDescent="0.3"/>
    <row r="222" ht="15" hidden="1" customHeight="1" x14ac:dyDescent="0.3"/>
    <row r="223" ht="15" hidden="1" customHeight="1" x14ac:dyDescent="0.3"/>
    <row r="224" ht="15" hidden="1" customHeight="1" x14ac:dyDescent="0.3"/>
    <row r="225" ht="15" hidden="1" customHeight="1" x14ac:dyDescent="0.3"/>
    <row r="226" ht="15" hidden="1" customHeight="1" x14ac:dyDescent="0.3"/>
    <row r="227" ht="15" hidden="1" customHeight="1" x14ac:dyDescent="0.3"/>
    <row r="228" ht="15" hidden="1" customHeight="1" x14ac:dyDescent="0.3"/>
    <row r="229" ht="15" hidden="1" customHeight="1" x14ac:dyDescent="0.3"/>
    <row r="230" ht="15" hidden="1" customHeight="1" x14ac:dyDescent="0.3"/>
    <row r="231" ht="15" hidden="1" customHeight="1" x14ac:dyDescent="0.3"/>
    <row r="232" ht="15" hidden="1" customHeight="1" x14ac:dyDescent="0.3"/>
    <row r="233" ht="15" hidden="1" customHeight="1" x14ac:dyDescent="0.3"/>
    <row r="234" ht="15" hidden="1" customHeight="1" x14ac:dyDescent="0.3"/>
    <row r="235" ht="15" hidden="1" customHeight="1" x14ac:dyDescent="0.3"/>
    <row r="236" ht="15" hidden="1" customHeight="1" x14ac:dyDescent="0.3"/>
    <row r="237" ht="15" hidden="1" customHeight="1" x14ac:dyDescent="0.3"/>
    <row r="238" ht="15" hidden="1" customHeight="1" x14ac:dyDescent="0.3"/>
    <row r="239" ht="15" hidden="1" customHeight="1" x14ac:dyDescent="0.3"/>
    <row r="240" ht="15" hidden="1" customHeight="1" x14ac:dyDescent="0.3"/>
    <row r="241" ht="15" hidden="1" customHeight="1" x14ac:dyDescent="0.3"/>
    <row r="242" ht="15" hidden="1" customHeight="1" x14ac:dyDescent="0.3"/>
    <row r="243" ht="15" hidden="1" customHeight="1" x14ac:dyDescent="0.3"/>
    <row r="244" ht="15" hidden="1" customHeight="1" x14ac:dyDescent="0.3"/>
    <row r="245" ht="15" hidden="1" customHeight="1" x14ac:dyDescent="0.3"/>
    <row r="246" ht="15" hidden="1" customHeight="1" x14ac:dyDescent="0.3"/>
    <row r="247" ht="15" hidden="1" customHeight="1" x14ac:dyDescent="0.3"/>
    <row r="248" ht="15" hidden="1" customHeight="1" x14ac:dyDescent="0.3"/>
    <row r="249" ht="15" hidden="1" customHeight="1" x14ac:dyDescent="0.3"/>
    <row r="250" ht="15" hidden="1" customHeight="1" x14ac:dyDescent="0.3"/>
    <row r="251" ht="15" hidden="1" customHeight="1" x14ac:dyDescent="0.3"/>
    <row r="252" ht="15" hidden="1" customHeight="1" x14ac:dyDescent="0.3"/>
    <row r="253" ht="15" hidden="1" customHeight="1" x14ac:dyDescent="0.3"/>
    <row r="254" ht="15" hidden="1" customHeight="1" x14ac:dyDescent="0.3"/>
    <row r="255" ht="15" hidden="1" customHeight="1" x14ac:dyDescent="0.3"/>
    <row r="256" ht="15" hidden="1" customHeight="1" x14ac:dyDescent="0.3"/>
    <row r="257" ht="15" hidden="1" customHeight="1" x14ac:dyDescent="0.3"/>
    <row r="258" ht="15" hidden="1" customHeight="1" x14ac:dyDescent="0.3"/>
    <row r="259" ht="15" hidden="1" customHeight="1" x14ac:dyDescent="0.3"/>
    <row r="260" ht="15" hidden="1" customHeight="1" x14ac:dyDescent="0.3"/>
    <row r="261" ht="15" hidden="1" customHeight="1" x14ac:dyDescent="0.3"/>
    <row r="262" ht="15" hidden="1" customHeight="1" x14ac:dyDescent="0.3"/>
    <row r="263" ht="15" hidden="1" customHeight="1" x14ac:dyDescent="0.3"/>
    <row r="264" ht="15" hidden="1" customHeight="1" x14ac:dyDescent="0.3"/>
    <row r="265" ht="15" hidden="1" customHeight="1" x14ac:dyDescent="0.3"/>
    <row r="266" ht="15" hidden="1" customHeight="1" x14ac:dyDescent="0.3"/>
    <row r="267" ht="15" hidden="1" customHeight="1" x14ac:dyDescent="0.3"/>
    <row r="268" ht="15" hidden="1" customHeight="1" x14ac:dyDescent="0.3"/>
    <row r="269" ht="15" hidden="1" customHeight="1" x14ac:dyDescent="0.3"/>
    <row r="270" ht="15" hidden="1" customHeight="1" x14ac:dyDescent="0.3"/>
    <row r="271" ht="15" hidden="1" customHeight="1" x14ac:dyDescent="0.3"/>
    <row r="272" ht="15" hidden="1" customHeight="1" x14ac:dyDescent="0.3"/>
    <row r="273" ht="15" hidden="1" customHeight="1" x14ac:dyDescent="0.3"/>
    <row r="274" ht="15" hidden="1" customHeight="1" x14ac:dyDescent="0.3"/>
    <row r="275" ht="15" hidden="1" customHeight="1" x14ac:dyDescent="0.3"/>
    <row r="276" ht="15" hidden="1" customHeight="1" x14ac:dyDescent="0.3"/>
    <row r="277" ht="15" hidden="1" customHeight="1" x14ac:dyDescent="0.3"/>
    <row r="278" ht="15" hidden="1" customHeight="1" x14ac:dyDescent="0.3"/>
    <row r="279" ht="15" hidden="1" customHeight="1" x14ac:dyDescent="0.3"/>
    <row r="280" ht="15" hidden="1" customHeight="1" x14ac:dyDescent="0.3"/>
    <row r="281" ht="15" hidden="1" customHeight="1" x14ac:dyDescent="0.3"/>
    <row r="282" ht="15" hidden="1" customHeight="1" x14ac:dyDescent="0.3"/>
    <row r="283" ht="15" hidden="1" customHeight="1" x14ac:dyDescent="0.3"/>
    <row r="284" ht="15" hidden="1" customHeight="1" x14ac:dyDescent="0.3"/>
    <row r="285" ht="15" hidden="1" customHeight="1" x14ac:dyDescent="0.3"/>
    <row r="286" ht="15" hidden="1" customHeight="1" x14ac:dyDescent="0.3"/>
    <row r="287" ht="15" hidden="1" customHeight="1" x14ac:dyDescent="0.3"/>
    <row r="288" ht="15" hidden="1" customHeight="1" x14ac:dyDescent="0.3"/>
    <row r="289" ht="15" hidden="1" customHeight="1" x14ac:dyDescent="0.3"/>
    <row r="290" ht="15" hidden="1" customHeight="1" x14ac:dyDescent="0.3"/>
    <row r="291" ht="15" hidden="1" customHeight="1" x14ac:dyDescent="0.3"/>
    <row r="292" ht="15" hidden="1" customHeight="1" x14ac:dyDescent="0.3"/>
    <row r="293" ht="15" hidden="1" customHeight="1" x14ac:dyDescent="0.3"/>
    <row r="294" ht="15" hidden="1" customHeight="1" x14ac:dyDescent="0.3"/>
    <row r="295" ht="15" hidden="1" customHeight="1" x14ac:dyDescent="0.3"/>
    <row r="296" ht="15" hidden="1" customHeight="1" x14ac:dyDescent="0.3"/>
    <row r="297" ht="15" hidden="1" customHeight="1" x14ac:dyDescent="0.3"/>
    <row r="298" ht="15" hidden="1" customHeight="1" x14ac:dyDescent="0.3"/>
    <row r="299" ht="15" hidden="1" customHeight="1" x14ac:dyDescent="0.3"/>
    <row r="300" ht="15" hidden="1" customHeight="1" x14ac:dyDescent="0.3"/>
    <row r="301" ht="15" hidden="1" customHeight="1" x14ac:dyDescent="0.3"/>
    <row r="302" ht="15" hidden="1" customHeight="1" x14ac:dyDescent="0.3"/>
    <row r="303" ht="15" hidden="1" customHeight="1" x14ac:dyDescent="0.3"/>
    <row r="304" ht="15" hidden="1" customHeight="1" x14ac:dyDescent="0.3"/>
    <row r="305" ht="15" hidden="1" customHeight="1" x14ac:dyDescent="0.3"/>
    <row r="306" ht="15" hidden="1" customHeight="1" x14ac:dyDescent="0.3"/>
    <row r="307" ht="15" hidden="1" customHeight="1" x14ac:dyDescent="0.3"/>
    <row r="308" ht="15" hidden="1" customHeight="1" x14ac:dyDescent="0.3"/>
    <row r="309" ht="15" hidden="1" customHeight="1" x14ac:dyDescent="0.3"/>
    <row r="310" ht="15" hidden="1" customHeight="1" x14ac:dyDescent="0.3"/>
    <row r="311" ht="15" hidden="1" customHeight="1" x14ac:dyDescent="0.3"/>
    <row r="312" ht="15" hidden="1" customHeight="1" x14ac:dyDescent="0.3"/>
    <row r="313" ht="15" hidden="1" customHeight="1" x14ac:dyDescent="0.3"/>
    <row r="314" ht="15" hidden="1" customHeight="1" x14ac:dyDescent="0.3"/>
    <row r="315" ht="15" hidden="1" customHeight="1" x14ac:dyDescent="0.3"/>
    <row r="316" ht="15" hidden="1" customHeight="1" x14ac:dyDescent="0.3"/>
    <row r="317" ht="15" hidden="1" customHeight="1" x14ac:dyDescent="0.3"/>
    <row r="318" ht="15" hidden="1" customHeight="1" x14ac:dyDescent="0.3"/>
    <row r="319" ht="15" hidden="1" customHeight="1" x14ac:dyDescent="0.3"/>
    <row r="320" ht="15" hidden="1" customHeight="1" x14ac:dyDescent="0.3"/>
    <row r="321" ht="15" hidden="1" customHeight="1" x14ac:dyDescent="0.3"/>
    <row r="322" ht="15" hidden="1" customHeight="1" x14ac:dyDescent="0.3"/>
    <row r="323" ht="15" hidden="1" customHeight="1" x14ac:dyDescent="0.3"/>
    <row r="324" ht="15" hidden="1" customHeight="1" x14ac:dyDescent="0.3"/>
    <row r="325" ht="15" hidden="1" customHeight="1" x14ac:dyDescent="0.3"/>
    <row r="326" ht="15" hidden="1" customHeight="1" x14ac:dyDescent="0.3"/>
    <row r="327" ht="15" hidden="1" customHeight="1" x14ac:dyDescent="0.3"/>
    <row r="328" ht="15" hidden="1" customHeight="1" x14ac:dyDescent="0.3"/>
    <row r="329" ht="15" hidden="1" customHeight="1" x14ac:dyDescent="0.3"/>
    <row r="330" ht="15" hidden="1" customHeight="1" x14ac:dyDescent="0.3"/>
    <row r="331" ht="15" hidden="1" customHeight="1" x14ac:dyDescent="0.3"/>
    <row r="332" ht="15" hidden="1" customHeight="1" x14ac:dyDescent="0.3"/>
    <row r="333" ht="15" hidden="1" customHeight="1" x14ac:dyDescent="0.3"/>
    <row r="334" ht="15" hidden="1" customHeight="1" x14ac:dyDescent="0.3"/>
    <row r="335" ht="15" hidden="1" customHeight="1" x14ac:dyDescent="0.3"/>
    <row r="336" ht="15" hidden="1" customHeight="1" x14ac:dyDescent="0.3"/>
    <row r="337" ht="15" hidden="1" customHeight="1" x14ac:dyDescent="0.3"/>
    <row r="338" ht="15" hidden="1" customHeight="1" x14ac:dyDescent="0.3"/>
    <row r="339" ht="15" hidden="1" customHeight="1" x14ac:dyDescent="0.3"/>
    <row r="340" ht="15" hidden="1" customHeight="1" x14ac:dyDescent="0.3"/>
    <row r="341" ht="15" hidden="1" customHeight="1" x14ac:dyDescent="0.3"/>
    <row r="342" ht="15" hidden="1" customHeight="1" x14ac:dyDescent="0.3"/>
    <row r="343" ht="15" hidden="1" customHeight="1" x14ac:dyDescent="0.3"/>
    <row r="344" ht="15" hidden="1" customHeight="1" x14ac:dyDescent="0.3"/>
    <row r="345" ht="15" hidden="1" customHeight="1" x14ac:dyDescent="0.3"/>
    <row r="346" ht="15" hidden="1" customHeight="1" x14ac:dyDescent="0.3"/>
    <row r="347" ht="15" hidden="1" customHeight="1" x14ac:dyDescent="0.3"/>
    <row r="348" ht="15" hidden="1" customHeight="1" x14ac:dyDescent="0.3"/>
    <row r="349" ht="15" hidden="1" customHeight="1" x14ac:dyDescent="0.3"/>
    <row r="350" ht="15" hidden="1" customHeight="1" x14ac:dyDescent="0.3"/>
    <row r="351" ht="15" hidden="1" customHeight="1" x14ac:dyDescent="0.3"/>
    <row r="352" ht="15" hidden="1" customHeight="1" x14ac:dyDescent="0.3"/>
    <row r="353" ht="15" hidden="1" customHeight="1" x14ac:dyDescent="0.3"/>
    <row r="354" ht="15" hidden="1" customHeight="1" x14ac:dyDescent="0.3"/>
    <row r="355" ht="15" hidden="1" customHeight="1" x14ac:dyDescent="0.3"/>
    <row r="356" ht="15" hidden="1" customHeight="1" x14ac:dyDescent="0.3"/>
    <row r="357" ht="15" hidden="1" customHeight="1" x14ac:dyDescent="0.3"/>
    <row r="358" ht="15" hidden="1" customHeight="1" x14ac:dyDescent="0.3"/>
    <row r="359" ht="15" hidden="1" customHeight="1" x14ac:dyDescent="0.3"/>
    <row r="360" ht="15" hidden="1" customHeight="1" x14ac:dyDescent="0.3"/>
    <row r="361" ht="15" hidden="1" customHeight="1" x14ac:dyDescent="0.3"/>
    <row r="362" ht="15" hidden="1" customHeight="1" x14ac:dyDescent="0.3"/>
    <row r="363" ht="15" hidden="1" customHeight="1" x14ac:dyDescent="0.3"/>
    <row r="364" ht="15" hidden="1" customHeight="1" x14ac:dyDescent="0.3"/>
    <row r="365" ht="15" hidden="1" customHeight="1" x14ac:dyDescent="0.3"/>
    <row r="366" ht="15" hidden="1" customHeight="1" x14ac:dyDescent="0.3"/>
    <row r="367" ht="15" hidden="1" customHeight="1" x14ac:dyDescent="0.3"/>
    <row r="368" ht="15" hidden="1" customHeight="1" x14ac:dyDescent="0.3"/>
    <row r="369" ht="15" hidden="1" customHeight="1" x14ac:dyDescent="0.3"/>
    <row r="370" ht="15" hidden="1" customHeight="1" x14ac:dyDescent="0.3"/>
    <row r="371" ht="15" hidden="1" customHeight="1" x14ac:dyDescent="0.3"/>
    <row r="372" ht="15" hidden="1" customHeight="1" x14ac:dyDescent="0.3"/>
    <row r="373" ht="15" hidden="1" customHeight="1" x14ac:dyDescent="0.3"/>
    <row r="374" ht="15" hidden="1" customHeight="1" x14ac:dyDescent="0.3"/>
    <row r="375" ht="15" hidden="1" customHeight="1" x14ac:dyDescent="0.3"/>
    <row r="376" ht="15" hidden="1" customHeight="1" x14ac:dyDescent="0.3"/>
    <row r="377" ht="15" hidden="1" customHeight="1" x14ac:dyDescent="0.3"/>
    <row r="378" ht="15" hidden="1" customHeight="1" x14ac:dyDescent="0.3"/>
    <row r="379" ht="15" hidden="1" customHeight="1" x14ac:dyDescent="0.3"/>
    <row r="380" ht="15" hidden="1" customHeight="1" x14ac:dyDescent="0.3"/>
    <row r="381" ht="15" hidden="1" customHeight="1" x14ac:dyDescent="0.3"/>
    <row r="382" ht="15" hidden="1" customHeight="1" x14ac:dyDescent="0.3"/>
    <row r="383" ht="15" hidden="1" customHeight="1" x14ac:dyDescent="0.3"/>
    <row r="384" ht="15" hidden="1" customHeight="1" x14ac:dyDescent="0.3"/>
    <row r="385" ht="15" hidden="1" customHeight="1" x14ac:dyDescent="0.3"/>
    <row r="386" ht="15" hidden="1" customHeight="1" x14ac:dyDescent="0.3"/>
    <row r="387" ht="15" hidden="1" customHeight="1" x14ac:dyDescent="0.3"/>
    <row r="388" ht="15" hidden="1" customHeight="1" x14ac:dyDescent="0.3"/>
    <row r="389" ht="15" hidden="1" customHeight="1" x14ac:dyDescent="0.3"/>
    <row r="390" ht="15" hidden="1" customHeight="1" x14ac:dyDescent="0.3"/>
    <row r="391" ht="15" hidden="1" customHeight="1" x14ac:dyDescent="0.3"/>
    <row r="392" ht="15" hidden="1" customHeight="1" x14ac:dyDescent="0.3"/>
    <row r="393" ht="15" hidden="1" customHeight="1" x14ac:dyDescent="0.3"/>
    <row r="394" ht="15" hidden="1" customHeight="1" x14ac:dyDescent="0.3"/>
    <row r="395" ht="15" hidden="1" customHeight="1" x14ac:dyDescent="0.3"/>
    <row r="396" ht="15" hidden="1" customHeight="1" x14ac:dyDescent="0.3"/>
    <row r="397" ht="15" hidden="1" customHeight="1" x14ac:dyDescent="0.3"/>
    <row r="398" ht="15" hidden="1" customHeight="1" x14ac:dyDescent="0.3"/>
    <row r="399" ht="15" hidden="1" customHeight="1" x14ac:dyDescent="0.3"/>
    <row r="400" ht="15" hidden="1" customHeight="1" x14ac:dyDescent="0.3"/>
  </sheetData>
  <mergeCells count="90">
    <mergeCell ref="B2:R2"/>
    <mergeCell ref="B3:R3"/>
    <mergeCell ref="B5:E5"/>
    <mergeCell ref="F5:I5"/>
    <mergeCell ref="J5:M5"/>
    <mergeCell ref="N5:R5"/>
    <mergeCell ref="B6:E7"/>
    <mergeCell ref="F6:I7"/>
    <mergeCell ref="J6:M7"/>
    <mergeCell ref="B8:E8"/>
    <mergeCell ref="F8:I8"/>
    <mergeCell ref="J8:M8"/>
    <mergeCell ref="B9:E9"/>
    <mergeCell ref="F9:I9"/>
    <mergeCell ref="J9:M9"/>
    <mergeCell ref="B10:E10"/>
    <mergeCell ref="F10:I10"/>
    <mergeCell ref="J10:M10"/>
    <mergeCell ref="B14:D14"/>
    <mergeCell ref="E14:G14"/>
    <mergeCell ref="H14:J14"/>
    <mergeCell ref="K14:M14"/>
    <mergeCell ref="N14:R14"/>
    <mergeCell ref="B11:E11"/>
    <mergeCell ref="F11:I11"/>
    <mergeCell ref="J11:M11"/>
    <mergeCell ref="N11:R11"/>
    <mergeCell ref="N12:R12"/>
    <mergeCell ref="B17:D17"/>
    <mergeCell ref="E17:G17"/>
    <mergeCell ref="H17:J17"/>
    <mergeCell ref="K17:M17"/>
    <mergeCell ref="N17:R17"/>
    <mergeCell ref="B15:D16"/>
    <mergeCell ref="E15:G16"/>
    <mergeCell ref="H15:J16"/>
    <mergeCell ref="K15:M16"/>
    <mergeCell ref="N15:R16"/>
    <mergeCell ref="B24:R24"/>
    <mergeCell ref="B25:R25"/>
    <mergeCell ref="B26:R26"/>
    <mergeCell ref="B27:R27"/>
    <mergeCell ref="B28:R28"/>
    <mergeCell ref="B19:R19"/>
    <mergeCell ref="B20:R20"/>
    <mergeCell ref="B21:R21"/>
    <mergeCell ref="B22:R22"/>
    <mergeCell ref="B23:R23"/>
    <mergeCell ref="B29:R29"/>
    <mergeCell ref="B30:R30"/>
    <mergeCell ref="B32:R32"/>
    <mergeCell ref="B47:R47"/>
    <mergeCell ref="B48:E48"/>
    <mergeCell ref="F48:K48"/>
    <mergeCell ref="L48:R48"/>
    <mergeCell ref="B49:C50"/>
    <mergeCell ref="D49:E49"/>
    <mergeCell ref="D50:E50"/>
    <mergeCell ref="B52:C53"/>
    <mergeCell ref="D52:E52"/>
    <mergeCell ref="D53:E53"/>
    <mergeCell ref="B55:C56"/>
    <mergeCell ref="D55:E55"/>
    <mergeCell ref="D56:E56"/>
    <mergeCell ref="B58:C59"/>
    <mergeCell ref="D58:E58"/>
    <mergeCell ref="D59:E59"/>
    <mergeCell ref="D66:E66"/>
    <mergeCell ref="D67:E67"/>
    <mergeCell ref="D68:E68"/>
    <mergeCell ref="D69:E69"/>
    <mergeCell ref="D70:E70"/>
    <mergeCell ref="B61:C62"/>
    <mergeCell ref="D61:E61"/>
    <mergeCell ref="D62:E62"/>
    <mergeCell ref="B64:R64"/>
    <mergeCell ref="D65:E65"/>
    <mergeCell ref="B73:R73"/>
    <mergeCell ref="B74:D74"/>
    <mergeCell ref="E74:G74"/>
    <mergeCell ref="H74:J74"/>
    <mergeCell ref="K74:M74"/>
    <mergeCell ref="N74:R74"/>
    <mergeCell ref="B78:R78"/>
    <mergeCell ref="B93:R93"/>
    <mergeCell ref="B75:D75"/>
    <mergeCell ref="E75:G75"/>
    <mergeCell ref="H75:J75"/>
    <mergeCell ref="K75:M75"/>
    <mergeCell ref="N75:R75"/>
  </mergeCells>
  <conditionalFormatting sqref="B8">
    <cfRule type="cellIs" dxfId="25" priority="1" operator="greaterThan">
      <formula>0</formula>
    </cfRule>
    <cfRule type="cellIs" dxfId="24" priority="2" operator="lessThan">
      <formula>0</formula>
    </cfRule>
  </conditionalFormatting>
  <conditionalFormatting sqref="D50">
    <cfRule type="cellIs" dxfId="23" priority="7" operator="greaterThan">
      <formula>0</formula>
    </cfRule>
    <cfRule type="cellIs" dxfId="22" priority="8" operator="lessThan">
      <formula>0</formula>
    </cfRule>
  </conditionalFormatting>
  <conditionalFormatting sqref="D59">
    <cfRule type="cellIs" dxfId="21" priority="9" operator="greaterThan">
      <formula>0</formula>
    </cfRule>
    <cfRule type="cellIs" dxfId="20" priority="10" operator="lessThan">
      <formula>0</formula>
    </cfRule>
  </conditionalFormatting>
  <conditionalFormatting sqref="D62">
    <cfRule type="cellIs" dxfId="19" priority="11" operator="greaterThan">
      <formula>0</formula>
    </cfRule>
    <cfRule type="cellIs" dxfId="18" priority="12" operator="lessThan">
      <formula>0</formula>
    </cfRule>
  </conditionalFormatting>
  <conditionalFormatting sqref="F8">
    <cfRule type="cellIs" dxfId="17" priority="3" operator="greaterThan">
      <formula>0</formula>
    </cfRule>
    <cfRule type="cellIs" dxfId="16" priority="4" operator="lessThan">
      <formula>0</formula>
    </cfRule>
  </conditionalFormatting>
  <conditionalFormatting sqref="F66:O71">
    <cfRule type="colorScale" priority="13">
      <colorScale>
        <cfvo type="num" val="-150"/>
        <cfvo type="num" val="0"/>
        <cfvo type="num" val="150"/>
        <color rgb="FFE06666"/>
        <color rgb="FFFFFFFF"/>
        <color rgb="FF93C47D"/>
      </colorScale>
    </cfRule>
  </conditionalFormatting>
  <conditionalFormatting sqref="J8">
    <cfRule type="cellIs" dxfId="15" priority="5" operator="greaterThan">
      <formula>0</formula>
    </cfRule>
    <cfRule type="cellIs" dxfId="14" priority="6" operator="lessThan">
      <formula>0</formula>
    </cfRule>
  </conditionalFormatting>
  <printOptions horizontalCentered="1"/>
  <pageMargins left="0.3" right="0.3" top="0.5" bottom="0.4" header="0.511811023622047" footer="0.511811023622047"/>
  <pageSetup fitToHeight="0" orientation="landscape" horizontalDpi="300" verticalDpi="300" r:id="rId1"/>
  <headerFooter>
    <oddHeader>&amp;C&amp;"Arial,Bold"&amp;12 Atlas Agro Holding - Package de cloture</oddHeader>
    <oddFooter>&amp;L&amp;"Arial"&amp;8 DASHBOARD&amp;C&amp;"Arial"&amp;8 Page &amp;P / &amp;N&amp;R&amp;"Arial"&amp;8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AfficherPilotage">
                <anchor moveWithCells="1" sizeWithCells="1">
                  <from>
                    <xdr:col>161</xdr:col>
                    <xdr:colOff>0</xdr:colOff>
                    <xdr:row>2</xdr:row>
                    <xdr:rowOff>114300</xdr:rowOff>
                  </from>
                  <to>
                    <xdr:col>168</xdr:col>
                    <xdr:colOff>7620</xdr:colOff>
                    <xdr:row>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ImporterDonnees">
                <anchor moveWithCells="1" sizeWithCells="1">
                  <from>
                    <xdr:col>161</xdr:col>
                    <xdr:colOff>15240</xdr:colOff>
                    <xdr:row>6</xdr:row>
                    <xdr:rowOff>167640</xdr:rowOff>
                  </from>
                  <to>
                    <xdr:col>168</xdr:col>
                    <xdr:colOff>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GenererPackage">
                <anchor moveWithCells="1" sizeWithCells="1">
                  <from>
                    <xdr:col>161</xdr:col>
                    <xdr:colOff>22860</xdr:colOff>
                    <xdr:row>11</xdr:row>
                    <xdr:rowOff>45720</xdr:rowOff>
                  </from>
                  <to>
                    <xdr:col>168</xdr:col>
                    <xdr:colOff>0</xdr:colOff>
                    <xdr:row>14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85FD5-3F9D-4D06-8C0D-ABFE6EF234CE}">
  <sheetPr codeName="Feuil3">
    <pageSetUpPr fitToPage="1"/>
  </sheetPr>
  <dimension ref="B2:O53"/>
  <sheetViews>
    <sheetView showGridLines="0" showWhiteSpace="0" zoomScaleNormal="100" workbookViewId="0">
      <selection activeCell="FH25" sqref="FH25"/>
    </sheetView>
  </sheetViews>
  <sheetFormatPr baseColWidth="10" defaultColWidth="8.6640625" defaultRowHeight="14.4" x14ac:dyDescent="0.3"/>
  <cols>
    <col min="1" max="1" width="2" customWidth="1"/>
    <col min="2" max="2" width="30" customWidth="1"/>
    <col min="3" max="5" width="12" customWidth="1"/>
    <col min="6" max="6" width="9" customWidth="1"/>
    <col min="7" max="9" width="12" customWidth="1"/>
    <col min="10" max="10" width="9" customWidth="1"/>
    <col min="11" max="11" width="12" customWidth="1"/>
    <col min="12" max="12" width="9" customWidth="1"/>
    <col min="13" max="14" width="10" customWidth="1"/>
    <col min="15" max="15" width="13" customWidth="1"/>
  </cols>
  <sheetData>
    <row r="2" spans="2:15" ht="15.75" customHeight="1" x14ac:dyDescent="0.3">
      <c r="B2" s="88" t="s">
        <v>136</v>
      </c>
      <c r="C2" s="88"/>
      <c r="D2" s="88"/>
      <c r="E2" s="88"/>
      <c r="F2" s="88"/>
      <c r="G2" s="88"/>
      <c r="H2" s="88"/>
      <c r="I2" s="88"/>
      <c r="J2" s="88"/>
      <c r="K2" s="88"/>
      <c r="L2" s="88"/>
    </row>
    <row r="3" spans="2:15" ht="15" customHeight="1" x14ac:dyDescent="0.3">
      <c r="B3" s="89" t="str">
        <f>PARAM!C6&amp;"   |   Périmètre : 5 Business Units   |   Devise : k€"</f>
        <v>Clôture février 2026   |   Périmètre : 5 Business Units   |   Devise : k€</v>
      </c>
      <c r="C3" s="89"/>
      <c r="D3" s="89"/>
      <c r="E3" s="89"/>
      <c r="F3" s="89"/>
      <c r="G3" s="89"/>
      <c r="H3" s="89"/>
      <c r="I3" s="89"/>
      <c r="J3" s="89"/>
      <c r="K3" s="89"/>
      <c r="L3" s="89"/>
    </row>
    <row r="5" spans="2:15" ht="15" customHeight="1" x14ac:dyDescent="0.3">
      <c r="C5" s="90" t="s">
        <v>25</v>
      </c>
      <c r="D5" s="90"/>
      <c r="E5" s="90"/>
      <c r="F5" s="90"/>
      <c r="G5" s="90" t="s">
        <v>26</v>
      </c>
      <c r="H5" s="90"/>
      <c r="I5" s="90"/>
      <c r="J5" s="90"/>
      <c r="K5" s="90" t="s">
        <v>27</v>
      </c>
      <c r="L5" s="90"/>
      <c r="M5" s="86" t="s">
        <v>135</v>
      </c>
      <c r="N5" s="86"/>
      <c r="O5" s="57" t="s">
        <v>134</v>
      </c>
    </row>
    <row r="6" spans="2:15" ht="15" customHeight="1" x14ac:dyDescent="0.3">
      <c r="B6" s="56" t="s">
        <v>28</v>
      </c>
      <c r="C6" s="55" t="s">
        <v>22</v>
      </c>
      <c r="D6" s="55" t="s">
        <v>23</v>
      </c>
      <c r="E6" s="55" t="s">
        <v>29</v>
      </c>
      <c r="F6" s="55" t="s">
        <v>30</v>
      </c>
      <c r="G6" s="55" t="s">
        <v>22</v>
      </c>
      <c r="H6" s="55" t="s">
        <v>23</v>
      </c>
      <c r="I6" s="55" t="s">
        <v>29</v>
      </c>
      <c r="J6" s="55" t="s">
        <v>30</v>
      </c>
      <c r="K6" s="55" t="s">
        <v>31</v>
      </c>
      <c r="L6" s="55" t="s">
        <v>32</v>
      </c>
      <c r="M6" s="55" t="s">
        <v>133</v>
      </c>
      <c r="N6" s="55" t="s">
        <v>132</v>
      </c>
      <c r="O6" s="55" t="s">
        <v>131</v>
      </c>
    </row>
    <row r="7" spans="2:15" ht="15" customHeight="1" x14ac:dyDescent="0.3">
      <c r="B7" s="54" t="s">
        <v>33</v>
      </c>
      <c r="C7" s="53">
        <f>SUMIFS(AGREG_PQ[Reel_M],AGREG_PQ[PosteP&amp;L],$B7)</f>
        <v>763.30000000000018</v>
      </c>
      <c r="D7" s="53">
        <f>SUMIFS(AGREG_PQ[Budget_M],AGREG_PQ[PosteP&amp;L],$B7)</f>
        <v>675.28999999999985</v>
      </c>
      <c r="E7" s="53">
        <f t="shared" ref="E7:E21" si="0">C7-D7</f>
        <v>88.010000000000332</v>
      </c>
      <c r="F7" s="52">
        <f t="shared" ref="F7:F21" si="1">IF(D7=0,"-",E7/ABS(D7))</f>
        <v>0.13032919190273862</v>
      </c>
      <c r="G7" s="53">
        <f>SUMIFS(AGREG_PQ[Reel_YTD],AGREG_PQ[PosteP&amp;L],$B7)</f>
        <v>2637.590000000002</v>
      </c>
      <c r="H7" s="53">
        <f>SUMIFS(AGREG_PQ[Budget_YTD],AGREG_PQ[PosteP&amp;L],$B7)</f>
        <v>2708.6199999999976</v>
      </c>
      <c r="I7" s="53">
        <f t="shared" ref="I7:I21" si="2">G7-H7</f>
        <v>-71.029999999995653</v>
      </c>
      <c r="J7" s="52">
        <f t="shared" ref="J7:J21" si="3">IF(H7=0,"-",I7/ABS(H7))</f>
        <v>-2.6223685862171775E-2</v>
      </c>
      <c r="K7" s="53">
        <f>SUMIFS(AGREG_PQ[Reel_N1_YTD],AGREG_PQ[PosteP&amp;L],$B7)</f>
        <v>2367.3499999999945</v>
      </c>
      <c r="L7" s="52">
        <f t="shared" ref="L7:L21" si="4">IF(K7=0,"-",(G7-K7)/ABS(K7))</f>
        <v>0.11415295583669847</v>
      </c>
      <c r="M7" s="52">
        <f t="shared" ref="M7:M21" si="5">IF($G$7=0,"-",G7/$G$7)</f>
        <v>1</v>
      </c>
      <c r="N7" s="52">
        <f t="shared" ref="N7:N21" si="6">IF($H$7=0,"-",H7/$H$7)</f>
        <v>1</v>
      </c>
      <c r="O7" s="51" t="str">
        <f t="shared" ref="O7:O21" si="7">IF(ABS(I7)&lt;SM,"",IF(I7&gt;0,"Favorable","Défavorable"))</f>
        <v>Défavorable</v>
      </c>
    </row>
    <row r="8" spans="2:15" ht="15" customHeight="1" thickBot="1" x14ac:dyDescent="0.35">
      <c r="B8" s="44" t="s">
        <v>34</v>
      </c>
      <c r="C8" s="43">
        <f>SUMIFS(AGREG_PQ[Reel_M],AGREG_PQ[PosteP&amp;L],$B8)</f>
        <v>0</v>
      </c>
      <c r="D8" s="43">
        <f>SUMIFS(AGREG_PQ[Budget_M],AGREG_PQ[PosteP&amp;L],$B8)</f>
        <v>0</v>
      </c>
      <c r="E8" s="43">
        <f t="shared" si="0"/>
        <v>0</v>
      </c>
      <c r="F8" s="42" t="str">
        <f t="shared" si="1"/>
        <v>-</v>
      </c>
      <c r="G8" s="43">
        <f>SUMIFS(AGREG_PQ[Reel_YTD],AGREG_PQ[PosteP&amp;L],$B8)</f>
        <v>0</v>
      </c>
      <c r="H8" s="43">
        <f>SUMIFS(AGREG_PQ[Budget_YTD],AGREG_PQ[PosteP&amp;L],$B8)</f>
        <v>0</v>
      </c>
      <c r="I8" s="43">
        <f t="shared" si="2"/>
        <v>0</v>
      </c>
      <c r="J8" s="42" t="str">
        <f t="shared" si="3"/>
        <v>-</v>
      </c>
      <c r="K8" s="43">
        <f>SUMIFS(AGREG_PQ[Reel_N1_YTD],AGREG_PQ[PosteP&amp;L],$B8)</f>
        <v>0</v>
      </c>
      <c r="L8" s="42" t="str">
        <f t="shared" si="4"/>
        <v>-</v>
      </c>
      <c r="M8" s="42">
        <f t="shared" si="5"/>
        <v>0</v>
      </c>
      <c r="N8" s="42">
        <f t="shared" si="6"/>
        <v>0</v>
      </c>
      <c r="O8" s="51" t="str">
        <f t="shared" si="7"/>
        <v/>
      </c>
    </row>
    <row r="9" spans="2:15" ht="15" customHeight="1" x14ac:dyDescent="0.3">
      <c r="B9" s="47" t="s">
        <v>35</v>
      </c>
      <c r="C9" s="46">
        <f>C7+C8</f>
        <v>763.30000000000018</v>
      </c>
      <c r="D9" s="46">
        <f>D7+D8</f>
        <v>675.28999999999985</v>
      </c>
      <c r="E9" s="46">
        <f t="shared" si="0"/>
        <v>88.010000000000332</v>
      </c>
      <c r="F9" s="45">
        <f t="shared" si="1"/>
        <v>0.13032919190273862</v>
      </c>
      <c r="G9" s="46">
        <f>G7+G8</f>
        <v>2637.590000000002</v>
      </c>
      <c r="H9" s="46">
        <f>H7+H8</f>
        <v>2708.6199999999976</v>
      </c>
      <c r="I9" s="46">
        <f t="shared" si="2"/>
        <v>-71.029999999995653</v>
      </c>
      <c r="J9" s="45">
        <f t="shared" si="3"/>
        <v>-2.6223685862171775E-2</v>
      </c>
      <c r="K9" s="46">
        <f>K7+K8</f>
        <v>2367.3499999999945</v>
      </c>
      <c r="L9" s="45">
        <f t="shared" si="4"/>
        <v>0.11415295583669847</v>
      </c>
      <c r="M9" s="45">
        <f t="shared" si="5"/>
        <v>1</v>
      </c>
      <c r="N9" s="45">
        <f t="shared" si="6"/>
        <v>1</v>
      </c>
      <c r="O9" s="51" t="str">
        <f t="shared" si="7"/>
        <v>Défavorable</v>
      </c>
    </row>
    <row r="10" spans="2:15" ht="15" customHeight="1" x14ac:dyDescent="0.3">
      <c r="B10" s="44" t="s">
        <v>36</v>
      </c>
      <c r="C10" s="43">
        <f>SUMIFS(AGREG_PQ[Reel_M],AGREG_PQ[PosteP&amp;L],$B10)</f>
        <v>0</v>
      </c>
      <c r="D10" s="43">
        <f>SUMIFS(AGREG_PQ[Budget_M],AGREG_PQ[PosteP&amp;L],$B10)</f>
        <v>0</v>
      </c>
      <c r="E10" s="43">
        <f t="shared" si="0"/>
        <v>0</v>
      </c>
      <c r="F10" s="42" t="str">
        <f t="shared" si="1"/>
        <v>-</v>
      </c>
      <c r="G10" s="43">
        <f>SUMIFS(AGREG_PQ[Reel_YTD],AGREG_PQ[PosteP&amp;L],$B10)</f>
        <v>0</v>
      </c>
      <c r="H10" s="43">
        <f>SUMIFS(AGREG_PQ[Budget_YTD],AGREG_PQ[PosteP&amp;L],$B10)</f>
        <v>0</v>
      </c>
      <c r="I10" s="43">
        <f t="shared" si="2"/>
        <v>0</v>
      </c>
      <c r="J10" s="42" t="str">
        <f t="shared" si="3"/>
        <v>-</v>
      </c>
      <c r="K10" s="43">
        <f>SUMIFS(AGREG_PQ[Reel_N1_YTD],AGREG_PQ[PosteP&amp;L],$B10)</f>
        <v>0</v>
      </c>
      <c r="L10" s="42" t="str">
        <f t="shared" si="4"/>
        <v>-</v>
      </c>
      <c r="M10" s="42">
        <f t="shared" si="5"/>
        <v>0</v>
      </c>
      <c r="N10" s="42">
        <f t="shared" si="6"/>
        <v>0</v>
      </c>
      <c r="O10" s="51" t="str">
        <f t="shared" si="7"/>
        <v/>
      </c>
    </row>
    <row r="11" spans="2:15" ht="15" customHeight="1" x14ac:dyDescent="0.3">
      <c r="B11" s="54" t="s">
        <v>37</v>
      </c>
      <c r="C11" s="53">
        <f>SUMIFS(AGREG_PQ[Reel_M],AGREG_PQ[PosteP&amp;L],$B11)</f>
        <v>0</v>
      </c>
      <c r="D11" s="53">
        <f>SUMIFS(AGREG_PQ[Budget_M],AGREG_PQ[PosteP&amp;L],$B11)</f>
        <v>0</v>
      </c>
      <c r="E11" s="53">
        <f t="shared" si="0"/>
        <v>0</v>
      </c>
      <c r="F11" s="52" t="str">
        <f t="shared" si="1"/>
        <v>-</v>
      </c>
      <c r="G11" s="53">
        <f>SUMIFS(AGREG_PQ[Reel_YTD],AGREG_PQ[PosteP&amp;L],$B11)</f>
        <v>0</v>
      </c>
      <c r="H11" s="53">
        <f>SUMIFS(AGREG_PQ[Budget_YTD],AGREG_PQ[PosteP&amp;L],$B11)</f>
        <v>0</v>
      </c>
      <c r="I11" s="53">
        <f t="shared" si="2"/>
        <v>0</v>
      </c>
      <c r="J11" s="52" t="str">
        <f t="shared" si="3"/>
        <v>-</v>
      </c>
      <c r="K11" s="53">
        <f>SUMIFS(AGREG_PQ[Reel_N1_YTD],AGREG_PQ[PosteP&amp;L],$B11)</f>
        <v>0</v>
      </c>
      <c r="L11" s="52" t="str">
        <f t="shared" si="4"/>
        <v>-</v>
      </c>
      <c r="M11" s="52">
        <f t="shared" si="5"/>
        <v>0</v>
      </c>
      <c r="N11" s="52">
        <f t="shared" si="6"/>
        <v>0</v>
      </c>
      <c r="O11" s="51" t="str">
        <f t="shared" si="7"/>
        <v/>
      </c>
    </row>
    <row r="12" spans="2:15" ht="15" customHeight="1" x14ac:dyDescent="0.3">
      <c r="B12" s="44" t="s">
        <v>38</v>
      </c>
      <c r="C12" s="43">
        <f>SUMIFS(AGREG_PQ[Reel_M],AGREG_PQ[PosteP&amp;L],$B12)</f>
        <v>0</v>
      </c>
      <c r="D12" s="43">
        <f>SUMIFS(AGREG_PQ[Budget_M],AGREG_PQ[PosteP&amp;L],$B12)</f>
        <v>0</v>
      </c>
      <c r="E12" s="43">
        <f t="shared" si="0"/>
        <v>0</v>
      </c>
      <c r="F12" s="42" t="str">
        <f t="shared" si="1"/>
        <v>-</v>
      </c>
      <c r="G12" s="43">
        <f>SUMIFS(AGREG_PQ[Reel_YTD],AGREG_PQ[PosteP&amp;L],$B12)</f>
        <v>0</v>
      </c>
      <c r="H12" s="43">
        <f>SUMIFS(AGREG_PQ[Budget_YTD],AGREG_PQ[PosteP&amp;L],$B12)</f>
        <v>0</v>
      </c>
      <c r="I12" s="43">
        <f t="shared" si="2"/>
        <v>0</v>
      </c>
      <c r="J12" s="42" t="str">
        <f t="shared" si="3"/>
        <v>-</v>
      </c>
      <c r="K12" s="43">
        <f>SUMIFS(AGREG_PQ[Reel_N1_YTD],AGREG_PQ[PosteP&amp;L],$B12)</f>
        <v>0</v>
      </c>
      <c r="L12" s="42" t="str">
        <f t="shared" si="4"/>
        <v>-</v>
      </c>
      <c r="M12" s="42">
        <f t="shared" si="5"/>
        <v>0</v>
      </c>
      <c r="N12" s="42">
        <f t="shared" si="6"/>
        <v>0</v>
      </c>
      <c r="O12" s="51" t="str">
        <f t="shared" si="7"/>
        <v/>
      </c>
    </row>
    <row r="13" spans="2:15" ht="15" customHeight="1" x14ac:dyDescent="0.3">
      <c r="B13" s="54" t="s">
        <v>39</v>
      </c>
      <c r="C13" s="53">
        <f>SUMIFS(AGREG_PQ[Reel_M],AGREG_PQ[PosteP&amp;L],$B13)</f>
        <v>0</v>
      </c>
      <c r="D13" s="53">
        <f>SUMIFS(AGREG_PQ[Budget_M],AGREG_PQ[PosteP&amp;L],$B13)</f>
        <v>0</v>
      </c>
      <c r="E13" s="53">
        <f t="shared" si="0"/>
        <v>0</v>
      </c>
      <c r="F13" s="52" t="str">
        <f t="shared" si="1"/>
        <v>-</v>
      </c>
      <c r="G13" s="53">
        <f>SUMIFS(AGREG_PQ[Reel_YTD],AGREG_PQ[PosteP&amp;L],$B13)</f>
        <v>0</v>
      </c>
      <c r="H13" s="53">
        <f>SUMIFS(AGREG_PQ[Budget_YTD],AGREG_PQ[PosteP&amp;L],$B13)</f>
        <v>0</v>
      </c>
      <c r="I13" s="53">
        <f t="shared" si="2"/>
        <v>0</v>
      </c>
      <c r="J13" s="52" t="str">
        <f t="shared" si="3"/>
        <v>-</v>
      </c>
      <c r="K13" s="53">
        <f>SUMIFS(AGREG_PQ[Reel_N1_YTD],AGREG_PQ[PosteP&amp;L],$B13)</f>
        <v>0</v>
      </c>
      <c r="L13" s="52" t="str">
        <f t="shared" si="4"/>
        <v>-</v>
      </c>
      <c r="M13" s="52">
        <f t="shared" si="5"/>
        <v>0</v>
      </c>
      <c r="N13" s="52">
        <f t="shared" si="6"/>
        <v>0</v>
      </c>
      <c r="O13" s="51" t="str">
        <f t="shared" si="7"/>
        <v/>
      </c>
    </row>
    <row r="14" spans="2:15" ht="15" customHeight="1" thickBot="1" x14ac:dyDescent="0.35">
      <c r="B14" s="44" t="s">
        <v>40</v>
      </c>
      <c r="C14" s="43">
        <f>SUMIFS(AGREG_PQ[Reel_M],AGREG_PQ[PosteP&amp;L],$B14)</f>
        <v>0</v>
      </c>
      <c r="D14" s="43">
        <f>SUMIFS(AGREG_PQ[Budget_M],AGREG_PQ[PosteP&amp;L],$B14)</f>
        <v>0</v>
      </c>
      <c r="E14" s="43">
        <f t="shared" si="0"/>
        <v>0</v>
      </c>
      <c r="F14" s="42" t="str">
        <f t="shared" si="1"/>
        <v>-</v>
      </c>
      <c r="G14" s="43">
        <f>SUMIFS(AGREG_PQ[Reel_YTD],AGREG_PQ[PosteP&amp;L],$B14)</f>
        <v>0</v>
      </c>
      <c r="H14" s="43">
        <f>SUMIFS(AGREG_PQ[Budget_YTD],AGREG_PQ[PosteP&amp;L],$B14)</f>
        <v>0</v>
      </c>
      <c r="I14" s="43">
        <f t="shared" si="2"/>
        <v>0</v>
      </c>
      <c r="J14" s="42" t="str">
        <f t="shared" si="3"/>
        <v>-</v>
      </c>
      <c r="K14" s="43">
        <f>SUMIFS(AGREG_PQ[Reel_N1_YTD],AGREG_PQ[PosteP&amp;L],$B14)</f>
        <v>0</v>
      </c>
      <c r="L14" s="42" t="str">
        <f t="shared" si="4"/>
        <v>-</v>
      </c>
      <c r="M14" s="42">
        <f t="shared" si="5"/>
        <v>0</v>
      </c>
      <c r="N14" s="42">
        <f t="shared" si="6"/>
        <v>0</v>
      </c>
      <c r="O14" s="51" t="str">
        <f t="shared" si="7"/>
        <v/>
      </c>
    </row>
    <row r="15" spans="2:15" ht="15" customHeight="1" x14ac:dyDescent="0.3">
      <c r="B15" s="50" t="s">
        <v>24</v>
      </c>
      <c r="C15" s="49">
        <f>C7+C8+C10+C11+C12+C13+C14</f>
        <v>763.30000000000018</v>
      </c>
      <c r="D15" s="49">
        <f>D7+D8+D10+D11+D12+D13+D14</f>
        <v>675.28999999999985</v>
      </c>
      <c r="E15" s="49">
        <f t="shared" si="0"/>
        <v>88.010000000000332</v>
      </c>
      <c r="F15" s="48">
        <f t="shared" si="1"/>
        <v>0.13032919190273862</v>
      </c>
      <c r="G15" s="49">
        <f>G7+G8+G10+G11+G12+G13+G14</f>
        <v>2637.590000000002</v>
      </c>
      <c r="H15" s="49">
        <f>H7+H8+H10+H11+H12+H13+H14</f>
        <v>2708.6199999999976</v>
      </c>
      <c r="I15" s="49">
        <f t="shared" si="2"/>
        <v>-71.029999999995653</v>
      </c>
      <c r="J15" s="48">
        <f t="shared" si="3"/>
        <v>-2.6223685862171775E-2</v>
      </c>
      <c r="K15" s="49">
        <f>K7+K8+K10+K11+K12+K13+K14</f>
        <v>2367.3499999999945</v>
      </c>
      <c r="L15" s="48">
        <f t="shared" si="4"/>
        <v>0.11415295583669847</v>
      </c>
      <c r="M15" s="48">
        <f t="shared" si="5"/>
        <v>1</v>
      </c>
      <c r="N15" s="48">
        <f t="shared" si="6"/>
        <v>1</v>
      </c>
      <c r="O15" s="51" t="str">
        <f t="shared" si="7"/>
        <v>Défavorable</v>
      </c>
    </row>
    <row r="16" spans="2:15" ht="15" customHeight="1" thickBot="1" x14ac:dyDescent="0.35">
      <c r="B16" s="44" t="s">
        <v>41</v>
      </c>
      <c r="C16" s="43">
        <f>SUMIFS(AGREG_PQ[Reel_M],AGREG_PQ[PosteP&amp;L],$B16)</f>
        <v>0</v>
      </c>
      <c r="D16" s="43">
        <f>SUMIFS(AGREG_PQ[Budget_M],AGREG_PQ[PosteP&amp;L],$B16)</f>
        <v>0</v>
      </c>
      <c r="E16" s="43">
        <f t="shared" si="0"/>
        <v>0</v>
      </c>
      <c r="F16" s="42" t="str">
        <f t="shared" si="1"/>
        <v>-</v>
      </c>
      <c r="G16" s="43">
        <f>SUMIFS(AGREG_PQ[Reel_YTD],AGREG_PQ[PosteP&amp;L],$B16)</f>
        <v>0</v>
      </c>
      <c r="H16" s="43">
        <f>SUMIFS(AGREG_PQ[Budget_YTD],AGREG_PQ[PosteP&amp;L],$B16)</f>
        <v>0</v>
      </c>
      <c r="I16" s="43">
        <f t="shared" si="2"/>
        <v>0</v>
      </c>
      <c r="J16" s="42" t="str">
        <f t="shared" si="3"/>
        <v>-</v>
      </c>
      <c r="K16" s="43">
        <f>SUMIFS(AGREG_PQ[Reel_N1_YTD],AGREG_PQ[PosteP&amp;L],$B16)</f>
        <v>0</v>
      </c>
      <c r="L16" s="42" t="str">
        <f t="shared" si="4"/>
        <v>-</v>
      </c>
      <c r="M16" s="42">
        <f t="shared" si="5"/>
        <v>0</v>
      </c>
      <c r="N16" s="42">
        <f t="shared" si="6"/>
        <v>0</v>
      </c>
      <c r="O16" s="51" t="str">
        <f t="shared" si="7"/>
        <v/>
      </c>
    </row>
    <row r="17" spans="2:15" ht="15" customHeight="1" x14ac:dyDescent="0.3">
      <c r="B17" s="50" t="s">
        <v>42</v>
      </c>
      <c r="C17" s="49">
        <f>C15+C16</f>
        <v>763.30000000000018</v>
      </c>
      <c r="D17" s="49">
        <f>D15+D16</f>
        <v>675.28999999999985</v>
      </c>
      <c r="E17" s="49">
        <f t="shared" si="0"/>
        <v>88.010000000000332</v>
      </c>
      <c r="F17" s="48">
        <f t="shared" si="1"/>
        <v>0.13032919190273862</v>
      </c>
      <c r="G17" s="49">
        <f>G15+G16</f>
        <v>2637.590000000002</v>
      </c>
      <c r="H17" s="49">
        <f>H15+H16</f>
        <v>2708.6199999999976</v>
      </c>
      <c r="I17" s="49">
        <f t="shared" si="2"/>
        <v>-71.029999999995653</v>
      </c>
      <c r="J17" s="48">
        <f t="shared" si="3"/>
        <v>-2.6223685862171775E-2</v>
      </c>
      <c r="K17" s="49">
        <f>K15+K16</f>
        <v>2367.3499999999945</v>
      </c>
      <c r="L17" s="48">
        <f t="shared" si="4"/>
        <v>0.11415295583669847</v>
      </c>
      <c r="M17" s="48">
        <f t="shared" si="5"/>
        <v>1</v>
      </c>
      <c r="N17" s="48">
        <f t="shared" si="6"/>
        <v>1</v>
      </c>
      <c r="O17" s="51" t="str">
        <f t="shared" si="7"/>
        <v>Défavorable</v>
      </c>
    </row>
    <row r="18" spans="2:15" ht="15" customHeight="1" thickBot="1" x14ac:dyDescent="0.35">
      <c r="B18" s="44" t="s">
        <v>43</v>
      </c>
      <c r="C18" s="43">
        <f>SUMIFS(AGREG_PQ[Reel_M],AGREG_PQ[PosteP&amp;L],$B18)</f>
        <v>0</v>
      </c>
      <c r="D18" s="43">
        <f>SUMIFS(AGREG_PQ[Budget_M],AGREG_PQ[PosteP&amp;L],$B18)</f>
        <v>0</v>
      </c>
      <c r="E18" s="43">
        <f t="shared" si="0"/>
        <v>0</v>
      </c>
      <c r="F18" s="42" t="str">
        <f t="shared" si="1"/>
        <v>-</v>
      </c>
      <c r="G18" s="43">
        <f>SUMIFS(AGREG_PQ[Reel_YTD],AGREG_PQ[PosteP&amp;L],$B18)</f>
        <v>0</v>
      </c>
      <c r="H18" s="43">
        <f>SUMIFS(AGREG_PQ[Budget_YTD],AGREG_PQ[PosteP&amp;L],$B18)</f>
        <v>0</v>
      </c>
      <c r="I18" s="43">
        <f t="shared" si="2"/>
        <v>0</v>
      </c>
      <c r="J18" s="42" t="str">
        <f t="shared" si="3"/>
        <v>-</v>
      </c>
      <c r="K18" s="43">
        <f>SUMIFS(AGREG_PQ[Reel_N1_YTD],AGREG_PQ[PosteP&amp;L],$B18)</f>
        <v>0</v>
      </c>
      <c r="L18" s="42" t="str">
        <f t="shared" si="4"/>
        <v>-</v>
      </c>
      <c r="M18" s="42">
        <f t="shared" si="5"/>
        <v>0</v>
      </c>
      <c r="N18" s="42">
        <f t="shared" si="6"/>
        <v>0</v>
      </c>
      <c r="O18" s="51" t="str">
        <f t="shared" si="7"/>
        <v/>
      </c>
    </row>
    <row r="19" spans="2:15" ht="15" customHeight="1" x14ac:dyDescent="0.3">
      <c r="B19" s="47" t="s">
        <v>44</v>
      </c>
      <c r="C19" s="46">
        <f>C17+C18</f>
        <v>763.30000000000018</v>
      </c>
      <c r="D19" s="46">
        <f>D17+D18</f>
        <v>675.28999999999985</v>
      </c>
      <c r="E19" s="46">
        <f t="shared" si="0"/>
        <v>88.010000000000332</v>
      </c>
      <c r="F19" s="45">
        <f t="shared" si="1"/>
        <v>0.13032919190273862</v>
      </c>
      <c r="G19" s="46">
        <f>G17+G18</f>
        <v>2637.590000000002</v>
      </c>
      <c r="H19" s="46">
        <f>H17+H18</f>
        <v>2708.6199999999976</v>
      </c>
      <c r="I19" s="46">
        <f t="shared" si="2"/>
        <v>-71.029999999995653</v>
      </c>
      <c r="J19" s="45">
        <f t="shared" si="3"/>
        <v>-2.6223685862171775E-2</v>
      </c>
      <c r="K19" s="46">
        <f>K17+K18</f>
        <v>2367.3499999999945</v>
      </c>
      <c r="L19" s="45">
        <f t="shared" si="4"/>
        <v>0.11415295583669847</v>
      </c>
      <c r="M19" s="45">
        <f t="shared" si="5"/>
        <v>1</v>
      </c>
      <c r="N19" s="45">
        <f t="shared" si="6"/>
        <v>1</v>
      </c>
      <c r="O19" s="51" t="str">
        <f t="shared" si="7"/>
        <v>Défavorable</v>
      </c>
    </row>
    <row r="20" spans="2:15" ht="15" customHeight="1" thickBot="1" x14ac:dyDescent="0.35">
      <c r="B20" s="44" t="s">
        <v>45</v>
      </c>
      <c r="C20" s="43">
        <f>SUMIFS(AGREG_PQ[Reel_M],AGREG_PQ[PosteP&amp;L],$B20)</f>
        <v>0</v>
      </c>
      <c r="D20" s="43">
        <f>SUMIFS(AGREG_PQ[Budget_M],AGREG_PQ[PosteP&amp;L],$B20)</f>
        <v>0</v>
      </c>
      <c r="E20" s="43">
        <f t="shared" si="0"/>
        <v>0</v>
      </c>
      <c r="F20" s="42" t="str">
        <f t="shared" si="1"/>
        <v>-</v>
      </c>
      <c r="G20" s="43">
        <f>SUMIFS(AGREG_PQ[Reel_YTD],AGREG_PQ[PosteP&amp;L],$B20)</f>
        <v>0</v>
      </c>
      <c r="H20" s="43">
        <f>SUMIFS(AGREG_PQ[Budget_YTD],AGREG_PQ[PosteP&amp;L],$B20)</f>
        <v>0</v>
      </c>
      <c r="I20" s="43">
        <f t="shared" si="2"/>
        <v>0</v>
      </c>
      <c r="J20" s="42" t="str">
        <f t="shared" si="3"/>
        <v>-</v>
      </c>
      <c r="K20" s="43">
        <f>SUMIFS(AGREG_PQ[Reel_N1_YTD],AGREG_PQ[PosteP&amp;L],$B20)</f>
        <v>0</v>
      </c>
      <c r="L20" s="42" t="str">
        <f t="shared" si="4"/>
        <v>-</v>
      </c>
      <c r="M20" s="42">
        <f t="shared" si="5"/>
        <v>0</v>
      </c>
      <c r="N20" s="42">
        <f t="shared" si="6"/>
        <v>0</v>
      </c>
      <c r="O20" s="51" t="str">
        <f t="shared" si="7"/>
        <v/>
      </c>
    </row>
    <row r="21" spans="2:15" ht="15" customHeight="1" x14ac:dyDescent="0.3">
      <c r="B21" s="41" t="s">
        <v>46</v>
      </c>
      <c r="C21" s="40">
        <f>C19+C20</f>
        <v>763.30000000000018</v>
      </c>
      <c r="D21" s="40">
        <f>D19+D20</f>
        <v>675.28999999999985</v>
      </c>
      <c r="E21" s="40">
        <f t="shared" si="0"/>
        <v>88.010000000000332</v>
      </c>
      <c r="F21" s="39">
        <f t="shared" si="1"/>
        <v>0.13032919190273862</v>
      </c>
      <c r="G21" s="40">
        <f>G19+G20</f>
        <v>2637.590000000002</v>
      </c>
      <c r="H21" s="40">
        <f>H19+H20</f>
        <v>2708.6199999999976</v>
      </c>
      <c r="I21" s="40">
        <f t="shared" si="2"/>
        <v>-71.029999999995653</v>
      </c>
      <c r="J21" s="39">
        <f t="shared" si="3"/>
        <v>-2.6223685862171775E-2</v>
      </c>
      <c r="K21" s="40">
        <f>K19+K20</f>
        <v>2367.3499999999945</v>
      </c>
      <c r="L21" s="39">
        <f t="shared" si="4"/>
        <v>0.11415295583669847</v>
      </c>
      <c r="M21" s="39">
        <f t="shared" si="5"/>
        <v>1</v>
      </c>
      <c r="N21" s="39">
        <f t="shared" si="6"/>
        <v>1</v>
      </c>
      <c r="O21" s="51" t="str">
        <f t="shared" si="7"/>
        <v>Défavorable</v>
      </c>
    </row>
    <row r="24" spans="2:15" ht="15" customHeight="1" x14ac:dyDescent="0.3">
      <c r="B24" s="87" t="s">
        <v>130</v>
      </c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</row>
    <row r="46" spans="2:15" x14ac:dyDescent="0.3">
      <c r="B46" s="87" t="s">
        <v>1214</v>
      </c>
      <c r="C46" s="87"/>
      <c r="D46" s="87"/>
      <c r="E46" s="87"/>
      <c r="F46" s="87"/>
      <c r="G46" s="87"/>
      <c r="H46" s="87"/>
      <c r="I46" s="87"/>
      <c r="J46" s="87"/>
      <c r="K46" s="87"/>
      <c r="L46" s="87"/>
      <c r="M46" s="87"/>
      <c r="N46" s="87"/>
      <c r="O46" s="87"/>
    </row>
    <row r="47" spans="2:15" x14ac:dyDescent="0.3">
      <c r="B47" s="14" t="s">
        <v>6</v>
      </c>
      <c r="C47" s="14" t="s">
        <v>1215</v>
      </c>
      <c r="D47" s="14" t="s">
        <v>1216</v>
      </c>
      <c r="E47" s="14" t="s">
        <v>1217</v>
      </c>
      <c r="F47" s="14" t="s">
        <v>1218</v>
      </c>
    </row>
    <row r="48" spans="2:15" x14ac:dyDescent="0.3">
      <c r="B48" s="15" t="s">
        <v>8</v>
      </c>
      <c r="C48" s="58" t="e">
        <f>_CALC!#REF!</f>
        <v>#REF!</v>
      </c>
      <c r="D48" s="58" t="e">
        <f>_CALC!#REF!</f>
        <v>#REF!</v>
      </c>
      <c r="E48" s="58" t="e">
        <f>_CALC!#REF!</f>
        <v>#REF!</v>
      </c>
      <c r="F48" s="58" t="e">
        <f>_CALC!#REF!</f>
        <v>#REF!</v>
      </c>
    </row>
    <row r="49" spans="2:6" x14ac:dyDescent="0.3">
      <c r="B49" s="15" t="s">
        <v>10</v>
      </c>
      <c r="C49" s="58" t="e">
        <f>_CALC!#REF!</f>
        <v>#REF!</v>
      </c>
      <c r="D49" s="58" t="e">
        <f>_CALC!#REF!</f>
        <v>#REF!</v>
      </c>
      <c r="E49" s="58" t="e">
        <f>_CALC!#REF!</f>
        <v>#REF!</v>
      </c>
      <c r="F49" s="58" t="e">
        <f>_CALC!#REF!</f>
        <v>#REF!</v>
      </c>
    </row>
    <row r="50" spans="2:6" x14ac:dyDescent="0.3">
      <c r="B50" s="15" t="s">
        <v>12</v>
      </c>
      <c r="C50" s="58" t="e">
        <f>_CALC!#REF!</f>
        <v>#REF!</v>
      </c>
      <c r="D50" s="58" t="e">
        <f>_CALC!#REF!</f>
        <v>#REF!</v>
      </c>
      <c r="E50" s="58" t="e">
        <f>_CALC!#REF!</f>
        <v>#REF!</v>
      </c>
      <c r="F50" s="58" t="e">
        <f>_CALC!#REF!</f>
        <v>#REF!</v>
      </c>
    </row>
    <row r="51" spans="2:6" x14ac:dyDescent="0.3">
      <c r="B51" s="15" t="s">
        <v>14</v>
      </c>
      <c r="C51" s="58" t="e">
        <f>_CALC!#REF!</f>
        <v>#REF!</v>
      </c>
      <c r="D51" s="58" t="e">
        <f>_CALC!#REF!</f>
        <v>#REF!</v>
      </c>
      <c r="E51" s="58" t="e">
        <f>_CALC!#REF!</f>
        <v>#REF!</v>
      </c>
      <c r="F51" s="58" t="e">
        <f>_CALC!#REF!</f>
        <v>#REF!</v>
      </c>
    </row>
    <row r="52" spans="2:6" x14ac:dyDescent="0.3">
      <c r="B52" s="15" t="s">
        <v>16</v>
      </c>
      <c r="C52" s="58">
        <f>_CALC!K86</f>
        <v>-71.029999999995823</v>
      </c>
      <c r="D52" s="58">
        <f>_CALC!L86</f>
        <v>-40.742758745402497</v>
      </c>
      <c r="E52" s="58">
        <f>_CALC!M86</f>
        <v>-30.74977594112913</v>
      </c>
      <c r="F52" s="58">
        <f>_CALC!N86</f>
        <v>0.46253468653580321</v>
      </c>
    </row>
    <row r="53" spans="2:6" x14ac:dyDescent="0.3">
      <c r="B53" s="16" t="s">
        <v>50</v>
      </c>
      <c r="C53" s="17" t="e">
        <f>SUM(C48:C52)</f>
        <v>#REF!</v>
      </c>
      <c r="D53" s="17" t="e">
        <f>SUM(D48:D52)</f>
        <v>#REF!</v>
      </c>
      <c r="E53" s="17" t="e">
        <f>SUM(E48:E52)</f>
        <v>#REF!</v>
      </c>
      <c r="F53" s="17" t="e">
        <f>SUM(F48:F52)</f>
        <v>#REF!</v>
      </c>
    </row>
  </sheetData>
  <mergeCells count="8">
    <mergeCell ref="M5:N5"/>
    <mergeCell ref="B24:O24"/>
    <mergeCell ref="B46:O46"/>
    <mergeCell ref="B2:L2"/>
    <mergeCell ref="B3:L3"/>
    <mergeCell ref="C5:F5"/>
    <mergeCell ref="G5:J5"/>
    <mergeCell ref="K5:L5"/>
  </mergeCells>
  <conditionalFormatting sqref="C48:F52">
    <cfRule type="cellIs" dxfId="13" priority="11" operator="greaterThan">
      <formula>0</formula>
    </cfRule>
    <cfRule type="cellIs" dxfId="12" priority="12" operator="lessThan">
      <formula>0</formula>
    </cfRule>
  </conditionalFormatting>
  <conditionalFormatting sqref="F7:F21">
    <cfRule type="cellIs" dxfId="11" priority="3" operator="greaterThan">
      <formula>0.001</formula>
    </cfRule>
    <cfRule type="cellIs" dxfId="10" priority="4" operator="lessThan">
      <formula>-0.001</formula>
    </cfRule>
  </conditionalFormatting>
  <conditionalFormatting sqref="J7:J21">
    <cfRule type="cellIs" dxfId="9" priority="5" operator="greaterThan">
      <formula>0.001</formula>
    </cfRule>
    <cfRule type="cellIs" dxfId="8" priority="6" operator="lessThan">
      <formula>-0.001</formula>
    </cfRule>
  </conditionalFormatting>
  <conditionalFormatting sqref="L7:L21">
    <cfRule type="cellIs" dxfId="7" priority="7" operator="greaterThan">
      <formula>0.001</formula>
    </cfRule>
    <cfRule type="cellIs" dxfId="6" priority="8" operator="lessThan">
      <formula>-0.001</formula>
    </cfRule>
  </conditionalFormatting>
  <conditionalFormatting sqref="O7:O21">
    <cfRule type="expression" dxfId="5" priority="1">
      <formula>$O7="Défavorable"</formula>
    </cfRule>
    <cfRule type="expression" dxfId="4" priority="2">
      <formula>$O7="Favorable"</formula>
    </cfRule>
  </conditionalFormatting>
  <printOptions horizontalCentered="1"/>
  <pageMargins left="0.3" right="0.3" top="0.5" bottom="0.4" header="0.511811023622047" footer="0.511811023622047"/>
  <pageSetup paperSize="9" scale="80" fitToHeight="0" orientation="landscape" r:id="rId1"/>
  <headerFooter>
    <oddHeader>&amp;C&amp;"Arial,Bold"&amp;12 Atlas Agro Holding - Package de cloture</oddHeader>
    <oddFooter>&amp;L&amp;"Arial"&amp;8 PACKAGE_PnL&amp;C&amp;"Arial"&amp;8 Page &amp;P / &amp;N&amp;R&amp;"Arial"&amp;8 &amp;D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500A9-D1BB-48FE-B4AE-9AF050A81A88}">
  <sheetPr codeName="Feuil4">
    <pageSetUpPr fitToPage="1"/>
  </sheetPr>
  <dimension ref="B2:N97"/>
  <sheetViews>
    <sheetView showGridLines="0" topLeftCell="A18" zoomScaleNormal="100" workbookViewId="0">
      <selection activeCell="FH25" sqref="FH25"/>
    </sheetView>
  </sheetViews>
  <sheetFormatPr baseColWidth="10" defaultColWidth="8.6640625" defaultRowHeight="14.4" x14ac:dyDescent="0.3"/>
  <cols>
    <col min="1" max="1" width="2" customWidth="1"/>
    <col min="2" max="2" width="26" customWidth="1"/>
    <col min="3" max="4" width="11" customWidth="1"/>
    <col min="5" max="5" width="10" customWidth="1"/>
    <col min="6" max="6" width="8" customWidth="1"/>
    <col min="7" max="7" width="11" customWidth="1"/>
    <col min="8" max="8" width="9" customWidth="1"/>
    <col min="9" max="9" width="11" customWidth="1"/>
    <col min="10" max="10" width="8" customWidth="1"/>
    <col min="11" max="11" width="11" customWidth="1"/>
    <col min="12" max="12" width="9" customWidth="1"/>
    <col min="13" max="13" width="11" customWidth="1"/>
    <col min="14" max="14" width="8" customWidth="1"/>
  </cols>
  <sheetData>
    <row r="2" spans="2:14" ht="17.25" customHeight="1" x14ac:dyDescent="0.3">
      <c r="B2" s="96" t="s">
        <v>129</v>
      </c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</row>
    <row r="3" spans="2:14" ht="15" customHeight="1" x14ac:dyDescent="0.3">
      <c r="B3" s="89" t="str">
        <f>"Période : "&amp;PARAM!C6&amp;"   |   Montants en k€   |   Atlas Agro Holding"</f>
        <v>Période : Clôture février 2026   |   Montants en k€   |   Atlas Agro Holding</v>
      </c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</row>
    <row r="4" spans="2:14" hidden="1" x14ac:dyDescent="0.3"/>
    <row r="5" spans="2:14" ht="15" customHeight="1" x14ac:dyDescent="0.3">
      <c r="B5" s="87" t="s">
        <v>128</v>
      </c>
      <c r="C5" s="87"/>
      <c r="D5" s="87"/>
      <c r="E5" s="87"/>
      <c r="F5" s="87"/>
      <c r="G5" s="87"/>
      <c r="H5" s="87"/>
      <c r="I5" s="87"/>
      <c r="J5" s="87"/>
      <c r="K5" s="87"/>
      <c r="L5" s="87"/>
      <c r="M5" s="87"/>
      <c r="N5" s="87"/>
    </row>
    <row r="6" spans="2:14" ht="15" customHeight="1" x14ac:dyDescent="0.3">
      <c r="B6" s="33" t="s">
        <v>6</v>
      </c>
      <c r="C6" s="32" t="s">
        <v>47</v>
      </c>
      <c r="D6" s="32" t="s">
        <v>48</v>
      </c>
      <c r="E6" s="32" t="s">
        <v>119</v>
      </c>
      <c r="F6" s="32" t="s">
        <v>30</v>
      </c>
      <c r="G6" s="32" t="s">
        <v>127</v>
      </c>
      <c r="H6" s="32" t="s">
        <v>126</v>
      </c>
      <c r="I6" s="32" t="s">
        <v>49</v>
      </c>
      <c r="J6" s="32" t="s">
        <v>125</v>
      </c>
      <c r="K6" s="32" t="s">
        <v>24</v>
      </c>
      <c r="L6" s="32" t="s">
        <v>117</v>
      </c>
      <c r="M6" s="32" t="s">
        <v>124</v>
      </c>
      <c r="N6" s="32" t="s">
        <v>123</v>
      </c>
    </row>
    <row r="7" spans="2:14" ht="15" customHeight="1" x14ac:dyDescent="0.3">
      <c r="B7" s="29" t="s">
        <v>8</v>
      </c>
      <c r="C7" s="37">
        <f>SUMIFS(AGREG_PQ[Reel_YTD],AGREG_PQ[CodeEntite],"BU01",AGREG_PQ[PosteP&amp;L],"Chiffre d'affaires")</f>
        <v>2637.590000000002</v>
      </c>
      <c r="D7" s="37">
        <f>SUMIFS(AGREG_PQ[Budget_YTD],AGREG_PQ[CodeEntite],"BU01",AGREG_PQ[PosteP&amp;L],"Chiffre d'affaires")</f>
        <v>2708.6199999999976</v>
      </c>
      <c r="E7" s="37">
        <f>C7-D7</f>
        <v>-71.029999999995653</v>
      </c>
      <c r="F7" s="28">
        <f t="shared" ref="F7:F12" si="0">IF(D7=0,"-",E7/ABS(D7))</f>
        <v>-2.6223685862171775E-2</v>
      </c>
      <c r="G7" s="37">
        <f>SUMIFS(AGREG_PQ[Reel_N1_YTD],AGREG_PQ[CodeEntite],"BU01",AGREG_PQ[PosteP&amp;L],"Chiffre d'affaires")</f>
        <v>2367.3499999999945</v>
      </c>
      <c r="H7" s="28">
        <f t="shared" ref="H7:H12" si="1">IF(G7=0,"-",(C7-G7)/ABS(G7))</f>
        <v>0.11415295583669847</v>
      </c>
      <c r="I7" s="37">
        <f>SUMIFS(AGREG_PQ[Reel_YTD],AGREG_PQ[CodeEntite],"BU01",AGREG_PQ[PosteP&amp;L],"Chiffre d'affaires")+SUMIFS(AGREG_PQ[Reel_YTD],AGREG_PQ[CodeEntite],"BU01",AGREG_PQ[PosteP&amp;L],"Coût des matières")</f>
        <v>2637.590000000002</v>
      </c>
      <c r="J7" s="28">
        <f t="shared" ref="J7:J12" si="2">IF(C7=0,"-",I7/C7)</f>
        <v>1</v>
      </c>
      <c r="K7" s="37">
        <f>SUMIFS(AGREG_PQ[Reel_YTD],AGREG_PQ[CodeEntite],"BU01",AGREG_PQ[PosteP&amp;L],"Chiffre d'affaires")+SUMIFS(AGREG_PQ[Reel_YTD],AGREG_PQ[CodeEntite],"BU01",AGREG_PQ[PosteP&amp;L],"Coût des matières")+SUMIFS(AGREG_PQ[Reel_YTD],AGREG_PQ[CodeEntite],"BU01",AGREG_PQ[PosteP&amp;L],"Charges de personnel")+SUMIFS(AGREG_PQ[Reel_YTD],AGREG_PQ[CodeEntite],"BU01",AGREG_PQ[PosteP&amp;L],"Charges externes")+SUMIFS(AGREG_PQ[Reel_YTD],AGREG_PQ[CodeEntite],"BU01",AGREG_PQ[PosteP&amp;L],"Transport &amp; logistique")+SUMIFS(AGREG_PQ[Reel_YTD],AGREG_PQ[CodeEntite],"BU01",AGREG_PQ[PosteP&amp;L],"Marketing &amp; publicité")+SUMIFS(AGREG_PQ[Reel_YTD],AGREG_PQ[CodeEntite],"BU01",AGREG_PQ[PosteP&amp;L],"Autres charges")</f>
        <v>2637.590000000002</v>
      </c>
      <c r="L7" s="28">
        <f t="shared" ref="L7:L12" si="3">IF(C7=0,"-",K7/C7)</f>
        <v>1</v>
      </c>
      <c r="M7" s="37">
        <f>SUMIFS(AGREG_PQ[Reel_YTD],AGREG_PQ[CodeEntite],"BU01",AGREG_PQ[PosteP&amp;L],"Chiffre d'affaires")+SUMIFS(AGREG_PQ[Reel_YTD],AGREG_PQ[CodeEntite],"BU01",AGREG_PQ[PosteP&amp;L],"Coût des matières")+SUMIFS(AGREG_PQ[Reel_YTD],AGREG_PQ[CodeEntite],"BU01",AGREG_PQ[PosteP&amp;L],"Charges de personnel")+SUMIFS(AGREG_PQ[Reel_YTD],AGREG_PQ[CodeEntite],"BU01",AGREG_PQ[PosteP&amp;L],"Charges externes")+SUMIFS(AGREG_PQ[Reel_YTD],AGREG_PQ[CodeEntite],"BU01",AGREG_PQ[PosteP&amp;L],"Transport &amp; logistique")+SUMIFS(AGREG_PQ[Reel_YTD],AGREG_PQ[CodeEntite],"BU01",AGREG_PQ[PosteP&amp;L],"Marketing &amp; publicité")+SUMIFS(AGREG_PQ[Reel_YTD],AGREG_PQ[CodeEntite],"BU01",AGREG_PQ[PosteP&amp;L],"Autres charges")+SUMIFS(AGREG_PQ[Reel_YTD],AGREG_PQ[CodeEntite],"BU01",AGREG_PQ[PosteP&amp;L],"Amortissements")+SUMIFS(AGREG_PQ[Reel_YTD],AGREG_PQ[CodeEntite],"BU01",AGREG_PQ[PosteP&amp;L],"Charges financières")+SUMIFS(AGREG_PQ[Reel_YTD],AGREG_PQ[CodeEntite],"BU01",AGREG_PQ[PosteP&amp;L],"Impôt")</f>
        <v>2637.590000000002</v>
      </c>
      <c r="N7" s="28">
        <f t="shared" ref="N7:N12" si="4">IF(C7=0,"-",M7/C7)</f>
        <v>1</v>
      </c>
    </row>
    <row r="8" spans="2:14" ht="15" customHeight="1" x14ac:dyDescent="0.3">
      <c r="B8" s="31" t="s">
        <v>10</v>
      </c>
      <c r="C8" s="38">
        <f>SUMIFS(AGREG_PQ[Reel_YTD],AGREG_PQ[CodeEntite],"BU02",AGREG_PQ[PosteP&amp;L],"Chiffre d'affaires")</f>
        <v>0</v>
      </c>
      <c r="D8" s="38">
        <f>SUMIFS(AGREG_PQ[Budget_YTD],AGREG_PQ[CodeEntite],"BU02",AGREG_PQ[PosteP&amp;L],"Chiffre d'affaires")</f>
        <v>0</v>
      </c>
      <c r="E8" s="38">
        <f>C8-D8</f>
        <v>0</v>
      </c>
      <c r="F8" s="30" t="str">
        <f t="shared" si="0"/>
        <v>-</v>
      </c>
      <c r="G8" s="38">
        <f>SUMIFS(AGREG_PQ[Reel_N1_YTD],AGREG_PQ[CodeEntite],"BU02",AGREG_PQ[PosteP&amp;L],"Chiffre d'affaires")</f>
        <v>0</v>
      </c>
      <c r="H8" s="30" t="str">
        <f t="shared" si="1"/>
        <v>-</v>
      </c>
      <c r="I8" s="38">
        <f>SUMIFS(AGREG_PQ[Reel_YTD],AGREG_PQ[CodeEntite],"BU02",AGREG_PQ[PosteP&amp;L],"Chiffre d'affaires")+SUMIFS(AGREG_PQ[Reel_YTD],AGREG_PQ[CodeEntite],"BU02",AGREG_PQ[PosteP&amp;L],"Coût des matières")</f>
        <v>0</v>
      </c>
      <c r="J8" s="30" t="str">
        <f t="shared" si="2"/>
        <v>-</v>
      </c>
      <c r="K8" s="38">
        <f>SUMIFS(AGREG_PQ[Reel_YTD],AGREG_PQ[CodeEntite],"BU02",AGREG_PQ[PosteP&amp;L],"Chiffre d'affaires")+SUMIFS(AGREG_PQ[Reel_YTD],AGREG_PQ[CodeEntite],"BU02",AGREG_PQ[PosteP&amp;L],"Coût des matières")+SUMIFS(AGREG_PQ[Reel_YTD],AGREG_PQ[CodeEntite],"BU02",AGREG_PQ[PosteP&amp;L],"Charges de personnel")+SUMIFS(AGREG_PQ[Reel_YTD],AGREG_PQ[CodeEntite],"BU02",AGREG_PQ[PosteP&amp;L],"Charges externes")+SUMIFS(AGREG_PQ[Reel_YTD],AGREG_PQ[CodeEntite],"BU02",AGREG_PQ[PosteP&amp;L],"Transport &amp; logistique")+SUMIFS(AGREG_PQ[Reel_YTD],AGREG_PQ[CodeEntite],"BU02",AGREG_PQ[PosteP&amp;L],"Marketing &amp; publicité")+SUMIFS(AGREG_PQ[Reel_YTD],AGREG_PQ[CodeEntite],"BU02",AGREG_PQ[PosteP&amp;L],"Autres charges")</f>
        <v>0</v>
      </c>
      <c r="L8" s="30" t="str">
        <f t="shared" si="3"/>
        <v>-</v>
      </c>
      <c r="M8" s="38">
        <f>SUMIFS(AGREG_PQ[Reel_YTD],AGREG_PQ[CodeEntite],"BU02",AGREG_PQ[PosteP&amp;L],"Chiffre d'affaires")+SUMIFS(AGREG_PQ[Reel_YTD],AGREG_PQ[CodeEntite],"BU02",AGREG_PQ[PosteP&amp;L],"Coût des matières")+SUMIFS(AGREG_PQ[Reel_YTD],AGREG_PQ[CodeEntite],"BU02",AGREG_PQ[PosteP&amp;L],"Charges de personnel")+SUMIFS(AGREG_PQ[Reel_YTD],AGREG_PQ[CodeEntite],"BU02",AGREG_PQ[PosteP&amp;L],"Charges externes")+SUMIFS(AGREG_PQ[Reel_YTD],AGREG_PQ[CodeEntite],"BU02",AGREG_PQ[PosteP&amp;L],"Transport &amp; logistique")+SUMIFS(AGREG_PQ[Reel_YTD],AGREG_PQ[CodeEntite],"BU02",AGREG_PQ[PosteP&amp;L],"Marketing &amp; publicité")+SUMIFS(AGREG_PQ[Reel_YTD],AGREG_PQ[CodeEntite],"BU02",AGREG_PQ[PosteP&amp;L],"Autres charges")+SUMIFS(AGREG_PQ[Reel_YTD],AGREG_PQ[CodeEntite],"BU02",AGREG_PQ[PosteP&amp;L],"Amortissements")+SUMIFS(AGREG_PQ[Reel_YTD],AGREG_PQ[CodeEntite],"BU02",AGREG_PQ[PosteP&amp;L],"Charges financières")+SUMIFS(AGREG_PQ[Reel_YTD],AGREG_PQ[CodeEntite],"BU02",AGREG_PQ[PosteP&amp;L],"Impôt")</f>
        <v>0</v>
      </c>
      <c r="N8" s="30" t="str">
        <f t="shared" si="4"/>
        <v>-</v>
      </c>
    </row>
    <row r="9" spans="2:14" ht="15" customHeight="1" x14ac:dyDescent="0.3">
      <c r="B9" s="29" t="s">
        <v>12</v>
      </c>
      <c r="C9" s="37">
        <f>SUMIFS(AGREG_PQ[Reel_YTD],AGREG_PQ[CodeEntite],"BU03",AGREG_PQ[PosteP&amp;L],"Chiffre d'affaires")</f>
        <v>0</v>
      </c>
      <c r="D9" s="37">
        <f>SUMIFS(AGREG_PQ[Budget_YTD],AGREG_PQ[CodeEntite],"BU03",AGREG_PQ[PosteP&amp;L],"Chiffre d'affaires")</f>
        <v>0</v>
      </c>
      <c r="E9" s="37">
        <f>C9-D9</f>
        <v>0</v>
      </c>
      <c r="F9" s="28" t="str">
        <f t="shared" si="0"/>
        <v>-</v>
      </c>
      <c r="G9" s="37">
        <f>SUMIFS(AGREG_PQ[Reel_N1_YTD],AGREG_PQ[CodeEntite],"BU03",AGREG_PQ[PosteP&amp;L],"Chiffre d'affaires")</f>
        <v>0</v>
      </c>
      <c r="H9" s="28" t="str">
        <f t="shared" si="1"/>
        <v>-</v>
      </c>
      <c r="I9" s="37">
        <f>SUMIFS(AGREG_PQ[Reel_YTD],AGREG_PQ[CodeEntite],"BU03",AGREG_PQ[PosteP&amp;L],"Chiffre d'affaires")+SUMIFS(AGREG_PQ[Reel_YTD],AGREG_PQ[CodeEntite],"BU03",AGREG_PQ[PosteP&amp;L],"Coût des matières")</f>
        <v>0</v>
      </c>
      <c r="J9" s="28" t="str">
        <f t="shared" si="2"/>
        <v>-</v>
      </c>
      <c r="K9" s="37">
        <f>SUMIFS(AGREG_PQ[Reel_YTD],AGREG_PQ[CodeEntite],"BU03",AGREG_PQ[PosteP&amp;L],"Chiffre d'affaires")+SUMIFS(AGREG_PQ[Reel_YTD],AGREG_PQ[CodeEntite],"BU03",AGREG_PQ[PosteP&amp;L],"Coût des matières")+SUMIFS(AGREG_PQ[Reel_YTD],AGREG_PQ[CodeEntite],"BU03",AGREG_PQ[PosteP&amp;L],"Charges de personnel")+SUMIFS(AGREG_PQ[Reel_YTD],AGREG_PQ[CodeEntite],"BU03",AGREG_PQ[PosteP&amp;L],"Charges externes")+SUMIFS(AGREG_PQ[Reel_YTD],AGREG_PQ[CodeEntite],"BU03",AGREG_PQ[PosteP&amp;L],"Transport &amp; logistique")+SUMIFS(AGREG_PQ[Reel_YTD],AGREG_PQ[CodeEntite],"BU03",AGREG_PQ[PosteP&amp;L],"Marketing &amp; publicité")+SUMIFS(AGREG_PQ[Reel_YTD],AGREG_PQ[CodeEntite],"BU03",AGREG_PQ[PosteP&amp;L],"Autres charges")</f>
        <v>0</v>
      </c>
      <c r="L9" s="28" t="str">
        <f t="shared" si="3"/>
        <v>-</v>
      </c>
      <c r="M9" s="37">
        <f>SUMIFS(AGREG_PQ[Reel_YTD],AGREG_PQ[CodeEntite],"BU03",AGREG_PQ[PosteP&amp;L],"Chiffre d'affaires")+SUMIFS(AGREG_PQ[Reel_YTD],AGREG_PQ[CodeEntite],"BU03",AGREG_PQ[PosteP&amp;L],"Coût des matières")+SUMIFS(AGREG_PQ[Reel_YTD],AGREG_PQ[CodeEntite],"BU03",AGREG_PQ[PosteP&amp;L],"Charges de personnel")+SUMIFS(AGREG_PQ[Reel_YTD],AGREG_PQ[CodeEntite],"BU03",AGREG_PQ[PosteP&amp;L],"Charges externes")+SUMIFS(AGREG_PQ[Reel_YTD],AGREG_PQ[CodeEntite],"BU03",AGREG_PQ[PosteP&amp;L],"Transport &amp; logistique")+SUMIFS(AGREG_PQ[Reel_YTD],AGREG_PQ[CodeEntite],"BU03",AGREG_PQ[PosteP&amp;L],"Marketing &amp; publicité")+SUMIFS(AGREG_PQ[Reel_YTD],AGREG_PQ[CodeEntite],"BU03",AGREG_PQ[PosteP&amp;L],"Autres charges")+SUMIFS(AGREG_PQ[Reel_YTD],AGREG_PQ[CodeEntite],"BU03",AGREG_PQ[PosteP&amp;L],"Amortissements")+SUMIFS(AGREG_PQ[Reel_YTD],AGREG_PQ[CodeEntite],"BU03",AGREG_PQ[PosteP&amp;L],"Charges financières")+SUMIFS(AGREG_PQ[Reel_YTD],AGREG_PQ[CodeEntite],"BU03",AGREG_PQ[PosteP&amp;L],"Impôt")</f>
        <v>0</v>
      </c>
      <c r="N9" s="28" t="str">
        <f t="shared" si="4"/>
        <v>-</v>
      </c>
    </row>
    <row r="10" spans="2:14" ht="15" customHeight="1" x14ac:dyDescent="0.3">
      <c r="B10" s="31" t="s">
        <v>14</v>
      </c>
      <c r="C10" s="38">
        <f>SUMIFS(AGREG_PQ[Reel_YTD],AGREG_PQ[CodeEntite],"BU04",AGREG_PQ[PosteP&amp;L],"Chiffre d'affaires")</f>
        <v>0</v>
      </c>
      <c r="D10" s="38">
        <f>SUMIFS(AGREG_PQ[Budget_YTD],AGREG_PQ[CodeEntite],"BU04",AGREG_PQ[PosteP&amp;L],"Chiffre d'affaires")</f>
        <v>0</v>
      </c>
      <c r="E10" s="38">
        <f>C10-D10</f>
        <v>0</v>
      </c>
      <c r="F10" s="30" t="str">
        <f t="shared" si="0"/>
        <v>-</v>
      </c>
      <c r="G10" s="38">
        <f>SUMIFS(AGREG_PQ[Reel_N1_YTD],AGREG_PQ[CodeEntite],"BU04",AGREG_PQ[PosteP&amp;L],"Chiffre d'affaires")</f>
        <v>0</v>
      </c>
      <c r="H10" s="30" t="str">
        <f t="shared" si="1"/>
        <v>-</v>
      </c>
      <c r="I10" s="38">
        <f>SUMIFS(AGREG_PQ[Reel_YTD],AGREG_PQ[CodeEntite],"BU04",AGREG_PQ[PosteP&amp;L],"Chiffre d'affaires")+SUMIFS(AGREG_PQ[Reel_YTD],AGREG_PQ[CodeEntite],"BU04",AGREG_PQ[PosteP&amp;L],"Coût des matières")</f>
        <v>0</v>
      </c>
      <c r="J10" s="30" t="str">
        <f t="shared" si="2"/>
        <v>-</v>
      </c>
      <c r="K10" s="38">
        <f>SUMIFS(AGREG_PQ[Reel_YTD],AGREG_PQ[CodeEntite],"BU04",AGREG_PQ[PosteP&amp;L],"Chiffre d'affaires")+SUMIFS(AGREG_PQ[Reel_YTD],AGREG_PQ[CodeEntite],"BU04",AGREG_PQ[PosteP&amp;L],"Coût des matières")+SUMIFS(AGREG_PQ[Reel_YTD],AGREG_PQ[CodeEntite],"BU04",AGREG_PQ[PosteP&amp;L],"Charges de personnel")+SUMIFS(AGREG_PQ[Reel_YTD],AGREG_PQ[CodeEntite],"BU04",AGREG_PQ[PosteP&amp;L],"Charges externes")+SUMIFS(AGREG_PQ[Reel_YTD],AGREG_PQ[CodeEntite],"BU04",AGREG_PQ[PosteP&amp;L],"Transport &amp; logistique")+SUMIFS(AGREG_PQ[Reel_YTD],AGREG_PQ[CodeEntite],"BU04",AGREG_PQ[PosteP&amp;L],"Marketing &amp; publicité")+SUMIFS(AGREG_PQ[Reel_YTD],AGREG_PQ[CodeEntite],"BU04",AGREG_PQ[PosteP&amp;L],"Autres charges")</f>
        <v>0</v>
      </c>
      <c r="L10" s="30" t="str">
        <f t="shared" si="3"/>
        <v>-</v>
      </c>
      <c r="M10" s="38">
        <f>SUMIFS(AGREG_PQ[Reel_YTD],AGREG_PQ[CodeEntite],"BU04",AGREG_PQ[PosteP&amp;L],"Chiffre d'affaires")+SUMIFS(AGREG_PQ[Reel_YTD],AGREG_PQ[CodeEntite],"BU04",AGREG_PQ[PosteP&amp;L],"Coût des matières")+SUMIFS(AGREG_PQ[Reel_YTD],AGREG_PQ[CodeEntite],"BU04",AGREG_PQ[PosteP&amp;L],"Charges de personnel")+SUMIFS(AGREG_PQ[Reel_YTD],AGREG_PQ[CodeEntite],"BU04",AGREG_PQ[PosteP&amp;L],"Charges externes")+SUMIFS(AGREG_PQ[Reel_YTD],AGREG_PQ[CodeEntite],"BU04",AGREG_PQ[PosteP&amp;L],"Transport &amp; logistique")+SUMIFS(AGREG_PQ[Reel_YTD],AGREG_PQ[CodeEntite],"BU04",AGREG_PQ[PosteP&amp;L],"Marketing &amp; publicité")+SUMIFS(AGREG_PQ[Reel_YTD],AGREG_PQ[CodeEntite],"BU04",AGREG_PQ[PosteP&amp;L],"Autres charges")+SUMIFS(AGREG_PQ[Reel_YTD],AGREG_PQ[CodeEntite],"BU04",AGREG_PQ[PosteP&amp;L],"Amortissements")+SUMIFS(AGREG_PQ[Reel_YTD],AGREG_PQ[CodeEntite],"BU04",AGREG_PQ[PosteP&amp;L],"Charges financières")+SUMIFS(AGREG_PQ[Reel_YTD],AGREG_PQ[CodeEntite],"BU04",AGREG_PQ[PosteP&amp;L],"Impôt")</f>
        <v>0</v>
      </c>
      <c r="N10" s="30" t="str">
        <f t="shared" si="4"/>
        <v>-</v>
      </c>
    </row>
    <row r="11" spans="2:14" ht="15" customHeight="1" thickBot="1" x14ac:dyDescent="0.35">
      <c r="B11" s="29" t="s">
        <v>16</v>
      </c>
      <c r="C11" s="37">
        <f>SUMIFS(AGREG_PQ[Reel_YTD],AGREG_PQ[CodeEntite],"BU05",AGREG_PQ[PosteP&amp;L],"Chiffre d'affaires")</f>
        <v>0</v>
      </c>
      <c r="D11" s="37">
        <f>SUMIFS(AGREG_PQ[Budget_YTD],AGREG_PQ[CodeEntite],"BU05",AGREG_PQ[PosteP&amp;L],"Chiffre d'affaires")</f>
        <v>0</v>
      </c>
      <c r="E11" s="37">
        <f>C11-D11</f>
        <v>0</v>
      </c>
      <c r="F11" s="28" t="str">
        <f t="shared" si="0"/>
        <v>-</v>
      </c>
      <c r="G11" s="37">
        <f>SUMIFS(AGREG_PQ[Reel_N1_YTD],AGREG_PQ[CodeEntite],"BU05",AGREG_PQ[PosteP&amp;L],"Chiffre d'affaires")</f>
        <v>0</v>
      </c>
      <c r="H11" s="28" t="str">
        <f t="shared" si="1"/>
        <v>-</v>
      </c>
      <c r="I11" s="37">
        <f>SUMIFS(AGREG_PQ[Reel_YTD],AGREG_PQ[CodeEntite],"BU05",AGREG_PQ[PosteP&amp;L],"Chiffre d'affaires")+SUMIFS(AGREG_PQ[Reel_YTD],AGREG_PQ[CodeEntite],"BU05",AGREG_PQ[PosteP&amp;L],"Coût des matières")</f>
        <v>0</v>
      </c>
      <c r="J11" s="28" t="str">
        <f t="shared" si="2"/>
        <v>-</v>
      </c>
      <c r="K11" s="37">
        <f>SUMIFS(AGREG_PQ[Reel_YTD],AGREG_PQ[CodeEntite],"BU05",AGREG_PQ[PosteP&amp;L],"Chiffre d'affaires")+SUMIFS(AGREG_PQ[Reel_YTD],AGREG_PQ[CodeEntite],"BU05",AGREG_PQ[PosteP&amp;L],"Coût des matières")+SUMIFS(AGREG_PQ[Reel_YTD],AGREG_PQ[CodeEntite],"BU05",AGREG_PQ[PosteP&amp;L],"Charges de personnel")+SUMIFS(AGREG_PQ[Reel_YTD],AGREG_PQ[CodeEntite],"BU05",AGREG_PQ[PosteP&amp;L],"Charges externes")+SUMIFS(AGREG_PQ[Reel_YTD],AGREG_PQ[CodeEntite],"BU05",AGREG_PQ[PosteP&amp;L],"Transport &amp; logistique")+SUMIFS(AGREG_PQ[Reel_YTD],AGREG_PQ[CodeEntite],"BU05",AGREG_PQ[PosteP&amp;L],"Marketing &amp; publicité")+SUMIFS(AGREG_PQ[Reel_YTD],AGREG_PQ[CodeEntite],"BU05",AGREG_PQ[PosteP&amp;L],"Autres charges")</f>
        <v>0</v>
      </c>
      <c r="L11" s="28" t="str">
        <f t="shared" si="3"/>
        <v>-</v>
      </c>
      <c r="M11" s="37">
        <f>SUMIFS(AGREG_PQ[Reel_YTD],AGREG_PQ[CodeEntite],"BU05",AGREG_PQ[PosteP&amp;L],"Chiffre d'affaires")+SUMIFS(AGREG_PQ[Reel_YTD],AGREG_PQ[CodeEntite],"BU05",AGREG_PQ[PosteP&amp;L],"Coût des matières")+SUMIFS(AGREG_PQ[Reel_YTD],AGREG_PQ[CodeEntite],"BU05",AGREG_PQ[PosteP&amp;L],"Charges de personnel")+SUMIFS(AGREG_PQ[Reel_YTD],AGREG_PQ[CodeEntite],"BU05",AGREG_PQ[PosteP&amp;L],"Charges externes")+SUMIFS(AGREG_PQ[Reel_YTD],AGREG_PQ[CodeEntite],"BU05",AGREG_PQ[PosteP&amp;L],"Transport &amp; logistique")+SUMIFS(AGREG_PQ[Reel_YTD],AGREG_PQ[CodeEntite],"BU05",AGREG_PQ[PosteP&amp;L],"Marketing &amp; publicité")+SUMIFS(AGREG_PQ[Reel_YTD],AGREG_PQ[CodeEntite],"BU05",AGREG_PQ[PosteP&amp;L],"Autres charges")+SUMIFS(AGREG_PQ[Reel_YTD],AGREG_PQ[CodeEntite],"BU05",AGREG_PQ[PosteP&amp;L],"Amortissements")+SUMIFS(AGREG_PQ[Reel_YTD],AGREG_PQ[CodeEntite],"BU05",AGREG_PQ[PosteP&amp;L],"Charges financières")+SUMIFS(AGREG_PQ[Reel_YTD],AGREG_PQ[CodeEntite],"BU05",AGREG_PQ[PosteP&amp;L],"Impôt")</f>
        <v>0</v>
      </c>
      <c r="N11" s="28" t="str">
        <f t="shared" si="4"/>
        <v>-</v>
      </c>
    </row>
    <row r="12" spans="2:14" ht="15" customHeight="1" x14ac:dyDescent="0.3">
      <c r="B12" s="36" t="s">
        <v>50</v>
      </c>
      <c r="C12" s="35">
        <f>SUM(C7:C11)</f>
        <v>2637.590000000002</v>
      </c>
      <c r="D12" s="35">
        <f>SUM(D7:D11)</f>
        <v>2708.6199999999976</v>
      </c>
      <c r="E12" s="35">
        <f>SUM(E7:E11)</f>
        <v>-71.029999999995653</v>
      </c>
      <c r="F12" s="34">
        <f t="shared" si="0"/>
        <v>-2.6223685862171775E-2</v>
      </c>
      <c r="G12" s="35">
        <f>SUM(G7:G11)</f>
        <v>2367.3499999999945</v>
      </c>
      <c r="H12" s="34">
        <f t="shared" si="1"/>
        <v>0.11415295583669847</v>
      </c>
      <c r="I12" s="35">
        <f>SUM(I7:I11)</f>
        <v>2637.590000000002</v>
      </c>
      <c r="J12" s="34">
        <f t="shared" si="2"/>
        <v>1</v>
      </c>
      <c r="K12" s="35">
        <f>SUM(K7:K11)</f>
        <v>2637.590000000002</v>
      </c>
      <c r="L12" s="34">
        <f t="shared" si="3"/>
        <v>1</v>
      </c>
      <c r="M12" s="35">
        <f>SUM(M7:M11)</f>
        <v>2637.590000000002</v>
      </c>
      <c r="N12" s="34">
        <f t="shared" si="4"/>
        <v>1</v>
      </c>
    </row>
    <row r="14" spans="2:14" ht="15" customHeight="1" x14ac:dyDescent="0.3">
      <c r="B14" s="87" t="s">
        <v>122</v>
      </c>
      <c r="C14" s="87"/>
      <c r="D14" s="87"/>
      <c r="E14" s="87"/>
      <c r="F14" s="87"/>
      <c r="G14" s="87"/>
      <c r="H14" s="87"/>
    </row>
    <row r="15" spans="2:14" ht="15" customHeight="1" x14ac:dyDescent="0.3">
      <c r="B15" s="33" t="s">
        <v>6</v>
      </c>
      <c r="C15" s="32" t="s">
        <v>121</v>
      </c>
      <c r="D15" s="32" t="s">
        <v>120</v>
      </c>
      <c r="E15" s="32" t="s">
        <v>119</v>
      </c>
      <c r="F15" s="32" t="s">
        <v>30</v>
      </c>
      <c r="G15" s="32" t="s">
        <v>118</v>
      </c>
      <c r="H15" s="32" t="s">
        <v>117</v>
      </c>
      <c r="L15" s="59"/>
    </row>
    <row r="16" spans="2:14" ht="15" customHeight="1" x14ac:dyDescent="0.3">
      <c r="B16" s="29" t="s">
        <v>8</v>
      </c>
      <c r="C16" s="37">
        <f>SUMIFS(AGREG_PQ[Reel_M],AGREG_PQ[CodeEntite],"BU01",AGREG_PQ[PosteP&amp;L],"Chiffre d'affaires")</f>
        <v>763.30000000000018</v>
      </c>
      <c r="D16" s="37">
        <f>SUMIFS(AGREG_PQ[Budget_M],AGREG_PQ[CodeEntite],"BU01",AGREG_PQ[PosteP&amp;L],"Chiffre d'affaires")</f>
        <v>675.28999999999985</v>
      </c>
      <c r="E16" s="37">
        <f>C16-D16</f>
        <v>88.010000000000332</v>
      </c>
      <c r="F16" s="28">
        <f t="shared" ref="F16:F21" si="5">IF(D16=0,"-",E16/ABS(D16))</f>
        <v>0.13032919190273862</v>
      </c>
      <c r="G16" s="37">
        <f>SUMIFS(AGREG_PQ[Reel_M],AGREG_PQ[CodeEntite],"BU01",AGREG_PQ[PosteP&amp;L],"Chiffre d'affaires")+SUMIFS(AGREG_PQ[Reel_M],AGREG_PQ[CodeEntite],"BU01",AGREG_PQ[PosteP&amp;L],"Coût des matières")+SUMIFS(AGREG_PQ[Reel_M],AGREG_PQ[CodeEntite],"BU01",AGREG_PQ[PosteP&amp;L],"Charges de personnel")+SUMIFS(AGREG_PQ[Reel_M],AGREG_PQ[CodeEntite],"BU01",AGREG_PQ[PosteP&amp;L],"Charges externes")+SUMIFS(AGREG_PQ[Reel_M],AGREG_PQ[CodeEntite],"BU01",AGREG_PQ[PosteP&amp;L],"Transport &amp; logistique")+SUMIFS(AGREG_PQ[Reel_M],AGREG_PQ[CodeEntite],"BU01",AGREG_PQ[PosteP&amp;L],"Marketing &amp; publicité")+SUMIFS(AGREG_PQ[Reel_M],AGREG_PQ[CodeEntite],"BU01",AGREG_PQ[PosteP&amp;L],"Autres charges")</f>
        <v>763.30000000000018</v>
      </c>
      <c r="H16" s="28">
        <f t="shared" ref="H16:H21" si="6">IF(C16=0,"-",G16/C16)</f>
        <v>1</v>
      </c>
    </row>
    <row r="17" spans="2:8" ht="15" customHeight="1" x14ac:dyDescent="0.3">
      <c r="B17" s="31" t="s">
        <v>10</v>
      </c>
      <c r="C17" s="38">
        <f>SUMIFS(AGREG_PQ[Reel_M],AGREG_PQ[CodeEntite],"BU02",AGREG_PQ[PosteP&amp;L],"Chiffre d'affaires")</f>
        <v>0</v>
      </c>
      <c r="D17" s="38">
        <f>SUMIFS(AGREG_PQ[Budget_M],AGREG_PQ[CodeEntite],"BU02",AGREG_PQ[PosteP&amp;L],"Chiffre d'affaires")</f>
        <v>0</v>
      </c>
      <c r="E17" s="38">
        <f>C17-D17</f>
        <v>0</v>
      </c>
      <c r="F17" s="30" t="str">
        <f t="shared" si="5"/>
        <v>-</v>
      </c>
      <c r="G17" s="38">
        <f>SUMIFS(AGREG_PQ[Reel_M],AGREG_PQ[CodeEntite],"BU02",AGREG_PQ[PosteP&amp;L],"Chiffre d'affaires")+SUMIFS(AGREG_PQ[Reel_M],AGREG_PQ[CodeEntite],"BU02",AGREG_PQ[PosteP&amp;L],"Coût des matières")+SUMIFS(AGREG_PQ[Reel_M],AGREG_PQ[CodeEntite],"BU02",AGREG_PQ[PosteP&amp;L],"Charges de personnel")+SUMIFS(AGREG_PQ[Reel_M],AGREG_PQ[CodeEntite],"BU02",AGREG_PQ[PosteP&amp;L],"Charges externes")+SUMIFS(AGREG_PQ[Reel_M],AGREG_PQ[CodeEntite],"BU02",AGREG_PQ[PosteP&amp;L],"Transport &amp; logistique")+SUMIFS(AGREG_PQ[Reel_M],AGREG_PQ[CodeEntite],"BU02",AGREG_PQ[PosteP&amp;L],"Marketing &amp; publicité")+SUMIFS(AGREG_PQ[Reel_M],AGREG_PQ[CodeEntite],"BU02",AGREG_PQ[PosteP&amp;L],"Autres charges")</f>
        <v>0</v>
      </c>
      <c r="H17" s="30" t="str">
        <f t="shared" si="6"/>
        <v>-</v>
      </c>
    </row>
    <row r="18" spans="2:8" ht="15" customHeight="1" x14ac:dyDescent="0.3">
      <c r="B18" s="29" t="s">
        <v>12</v>
      </c>
      <c r="C18" s="37">
        <f>SUMIFS(AGREG_PQ[Reel_M],AGREG_PQ[CodeEntite],"BU03",AGREG_PQ[PosteP&amp;L],"Chiffre d'affaires")</f>
        <v>0</v>
      </c>
      <c r="D18" s="37">
        <f>SUMIFS(AGREG_PQ[Budget_M],AGREG_PQ[CodeEntite],"BU03",AGREG_PQ[PosteP&amp;L],"Chiffre d'affaires")</f>
        <v>0</v>
      </c>
      <c r="E18" s="37">
        <f>C18-D18</f>
        <v>0</v>
      </c>
      <c r="F18" s="28" t="str">
        <f t="shared" si="5"/>
        <v>-</v>
      </c>
      <c r="G18" s="37">
        <f>SUMIFS(AGREG_PQ[Reel_M],AGREG_PQ[CodeEntite],"BU03",AGREG_PQ[PosteP&amp;L],"Chiffre d'affaires")+SUMIFS(AGREG_PQ[Reel_M],AGREG_PQ[CodeEntite],"BU03",AGREG_PQ[PosteP&amp;L],"Coût des matières")+SUMIFS(AGREG_PQ[Reel_M],AGREG_PQ[CodeEntite],"BU03",AGREG_PQ[PosteP&amp;L],"Charges de personnel")+SUMIFS(AGREG_PQ[Reel_M],AGREG_PQ[CodeEntite],"BU03",AGREG_PQ[PosteP&amp;L],"Charges externes")+SUMIFS(AGREG_PQ[Reel_M],AGREG_PQ[CodeEntite],"BU03",AGREG_PQ[PosteP&amp;L],"Transport &amp; logistique")+SUMIFS(AGREG_PQ[Reel_M],AGREG_PQ[CodeEntite],"BU03",AGREG_PQ[PosteP&amp;L],"Marketing &amp; publicité")+SUMIFS(AGREG_PQ[Reel_M],AGREG_PQ[CodeEntite],"BU03",AGREG_PQ[PosteP&amp;L],"Autres charges")</f>
        <v>0</v>
      </c>
      <c r="H18" s="28" t="str">
        <f t="shared" si="6"/>
        <v>-</v>
      </c>
    </row>
    <row r="19" spans="2:8" ht="15" customHeight="1" x14ac:dyDescent="0.3">
      <c r="B19" s="31" t="s">
        <v>14</v>
      </c>
      <c r="C19" s="38">
        <f>SUMIFS(AGREG_PQ[Reel_M],AGREG_PQ[CodeEntite],"BU04",AGREG_PQ[PosteP&amp;L],"Chiffre d'affaires")</f>
        <v>0</v>
      </c>
      <c r="D19" s="38">
        <f>SUMIFS(AGREG_PQ[Budget_M],AGREG_PQ[CodeEntite],"BU04",AGREG_PQ[PosteP&amp;L],"Chiffre d'affaires")</f>
        <v>0</v>
      </c>
      <c r="E19" s="38">
        <f>C19-D19</f>
        <v>0</v>
      </c>
      <c r="F19" s="30" t="str">
        <f t="shared" si="5"/>
        <v>-</v>
      </c>
      <c r="G19" s="38">
        <f>SUMIFS(AGREG_PQ[Reel_M],AGREG_PQ[CodeEntite],"BU04",AGREG_PQ[PosteP&amp;L],"Chiffre d'affaires")+SUMIFS(AGREG_PQ[Reel_M],AGREG_PQ[CodeEntite],"BU04",AGREG_PQ[PosteP&amp;L],"Coût des matières")+SUMIFS(AGREG_PQ[Reel_M],AGREG_PQ[CodeEntite],"BU04",AGREG_PQ[PosteP&amp;L],"Charges de personnel")+SUMIFS(AGREG_PQ[Reel_M],AGREG_PQ[CodeEntite],"BU04",AGREG_PQ[PosteP&amp;L],"Charges externes")+SUMIFS(AGREG_PQ[Reel_M],AGREG_PQ[CodeEntite],"BU04",AGREG_PQ[PosteP&amp;L],"Transport &amp; logistique")+SUMIFS(AGREG_PQ[Reel_M],AGREG_PQ[CodeEntite],"BU04",AGREG_PQ[PosteP&amp;L],"Marketing &amp; publicité")+SUMIFS(AGREG_PQ[Reel_M],AGREG_PQ[CodeEntite],"BU04",AGREG_PQ[PosteP&amp;L],"Autres charges")</f>
        <v>0</v>
      </c>
      <c r="H19" s="30" t="str">
        <f t="shared" si="6"/>
        <v>-</v>
      </c>
    </row>
    <row r="20" spans="2:8" ht="15" customHeight="1" thickBot="1" x14ac:dyDescent="0.35">
      <c r="B20" s="29" t="s">
        <v>16</v>
      </c>
      <c r="C20" s="37">
        <f>SUMIFS(AGREG_PQ[Reel_M],AGREG_PQ[CodeEntite],"BU05",AGREG_PQ[PosteP&amp;L],"Chiffre d'affaires")</f>
        <v>0</v>
      </c>
      <c r="D20" s="37">
        <f>SUMIFS(AGREG_PQ[Budget_M],AGREG_PQ[CodeEntite],"BU05",AGREG_PQ[PosteP&amp;L],"Chiffre d'affaires")</f>
        <v>0</v>
      </c>
      <c r="E20" s="37">
        <f>C20-D20</f>
        <v>0</v>
      </c>
      <c r="F20" s="28" t="str">
        <f t="shared" si="5"/>
        <v>-</v>
      </c>
      <c r="G20" s="37">
        <f>SUMIFS(AGREG_PQ[Reel_M],AGREG_PQ[CodeEntite],"BU05",AGREG_PQ[PosteP&amp;L],"Chiffre d'affaires")+SUMIFS(AGREG_PQ[Reel_M],AGREG_PQ[CodeEntite],"BU05",AGREG_PQ[PosteP&amp;L],"Coût des matières")+SUMIFS(AGREG_PQ[Reel_M],AGREG_PQ[CodeEntite],"BU05",AGREG_PQ[PosteP&amp;L],"Charges de personnel")+SUMIFS(AGREG_PQ[Reel_M],AGREG_PQ[CodeEntite],"BU05",AGREG_PQ[PosteP&amp;L],"Charges externes")+SUMIFS(AGREG_PQ[Reel_M],AGREG_PQ[CodeEntite],"BU05",AGREG_PQ[PosteP&amp;L],"Transport &amp; logistique")+SUMIFS(AGREG_PQ[Reel_M],AGREG_PQ[CodeEntite],"BU05",AGREG_PQ[PosteP&amp;L],"Marketing &amp; publicité")+SUMIFS(AGREG_PQ[Reel_M],AGREG_PQ[CodeEntite],"BU05",AGREG_PQ[PosteP&amp;L],"Autres charges")</f>
        <v>0</v>
      </c>
      <c r="H20" s="28" t="str">
        <f t="shared" si="6"/>
        <v>-</v>
      </c>
    </row>
    <row r="21" spans="2:8" ht="15" customHeight="1" x14ac:dyDescent="0.3">
      <c r="B21" s="36" t="s">
        <v>50</v>
      </c>
      <c r="C21" s="35">
        <f>SUM(C16:C20)</f>
        <v>763.30000000000018</v>
      </c>
      <c r="D21" s="35">
        <f>SUM(D16:D20)</f>
        <v>675.28999999999985</v>
      </c>
      <c r="E21" s="35">
        <f>SUM(E16:E20)</f>
        <v>88.010000000000332</v>
      </c>
      <c r="F21" s="34">
        <f t="shared" si="5"/>
        <v>0.13032919190273862</v>
      </c>
      <c r="G21" s="35">
        <f>SUM(G16:G20)</f>
        <v>763.30000000000018</v>
      </c>
      <c r="H21" s="34">
        <f t="shared" si="6"/>
        <v>1</v>
      </c>
    </row>
    <row r="23" spans="2:8" ht="15" customHeight="1" x14ac:dyDescent="0.3">
      <c r="B23" s="87" t="s">
        <v>116</v>
      </c>
      <c r="C23" s="87"/>
      <c r="D23" s="87"/>
      <c r="E23" s="87"/>
    </row>
    <row r="24" spans="2:8" ht="15" customHeight="1" x14ac:dyDescent="0.3">
      <c r="B24" s="33" t="s">
        <v>6</v>
      </c>
      <c r="C24" s="32" t="s">
        <v>115</v>
      </c>
      <c r="D24" s="32" t="s">
        <v>114</v>
      </c>
      <c r="E24" s="32" t="s">
        <v>113</v>
      </c>
    </row>
    <row r="25" spans="2:8" ht="15" customHeight="1" x14ac:dyDescent="0.3">
      <c r="B25" s="29" t="s">
        <v>8</v>
      </c>
      <c r="C25" s="28">
        <f>IF(C12=0,"-",C7/C12)</f>
        <v>1</v>
      </c>
      <c r="D25" s="28">
        <f>IF(K12=0,"-",K7/K12)</f>
        <v>1</v>
      </c>
      <c r="E25" s="28">
        <f>IF(M12=0,"-",M7/M12)</f>
        <v>1</v>
      </c>
    </row>
    <row r="26" spans="2:8" ht="15" customHeight="1" x14ac:dyDescent="0.3">
      <c r="B26" s="31" t="s">
        <v>10</v>
      </c>
      <c r="C26" s="30">
        <f>IF(C12=0,"-",C8/C12)</f>
        <v>0</v>
      </c>
      <c r="D26" s="30">
        <f>IF(K12=0,"-",K8/K12)</f>
        <v>0</v>
      </c>
      <c r="E26" s="30">
        <f>IF(M12=0,"-",M8/M12)</f>
        <v>0</v>
      </c>
    </row>
    <row r="27" spans="2:8" ht="15" customHeight="1" x14ac:dyDescent="0.3">
      <c r="B27" s="29" t="s">
        <v>12</v>
      </c>
      <c r="C27" s="28">
        <f>IF(C12=0,"-",C9/C12)</f>
        <v>0</v>
      </c>
      <c r="D27" s="28">
        <f>IF(K12=0,"-",K9/K12)</f>
        <v>0</v>
      </c>
      <c r="E27" s="28">
        <f>IF(M12=0,"-",M9/M12)</f>
        <v>0</v>
      </c>
    </row>
    <row r="28" spans="2:8" ht="15" customHeight="1" x14ac:dyDescent="0.3">
      <c r="B28" s="31" t="s">
        <v>14</v>
      </c>
      <c r="C28" s="30">
        <f>IF(C12=0,"-",C10/C12)</f>
        <v>0</v>
      </c>
      <c r="D28" s="30">
        <f>IF(K12=0,"-",K10/K12)</f>
        <v>0</v>
      </c>
      <c r="E28" s="30">
        <f>IF(M12=0,"-",M10/M12)</f>
        <v>0</v>
      </c>
    </row>
    <row r="29" spans="2:8" ht="15" customHeight="1" x14ac:dyDescent="0.3">
      <c r="B29" s="29" t="s">
        <v>16</v>
      </c>
      <c r="C29" s="28">
        <f>IF(C12=0,"-",C11/C12)</f>
        <v>0</v>
      </c>
      <c r="D29" s="28">
        <f>IF(K12=0,"-",K11/K12)</f>
        <v>0</v>
      </c>
      <c r="E29" s="28">
        <f>IF(M12=0,"-",M11/M12)</f>
        <v>0</v>
      </c>
    </row>
    <row r="31" spans="2:8" ht="15" customHeight="1" x14ac:dyDescent="0.3">
      <c r="B31" s="87" t="s">
        <v>112</v>
      </c>
      <c r="C31" s="87"/>
      <c r="D31" s="87"/>
      <c r="E31" s="87"/>
      <c r="F31" s="87"/>
      <c r="G31" s="87"/>
      <c r="H31" s="87"/>
    </row>
    <row r="32" spans="2:8" ht="15" customHeight="1" x14ac:dyDescent="0.3">
      <c r="B32" s="33" t="s">
        <v>6</v>
      </c>
      <c r="C32" s="32" t="s">
        <v>106</v>
      </c>
      <c r="D32" s="32" t="s">
        <v>105</v>
      </c>
      <c r="E32" s="32" t="s">
        <v>104</v>
      </c>
      <c r="F32" s="32" t="s">
        <v>103</v>
      </c>
      <c r="G32" s="32" t="s">
        <v>102</v>
      </c>
      <c r="H32" s="32" t="s">
        <v>20</v>
      </c>
    </row>
    <row r="33" spans="2:14" ht="15" customHeight="1" x14ac:dyDescent="0.3">
      <c r="B33" s="29" t="s">
        <v>8</v>
      </c>
      <c r="C33" s="28">
        <f>IF(C7=0,"-",-(SUMIFS(AGREG_PQ[Reel_YTD],AGREG_PQ[CodeEntite],"BU01",AGREG_PQ[PosteP&amp;L],"Coût des matières"))/C7)</f>
        <v>0</v>
      </c>
      <c r="D33" s="28">
        <f>IF(C7=0,"-",-(SUMIFS(AGREG_PQ[Reel_YTD],AGREG_PQ[CodeEntite],"BU01",AGREG_PQ[PosteP&amp;L],"Charges de personnel"))/C7)</f>
        <v>0</v>
      </c>
      <c r="E33" s="28">
        <f>IF(C7=0,"-",-(SUMIFS(AGREG_PQ[Reel_YTD],AGREG_PQ[CodeEntite],"BU01",AGREG_PQ[PosteP&amp;L],"Charges externes"))/C7)</f>
        <v>0</v>
      </c>
      <c r="F33" s="28">
        <f>IF(C7=0,"-",-(SUMIFS(AGREG_PQ[Reel_YTD],AGREG_PQ[CodeEntite],"BU01",AGREG_PQ[PosteP&amp;L],"Transport &amp; logistique"))/C7)</f>
        <v>0</v>
      </c>
      <c r="G33" s="28">
        <f>IF(C7=0,"-",-(SUMIFS(AGREG_PQ[Reel_YTD],AGREG_PQ[CodeEntite],"BU01",AGREG_PQ[PosteP&amp;L],"Marketing &amp; publicité"))/C7)</f>
        <v>0</v>
      </c>
      <c r="H33" s="28">
        <f>IF(C7=0,"-",K7/C7)</f>
        <v>1</v>
      </c>
    </row>
    <row r="34" spans="2:14" ht="15" customHeight="1" x14ac:dyDescent="0.3">
      <c r="B34" s="31" t="s">
        <v>10</v>
      </c>
      <c r="C34" s="30" t="str">
        <f>IF(C8=0,"-",-(SUMIFS(AGREG_PQ[Reel_YTD],AGREG_PQ[CodeEntite],"BU02",AGREG_PQ[PosteP&amp;L],"Coût des matières"))/C8)</f>
        <v>-</v>
      </c>
      <c r="D34" s="30" t="str">
        <f>IF(C8=0,"-",-(SUMIFS(AGREG_PQ[Reel_YTD],AGREG_PQ[CodeEntite],"BU02",AGREG_PQ[PosteP&amp;L],"Charges de personnel"))/C8)</f>
        <v>-</v>
      </c>
      <c r="E34" s="30" t="str">
        <f>IF(C8=0,"-",-(SUMIFS(AGREG_PQ[Reel_YTD],AGREG_PQ[CodeEntite],"BU02",AGREG_PQ[PosteP&amp;L],"Charges externes"))/C8)</f>
        <v>-</v>
      </c>
      <c r="F34" s="30" t="str">
        <f>IF(C8=0,"-",-(SUMIFS(AGREG_PQ[Reel_YTD],AGREG_PQ[CodeEntite],"BU02",AGREG_PQ[PosteP&amp;L],"Transport &amp; logistique"))/C8)</f>
        <v>-</v>
      </c>
      <c r="G34" s="30" t="str">
        <f>IF(C8=0,"-",-(SUMIFS(AGREG_PQ[Reel_YTD],AGREG_PQ[CodeEntite],"BU02",AGREG_PQ[PosteP&amp;L],"Marketing &amp; publicité"))/C8)</f>
        <v>-</v>
      </c>
      <c r="H34" s="30" t="str">
        <f>IF(C8=0,"-",K8/C8)</f>
        <v>-</v>
      </c>
    </row>
    <row r="35" spans="2:14" ht="15" customHeight="1" x14ac:dyDescent="0.3">
      <c r="B35" s="29" t="s">
        <v>12</v>
      </c>
      <c r="C35" s="28" t="str">
        <f>IF(C9=0,"-",-(SUMIFS(AGREG_PQ[Reel_YTD],AGREG_PQ[CodeEntite],"BU03",AGREG_PQ[PosteP&amp;L],"Coût des matières"))/C9)</f>
        <v>-</v>
      </c>
      <c r="D35" s="28" t="str">
        <f>IF(C9=0,"-",-(SUMIFS(AGREG_PQ[Reel_YTD],AGREG_PQ[CodeEntite],"BU03",AGREG_PQ[PosteP&amp;L],"Charges de personnel"))/C9)</f>
        <v>-</v>
      </c>
      <c r="E35" s="28" t="str">
        <f>IF(C9=0,"-",-(SUMIFS(AGREG_PQ[Reel_YTD],AGREG_PQ[CodeEntite],"BU03",AGREG_PQ[PosteP&amp;L],"Charges externes"))/C9)</f>
        <v>-</v>
      </c>
      <c r="F35" s="28" t="str">
        <f>IF(C9=0,"-",-(SUMIFS(AGREG_PQ[Reel_YTD],AGREG_PQ[CodeEntite],"BU03",AGREG_PQ[PosteP&amp;L],"Transport &amp; logistique"))/C9)</f>
        <v>-</v>
      </c>
      <c r="G35" s="28" t="str">
        <f>IF(C9=0,"-",-(SUMIFS(AGREG_PQ[Reel_YTD],AGREG_PQ[CodeEntite],"BU03",AGREG_PQ[PosteP&amp;L],"Marketing &amp; publicité"))/C9)</f>
        <v>-</v>
      </c>
      <c r="H35" s="28" t="str">
        <f>IF(C9=0,"-",K9/C9)</f>
        <v>-</v>
      </c>
    </row>
    <row r="36" spans="2:14" ht="15" customHeight="1" x14ac:dyDescent="0.3">
      <c r="B36" s="31" t="s">
        <v>14</v>
      </c>
      <c r="C36" s="30" t="str">
        <f>IF(C10=0,"-",-(SUMIFS(AGREG_PQ[Reel_YTD],AGREG_PQ[CodeEntite],"BU04",AGREG_PQ[PosteP&amp;L],"Coût des matières"))/C10)</f>
        <v>-</v>
      </c>
      <c r="D36" s="30" t="str">
        <f>IF(C10=0,"-",-(SUMIFS(AGREG_PQ[Reel_YTD],AGREG_PQ[CodeEntite],"BU04",AGREG_PQ[PosteP&amp;L],"Charges de personnel"))/C10)</f>
        <v>-</v>
      </c>
      <c r="E36" s="30" t="str">
        <f>IF(C10=0,"-",-(SUMIFS(AGREG_PQ[Reel_YTD],AGREG_PQ[CodeEntite],"BU04",AGREG_PQ[PosteP&amp;L],"Charges externes"))/C10)</f>
        <v>-</v>
      </c>
      <c r="F36" s="30" t="str">
        <f>IF(C10=0,"-",-(SUMIFS(AGREG_PQ[Reel_YTD],AGREG_PQ[CodeEntite],"BU04",AGREG_PQ[PosteP&amp;L],"Transport &amp; logistique"))/C10)</f>
        <v>-</v>
      </c>
      <c r="G36" s="30" t="str">
        <f>IF(C10=0,"-",-(SUMIFS(AGREG_PQ[Reel_YTD],AGREG_PQ[CodeEntite],"BU04",AGREG_PQ[PosteP&amp;L],"Marketing &amp; publicité"))/C10)</f>
        <v>-</v>
      </c>
      <c r="H36" s="30" t="str">
        <f>IF(C10=0,"-",K10/C10)</f>
        <v>-</v>
      </c>
    </row>
    <row r="37" spans="2:14" ht="15" customHeight="1" x14ac:dyDescent="0.3">
      <c r="B37" s="29" t="s">
        <v>16</v>
      </c>
      <c r="C37" s="28" t="str">
        <f>IF(C11=0,"-",-(SUMIFS(AGREG_PQ[Reel_YTD],AGREG_PQ[CodeEntite],"BU05",AGREG_PQ[PosteP&amp;L],"Coût des matières"))/C11)</f>
        <v>-</v>
      </c>
      <c r="D37" s="28" t="str">
        <f>IF(C11=0,"-",-(SUMIFS(AGREG_PQ[Reel_YTD],AGREG_PQ[CodeEntite],"BU05",AGREG_PQ[PosteP&amp;L],"Charges de personnel"))/C11)</f>
        <v>-</v>
      </c>
      <c r="E37" s="28" t="str">
        <f>IF(C11=0,"-",-(SUMIFS(AGREG_PQ[Reel_YTD],AGREG_PQ[CodeEntite],"BU05",AGREG_PQ[PosteP&amp;L],"Charges externes"))/C11)</f>
        <v>-</v>
      </c>
      <c r="F37" s="28" t="str">
        <f>IF(C11=0,"-",-(SUMIFS(AGREG_PQ[Reel_YTD],AGREG_PQ[CodeEntite],"BU05",AGREG_PQ[PosteP&amp;L],"Transport &amp; logistique"))/C11)</f>
        <v>-</v>
      </c>
      <c r="G37" s="28" t="str">
        <f>IF(C11=0,"-",-(SUMIFS(AGREG_PQ[Reel_YTD],AGREG_PQ[CodeEntite],"BU05",AGREG_PQ[PosteP&amp;L],"Marketing &amp; publicité"))/C11)</f>
        <v>-</v>
      </c>
      <c r="H37" s="28" t="str">
        <f>IF(C11=0,"-",K11/C11)</f>
        <v>-</v>
      </c>
    </row>
    <row r="39" spans="2:14" ht="15" customHeight="1" x14ac:dyDescent="0.3">
      <c r="B39" s="87" t="s">
        <v>111</v>
      </c>
      <c r="C39" s="87"/>
      <c r="D39" s="87"/>
      <c r="E39" s="87"/>
      <c r="F39" s="87"/>
      <c r="G39" s="87"/>
      <c r="H39" s="87"/>
      <c r="I39" s="87"/>
      <c r="J39" s="87"/>
      <c r="K39" s="87"/>
      <c r="L39" s="87"/>
      <c r="M39" s="87"/>
      <c r="N39" s="87"/>
    </row>
    <row r="57" spans="2:14" ht="15" customHeight="1" x14ac:dyDescent="0.3">
      <c r="B57" s="87" t="s">
        <v>110</v>
      </c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</row>
    <row r="77" spans="2:14" ht="15" customHeight="1" x14ac:dyDescent="0.3">
      <c r="B77" s="87" t="s">
        <v>109</v>
      </c>
      <c r="C77" s="87"/>
      <c r="D77" s="87"/>
      <c r="E77" s="87"/>
      <c r="F77" s="87"/>
      <c r="G77" s="87"/>
      <c r="H77" s="87"/>
      <c r="I77" s="87"/>
      <c r="J77" s="87"/>
      <c r="K77" s="87"/>
      <c r="L77" s="87"/>
      <c r="M77" s="87"/>
      <c r="N77" s="87"/>
    </row>
    <row r="78" spans="2:14" ht="15" customHeight="1" x14ac:dyDescent="0.3">
      <c r="B78" s="27" t="s">
        <v>108</v>
      </c>
      <c r="C78" s="27" t="s">
        <v>107</v>
      </c>
      <c r="D78" s="27" t="s">
        <v>106</v>
      </c>
      <c r="E78" s="27" t="s">
        <v>105</v>
      </c>
      <c r="F78" s="27" t="s">
        <v>104</v>
      </c>
      <c r="G78" s="27" t="s">
        <v>103</v>
      </c>
      <c r="H78" s="27" t="s">
        <v>102</v>
      </c>
      <c r="I78" s="27" t="s">
        <v>101</v>
      </c>
      <c r="J78" s="27" t="s">
        <v>100</v>
      </c>
      <c r="K78" s="27" t="s">
        <v>99</v>
      </c>
      <c r="L78" s="27" t="s">
        <v>45</v>
      </c>
    </row>
    <row r="79" spans="2:14" ht="15" customHeight="1" x14ac:dyDescent="0.3">
      <c r="B79" s="26" t="s">
        <v>8</v>
      </c>
      <c r="C79" s="25">
        <f>SUMIFS(AGREG_PQ[Ecart_YTD],AGREG_PQ[CodeEntite],"BU01",AGREG_PQ[PosteP&amp;L],"Chiffre d'affaires")</f>
        <v>-71.029999999995653</v>
      </c>
      <c r="D79" s="25">
        <f>SUMIFS(AGREG_PQ[Ecart_YTD],AGREG_PQ[CodeEntite],"BU01",AGREG_PQ[PosteP&amp;L],"Coût des matières")</f>
        <v>0</v>
      </c>
      <c r="E79" s="25">
        <f>SUMIFS(AGREG_PQ[Ecart_YTD],AGREG_PQ[CodeEntite],"BU01",AGREG_PQ[PosteP&amp;L],"Charges de personnel")</f>
        <v>0</v>
      </c>
      <c r="F79" s="25">
        <f>SUMIFS(AGREG_PQ[Ecart_YTD],AGREG_PQ[CodeEntite],"BU01",AGREG_PQ[PosteP&amp;L],"Charges externes")</f>
        <v>0</v>
      </c>
      <c r="G79" s="25">
        <f>SUMIFS(AGREG_PQ[Ecart_YTD],AGREG_PQ[CodeEntite],"BU01",AGREG_PQ[PosteP&amp;L],"Transport &amp; logistique")</f>
        <v>0</v>
      </c>
      <c r="H79" s="25">
        <f>SUMIFS(AGREG_PQ[Ecart_YTD],AGREG_PQ[CodeEntite],"BU01",AGREG_PQ[PosteP&amp;L],"Marketing &amp; publicité")</f>
        <v>0</v>
      </c>
      <c r="I79" s="25">
        <f>SUMIFS(AGREG_PQ[Ecart_YTD],AGREG_PQ[CodeEntite],"BU01",AGREG_PQ[PosteP&amp;L],"Autres charges")</f>
        <v>0</v>
      </c>
      <c r="J79" s="25">
        <f>SUMIFS(AGREG_PQ[Ecart_YTD],AGREG_PQ[CodeEntite],"BU01",AGREG_PQ[PosteP&amp;L],"Amortissements")</f>
        <v>0</v>
      </c>
      <c r="K79" s="25">
        <f>SUMIFS(AGREG_PQ[Ecart_YTD],AGREG_PQ[CodeEntite],"BU01",AGREG_PQ[PosteP&amp;L],"Charges financières")</f>
        <v>0</v>
      </c>
      <c r="L79" s="25">
        <f>SUMIFS(AGREG_PQ[Ecart_YTD],AGREG_PQ[CodeEntite],"BU01",AGREG_PQ[PosteP&amp;L],"Impôt")</f>
        <v>0</v>
      </c>
    </row>
    <row r="80" spans="2:14" ht="15" customHeight="1" x14ac:dyDescent="0.3">
      <c r="B80" s="26" t="s">
        <v>10</v>
      </c>
      <c r="C80" s="25">
        <f>SUMIFS(AGREG_PQ[Ecart_YTD],AGREG_PQ[CodeEntite],"BU02",AGREG_PQ[PosteP&amp;L],"Chiffre d'affaires")</f>
        <v>0</v>
      </c>
      <c r="D80" s="25">
        <f>SUMIFS(AGREG_PQ[Ecart_YTD],AGREG_PQ[CodeEntite],"BU02",AGREG_PQ[PosteP&amp;L],"Coût des matières")</f>
        <v>0</v>
      </c>
      <c r="E80" s="25">
        <f>SUMIFS(AGREG_PQ[Ecart_YTD],AGREG_PQ[CodeEntite],"BU02",AGREG_PQ[PosteP&amp;L],"Charges de personnel")</f>
        <v>0</v>
      </c>
      <c r="F80" s="25">
        <f>SUMIFS(AGREG_PQ[Ecart_YTD],AGREG_PQ[CodeEntite],"BU02",AGREG_PQ[PosteP&amp;L],"Charges externes")</f>
        <v>0</v>
      </c>
      <c r="G80" s="25">
        <f>SUMIFS(AGREG_PQ[Ecart_YTD],AGREG_PQ[CodeEntite],"BU02",AGREG_PQ[PosteP&amp;L],"Transport &amp; logistique")</f>
        <v>0</v>
      </c>
      <c r="H80" s="25">
        <f>SUMIFS(AGREG_PQ[Ecart_YTD],AGREG_PQ[CodeEntite],"BU02",AGREG_PQ[PosteP&amp;L],"Marketing &amp; publicité")</f>
        <v>0</v>
      </c>
      <c r="I80" s="25">
        <f>SUMIFS(AGREG_PQ[Ecart_YTD],AGREG_PQ[CodeEntite],"BU02",AGREG_PQ[PosteP&amp;L],"Autres charges")</f>
        <v>0</v>
      </c>
      <c r="J80" s="25">
        <f>SUMIFS(AGREG_PQ[Ecart_YTD],AGREG_PQ[CodeEntite],"BU02",AGREG_PQ[PosteP&amp;L],"Amortissements")</f>
        <v>0</v>
      </c>
      <c r="K80" s="25">
        <f>SUMIFS(AGREG_PQ[Ecart_YTD],AGREG_PQ[CodeEntite],"BU02",AGREG_PQ[PosteP&amp;L],"Charges financières")</f>
        <v>0</v>
      </c>
      <c r="L80" s="25">
        <f>SUMIFS(AGREG_PQ[Ecart_YTD],AGREG_PQ[CodeEntite],"BU02",AGREG_PQ[PosteP&amp;L],"Impôt")</f>
        <v>0</v>
      </c>
    </row>
    <row r="81" spans="2:14" ht="15" customHeight="1" x14ac:dyDescent="0.3">
      <c r="B81" s="26" t="s">
        <v>12</v>
      </c>
      <c r="C81" s="25">
        <f>SUMIFS(AGREG_PQ[Ecart_YTD],AGREG_PQ[CodeEntite],"BU03",AGREG_PQ[PosteP&amp;L],"Chiffre d'affaires")</f>
        <v>0</v>
      </c>
      <c r="D81" s="25">
        <f>SUMIFS(AGREG_PQ[Ecart_YTD],AGREG_PQ[CodeEntite],"BU03",AGREG_PQ[PosteP&amp;L],"Coût des matières")</f>
        <v>0</v>
      </c>
      <c r="E81" s="25">
        <f>SUMIFS(AGREG_PQ[Ecart_YTD],AGREG_PQ[CodeEntite],"BU03",AGREG_PQ[PosteP&amp;L],"Charges de personnel")</f>
        <v>0</v>
      </c>
      <c r="F81" s="25">
        <f>SUMIFS(AGREG_PQ[Ecart_YTD],AGREG_PQ[CodeEntite],"BU03",AGREG_PQ[PosteP&amp;L],"Charges externes")</f>
        <v>0</v>
      </c>
      <c r="G81" s="25">
        <f>SUMIFS(AGREG_PQ[Ecart_YTD],AGREG_PQ[CodeEntite],"BU03",AGREG_PQ[PosteP&amp;L],"Transport &amp; logistique")</f>
        <v>0</v>
      </c>
      <c r="H81" s="25">
        <f>SUMIFS(AGREG_PQ[Ecart_YTD],AGREG_PQ[CodeEntite],"BU03",AGREG_PQ[PosteP&amp;L],"Marketing &amp; publicité")</f>
        <v>0</v>
      </c>
      <c r="I81" s="25">
        <f>SUMIFS(AGREG_PQ[Ecart_YTD],AGREG_PQ[CodeEntite],"BU03",AGREG_PQ[PosteP&amp;L],"Autres charges")</f>
        <v>0</v>
      </c>
      <c r="J81" s="25">
        <f>SUMIFS(AGREG_PQ[Ecart_YTD],AGREG_PQ[CodeEntite],"BU03",AGREG_PQ[PosteP&amp;L],"Amortissements")</f>
        <v>0</v>
      </c>
      <c r="K81" s="25">
        <f>SUMIFS(AGREG_PQ[Ecart_YTD],AGREG_PQ[CodeEntite],"BU03",AGREG_PQ[PosteP&amp;L],"Charges financières")</f>
        <v>0</v>
      </c>
      <c r="L81" s="25">
        <f>SUMIFS(AGREG_PQ[Ecart_YTD],AGREG_PQ[CodeEntite],"BU03",AGREG_PQ[PosteP&amp;L],"Impôt")</f>
        <v>0</v>
      </c>
    </row>
    <row r="82" spans="2:14" ht="15" customHeight="1" x14ac:dyDescent="0.3">
      <c r="B82" s="26" t="s">
        <v>14</v>
      </c>
      <c r="C82" s="25">
        <f>SUMIFS(AGREG_PQ[Ecart_YTD],AGREG_PQ[CodeEntite],"BU04",AGREG_PQ[PosteP&amp;L],"Chiffre d'affaires")</f>
        <v>0</v>
      </c>
      <c r="D82" s="25">
        <f>SUMIFS(AGREG_PQ[Ecart_YTD],AGREG_PQ[CodeEntite],"BU04",AGREG_PQ[PosteP&amp;L],"Coût des matières")</f>
        <v>0</v>
      </c>
      <c r="E82" s="25">
        <f>SUMIFS(AGREG_PQ[Ecart_YTD],AGREG_PQ[CodeEntite],"BU04",AGREG_PQ[PosteP&amp;L],"Charges de personnel")</f>
        <v>0</v>
      </c>
      <c r="F82" s="25">
        <f>SUMIFS(AGREG_PQ[Ecart_YTD],AGREG_PQ[CodeEntite],"BU04",AGREG_PQ[PosteP&amp;L],"Charges externes")</f>
        <v>0</v>
      </c>
      <c r="G82" s="25">
        <f>SUMIFS(AGREG_PQ[Ecart_YTD],AGREG_PQ[CodeEntite],"BU04",AGREG_PQ[PosteP&amp;L],"Transport &amp; logistique")</f>
        <v>0</v>
      </c>
      <c r="H82" s="25">
        <f>SUMIFS(AGREG_PQ[Ecart_YTD],AGREG_PQ[CodeEntite],"BU04",AGREG_PQ[PosteP&amp;L],"Marketing &amp; publicité")</f>
        <v>0</v>
      </c>
      <c r="I82" s="25">
        <f>SUMIFS(AGREG_PQ[Ecart_YTD],AGREG_PQ[CodeEntite],"BU04",AGREG_PQ[PosteP&amp;L],"Autres charges")</f>
        <v>0</v>
      </c>
      <c r="J82" s="25">
        <f>SUMIFS(AGREG_PQ[Ecart_YTD],AGREG_PQ[CodeEntite],"BU04",AGREG_PQ[PosteP&amp;L],"Amortissements")</f>
        <v>0</v>
      </c>
      <c r="K82" s="25">
        <f>SUMIFS(AGREG_PQ[Ecart_YTD],AGREG_PQ[CodeEntite],"BU04",AGREG_PQ[PosteP&amp;L],"Charges financières")</f>
        <v>0</v>
      </c>
      <c r="L82" s="25">
        <f>SUMIFS(AGREG_PQ[Ecart_YTD],AGREG_PQ[CodeEntite],"BU04",AGREG_PQ[PosteP&amp;L],"Impôt")</f>
        <v>0</v>
      </c>
    </row>
    <row r="83" spans="2:14" ht="15" customHeight="1" x14ac:dyDescent="0.3">
      <c r="B83" s="26" t="s">
        <v>16</v>
      </c>
      <c r="C83" s="25">
        <f>SUMIFS(AGREG_PQ[Ecart_YTD],AGREG_PQ[CodeEntite],"BU05",AGREG_PQ[PosteP&amp;L],"Chiffre d'affaires")</f>
        <v>0</v>
      </c>
      <c r="D83" s="25">
        <f>SUMIFS(AGREG_PQ[Ecart_YTD],AGREG_PQ[CodeEntite],"BU05",AGREG_PQ[PosteP&amp;L],"Coût des matières")</f>
        <v>0</v>
      </c>
      <c r="E83" s="25">
        <f>SUMIFS(AGREG_PQ[Ecart_YTD],AGREG_PQ[CodeEntite],"BU05",AGREG_PQ[PosteP&amp;L],"Charges de personnel")</f>
        <v>0</v>
      </c>
      <c r="F83" s="25">
        <f>SUMIFS(AGREG_PQ[Ecart_YTD],AGREG_PQ[CodeEntite],"BU05",AGREG_PQ[PosteP&amp;L],"Charges externes")</f>
        <v>0</v>
      </c>
      <c r="G83" s="25">
        <f>SUMIFS(AGREG_PQ[Ecart_YTD],AGREG_PQ[CodeEntite],"BU05",AGREG_PQ[PosteP&amp;L],"Transport &amp; logistique")</f>
        <v>0</v>
      </c>
      <c r="H83" s="25">
        <f>SUMIFS(AGREG_PQ[Ecart_YTD],AGREG_PQ[CodeEntite],"BU05",AGREG_PQ[PosteP&amp;L],"Marketing &amp; publicité")</f>
        <v>0</v>
      </c>
      <c r="I83" s="25">
        <f>SUMIFS(AGREG_PQ[Ecart_YTD],AGREG_PQ[CodeEntite],"BU05",AGREG_PQ[PosteP&amp;L],"Autres charges")</f>
        <v>0</v>
      </c>
      <c r="J83" s="25">
        <f>SUMIFS(AGREG_PQ[Ecart_YTD],AGREG_PQ[CodeEntite],"BU05",AGREG_PQ[PosteP&amp;L],"Amortissements")</f>
        <v>0</v>
      </c>
      <c r="K83" s="25">
        <f>SUMIFS(AGREG_PQ[Ecart_YTD],AGREG_PQ[CodeEntite],"BU05",AGREG_PQ[PosteP&amp;L],"Charges financières")</f>
        <v>0</v>
      </c>
      <c r="L83" s="25">
        <f>SUMIFS(AGREG_PQ[Ecart_YTD],AGREG_PQ[CodeEntite],"BU05",AGREG_PQ[PosteP&amp;L],"Impôt")</f>
        <v>0</v>
      </c>
    </row>
    <row r="84" spans="2:14" ht="15" customHeight="1" x14ac:dyDescent="0.3">
      <c r="B84" s="91" t="s">
        <v>98</v>
      </c>
      <c r="C84" s="91"/>
      <c r="D84" s="91"/>
      <c r="E84" s="91"/>
      <c r="F84" s="91"/>
      <c r="G84" s="91"/>
      <c r="H84" s="91"/>
      <c r="I84" s="91"/>
      <c r="J84" s="91"/>
      <c r="K84" s="91"/>
      <c r="L84" s="91"/>
    </row>
    <row r="86" spans="2:14" ht="15" customHeight="1" x14ac:dyDescent="0.3">
      <c r="B86" s="87" t="s">
        <v>97</v>
      </c>
      <c r="C86" s="87"/>
      <c r="D86" s="87"/>
      <c r="E86" s="87"/>
      <c r="F86" s="87"/>
      <c r="G86" s="87"/>
      <c r="H86" s="87"/>
      <c r="I86" s="87"/>
      <c r="J86" s="87"/>
      <c r="K86" s="87"/>
      <c r="L86" s="87"/>
      <c r="M86" s="87"/>
      <c r="N86" s="87"/>
    </row>
    <row r="87" spans="2:14" ht="15" customHeight="1" x14ac:dyDescent="0.3">
      <c r="B87" s="92" t="s">
        <v>96</v>
      </c>
      <c r="C87" s="92"/>
      <c r="D87" s="92"/>
      <c r="F87" s="93" t="s">
        <v>95</v>
      </c>
      <c r="G87" s="93"/>
      <c r="H87" s="93"/>
    </row>
    <row r="88" spans="2:14" ht="15" customHeight="1" x14ac:dyDescent="0.3">
      <c r="B88" s="24" t="s">
        <v>6</v>
      </c>
      <c r="C88" s="24" t="s">
        <v>94</v>
      </c>
      <c r="D88" s="23" t="s">
        <v>29</v>
      </c>
      <c r="F88" s="24" t="s">
        <v>6</v>
      </c>
      <c r="G88" s="24" t="s">
        <v>94</v>
      </c>
      <c r="H88" s="23" t="s">
        <v>29</v>
      </c>
    </row>
    <row r="89" spans="2:14" ht="15" customHeight="1" x14ac:dyDescent="0.3">
      <c r="B89" s="21" t="str">
        <f>INDEX(AGREG_PQ[Entite],MATCH(LARGE(AGREG_PQ[Ecart_YTD],1),AGREG_PQ[Ecart_YTD],0))</f>
        <v>Céréales &amp; Meunerie</v>
      </c>
      <c r="C89" s="21" t="str">
        <f>INDEX(AGREG_PQ[PosteP&amp;L],MATCH(LARGE(AGREG_PQ[Ecart_YTD],1),AGREG_PQ[Ecart_YTD],0))</f>
        <v>Chiffre d'affaires</v>
      </c>
      <c r="D89" s="22">
        <f>LARGE(AGREG_PQ[Ecart_YTD],1)</f>
        <v>-71.029999999995653</v>
      </c>
      <c r="F89" s="21" t="str">
        <f>INDEX(AGREG_PQ[Entite],MATCH(SMALL(AGREG_PQ[Ecart_YTD],1),AGREG_PQ[Ecart_YTD],0))</f>
        <v>Céréales &amp; Meunerie</v>
      </c>
      <c r="G89" s="21" t="str">
        <f>INDEX(AGREG_PQ[PosteP&amp;L],MATCH(SMALL(AGREG_PQ[Ecart_YTD],1),AGREG_PQ[Ecart_YTD],0))</f>
        <v>Chiffre d'affaires</v>
      </c>
      <c r="H89" s="20">
        <f>SMALL(AGREG_PQ[Ecart_YTD],1)</f>
        <v>-71.029999999995653</v>
      </c>
    </row>
    <row r="90" spans="2:14" ht="15" customHeight="1" x14ac:dyDescent="0.3">
      <c r="B90" s="21" t="e">
        <f>INDEX(AGREG_PQ[Entite],MATCH(LARGE(AGREG_PQ[Ecart_YTD],2),AGREG_PQ[Ecart_YTD],0))</f>
        <v>#NUM!</v>
      </c>
      <c r="C90" s="21" t="e">
        <f>INDEX(AGREG_PQ[PosteP&amp;L],MATCH(LARGE(AGREG_PQ[Ecart_YTD],2),AGREG_PQ[Ecart_YTD],0))</f>
        <v>#NUM!</v>
      </c>
      <c r="D90" s="22" t="e">
        <f>LARGE(AGREG_PQ[Ecart_YTD],2)</f>
        <v>#NUM!</v>
      </c>
      <c r="F90" s="21" t="e">
        <f>INDEX(AGREG_PQ[Entite],MATCH(SMALL(AGREG_PQ[Ecart_YTD],2),AGREG_PQ[Ecart_YTD],0))</f>
        <v>#NUM!</v>
      </c>
      <c r="G90" s="21" t="e">
        <f>INDEX(AGREG_PQ[PosteP&amp;L],MATCH(SMALL(AGREG_PQ[Ecart_YTD],2),AGREG_PQ[Ecart_YTD],0))</f>
        <v>#NUM!</v>
      </c>
      <c r="H90" s="20" t="e">
        <f>SMALL(AGREG_PQ[Ecart_YTD],2)</f>
        <v>#NUM!</v>
      </c>
    </row>
    <row r="91" spans="2:14" ht="15" customHeight="1" x14ac:dyDescent="0.3">
      <c r="B91" s="21" t="e">
        <f>INDEX(AGREG_PQ[Entite],MATCH(LARGE(AGREG_PQ[Ecart_YTD],3),AGREG_PQ[Ecart_YTD],0))</f>
        <v>#NUM!</v>
      </c>
      <c r="C91" s="21" t="e">
        <f>INDEX(AGREG_PQ[PosteP&amp;L],MATCH(LARGE(AGREG_PQ[Ecart_YTD],3),AGREG_PQ[Ecart_YTD],0))</f>
        <v>#NUM!</v>
      </c>
      <c r="D91" s="22" t="e">
        <f>LARGE(AGREG_PQ[Ecart_YTD],3)</f>
        <v>#NUM!</v>
      </c>
      <c r="F91" s="21" t="e">
        <f>INDEX(AGREG_PQ[Entite],MATCH(SMALL(AGREG_PQ[Ecart_YTD],3),AGREG_PQ[Ecart_YTD],0))</f>
        <v>#NUM!</v>
      </c>
      <c r="G91" s="21" t="e">
        <f>INDEX(AGREG_PQ[PosteP&amp;L],MATCH(SMALL(AGREG_PQ[Ecart_YTD],3),AGREG_PQ[Ecart_YTD],0))</f>
        <v>#NUM!</v>
      </c>
      <c r="H91" s="20" t="e">
        <f>SMALL(AGREG_PQ[Ecart_YTD],3)</f>
        <v>#NUM!</v>
      </c>
    </row>
    <row r="93" spans="2:14" ht="15" customHeight="1" x14ac:dyDescent="0.3">
      <c r="B93" s="94"/>
      <c r="C93" s="94"/>
      <c r="D93" s="94"/>
      <c r="E93" s="94"/>
      <c r="F93" s="94"/>
      <c r="G93" s="94"/>
      <c r="H93" s="94"/>
      <c r="I93" s="94"/>
      <c r="J93" s="94"/>
      <c r="K93" s="94"/>
      <c r="L93" s="94"/>
      <c r="M93" s="94"/>
      <c r="N93" s="94"/>
    </row>
    <row r="94" spans="2:14" ht="15" customHeight="1" x14ac:dyDescent="0.3">
      <c r="B94" s="95"/>
      <c r="C94" s="95"/>
      <c r="D94" s="95"/>
      <c r="E94" s="95"/>
      <c r="F94" s="95"/>
      <c r="G94" s="95"/>
      <c r="H94" s="95"/>
      <c r="I94" s="95"/>
      <c r="J94" s="95"/>
      <c r="K94" s="95"/>
      <c r="L94" s="95"/>
      <c r="M94" s="95"/>
      <c r="N94" s="95"/>
    </row>
    <row r="95" spans="2:14" ht="15" customHeight="1" x14ac:dyDescent="0.3">
      <c r="B95" s="95"/>
      <c r="C95" s="95"/>
      <c r="D95" s="95"/>
      <c r="E95" s="95"/>
      <c r="F95" s="95"/>
      <c r="G95" s="95"/>
      <c r="H95" s="95"/>
      <c r="I95" s="95"/>
      <c r="J95" s="95"/>
      <c r="K95" s="95"/>
      <c r="L95" s="95"/>
      <c r="M95" s="95"/>
      <c r="N95" s="95"/>
    </row>
    <row r="96" spans="2:14" ht="15" customHeight="1" x14ac:dyDescent="0.3">
      <c r="B96" s="95"/>
      <c r="C96" s="95"/>
      <c r="D96" s="95"/>
      <c r="E96" s="95"/>
      <c r="F96" s="95"/>
      <c r="G96" s="95"/>
      <c r="H96" s="95"/>
      <c r="I96" s="95"/>
      <c r="J96" s="95"/>
      <c r="K96" s="95"/>
      <c r="L96" s="95"/>
      <c r="M96" s="95"/>
      <c r="N96" s="95"/>
    </row>
    <row r="97" spans="2:14" ht="15" customHeight="1" x14ac:dyDescent="0.3">
      <c r="B97" s="95"/>
      <c r="C97" s="95"/>
      <c r="D97" s="95"/>
      <c r="E97" s="95"/>
      <c r="F97" s="95"/>
      <c r="G97" s="95"/>
      <c r="H97" s="95"/>
      <c r="I97" s="95"/>
      <c r="J97" s="95"/>
      <c r="K97" s="95"/>
      <c r="L97" s="95"/>
      <c r="M97" s="95"/>
      <c r="N97" s="95"/>
    </row>
  </sheetData>
  <mergeCells count="15">
    <mergeCell ref="B2:N2"/>
    <mergeCell ref="B3:N3"/>
    <mergeCell ref="B5:N5"/>
    <mergeCell ref="B14:H14"/>
    <mergeCell ref="B23:E23"/>
    <mergeCell ref="B86:N86"/>
    <mergeCell ref="B87:D87"/>
    <mergeCell ref="F87:H87"/>
    <mergeCell ref="B93:N93"/>
    <mergeCell ref="B94:N97"/>
    <mergeCell ref="B31:H31"/>
    <mergeCell ref="B39:N39"/>
    <mergeCell ref="B57:N57"/>
    <mergeCell ref="B77:N77"/>
    <mergeCell ref="B84:L84"/>
  </mergeCells>
  <conditionalFormatting sqref="C7:C11">
    <cfRule type="dataBar" priority="1">
      <dataBar>
        <cfvo type="min"/>
        <cfvo type="max"/>
        <color rgb="FF2E5496"/>
      </dataBar>
      <extLst>
        <ext xmlns:x14="http://schemas.microsoft.com/office/spreadsheetml/2009/9/main" uri="{B025F937-C7B1-47D3-B67F-A62EFF666E3E}">
          <x14:id>{74FCCC97-FF40-4712-94F0-51905FDF3CCD}</x14:id>
        </ext>
      </extLst>
    </cfRule>
  </conditionalFormatting>
  <conditionalFormatting sqref="C25">
    <cfRule type="dataBar" priority="6">
      <dataBar>
        <cfvo type="num" val="0"/>
        <cfvo type="num" val="0.5"/>
        <color rgb="FF70AD47"/>
      </dataBar>
      <extLst>
        <ext xmlns:x14="http://schemas.microsoft.com/office/spreadsheetml/2009/9/main" uri="{B025F937-C7B1-47D3-B67F-A62EFF666E3E}">
          <x14:id>{B00176E4-4F19-4AF1-94BF-08164EAEF691}</x14:id>
        </ext>
      </extLst>
    </cfRule>
  </conditionalFormatting>
  <conditionalFormatting sqref="C26">
    <cfRule type="dataBar" priority="7">
      <dataBar>
        <cfvo type="num" val="0"/>
        <cfvo type="num" val="0.5"/>
        <color rgb="FF70AD47"/>
      </dataBar>
      <extLst>
        <ext xmlns:x14="http://schemas.microsoft.com/office/spreadsheetml/2009/9/main" uri="{B025F937-C7B1-47D3-B67F-A62EFF666E3E}">
          <x14:id>{886EA654-4A79-4035-895B-D2725D33C877}</x14:id>
        </ext>
      </extLst>
    </cfRule>
  </conditionalFormatting>
  <conditionalFormatting sqref="C27">
    <cfRule type="dataBar" priority="8">
      <dataBar>
        <cfvo type="num" val="0"/>
        <cfvo type="num" val="0.5"/>
        <color rgb="FF70AD47"/>
      </dataBar>
      <extLst>
        <ext xmlns:x14="http://schemas.microsoft.com/office/spreadsheetml/2009/9/main" uri="{B025F937-C7B1-47D3-B67F-A62EFF666E3E}">
          <x14:id>{B82C999E-A39E-440D-95B5-48F824C7A2A8}</x14:id>
        </ext>
      </extLst>
    </cfRule>
  </conditionalFormatting>
  <conditionalFormatting sqref="C28">
    <cfRule type="dataBar" priority="9">
      <dataBar>
        <cfvo type="num" val="0"/>
        <cfvo type="num" val="0.5"/>
        <color rgb="FF70AD47"/>
      </dataBar>
      <extLst>
        <ext xmlns:x14="http://schemas.microsoft.com/office/spreadsheetml/2009/9/main" uri="{B025F937-C7B1-47D3-B67F-A62EFF666E3E}">
          <x14:id>{8A5B662F-019E-4ECC-81E9-9A229EEE0315}</x14:id>
        </ext>
      </extLst>
    </cfRule>
  </conditionalFormatting>
  <conditionalFormatting sqref="C29">
    <cfRule type="dataBar" priority="10">
      <dataBar>
        <cfvo type="num" val="0"/>
        <cfvo type="num" val="0.5"/>
        <color rgb="FF70AD47"/>
      </dataBar>
      <extLst>
        <ext xmlns:x14="http://schemas.microsoft.com/office/spreadsheetml/2009/9/main" uri="{B025F937-C7B1-47D3-B67F-A62EFF666E3E}">
          <x14:id>{19854012-71AB-4340-B8D5-0B9F833BF415}</x14:id>
        </ext>
      </extLst>
    </cfRule>
  </conditionalFormatting>
  <conditionalFormatting sqref="C33:C37">
    <cfRule type="colorScale" priority="11">
      <colorScale>
        <cfvo type="min"/>
        <cfvo type="max"/>
        <color rgb="FFC6EFCE"/>
        <color rgb="FFFFC7CE"/>
      </colorScale>
    </cfRule>
  </conditionalFormatting>
  <conditionalFormatting sqref="C79:L83">
    <cfRule type="colorScale" priority="17">
      <colorScale>
        <cfvo type="num" val="-150"/>
        <cfvo type="num" val="0"/>
        <cfvo type="num" val="150"/>
        <color rgb="FFE06666"/>
        <color rgb="FFFFFFFF"/>
        <color rgb="FF93C47D"/>
      </colorScale>
    </cfRule>
  </conditionalFormatting>
  <conditionalFormatting sqref="D33:D37">
    <cfRule type="colorScale" priority="12">
      <colorScale>
        <cfvo type="min"/>
        <cfvo type="max"/>
        <color rgb="FFC6EFCE"/>
        <color rgb="FFFFC7CE"/>
      </colorScale>
    </cfRule>
  </conditionalFormatting>
  <conditionalFormatting sqref="E33:E37">
    <cfRule type="colorScale" priority="13">
      <colorScale>
        <cfvo type="min"/>
        <cfvo type="max"/>
        <color rgb="FFC6EFCE"/>
        <color rgb="FFFFC7CE"/>
      </colorScale>
    </cfRule>
  </conditionalFormatting>
  <conditionalFormatting sqref="F7:F11">
    <cfRule type="cellIs" dxfId="3" priority="2" operator="greaterThan">
      <formula>0</formula>
    </cfRule>
    <cfRule type="cellIs" dxfId="2" priority="3" operator="lessThan">
      <formula>0</formula>
    </cfRule>
  </conditionalFormatting>
  <conditionalFormatting sqref="F33:F37">
    <cfRule type="colorScale" priority="14">
      <colorScale>
        <cfvo type="min"/>
        <cfvo type="max"/>
        <color rgb="FFC6EFCE"/>
        <color rgb="FFFFC7CE"/>
      </colorScale>
    </cfRule>
  </conditionalFormatting>
  <conditionalFormatting sqref="G33:G37">
    <cfRule type="colorScale" priority="15">
      <colorScale>
        <cfvo type="min"/>
        <cfvo type="max"/>
        <color rgb="FFC6EFCE"/>
        <color rgb="FFFFC7CE"/>
      </colorScale>
    </cfRule>
  </conditionalFormatting>
  <conditionalFormatting sqref="H7:H11">
    <cfRule type="cellIs" dxfId="1" priority="4" operator="greaterThan">
      <formula>0</formula>
    </cfRule>
    <cfRule type="cellIs" dxfId="0" priority="5" operator="lessThan">
      <formula>0</formula>
    </cfRule>
  </conditionalFormatting>
  <conditionalFormatting sqref="H33:H37">
    <cfRule type="colorScale" priority="16">
      <colorScale>
        <cfvo type="min"/>
        <cfvo type="max"/>
        <color rgb="FFFFC7CE"/>
        <color rgb="FFC6EFCE"/>
      </colorScale>
    </cfRule>
  </conditionalFormatting>
  <printOptions horizontalCentered="1"/>
  <pageMargins left="0.3" right="0.3" top="0.5" bottom="0.4" header="0.511811023622047" footer="0.511811023622047"/>
  <pageSetup paperSize="9" scale="96" fitToHeight="0" orientation="landscape" r:id="rId1"/>
  <headerFooter>
    <oddHeader>&amp;C&amp;"Arial,Bold"&amp;12 Atlas Agro Holding - Package de cloture</oddHeader>
    <oddFooter>&amp;L&amp;"Arial"&amp;8 SYNTHESE_BU&amp;C&amp;"Arial"&amp;8 Page &amp;P / &amp;N&amp;R&amp;"Arial"&amp;8 &amp;D</odd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FCCC97-FF40-4712-94F0-51905FDF3CCD}">
            <x14:dataBar axisPosition="none">
              <x14:cfvo type="min"/>
              <x14:cfvo type="max"/>
              <x14:negativeFillColor rgb="FF2E5496"/>
            </x14:dataBar>
          </x14:cfRule>
          <xm:sqref>C7:C11</xm:sqref>
        </x14:conditionalFormatting>
        <x14:conditionalFormatting xmlns:xm="http://schemas.microsoft.com/office/excel/2006/main">
          <x14:cfRule type="dataBar" id="{B00176E4-4F19-4AF1-94BF-08164EAEF691}">
            <x14:dataBar axisPosition="none">
              <x14:cfvo type="num">
                <xm:f>0</xm:f>
              </x14:cfvo>
              <x14:cfvo type="num">
                <xm:f>0.5</xm:f>
              </x14:cfvo>
              <x14:negativeFillColor rgb="FF70AD47"/>
            </x14:dataBar>
          </x14:cfRule>
          <xm:sqref>C25</xm:sqref>
        </x14:conditionalFormatting>
        <x14:conditionalFormatting xmlns:xm="http://schemas.microsoft.com/office/excel/2006/main">
          <x14:cfRule type="dataBar" id="{886EA654-4A79-4035-895B-D2725D33C877}">
            <x14:dataBar axisPosition="none">
              <x14:cfvo type="num">
                <xm:f>0</xm:f>
              </x14:cfvo>
              <x14:cfvo type="num">
                <xm:f>0.5</xm:f>
              </x14:cfvo>
              <x14:negativeFillColor rgb="FF70AD47"/>
            </x14:dataBar>
          </x14:cfRule>
          <xm:sqref>C26</xm:sqref>
        </x14:conditionalFormatting>
        <x14:conditionalFormatting xmlns:xm="http://schemas.microsoft.com/office/excel/2006/main">
          <x14:cfRule type="dataBar" id="{B82C999E-A39E-440D-95B5-48F824C7A2A8}">
            <x14:dataBar axisPosition="none">
              <x14:cfvo type="num">
                <xm:f>0</xm:f>
              </x14:cfvo>
              <x14:cfvo type="num">
                <xm:f>0.5</xm:f>
              </x14:cfvo>
              <x14:negativeFillColor rgb="FF70AD47"/>
            </x14:dataBar>
          </x14:cfRule>
          <xm:sqref>C27</xm:sqref>
        </x14:conditionalFormatting>
        <x14:conditionalFormatting xmlns:xm="http://schemas.microsoft.com/office/excel/2006/main">
          <x14:cfRule type="dataBar" id="{8A5B662F-019E-4ECC-81E9-9A229EEE0315}">
            <x14:dataBar axisPosition="none">
              <x14:cfvo type="num">
                <xm:f>0</xm:f>
              </x14:cfvo>
              <x14:cfvo type="num">
                <xm:f>0.5</xm:f>
              </x14:cfvo>
              <x14:negativeFillColor rgb="FF70AD47"/>
            </x14:dataBar>
          </x14:cfRule>
          <xm:sqref>C28</xm:sqref>
        </x14:conditionalFormatting>
        <x14:conditionalFormatting xmlns:xm="http://schemas.microsoft.com/office/excel/2006/main">
          <x14:cfRule type="dataBar" id="{19854012-71AB-4340-B8D5-0B9F833BF415}">
            <x14:dataBar axisPosition="none">
              <x14:cfvo type="num">
                <xm:f>0</xm:f>
              </x14:cfvo>
              <x14:cfvo type="num">
                <xm:f>0.5</xm:f>
              </x14:cfvo>
              <x14:negativeFillColor rgb="FF70AD47"/>
            </x14:dataBar>
          </x14:cfRule>
          <xm:sqref>C29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B7431-F72B-4806-8D2A-A02D0E1267AF}">
  <sheetPr codeName="Feuil5"/>
  <dimension ref="A1:R92"/>
  <sheetViews>
    <sheetView zoomScaleNormal="100" workbookViewId="0">
      <selection activeCell="C85" sqref="C85:G91"/>
    </sheetView>
  </sheetViews>
  <sheetFormatPr baseColWidth="10" defaultColWidth="8.6640625" defaultRowHeight="14.4" x14ac:dyDescent="0.3"/>
  <cols>
    <col min="1" max="1" width="12.33203125" bestFit="1" customWidth="1"/>
    <col min="2" max="2" width="9.88671875" bestFit="1" customWidth="1"/>
    <col min="3" max="3" width="9.6640625" customWidth="1"/>
    <col min="6" max="6" width="12.77734375" bestFit="1" customWidth="1"/>
    <col min="7" max="7" width="20.33203125" bestFit="1" customWidth="1"/>
    <col min="8" max="8" width="10.109375" bestFit="1" customWidth="1"/>
    <col min="9" max="9" width="12.77734375" bestFit="1" customWidth="1"/>
    <col min="10" max="10" width="19.44140625" bestFit="1" customWidth="1"/>
    <col min="11" max="11" width="10.109375" bestFit="1" customWidth="1"/>
    <col min="12" max="12" width="15.109375" bestFit="1" customWidth="1"/>
    <col min="13" max="13" width="12.77734375" bestFit="1" customWidth="1"/>
    <col min="14" max="14" width="12.109375" bestFit="1" customWidth="1"/>
  </cols>
  <sheetData>
    <row r="1" spans="3:9" ht="15" customHeight="1" x14ac:dyDescent="0.3">
      <c r="C1" t="s">
        <v>187</v>
      </c>
      <c r="D1" t="s">
        <v>186</v>
      </c>
      <c r="E1" t="s">
        <v>185</v>
      </c>
      <c r="F1" t="s">
        <v>184</v>
      </c>
      <c r="G1" t="s">
        <v>183</v>
      </c>
      <c r="H1" t="s">
        <v>182</v>
      </c>
      <c r="I1" t="s">
        <v>192</v>
      </c>
    </row>
    <row r="2" spans="3:9" ht="15" customHeight="1" x14ac:dyDescent="0.3">
      <c r="C2" t="s">
        <v>191</v>
      </c>
      <c r="D2">
        <f>SUM(I3:I7)</f>
        <v>2708.6199999999976</v>
      </c>
      <c r="E2">
        <v>0</v>
      </c>
      <c r="F2">
        <v>0</v>
      </c>
      <c r="G2">
        <v>0</v>
      </c>
      <c r="H2">
        <f>D2</f>
        <v>2708.6199999999976</v>
      </c>
    </row>
    <row r="3" spans="3:9" ht="15" customHeight="1" x14ac:dyDescent="0.3">
      <c r="C3" t="s">
        <v>8</v>
      </c>
      <c r="D3">
        <v>0</v>
      </c>
      <c r="E3">
        <f>IF(SYNTHESE_BU!K7-I3&gt;=0,H2,H2+(SYNTHESE_BU!K7-I3))</f>
        <v>2637.590000000002</v>
      </c>
      <c r="F3">
        <f>IF(SYNTHESE_BU!K7-I3&gt;=0,SYNTHESE_BU!K7-I3,0)</f>
        <v>0</v>
      </c>
      <c r="G3">
        <f>IF(SYNTHESE_BU!K7-I3&lt;0,-(SYNTHESE_BU!K7-I3),0)</f>
        <v>71.029999999995653</v>
      </c>
      <c r="H3">
        <f>H2+(SYNTHESE_BU!K7-I3)</f>
        <v>2637.590000000002</v>
      </c>
      <c r="I3">
        <f>SUMIFS(AGREG_PQ[Budget_YTD],AGREG_PQ[CodeEntite],"BU01",AGREG_PQ[PosteP&amp;L],"Chiffre d'affaires")+SUMIFS(AGREG_PQ[Budget_YTD],AGREG_PQ[CodeEntite],"BU01",AGREG_PQ[PosteP&amp;L],"Coût des matières")+SUMIFS(AGREG_PQ[Budget_YTD],AGREG_PQ[CodeEntite],"BU01",AGREG_PQ[PosteP&amp;L],"Charges de personnel")+SUMIFS(AGREG_PQ[Budget_YTD],AGREG_PQ[CodeEntite],"BU01",AGREG_PQ[PosteP&amp;L],"Charges externes")+SUMIFS(AGREG_PQ[Budget_YTD],AGREG_PQ[CodeEntite],"BU01",AGREG_PQ[PosteP&amp;L],"Transport &amp; logistique")+SUMIFS(AGREG_PQ[Budget_YTD],AGREG_PQ[CodeEntite],"BU01",AGREG_PQ[PosteP&amp;L],"Marketing &amp; publicité")+SUMIFS(AGREG_PQ[Budget_YTD],AGREG_PQ[CodeEntite],"BU01",AGREG_PQ[PosteP&amp;L],"Autres charges")</f>
        <v>2708.6199999999976</v>
      </c>
    </row>
    <row r="4" spans="3:9" ht="15" customHeight="1" x14ac:dyDescent="0.3">
      <c r="C4" t="s">
        <v>10</v>
      </c>
      <c r="D4">
        <v>0</v>
      </c>
      <c r="E4">
        <f>IF(SYNTHESE_BU!K8-I4&gt;=0,H3,H3+(SYNTHESE_BU!K8-I4))</f>
        <v>2637.590000000002</v>
      </c>
      <c r="F4">
        <f>IF(SYNTHESE_BU!K8-I4&gt;=0,SYNTHESE_BU!K8-I4,0)</f>
        <v>0</v>
      </c>
      <c r="G4">
        <f>IF(SYNTHESE_BU!K8-I4&lt;0,-(SYNTHESE_BU!K8-I4),0)</f>
        <v>0</v>
      </c>
      <c r="H4">
        <f>H3+(SYNTHESE_BU!K8-I4)</f>
        <v>2637.590000000002</v>
      </c>
      <c r="I4">
        <f>SUMIFS(AGREG_PQ[Budget_YTD],AGREG_PQ[CodeEntite],"BU02",AGREG_PQ[PosteP&amp;L],"Chiffre d'affaires")+SUMIFS(AGREG_PQ[Budget_YTD],AGREG_PQ[CodeEntite],"BU02",AGREG_PQ[PosteP&amp;L],"Coût des matières")+SUMIFS(AGREG_PQ[Budget_YTD],AGREG_PQ[CodeEntite],"BU02",AGREG_PQ[PosteP&amp;L],"Charges de personnel")+SUMIFS(AGREG_PQ[Budget_YTD],AGREG_PQ[CodeEntite],"BU02",AGREG_PQ[PosteP&amp;L],"Charges externes")+SUMIFS(AGREG_PQ[Budget_YTD],AGREG_PQ[CodeEntite],"BU02",AGREG_PQ[PosteP&amp;L],"Transport &amp; logistique")+SUMIFS(AGREG_PQ[Budget_YTD],AGREG_PQ[CodeEntite],"BU02",AGREG_PQ[PosteP&amp;L],"Marketing &amp; publicité")+SUMIFS(AGREG_PQ[Budget_YTD],AGREG_PQ[CodeEntite],"BU02",AGREG_PQ[PosteP&amp;L],"Autres charges")</f>
        <v>0</v>
      </c>
    </row>
    <row r="5" spans="3:9" ht="15" customHeight="1" x14ac:dyDescent="0.3">
      <c r="C5" t="s">
        <v>12</v>
      </c>
      <c r="D5">
        <v>0</v>
      </c>
      <c r="E5">
        <f>IF(SYNTHESE_BU!K9-I5&gt;=0,H4,H4+(SYNTHESE_BU!K9-I5))</f>
        <v>2637.590000000002</v>
      </c>
      <c r="F5">
        <f>IF(SYNTHESE_BU!K9-I5&gt;=0,SYNTHESE_BU!K9-I5,0)</f>
        <v>0</v>
      </c>
      <c r="G5">
        <f>IF(SYNTHESE_BU!K9-I5&lt;0,-(SYNTHESE_BU!K9-I5),0)</f>
        <v>0</v>
      </c>
      <c r="H5">
        <f>H4+(SYNTHESE_BU!K9-I5)</f>
        <v>2637.590000000002</v>
      </c>
      <c r="I5">
        <f>SUMIFS(AGREG_PQ[Budget_YTD],AGREG_PQ[CodeEntite],"BU03",AGREG_PQ[PosteP&amp;L],"Chiffre d'affaires")+SUMIFS(AGREG_PQ[Budget_YTD],AGREG_PQ[CodeEntite],"BU03",AGREG_PQ[PosteP&amp;L],"Coût des matières")+SUMIFS(AGREG_PQ[Budget_YTD],AGREG_PQ[CodeEntite],"BU03",AGREG_PQ[PosteP&amp;L],"Charges de personnel")+SUMIFS(AGREG_PQ[Budget_YTD],AGREG_PQ[CodeEntite],"BU03",AGREG_PQ[PosteP&amp;L],"Charges externes")+SUMIFS(AGREG_PQ[Budget_YTD],AGREG_PQ[CodeEntite],"BU03",AGREG_PQ[PosteP&amp;L],"Transport &amp; logistique")+SUMIFS(AGREG_PQ[Budget_YTD],AGREG_PQ[CodeEntite],"BU03",AGREG_PQ[PosteP&amp;L],"Marketing &amp; publicité")+SUMIFS(AGREG_PQ[Budget_YTD],AGREG_PQ[CodeEntite],"BU03",AGREG_PQ[PosteP&amp;L],"Autres charges")</f>
        <v>0</v>
      </c>
    </row>
    <row r="6" spans="3:9" ht="15" customHeight="1" x14ac:dyDescent="0.3">
      <c r="C6" t="s">
        <v>14</v>
      </c>
      <c r="D6">
        <v>0</v>
      </c>
      <c r="E6">
        <f>IF(SYNTHESE_BU!K10-I6&gt;=0,H5,H5+(SYNTHESE_BU!K10-I6))</f>
        <v>2637.590000000002</v>
      </c>
      <c r="F6">
        <f>IF(SYNTHESE_BU!K10-I6&gt;=0,SYNTHESE_BU!K10-I6,0)</f>
        <v>0</v>
      </c>
      <c r="G6">
        <f>IF(SYNTHESE_BU!K10-I6&lt;0,-(SYNTHESE_BU!K10-I6),0)</f>
        <v>0</v>
      </c>
      <c r="H6">
        <f>H5+(SYNTHESE_BU!K10-I6)</f>
        <v>2637.590000000002</v>
      </c>
      <c r="I6">
        <f>SUMIFS(AGREG_PQ[Budget_YTD],AGREG_PQ[CodeEntite],"BU04",AGREG_PQ[PosteP&amp;L],"Chiffre d'affaires")+SUMIFS(AGREG_PQ[Budget_YTD],AGREG_PQ[CodeEntite],"BU04",AGREG_PQ[PosteP&amp;L],"Coût des matières")+SUMIFS(AGREG_PQ[Budget_YTD],AGREG_PQ[CodeEntite],"BU04",AGREG_PQ[PosteP&amp;L],"Charges de personnel")+SUMIFS(AGREG_PQ[Budget_YTD],AGREG_PQ[CodeEntite],"BU04",AGREG_PQ[PosteP&amp;L],"Charges externes")+SUMIFS(AGREG_PQ[Budget_YTD],AGREG_PQ[CodeEntite],"BU04",AGREG_PQ[PosteP&amp;L],"Transport &amp; logistique")+SUMIFS(AGREG_PQ[Budget_YTD],AGREG_PQ[CodeEntite],"BU04",AGREG_PQ[PosteP&amp;L],"Marketing &amp; publicité")+SUMIFS(AGREG_PQ[Budget_YTD],AGREG_PQ[CodeEntite],"BU04",AGREG_PQ[PosteP&amp;L],"Autres charges")</f>
        <v>0</v>
      </c>
    </row>
    <row r="7" spans="3:9" ht="15" customHeight="1" x14ac:dyDescent="0.3">
      <c r="C7" t="s">
        <v>16</v>
      </c>
      <c r="D7">
        <v>0</v>
      </c>
      <c r="E7">
        <f>IF(SYNTHESE_BU!K11-I7&gt;=0,H6,H6+(SYNTHESE_BU!K11-I7))</f>
        <v>2637.590000000002</v>
      </c>
      <c r="F7">
        <f>IF(SYNTHESE_BU!K11-I7&gt;=0,SYNTHESE_BU!K11-I7,0)</f>
        <v>0</v>
      </c>
      <c r="G7">
        <f>IF(SYNTHESE_BU!K11-I7&lt;0,-(SYNTHESE_BU!K11-I7),0)</f>
        <v>0</v>
      </c>
      <c r="H7">
        <f>H6+(SYNTHESE_BU!K11-I7)</f>
        <v>2637.590000000002</v>
      </c>
      <c r="I7">
        <f>SUMIFS(AGREG_PQ[Budget_YTD],AGREG_PQ[CodeEntite],"BU05",AGREG_PQ[PosteP&amp;L],"Chiffre d'affaires")+SUMIFS(AGREG_PQ[Budget_YTD],AGREG_PQ[CodeEntite],"BU05",AGREG_PQ[PosteP&amp;L],"Coût des matières")+SUMIFS(AGREG_PQ[Budget_YTD],AGREG_PQ[CodeEntite],"BU05",AGREG_PQ[PosteP&amp;L],"Charges de personnel")+SUMIFS(AGREG_PQ[Budget_YTD],AGREG_PQ[CodeEntite],"BU05",AGREG_PQ[PosteP&amp;L],"Charges externes")+SUMIFS(AGREG_PQ[Budget_YTD],AGREG_PQ[CodeEntite],"BU05",AGREG_PQ[PosteP&amp;L],"Transport &amp; logistique")+SUMIFS(AGREG_PQ[Budget_YTD],AGREG_PQ[CodeEntite],"BU05",AGREG_PQ[PosteP&amp;L],"Marketing &amp; publicité")+SUMIFS(AGREG_PQ[Budget_YTD],AGREG_PQ[CodeEntite],"BU05",AGREG_PQ[PosteP&amp;L],"Autres charges")</f>
        <v>0</v>
      </c>
    </row>
    <row r="8" spans="3:9" ht="15" customHeight="1" x14ac:dyDescent="0.3">
      <c r="C8" t="s">
        <v>190</v>
      </c>
      <c r="D8" s="11">
        <f>SYNTHESE_BU!K12</f>
        <v>2637.590000000002</v>
      </c>
      <c r="E8">
        <v>0</v>
      </c>
      <c r="F8">
        <v>0</v>
      </c>
      <c r="G8">
        <v>0</v>
      </c>
      <c r="H8" s="11">
        <f>D8</f>
        <v>2637.590000000002</v>
      </c>
    </row>
    <row r="11" spans="3:9" ht="15" customHeight="1" x14ac:dyDescent="0.3">
      <c r="C11" t="s">
        <v>179</v>
      </c>
      <c r="D11" t="s">
        <v>189</v>
      </c>
      <c r="E11" t="s">
        <v>188</v>
      </c>
      <c r="F11" t="s">
        <v>107</v>
      </c>
    </row>
    <row r="12" spans="3:9" ht="15" customHeight="1" x14ac:dyDescent="0.3">
      <c r="C12" t="s">
        <v>8</v>
      </c>
      <c r="D12" s="12">
        <f>SYNTHESE_BU!H7</f>
        <v>0.11415295583669847</v>
      </c>
      <c r="E12" s="12">
        <f>SYNTHESE_BU!L7</f>
        <v>1</v>
      </c>
      <c r="F12" s="11">
        <f>SYNTHESE_BU!C7</f>
        <v>2637.590000000002</v>
      </c>
    </row>
    <row r="13" spans="3:9" ht="15" customHeight="1" x14ac:dyDescent="0.3">
      <c r="C13" t="s">
        <v>10</v>
      </c>
      <c r="D13" s="12" t="str">
        <f>SYNTHESE_BU!H8</f>
        <v>-</v>
      </c>
      <c r="E13" s="12" t="str">
        <f>SYNTHESE_BU!L8</f>
        <v>-</v>
      </c>
      <c r="F13" s="11">
        <f>SYNTHESE_BU!C8</f>
        <v>0</v>
      </c>
    </row>
    <row r="14" spans="3:9" ht="15" customHeight="1" x14ac:dyDescent="0.3">
      <c r="C14" t="s">
        <v>12</v>
      </c>
      <c r="D14" s="12" t="str">
        <f>SYNTHESE_BU!H9</f>
        <v>-</v>
      </c>
      <c r="E14" s="12" t="str">
        <f>SYNTHESE_BU!L9</f>
        <v>-</v>
      </c>
      <c r="F14" s="11">
        <f>SYNTHESE_BU!C9</f>
        <v>0</v>
      </c>
    </row>
    <row r="15" spans="3:9" ht="15" customHeight="1" x14ac:dyDescent="0.3">
      <c r="C15" t="s">
        <v>14</v>
      </c>
      <c r="D15" s="12" t="str">
        <f>SYNTHESE_BU!H10</f>
        <v>-</v>
      </c>
      <c r="E15" s="12" t="str">
        <f>SYNTHESE_BU!L10</f>
        <v>-</v>
      </c>
      <c r="F15" s="11">
        <f>SYNTHESE_BU!C10</f>
        <v>0</v>
      </c>
    </row>
    <row r="16" spans="3:9" ht="15" customHeight="1" x14ac:dyDescent="0.3">
      <c r="C16" t="s">
        <v>16</v>
      </c>
      <c r="D16" s="12" t="str">
        <f>SYNTHESE_BU!H11</f>
        <v>-</v>
      </c>
      <c r="E16" s="12" t="str">
        <f>SYNTHESE_BU!L11</f>
        <v>-</v>
      </c>
      <c r="F16" s="11">
        <f>SYNTHESE_BU!C11</f>
        <v>0</v>
      </c>
    </row>
    <row r="20" spans="3:8" ht="15" customHeight="1" x14ac:dyDescent="0.3">
      <c r="C20" t="s">
        <v>187</v>
      </c>
      <c r="D20" t="s">
        <v>186</v>
      </c>
      <c r="E20" t="s">
        <v>185</v>
      </c>
      <c r="F20" t="s">
        <v>184</v>
      </c>
      <c r="G20" t="s">
        <v>183</v>
      </c>
      <c r="H20" t="s">
        <v>182</v>
      </c>
    </row>
    <row r="21" spans="3:8" ht="15" customHeight="1" x14ac:dyDescent="0.3">
      <c r="C21" t="s">
        <v>181</v>
      </c>
      <c r="D21" s="11">
        <f>PACKAGE_PnL!H21</f>
        <v>2708.6199999999976</v>
      </c>
      <c r="E21" s="11">
        <v>0</v>
      </c>
      <c r="F21" s="11">
        <v>0</v>
      </c>
      <c r="G21" s="11">
        <v>0</v>
      </c>
      <c r="H21" s="11">
        <f>D21</f>
        <v>2708.6199999999976</v>
      </c>
    </row>
    <row r="22" spans="3:8" ht="15" customHeight="1" x14ac:dyDescent="0.3">
      <c r="C22" t="s">
        <v>107</v>
      </c>
      <c r="D22" s="11">
        <v>0</v>
      </c>
      <c r="E22" s="11">
        <f>IF(PACKAGE_PnL!I7&gt;=0,H21,H21+(PACKAGE_PnL!I7))</f>
        <v>2637.590000000002</v>
      </c>
      <c r="F22" s="11">
        <f>IF(PACKAGE_PnL!I7&gt;=0,PACKAGE_PnL!I7,0)</f>
        <v>0</v>
      </c>
      <c r="G22" s="11">
        <f>IF(PACKAGE_PnL!I7&lt;0,-(PACKAGE_PnL!I7),0)</f>
        <v>71.029999999995653</v>
      </c>
      <c r="H22" s="11">
        <f>H21+(PACKAGE_PnL!I7)</f>
        <v>2637.590000000002</v>
      </c>
    </row>
    <row r="23" spans="3:8" ht="15" customHeight="1" x14ac:dyDescent="0.3">
      <c r="C23" t="s">
        <v>106</v>
      </c>
      <c r="D23" s="11">
        <v>0</v>
      </c>
      <c r="E23" s="11">
        <f>IF(PACKAGE_PnL!I8&gt;=0,H22,H22+(PACKAGE_PnL!I8))</f>
        <v>2637.590000000002</v>
      </c>
      <c r="F23" s="11">
        <f>IF(PACKAGE_PnL!I8&gt;=0,PACKAGE_PnL!I8,0)</f>
        <v>0</v>
      </c>
      <c r="G23" s="11">
        <f>IF(PACKAGE_PnL!I8&lt;0,-(PACKAGE_PnL!I8),0)</f>
        <v>0</v>
      </c>
      <c r="H23" s="11">
        <f>H22+(PACKAGE_PnL!I8)</f>
        <v>2637.590000000002</v>
      </c>
    </row>
    <row r="24" spans="3:8" ht="15" customHeight="1" x14ac:dyDescent="0.3">
      <c r="C24" t="s">
        <v>105</v>
      </c>
      <c r="D24" s="11">
        <v>0</v>
      </c>
      <c r="E24" s="11">
        <f>IF(PACKAGE_PnL!I10&gt;=0,H23,H23+(PACKAGE_PnL!I10))</f>
        <v>2637.590000000002</v>
      </c>
      <c r="F24" s="11">
        <f>IF(PACKAGE_PnL!I10&gt;=0,PACKAGE_PnL!I10,0)</f>
        <v>0</v>
      </c>
      <c r="G24" s="11">
        <f>IF(PACKAGE_PnL!I10&lt;0,-(PACKAGE_PnL!I10),0)</f>
        <v>0</v>
      </c>
      <c r="H24" s="11">
        <f>H23+(PACKAGE_PnL!I10)</f>
        <v>2637.590000000002</v>
      </c>
    </row>
    <row r="25" spans="3:8" ht="15" customHeight="1" x14ac:dyDescent="0.3">
      <c r="C25" t="s">
        <v>104</v>
      </c>
      <c r="D25" s="11">
        <v>0</v>
      </c>
      <c r="E25" s="11">
        <f>IF(PACKAGE_PnL!I11&gt;=0,H24,H24+(PACKAGE_PnL!I11))</f>
        <v>2637.590000000002</v>
      </c>
      <c r="F25" s="11">
        <f>IF(PACKAGE_PnL!I11&gt;=0,PACKAGE_PnL!I11,0)</f>
        <v>0</v>
      </c>
      <c r="G25" s="11">
        <f>IF(PACKAGE_PnL!I11&lt;0,-(PACKAGE_PnL!I11),0)</f>
        <v>0</v>
      </c>
      <c r="H25" s="11">
        <f>H24+(PACKAGE_PnL!I11)</f>
        <v>2637.590000000002</v>
      </c>
    </row>
    <row r="26" spans="3:8" ht="15" customHeight="1" x14ac:dyDescent="0.3">
      <c r="C26" t="s">
        <v>103</v>
      </c>
      <c r="D26" s="11">
        <v>0</v>
      </c>
      <c r="E26" s="11">
        <f>IF(PACKAGE_PnL!I12&gt;=0,H25,H25+(PACKAGE_PnL!I12))</f>
        <v>2637.590000000002</v>
      </c>
      <c r="F26" s="11">
        <f>IF(PACKAGE_PnL!I12&gt;=0,PACKAGE_PnL!I12,0)</f>
        <v>0</v>
      </c>
      <c r="G26" s="11">
        <f>IF(PACKAGE_PnL!I12&lt;0,-(PACKAGE_PnL!I12),0)</f>
        <v>0</v>
      </c>
      <c r="H26" s="11">
        <f>H25+(PACKAGE_PnL!I12)</f>
        <v>2637.590000000002</v>
      </c>
    </row>
    <row r="27" spans="3:8" ht="15" customHeight="1" x14ac:dyDescent="0.3">
      <c r="C27" t="s">
        <v>102</v>
      </c>
      <c r="D27" s="11">
        <v>0</v>
      </c>
      <c r="E27" s="11">
        <f>IF(PACKAGE_PnL!I13&gt;=0,H26,H26+(PACKAGE_PnL!I13))</f>
        <v>2637.590000000002</v>
      </c>
      <c r="F27" s="11">
        <f>IF(PACKAGE_PnL!I13&gt;=0,PACKAGE_PnL!I13,0)</f>
        <v>0</v>
      </c>
      <c r="G27" s="11">
        <f>IF(PACKAGE_PnL!I13&lt;0,-(PACKAGE_PnL!I13),0)</f>
        <v>0</v>
      </c>
      <c r="H27" s="11">
        <f>H26+(PACKAGE_PnL!I13)</f>
        <v>2637.590000000002</v>
      </c>
    </row>
    <row r="28" spans="3:8" ht="15" customHeight="1" x14ac:dyDescent="0.3">
      <c r="C28" t="s">
        <v>101</v>
      </c>
      <c r="D28" s="11">
        <v>0</v>
      </c>
      <c r="E28" s="11">
        <f>IF(PACKAGE_PnL!I14&gt;=0,H27,H27+(PACKAGE_PnL!I14))</f>
        <v>2637.590000000002</v>
      </c>
      <c r="F28" s="11">
        <f>IF(PACKAGE_PnL!I14&gt;=0,PACKAGE_PnL!I14,0)</f>
        <v>0</v>
      </c>
      <c r="G28" s="11">
        <f>IF(PACKAGE_PnL!I14&lt;0,-(PACKAGE_PnL!I14),0)</f>
        <v>0</v>
      </c>
      <c r="H28" s="11">
        <f>H27+(PACKAGE_PnL!I14)</f>
        <v>2637.590000000002</v>
      </c>
    </row>
    <row r="29" spans="3:8" ht="15" customHeight="1" x14ac:dyDescent="0.3">
      <c r="C29" t="s">
        <v>100</v>
      </c>
      <c r="D29" s="11">
        <v>0</v>
      </c>
      <c r="E29" s="11">
        <f>IF(PACKAGE_PnL!I16&gt;=0,H28,H28+(PACKAGE_PnL!I16))</f>
        <v>2637.590000000002</v>
      </c>
      <c r="F29" s="11">
        <f>IF(PACKAGE_PnL!I16&gt;=0,PACKAGE_PnL!I16,0)</f>
        <v>0</v>
      </c>
      <c r="G29" s="11">
        <f>IF(PACKAGE_PnL!I16&lt;0,-(PACKAGE_PnL!I16),0)</f>
        <v>0</v>
      </c>
      <c r="H29" s="11">
        <f>H28+(PACKAGE_PnL!I16)</f>
        <v>2637.590000000002</v>
      </c>
    </row>
    <row r="30" spans="3:8" ht="15" customHeight="1" x14ac:dyDescent="0.3">
      <c r="C30" t="s">
        <v>99</v>
      </c>
      <c r="D30" s="11">
        <v>0</v>
      </c>
      <c r="E30" s="11">
        <f>IF(PACKAGE_PnL!I18&gt;=0,H29,H29+(PACKAGE_PnL!I18))</f>
        <v>2637.590000000002</v>
      </c>
      <c r="F30" s="11">
        <f>IF(PACKAGE_PnL!I18&gt;=0,PACKAGE_PnL!I18,0)</f>
        <v>0</v>
      </c>
      <c r="G30" s="11">
        <f>IF(PACKAGE_PnL!I18&lt;0,-(PACKAGE_PnL!I18),0)</f>
        <v>0</v>
      </c>
      <c r="H30" s="11">
        <f>H29+(PACKAGE_PnL!I18)</f>
        <v>2637.590000000002</v>
      </c>
    </row>
    <row r="31" spans="3:8" ht="15" customHeight="1" x14ac:dyDescent="0.3">
      <c r="C31" t="s">
        <v>45</v>
      </c>
      <c r="D31" s="11">
        <v>0</v>
      </c>
      <c r="E31" s="11">
        <f>IF(PACKAGE_PnL!I20&gt;=0,H30,H30+(PACKAGE_PnL!I20))</f>
        <v>2637.590000000002</v>
      </c>
      <c r="F31" s="11">
        <f>IF(PACKAGE_PnL!I20&gt;=0,PACKAGE_PnL!I20,0)</f>
        <v>0</v>
      </c>
      <c r="G31" s="11">
        <f>IF(PACKAGE_PnL!I20&lt;0,-(PACKAGE_PnL!I20),0)</f>
        <v>0</v>
      </c>
      <c r="H31" s="11">
        <f>H30+(PACKAGE_PnL!I20)</f>
        <v>2637.590000000002</v>
      </c>
    </row>
    <row r="32" spans="3:8" ht="15" customHeight="1" x14ac:dyDescent="0.3">
      <c r="C32" t="s">
        <v>180</v>
      </c>
      <c r="D32" s="11">
        <f>PACKAGE_PnL!G21</f>
        <v>2637.590000000002</v>
      </c>
      <c r="E32" s="11">
        <v>0</v>
      </c>
      <c r="F32" s="11">
        <v>0</v>
      </c>
      <c r="G32" s="11">
        <v>0</v>
      </c>
      <c r="H32" s="11">
        <f>D32</f>
        <v>2637.590000000002</v>
      </c>
    </row>
    <row r="40" spans="3:5" ht="15" customHeight="1" x14ac:dyDescent="0.3">
      <c r="C40" t="s">
        <v>179</v>
      </c>
      <c r="D40" t="s">
        <v>107</v>
      </c>
      <c r="E40" t="s">
        <v>24</v>
      </c>
    </row>
    <row r="41" spans="3:5" ht="15" customHeight="1" x14ac:dyDescent="0.3">
      <c r="C41" t="s">
        <v>8</v>
      </c>
      <c r="D41" s="11">
        <f>SYNTHESE_BU!C7</f>
        <v>2637.590000000002</v>
      </c>
      <c r="E41" s="11">
        <f>SYNTHESE_BU!K7</f>
        <v>2637.590000000002</v>
      </c>
    </row>
    <row r="42" spans="3:5" ht="15" customHeight="1" x14ac:dyDescent="0.3">
      <c r="C42" t="s">
        <v>10</v>
      </c>
      <c r="D42" s="11">
        <f>SYNTHESE_BU!C8</f>
        <v>0</v>
      </c>
      <c r="E42" s="11">
        <f>SYNTHESE_BU!K8</f>
        <v>0</v>
      </c>
    </row>
    <row r="43" spans="3:5" ht="15" customHeight="1" x14ac:dyDescent="0.3">
      <c r="C43" t="s">
        <v>12</v>
      </c>
      <c r="D43" s="11">
        <f>SYNTHESE_BU!C9</f>
        <v>0</v>
      </c>
      <c r="E43" s="11">
        <f>SYNTHESE_BU!K9</f>
        <v>0</v>
      </c>
    </row>
    <row r="44" spans="3:5" ht="15" customHeight="1" x14ac:dyDescent="0.3">
      <c r="C44" t="s">
        <v>14</v>
      </c>
      <c r="D44" s="11">
        <f>SYNTHESE_BU!C10</f>
        <v>0</v>
      </c>
      <c r="E44" s="11">
        <f>SYNTHESE_BU!K10</f>
        <v>0</v>
      </c>
    </row>
    <row r="45" spans="3:5" ht="15" customHeight="1" x14ac:dyDescent="0.3">
      <c r="C45" t="s">
        <v>16</v>
      </c>
      <c r="D45" s="11">
        <f>SYNTHESE_BU!C11</f>
        <v>0</v>
      </c>
      <c r="E45" s="11">
        <f>SYNTHESE_BU!K11</f>
        <v>0</v>
      </c>
    </row>
    <row r="50" spans="1:7" ht="15" customHeight="1" x14ac:dyDescent="0.3">
      <c r="F50" t="s">
        <v>1206</v>
      </c>
      <c r="G50" s="11">
        <f>PACKAGE_PnL!G7</f>
        <v>2637.590000000002</v>
      </c>
    </row>
    <row r="51" spans="1:7" ht="15" customHeight="1" x14ac:dyDescent="0.3">
      <c r="F51" t="s">
        <v>1207</v>
      </c>
      <c r="G51" t="e">
        <f>MAX(0,SUM(#REF!)-PACKAGE_PnL!G7)</f>
        <v>#REF!</v>
      </c>
    </row>
    <row r="55" spans="1:7" x14ac:dyDescent="0.3">
      <c r="A55" t="s">
        <v>1195</v>
      </c>
      <c r="B55" t="s">
        <v>1208</v>
      </c>
    </row>
    <row r="56" spans="1:7" x14ac:dyDescent="0.3">
      <c r="A56" t="s">
        <v>1200</v>
      </c>
      <c r="B56">
        <v>312.85999999999996</v>
      </c>
      <c r="D56" s="13"/>
    </row>
    <row r="57" spans="1:7" x14ac:dyDescent="0.3">
      <c r="A57" t="s">
        <v>1198</v>
      </c>
      <c r="B57">
        <v>309.33</v>
      </c>
      <c r="D57" s="13"/>
    </row>
    <row r="58" spans="1:7" x14ac:dyDescent="0.3">
      <c r="A58" t="s">
        <v>1197</v>
      </c>
      <c r="B58">
        <v>309.05000000000007</v>
      </c>
      <c r="D58" s="13"/>
    </row>
    <row r="59" spans="1:7" x14ac:dyDescent="0.3">
      <c r="A59" t="s">
        <v>1202</v>
      </c>
      <c r="B59">
        <v>308</v>
      </c>
      <c r="D59" s="13"/>
    </row>
    <row r="60" spans="1:7" x14ac:dyDescent="0.3">
      <c r="A60" t="s">
        <v>1204</v>
      </c>
      <c r="B60">
        <v>296.0900000000002</v>
      </c>
      <c r="D60" s="13"/>
    </row>
    <row r="61" spans="1:7" x14ac:dyDescent="0.3">
      <c r="A61" t="s">
        <v>1199</v>
      </c>
      <c r="B61">
        <v>292.68000000000006</v>
      </c>
      <c r="D61" s="13"/>
    </row>
    <row r="62" spans="1:7" x14ac:dyDescent="0.3">
      <c r="A62" t="s">
        <v>1205</v>
      </c>
      <c r="B62">
        <v>273.95999999999992</v>
      </c>
      <c r="D62" s="13"/>
    </row>
    <row r="63" spans="1:7" x14ac:dyDescent="0.3">
      <c r="A63" t="s">
        <v>1203</v>
      </c>
      <c r="B63">
        <v>273.85999999999996</v>
      </c>
      <c r="D63" s="13"/>
    </row>
    <row r="64" spans="1:7" x14ac:dyDescent="0.3">
      <c r="A64" t="s">
        <v>1201</v>
      </c>
      <c r="B64">
        <v>261.75999999999988</v>
      </c>
      <c r="D64" s="13"/>
    </row>
    <row r="65" spans="1:4" x14ac:dyDescent="0.3">
      <c r="D65" s="13"/>
    </row>
    <row r="69" spans="1:4" x14ac:dyDescent="0.3">
      <c r="A69" t="s">
        <v>1196</v>
      </c>
      <c r="B69" t="s">
        <v>1209</v>
      </c>
    </row>
    <row r="71" spans="1:4" x14ac:dyDescent="0.3">
      <c r="D71" s="13"/>
    </row>
    <row r="72" spans="1:4" x14ac:dyDescent="0.3">
      <c r="D72" s="13"/>
    </row>
    <row r="73" spans="1:4" x14ac:dyDescent="0.3">
      <c r="D73" s="13"/>
    </row>
    <row r="74" spans="1:4" x14ac:dyDescent="0.3">
      <c r="D74" s="13"/>
    </row>
    <row r="75" spans="1:4" x14ac:dyDescent="0.3">
      <c r="D75" s="13"/>
    </row>
    <row r="76" spans="1:4" x14ac:dyDescent="0.3">
      <c r="D76" s="13"/>
    </row>
    <row r="77" spans="1:4" x14ac:dyDescent="0.3">
      <c r="D77" s="13"/>
    </row>
    <row r="78" spans="1:4" x14ac:dyDescent="0.3">
      <c r="D78" s="13"/>
    </row>
    <row r="85" spans="4:18" x14ac:dyDescent="0.3">
      <c r="I85" t="s">
        <v>56</v>
      </c>
      <c r="J85" t="s">
        <v>57</v>
      </c>
      <c r="K85" t="s">
        <v>1210</v>
      </c>
      <c r="L85" t="s">
        <v>1211</v>
      </c>
      <c r="M85" t="s">
        <v>1212</v>
      </c>
      <c r="N85" t="s">
        <v>1213</v>
      </c>
    </row>
    <row r="86" spans="4:18" x14ac:dyDescent="0.3">
      <c r="D86" s="13"/>
      <c r="E86" s="13"/>
      <c r="F86" s="13"/>
      <c r="G86" s="13"/>
      <c r="I86" t="s">
        <v>7</v>
      </c>
      <c r="J86" t="s">
        <v>8</v>
      </c>
      <c r="K86">
        <v>-71.029999999995823</v>
      </c>
      <c r="L86">
        <v>-40.742758745402497</v>
      </c>
      <c r="M86">
        <v>-30.74977594112913</v>
      </c>
      <c r="N86">
        <v>0.46253468653580321</v>
      </c>
    </row>
    <row r="87" spans="4:18" x14ac:dyDescent="0.3">
      <c r="D87" s="13"/>
      <c r="E87" s="13"/>
      <c r="F87" s="13"/>
      <c r="G87" s="13"/>
    </row>
    <row r="88" spans="4:18" x14ac:dyDescent="0.3">
      <c r="D88" s="13"/>
      <c r="E88" s="13"/>
      <c r="F88" s="13"/>
      <c r="G88" s="13"/>
    </row>
    <row r="89" spans="4:18" x14ac:dyDescent="0.3">
      <c r="D89" s="13"/>
      <c r="E89" s="13"/>
      <c r="F89" s="13"/>
      <c r="G89" s="13"/>
    </row>
    <row r="90" spans="4:18" x14ac:dyDescent="0.3">
      <c r="D90" s="13"/>
      <c r="E90" s="13"/>
      <c r="F90" s="13"/>
      <c r="G90" s="13"/>
    </row>
    <row r="92" spans="4:18" x14ac:dyDescent="0.3">
      <c r="R92" t="s">
        <v>1226</v>
      </c>
    </row>
  </sheetData>
  <pageMargins left="0.75" right="0.75" top="1" bottom="1" header="0.511811023622047" footer="0.511811023622047"/>
  <pageSetup paperSize="9" orientation="portrait" horizontalDpi="300" verticalDpi="300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92E98-783C-4390-8102-DE0B505F7D34}">
  <sheetPr codeName="Feuil6"/>
  <dimension ref="A1:L13"/>
  <sheetViews>
    <sheetView showGridLines="0" zoomScaleNormal="100" workbookViewId="0">
      <selection activeCell="J44" sqref="J44"/>
    </sheetView>
  </sheetViews>
  <sheetFormatPr baseColWidth="10" defaultColWidth="8.6640625" defaultRowHeight="14.4" x14ac:dyDescent="0.3"/>
  <cols>
    <col min="1" max="1" width="7.44140625" bestFit="1" customWidth="1"/>
    <col min="2" max="2" width="12.109375" bestFit="1" customWidth="1"/>
    <col min="3" max="5" width="9.6640625" bestFit="1" customWidth="1"/>
    <col min="6" max="8" width="13.44140625" bestFit="1" customWidth="1"/>
    <col min="9" max="11" width="9.77734375" bestFit="1" customWidth="1"/>
    <col min="12" max="12" width="16.21875" bestFit="1" customWidth="1"/>
  </cols>
  <sheetData>
    <row r="1" spans="1:12" x14ac:dyDescent="0.3">
      <c r="A1" t="s">
        <v>54</v>
      </c>
      <c r="B1" t="s">
        <v>178</v>
      </c>
      <c r="C1" t="s">
        <v>177</v>
      </c>
      <c r="D1" t="s">
        <v>176</v>
      </c>
      <c r="E1" t="s">
        <v>175</v>
      </c>
      <c r="F1" t="s">
        <v>174</v>
      </c>
      <c r="G1" t="s">
        <v>173</v>
      </c>
      <c r="H1" t="s">
        <v>172</v>
      </c>
      <c r="I1" t="s">
        <v>171</v>
      </c>
      <c r="J1" t="s">
        <v>170</v>
      </c>
      <c r="K1" t="s">
        <v>169</v>
      </c>
      <c r="L1" t="s">
        <v>168</v>
      </c>
    </row>
    <row r="2" spans="1:12" x14ac:dyDescent="0.3">
      <c r="A2">
        <v>1</v>
      </c>
      <c r="B2" t="s">
        <v>167</v>
      </c>
      <c r="C2">
        <v>1772.7099999999978</v>
      </c>
      <c r="D2">
        <v>2033.3299999999965</v>
      </c>
      <c r="E2">
        <v>1874.2900000000009</v>
      </c>
      <c r="F2">
        <v>1772.7099999999978</v>
      </c>
      <c r="G2">
        <v>2033.3299999999965</v>
      </c>
      <c r="H2">
        <v>1874.2900000000009</v>
      </c>
      <c r="I2">
        <v>1772.7099999999978</v>
      </c>
      <c r="J2">
        <v>2033.3299999999965</v>
      </c>
      <c r="K2">
        <v>1874.2900000000009</v>
      </c>
      <c r="L2">
        <v>1</v>
      </c>
    </row>
    <row r="3" spans="1:12" x14ac:dyDescent="0.3">
      <c r="A3">
        <v>2</v>
      </c>
      <c r="B3" t="s">
        <v>166</v>
      </c>
      <c r="C3">
        <v>594.63999999999965</v>
      </c>
      <c r="D3">
        <v>675.28999999999985</v>
      </c>
      <c r="E3">
        <v>763.30000000000018</v>
      </c>
      <c r="F3">
        <v>594.63999999999965</v>
      </c>
      <c r="G3">
        <v>675.28999999999985</v>
      </c>
      <c r="H3">
        <v>763.30000000000018</v>
      </c>
      <c r="I3">
        <v>594.63999999999965</v>
      </c>
      <c r="J3">
        <v>675.28999999999985</v>
      </c>
      <c r="K3">
        <v>763.30000000000018</v>
      </c>
      <c r="L3">
        <v>1</v>
      </c>
    </row>
    <row r="4" spans="1:12" x14ac:dyDescent="0.3">
      <c r="A4">
        <v>3</v>
      </c>
      <c r="B4" t="s">
        <v>165</v>
      </c>
    </row>
    <row r="5" spans="1:12" x14ac:dyDescent="0.3">
      <c r="A5">
        <v>4</v>
      </c>
      <c r="B5" t="s">
        <v>164</v>
      </c>
    </row>
    <row r="6" spans="1:12" x14ac:dyDescent="0.3">
      <c r="A6">
        <v>5</v>
      </c>
      <c r="B6" t="s">
        <v>163</v>
      </c>
    </row>
    <row r="7" spans="1:12" x14ac:dyDescent="0.3">
      <c r="A7">
        <v>6</v>
      </c>
      <c r="B7" t="s">
        <v>162</v>
      </c>
    </row>
    <row r="8" spans="1:12" x14ac:dyDescent="0.3">
      <c r="A8">
        <v>7</v>
      </c>
      <c r="B8" t="s">
        <v>161</v>
      </c>
    </row>
    <row r="9" spans="1:12" x14ac:dyDescent="0.3">
      <c r="A9">
        <v>8</v>
      </c>
      <c r="B9" t="s">
        <v>160</v>
      </c>
    </row>
    <row r="10" spans="1:12" x14ac:dyDescent="0.3">
      <c r="A10">
        <v>9</v>
      </c>
      <c r="B10" t="s">
        <v>159</v>
      </c>
    </row>
    <row r="11" spans="1:12" x14ac:dyDescent="0.3">
      <c r="A11">
        <v>10</v>
      </c>
      <c r="B11" t="s">
        <v>158</v>
      </c>
    </row>
    <row r="12" spans="1:12" x14ac:dyDescent="0.3">
      <c r="A12">
        <v>11</v>
      </c>
      <c r="B12" t="s">
        <v>157</v>
      </c>
    </row>
    <row r="13" spans="1:12" x14ac:dyDescent="0.3">
      <c r="A13">
        <v>12</v>
      </c>
      <c r="B13" t="s">
        <v>156</v>
      </c>
    </row>
  </sheetData>
  <pageMargins left="0.75" right="0.75" top="1" bottom="1" header="0.511811023622047" footer="0.511811023622047"/>
  <pageSetup paperSize="9" orientation="portrait" horizontalDpi="300" verticalDpi="30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7B3CE-DEA0-4986-8A05-CBFE7524C0BC}">
  <sheetPr codeName="Feuil7"/>
  <dimension ref="A1:J2"/>
  <sheetViews>
    <sheetView workbookViewId="0">
      <selection sqref="A1:J51"/>
    </sheetView>
  </sheetViews>
  <sheetFormatPr baseColWidth="10" defaultRowHeight="14.4" x14ac:dyDescent="0.3"/>
  <cols>
    <col min="1" max="1" width="12.77734375" bestFit="1" customWidth="1"/>
    <col min="2" max="2" width="19.33203125" bestFit="1" customWidth="1"/>
    <col min="3" max="3" width="15.44140625" bestFit="1" customWidth="1"/>
    <col min="4" max="4" width="9.88671875" bestFit="1" customWidth="1"/>
    <col min="5" max="5" width="12.109375" bestFit="1" customWidth="1"/>
    <col min="6" max="6" width="11.33203125" bestFit="1" customWidth="1"/>
    <col min="7" max="7" width="13.5546875" bestFit="1" customWidth="1"/>
    <col min="8" max="8" width="14.6640625" bestFit="1" customWidth="1"/>
    <col min="9" max="9" width="10.21875" bestFit="1" customWidth="1"/>
    <col min="10" max="10" width="11.6640625" bestFit="1" customWidth="1"/>
  </cols>
  <sheetData>
    <row r="1" spans="1:10" x14ac:dyDescent="0.3">
      <c r="A1" t="s">
        <v>56</v>
      </c>
      <c r="B1" t="s">
        <v>57</v>
      </c>
      <c r="C1" t="s">
        <v>60</v>
      </c>
      <c r="D1" t="s">
        <v>87</v>
      </c>
      <c r="E1" t="s">
        <v>88</v>
      </c>
      <c r="F1" t="s">
        <v>89</v>
      </c>
      <c r="G1" t="s">
        <v>90</v>
      </c>
      <c r="H1" t="s">
        <v>91</v>
      </c>
      <c r="I1" t="s">
        <v>92</v>
      </c>
      <c r="J1" t="s">
        <v>93</v>
      </c>
    </row>
    <row r="2" spans="1:10" x14ac:dyDescent="0.3">
      <c r="A2" t="s">
        <v>7</v>
      </c>
      <c r="B2" t="s">
        <v>8</v>
      </c>
      <c r="C2" t="s">
        <v>33</v>
      </c>
      <c r="D2">
        <v>763.30000000000018</v>
      </c>
      <c r="E2">
        <v>675.28999999999985</v>
      </c>
      <c r="F2">
        <v>2637.590000000002</v>
      </c>
      <c r="G2">
        <v>2708.6199999999976</v>
      </c>
      <c r="H2">
        <v>2367.3499999999945</v>
      </c>
      <c r="I2">
        <v>88.010000000000332</v>
      </c>
      <c r="J2">
        <v>-71.029999999995653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F3315-4992-4678-BF5B-3BB5ED131FD1}">
  <sheetPr codeName="Feuil8"/>
  <dimension ref="A1:S1001"/>
  <sheetViews>
    <sheetView topLeftCell="A63234" workbookViewId="0">
      <selection activeCell="T63381" sqref="T63381"/>
    </sheetView>
  </sheetViews>
  <sheetFormatPr baseColWidth="10" defaultRowHeight="14.4" x14ac:dyDescent="0.3"/>
  <cols>
    <col min="1" max="1" width="11.6640625" bestFit="1" customWidth="1"/>
    <col min="2" max="2" width="10.5546875" bestFit="1" customWidth="1"/>
    <col min="3" max="3" width="8.88671875" bestFit="1" customWidth="1"/>
    <col min="4" max="4" width="7.44140625" bestFit="1" customWidth="1"/>
    <col min="5" max="5" width="10.5546875" bestFit="1" customWidth="1"/>
    <col min="6" max="6" width="12.77734375" bestFit="1" customWidth="1"/>
    <col min="7" max="7" width="19.33203125" bestFit="1" customWidth="1"/>
    <col min="8" max="8" width="7.88671875" bestFit="1" customWidth="1"/>
    <col min="9" max="9" width="14" bestFit="1" customWidth="1"/>
    <col min="10" max="10" width="21.109375" bestFit="1" customWidth="1"/>
    <col min="11" max="11" width="7.88671875" bestFit="1" customWidth="1"/>
    <col min="12" max="12" width="10" bestFit="1" customWidth="1"/>
    <col min="13" max="13" width="22.21875" bestFit="1" customWidth="1"/>
    <col min="14" max="14" width="15.44140625" bestFit="1" customWidth="1"/>
    <col min="15" max="15" width="10.77734375" bestFit="1" customWidth="1"/>
    <col min="16" max="16" width="18.21875" bestFit="1" customWidth="1"/>
    <col min="17" max="17" width="16.109375" bestFit="1" customWidth="1"/>
    <col min="18" max="18" width="12.21875" bestFit="1" customWidth="1"/>
    <col min="19" max="19" width="13" bestFit="1" customWidth="1"/>
  </cols>
  <sheetData>
    <row r="1" spans="1:19" x14ac:dyDescent="0.3">
      <c r="A1" t="s">
        <v>51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t="s">
        <v>57</v>
      </c>
      <c r="H1" t="s">
        <v>64</v>
      </c>
      <c r="I1" t="s">
        <v>65</v>
      </c>
      <c r="J1" t="s">
        <v>66</v>
      </c>
      <c r="K1" t="s">
        <v>67</v>
      </c>
      <c r="L1" t="s">
        <v>58</v>
      </c>
      <c r="M1" t="s">
        <v>59</v>
      </c>
      <c r="N1" t="s">
        <v>60</v>
      </c>
      <c r="O1" t="s">
        <v>68</v>
      </c>
      <c r="P1" t="s">
        <v>69</v>
      </c>
      <c r="Q1" t="s">
        <v>61</v>
      </c>
      <c r="R1" t="s">
        <v>1195</v>
      </c>
      <c r="S1" t="s">
        <v>1196</v>
      </c>
    </row>
    <row r="2" spans="1:19" x14ac:dyDescent="0.3">
      <c r="A2" t="s">
        <v>194</v>
      </c>
      <c r="B2" t="s">
        <v>22</v>
      </c>
      <c r="C2">
        <v>2026</v>
      </c>
      <c r="D2">
        <v>1</v>
      </c>
      <c r="E2" s="2">
        <v>46023</v>
      </c>
      <c r="F2" t="s">
        <v>7</v>
      </c>
      <c r="G2" t="s">
        <v>8</v>
      </c>
      <c r="H2" t="s">
        <v>74</v>
      </c>
      <c r="I2" t="s">
        <v>84</v>
      </c>
      <c r="J2" t="s">
        <v>85</v>
      </c>
      <c r="K2" t="s">
        <v>73</v>
      </c>
      <c r="L2">
        <v>701000</v>
      </c>
      <c r="M2" t="s">
        <v>62</v>
      </c>
      <c r="N2" t="s">
        <v>33</v>
      </c>
      <c r="O2">
        <v>1267</v>
      </c>
      <c r="P2">
        <v>0.95</v>
      </c>
      <c r="Q2">
        <v>1.2</v>
      </c>
      <c r="R2" t="s">
        <v>1197</v>
      </c>
      <c r="S2" t="s">
        <v>195</v>
      </c>
    </row>
    <row r="3" spans="1:19" x14ac:dyDescent="0.3">
      <c r="A3" t="s">
        <v>196</v>
      </c>
      <c r="B3" t="s">
        <v>22</v>
      </c>
      <c r="C3">
        <v>2026</v>
      </c>
      <c r="D3">
        <v>1</v>
      </c>
      <c r="E3" s="2">
        <v>46023</v>
      </c>
      <c r="F3" t="s">
        <v>7</v>
      </c>
      <c r="G3" t="s">
        <v>8</v>
      </c>
      <c r="H3" t="s">
        <v>74</v>
      </c>
      <c r="I3" t="s">
        <v>84</v>
      </c>
      <c r="J3" t="s">
        <v>85</v>
      </c>
      <c r="K3" t="s">
        <v>73</v>
      </c>
      <c r="L3">
        <v>701000</v>
      </c>
      <c r="M3" t="s">
        <v>62</v>
      </c>
      <c r="N3" t="s">
        <v>33</v>
      </c>
      <c r="O3">
        <v>5143</v>
      </c>
      <c r="P3">
        <v>0.95</v>
      </c>
      <c r="Q3">
        <v>4.8899999999999997</v>
      </c>
      <c r="R3" t="s">
        <v>1198</v>
      </c>
      <c r="S3" t="s">
        <v>195</v>
      </c>
    </row>
    <row r="4" spans="1:19" x14ac:dyDescent="0.3">
      <c r="A4" t="s">
        <v>197</v>
      </c>
      <c r="B4" t="s">
        <v>22</v>
      </c>
      <c r="C4">
        <v>2026</v>
      </c>
      <c r="D4">
        <v>1</v>
      </c>
      <c r="E4" s="2">
        <v>46023</v>
      </c>
      <c r="F4" t="s">
        <v>7</v>
      </c>
      <c r="G4" t="s">
        <v>8</v>
      </c>
      <c r="H4" t="s">
        <v>74</v>
      </c>
      <c r="I4" t="s">
        <v>84</v>
      </c>
      <c r="J4" t="s">
        <v>85</v>
      </c>
      <c r="K4" t="s">
        <v>73</v>
      </c>
      <c r="L4">
        <v>701000</v>
      </c>
      <c r="M4" t="s">
        <v>62</v>
      </c>
      <c r="N4" t="s">
        <v>33</v>
      </c>
      <c r="O4">
        <v>252</v>
      </c>
      <c r="P4">
        <v>0.95</v>
      </c>
      <c r="Q4">
        <v>0.24</v>
      </c>
      <c r="R4" t="s">
        <v>1199</v>
      </c>
      <c r="S4" t="s">
        <v>195</v>
      </c>
    </row>
    <row r="5" spans="1:19" x14ac:dyDescent="0.3">
      <c r="A5" t="s">
        <v>198</v>
      </c>
      <c r="B5" t="s">
        <v>22</v>
      </c>
      <c r="C5">
        <v>2026</v>
      </c>
      <c r="D5">
        <v>1</v>
      </c>
      <c r="E5" s="2">
        <v>46023</v>
      </c>
      <c r="F5" t="s">
        <v>7</v>
      </c>
      <c r="G5" t="s">
        <v>8</v>
      </c>
      <c r="H5" t="s">
        <v>74</v>
      </c>
      <c r="I5" t="s">
        <v>84</v>
      </c>
      <c r="J5" t="s">
        <v>85</v>
      </c>
      <c r="K5" t="s">
        <v>73</v>
      </c>
      <c r="L5">
        <v>701000</v>
      </c>
      <c r="M5" t="s">
        <v>62</v>
      </c>
      <c r="N5" t="s">
        <v>33</v>
      </c>
      <c r="O5">
        <v>1519</v>
      </c>
      <c r="P5">
        <v>0.95</v>
      </c>
      <c r="Q5">
        <v>1.44</v>
      </c>
      <c r="R5" t="s">
        <v>1200</v>
      </c>
      <c r="S5" t="s">
        <v>195</v>
      </c>
    </row>
    <row r="6" spans="1:19" x14ac:dyDescent="0.3">
      <c r="A6" t="s">
        <v>199</v>
      </c>
      <c r="B6" t="s">
        <v>22</v>
      </c>
      <c r="C6">
        <v>2026</v>
      </c>
      <c r="D6">
        <v>1</v>
      </c>
      <c r="E6" s="2">
        <v>46023</v>
      </c>
      <c r="F6" t="s">
        <v>7</v>
      </c>
      <c r="G6" t="s">
        <v>8</v>
      </c>
      <c r="H6" t="s">
        <v>74</v>
      </c>
      <c r="I6" t="s">
        <v>84</v>
      </c>
      <c r="J6" t="s">
        <v>85</v>
      </c>
      <c r="K6" t="s">
        <v>73</v>
      </c>
      <c r="L6">
        <v>701000</v>
      </c>
      <c r="M6" t="s">
        <v>62</v>
      </c>
      <c r="N6" t="s">
        <v>33</v>
      </c>
      <c r="O6">
        <v>7580</v>
      </c>
      <c r="P6">
        <v>0.95</v>
      </c>
      <c r="Q6">
        <v>7.2</v>
      </c>
      <c r="R6" t="s">
        <v>1201</v>
      </c>
      <c r="S6" t="s">
        <v>195</v>
      </c>
    </row>
    <row r="7" spans="1:19" x14ac:dyDescent="0.3">
      <c r="A7" t="s">
        <v>590</v>
      </c>
      <c r="B7" t="s">
        <v>22</v>
      </c>
      <c r="C7">
        <v>2026</v>
      </c>
      <c r="D7">
        <v>1</v>
      </c>
      <c r="E7" s="2">
        <v>46023</v>
      </c>
      <c r="F7" t="s">
        <v>7</v>
      </c>
      <c r="G7" t="s">
        <v>8</v>
      </c>
      <c r="H7" t="s">
        <v>70</v>
      </c>
      <c r="I7" t="s">
        <v>77</v>
      </c>
      <c r="J7" t="s">
        <v>78</v>
      </c>
      <c r="K7" t="s">
        <v>73</v>
      </c>
      <c r="L7">
        <v>701000</v>
      </c>
      <c r="M7" t="s">
        <v>62</v>
      </c>
      <c r="N7" t="s">
        <v>33</v>
      </c>
      <c r="O7">
        <v>703</v>
      </c>
      <c r="P7">
        <v>1.79</v>
      </c>
      <c r="Q7">
        <v>1.26</v>
      </c>
      <c r="R7" t="s">
        <v>1203</v>
      </c>
      <c r="S7" t="s">
        <v>195</v>
      </c>
    </row>
    <row r="8" spans="1:19" x14ac:dyDescent="0.3">
      <c r="A8" t="s">
        <v>591</v>
      </c>
      <c r="B8" t="s">
        <v>22</v>
      </c>
      <c r="C8">
        <v>2026</v>
      </c>
      <c r="D8">
        <v>1</v>
      </c>
      <c r="E8" s="2">
        <v>46023</v>
      </c>
      <c r="F8" t="s">
        <v>7</v>
      </c>
      <c r="G8" t="s">
        <v>8</v>
      </c>
      <c r="H8" t="s">
        <v>70</v>
      </c>
      <c r="I8" t="s">
        <v>77</v>
      </c>
      <c r="J8" t="s">
        <v>78</v>
      </c>
      <c r="K8" t="s">
        <v>73</v>
      </c>
      <c r="L8">
        <v>701000</v>
      </c>
      <c r="M8" t="s">
        <v>62</v>
      </c>
      <c r="N8" t="s">
        <v>33</v>
      </c>
      <c r="O8">
        <v>675</v>
      </c>
      <c r="P8">
        <v>1.79</v>
      </c>
      <c r="Q8">
        <v>1.21</v>
      </c>
      <c r="R8" t="s">
        <v>1201</v>
      </c>
      <c r="S8" t="s">
        <v>195</v>
      </c>
    </row>
    <row r="9" spans="1:19" x14ac:dyDescent="0.3">
      <c r="A9" t="s">
        <v>592</v>
      </c>
      <c r="B9" t="s">
        <v>22</v>
      </c>
      <c r="C9">
        <v>2026</v>
      </c>
      <c r="D9">
        <v>1</v>
      </c>
      <c r="E9" s="2">
        <v>46023</v>
      </c>
      <c r="F9" t="s">
        <v>7</v>
      </c>
      <c r="G9" t="s">
        <v>8</v>
      </c>
      <c r="H9" t="s">
        <v>70</v>
      </c>
      <c r="I9" t="s">
        <v>77</v>
      </c>
      <c r="J9" t="s">
        <v>78</v>
      </c>
      <c r="K9" t="s">
        <v>73</v>
      </c>
      <c r="L9">
        <v>701000</v>
      </c>
      <c r="M9" t="s">
        <v>62</v>
      </c>
      <c r="N9" t="s">
        <v>33</v>
      </c>
      <c r="O9">
        <v>947</v>
      </c>
      <c r="P9">
        <v>1.8</v>
      </c>
      <c r="Q9">
        <v>1.7</v>
      </c>
      <c r="R9" t="s">
        <v>1205</v>
      </c>
      <c r="S9" t="s">
        <v>195</v>
      </c>
    </row>
    <row r="10" spans="1:19" x14ac:dyDescent="0.3">
      <c r="A10" t="s">
        <v>593</v>
      </c>
      <c r="B10" t="s">
        <v>22</v>
      </c>
      <c r="C10">
        <v>2026</v>
      </c>
      <c r="D10">
        <v>1</v>
      </c>
      <c r="E10" s="2">
        <v>46023</v>
      </c>
      <c r="F10" t="s">
        <v>7</v>
      </c>
      <c r="G10" t="s">
        <v>8</v>
      </c>
      <c r="H10" t="s">
        <v>70</v>
      </c>
      <c r="I10" t="s">
        <v>77</v>
      </c>
      <c r="J10" t="s">
        <v>78</v>
      </c>
      <c r="K10" t="s">
        <v>73</v>
      </c>
      <c r="L10">
        <v>701000</v>
      </c>
      <c r="M10" t="s">
        <v>62</v>
      </c>
      <c r="N10" t="s">
        <v>33</v>
      </c>
      <c r="O10">
        <v>1413</v>
      </c>
      <c r="P10">
        <v>1.8</v>
      </c>
      <c r="Q10">
        <v>2.54</v>
      </c>
      <c r="R10" t="s">
        <v>1202</v>
      </c>
      <c r="S10" t="s">
        <v>195</v>
      </c>
    </row>
    <row r="11" spans="1:19" x14ac:dyDescent="0.3">
      <c r="A11" t="s">
        <v>594</v>
      </c>
      <c r="B11" t="s">
        <v>22</v>
      </c>
      <c r="C11">
        <v>2026</v>
      </c>
      <c r="D11">
        <v>1</v>
      </c>
      <c r="E11" s="2">
        <v>46023</v>
      </c>
      <c r="F11" t="s">
        <v>7</v>
      </c>
      <c r="G11" t="s">
        <v>8</v>
      </c>
      <c r="H11" t="s">
        <v>70</v>
      </c>
      <c r="I11" t="s">
        <v>77</v>
      </c>
      <c r="J11" t="s">
        <v>78</v>
      </c>
      <c r="K11" t="s">
        <v>73</v>
      </c>
      <c r="L11">
        <v>701000</v>
      </c>
      <c r="M11" t="s">
        <v>62</v>
      </c>
      <c r="N11" t="s">
        <v>33</v>
      </c>
      <c r="O11">
        <v>708</v>
      </c>
      <c r="P11">
        <v>1.82</v>
      </c>
      <c r="Q11">
        <v>1.29</v>
      </c>
      <c r="R11" t="s">
        <v>1200</v>
      </c>
      <c r="S11" t="s">
        <v>195</v>
      </c>
    </row>
    <row r="12" spans="1:19" x14ac:dyDescent="0.3">
      <c r="A12" t="s">
        <v>820</v>
      </c>
      <c r="B12" t="s">
        <v>22</v>
      </c>
      <c r="C12">
        <v>2026</v>
      </c>
      <c r="D12">
        <v>1</v>
      </c>
      <c r="E12" s="2">
        <v>46023</v>
      </c>
      <c r="F12" t="s">
        <v>7</v>
      </c>
      <c r="G12" t="s">
        <v>8</v>
      </c>
      <c r="H12" t="s">
        <v>74</v>
      </c>
      <c r="I12" t="s">
        <v>82</v>
      </c>
      <c r="J12" t="s">
        <v>83</v>
      </c>
      <c r="K12" t="s">
        <v>73</v>
      </c>
      <c r="L12">
        <v>701000</v>
      </c>
      <c r="M12" t="s">
        <v>62</v>
      </c>
      <c r="N12" t="s">
        <v>33</v>
      </c>
      <c r="O12">
        <v>77</v>
      </c>
      <c r="P12">
        <v>18.57</v>
      </c>
      <c r="Q12">
        <v>1.43</v>
      </c>
      <c r="R12" t="s">
        <v>1203</v>
      </c>
      <c r="S12" t="s">
        <v>195</v>
      </c>
    </row>
    <row r="13" spans="1:19" x14ac:dyDescent="0.3">
      <c r="A13" t="s">
        <v>821</v>
      </c>
      <c r="B13" t="s">
        <v>22</v>
      </c>
      <c r="C13">
        <v>2026</v>
      </c>
      <c r="D13">
        <v>1</v>
      </c>
      <c r="E13" s="2">
        <v>46023</v>
      </c>
      <c r="F13" t="s">
        <v>7</v>
      </c>
      <c r="G13" t="s">
        <v>8</v>
      </c>
      <c r="H13" t="s">
        <v>74</v>
      </c>
      <c r="I13" t="s">
        <v>82</v>
      </c>
      <c r="J13" t="s">
        <v>83</v>
      </c>
      <c r="K13" t="s">
        <v>73</v>
      </c>
      <c r="L13">
        <v>701000</v>
      </c>
      <c r="M13" t="s">
        <v>62</v>
      </c>
      <c r="N13" t="s">
        <v>33</v>
      </c>
      <c r="O13">
        <v>78</v>
      </c>
      <c r="P13">
        <v>18.46</v>
      </c>
      <c r="Q13">
        <v>1.44</v>
      </c>
      <c r="R13" t="s">
        <v>1202</v>
      </c>
      <c r="S13" t="s">
        <v>195</v>
      </c>
    </row>
    <row r="14" spans="1:19" x14ac:dyDescent="0.3">
      <c r="A14" t="s">
        <v>822</v>
      </c>
      <c r="B14" t="s">
        <v>22</v>
      </c>
      <c r="C14">
        <v>2026</v>
      </c>
      <c r="D14">
        <v>1</v>
      </c>
      <c r="E14" s="2">
        <v>46023</v>
      </c>
      <c r="F14" t="s">
        <v>7</v>
      </c>
      <c r="G14" t="s">
        <v>8</v>
      </c>
      <c r="H14" t="s">
        <v>74</v>
      </c>
      <c r="I14" t="s">
        <v>82</v>
      </c>
      <c r="J14" t="s">
        <v>83</v>
      </c>
      <c r="K14" t="s">
        <v>73</v>
      </c>
      <c r="L14">
        <v>701000</v>
      </c>
      <c r="M14" t="s">
        <v>62</v>
      </c>
      <c r="N14" t="s">
        <v>33</v>
      </c>
      <c r="O14">
        <v>97</v>
      </c>
      <c r="P14">
        <v>18.559999999999999</v>
      </c>
      <c r="Q14">
        <v>1.8</v>
      </c>
      <c r="R14" t="s">
        <v>1204</v>
      </c>
      <c r="S14" t="s">
        <v>195</v>
      </c>
    </row>
    <row r="15" spans="1:19" x14ac:dyDescent="0.3">
      <c r="A15" t="s">
        <v>823</v>
      </c>
      <c r="B15" t="s">
        <v>22</v>
      </c>
      <c r="C15">
        <v>2026</v>
      </c>
      <c r="D15">
        <v>1</v>
      </c>
      <c r="E15" s="2">
        <v>46023</v>
      </c>
      <c r="F15" t="s">
        <v>7</v>
      </c>
      <c r="G15" t="s">
        <v>8</v>
      </c>
      <c r="H15" t="s">
        <v>74</v>
      </c>
      <c r="I15" t="s">
        <v>82</v>
      </c>
      <c r="J15" t="s">
        <v>83</v>
      </c>
      <c r="K15" t="s">
        <v>73</v>
      </c>
      <c r="L15">
        <v>701000</v>
      </c>
      <c r="M15" t="s">
        <v>62</v>
      </c>
      <c r="N15" t="s">
        <v>33</v>
      </c>
      <c r="O15">
        <v>110</v>
      </c>
      <c r="P15">
        <v>18.45</v>
      </c>
      <c r="Q15">
        <v>2.0299999999999998</v>
      </c>
      <c r="R15" t="s">
        <v>1199</v>
      </c>
      <c r="S15" t="s">
        <v>195</v>
      </c>
    </row>
    <row r="16" spans="1:19" x14ac:dyDescent="0.3">
      <c r="A16" t="s">
        <v>824</v>
      </c>
      <c r="B16" t="s">
        <v>22</v>
      </c>
      <c r="C16">
        <v>2026</v>
      </c>
      <c r="D16">
        <v>1</v>
      </c>
      <c r="E16" s="2">
        <v>46023</v>
      </c>
      <c r="F16" t="s">
        <v>7</v>
      </c>
      <c r="G16" t="s">
        <v>8</v>
      </c>
      <c r="H16" t="s">
        <v>74</v>
      </c>
      <c r="I16" t="s">
        <v>82</v>
      </c>
      <c r="J16" t="s">
        <v>83</v>
      </c>
      <c r="K16" t="s">
        <v>73</v>
      </c>
      <c r="L16">
        <v>701000</v>
      </c>
      <c r="M16" t="s">
        <v>62</v>
      </c>
      <c r="N16" t="s">
        <v>33</v>
      </c>
      <c r="O16">
        <v>157</v>
      </c>
      <c r="P16">
        <v>18.41</v>
      </c>
      <c r="Q16">
        <v>2.89</v>
      </c>
      <c r="R16" t="s">
        <v>1201</v>
      </c>
      <c r="S16" t="s">
        <v>195</v>
      </c>
    </row>
    <row r="17" spans="1:19" x14ac:dyDescent="0.3">
      <c r="A17" t="s">
        <v>855</v>
      </c>
      <c r="B17" t="s">
        <v>22</v>
      </c>
      <c r="C17">
        <v>2026</v>
      </c>
      <c r="D17">
        <v>1</v>
      </c>
      <c r="E17" s="2">
        <v>46023</v>
      </c>
      <c r="F17" t="s">
        <v>7</v>
      </c>
      <c r="G17" t="s">
        <v>8</v>
      </c>
      <c r="H17" t="s">
        <v>74</v>
      </c>
      <c r="I17" t="s">
        <v>82</v>
      </c>
      <c r="J17" t="s">
        <v>83</v>
      </c>
      <c r="K17" t="s">
        <v>73</v>
      </c>
      <c r="L17">
        <v>701000</v>
      </c>
      <c r="M17" t="s">
        <v>62</v>
      </c>
      <c r="N17" t="s">
        <v>33</v>
      </c>
      <c r="O17">
        <v>183</v>
      </c>
      <c r="P17">
        <v>18.52</v>
      </c>
      <c r="Q17">
        <v>3.39</v>
      </c>
      <c r="R17" t="s">
        <v>1197</v>
      </c>
      <c r="S17" t="s">
        <v>195</v>
      </c>
    </row>
    <row r="18" spans="1:19" x14ac:dyDescent="0.3">
      <c r="A18" t="s">
        <v>856</v>
      </c>
      <c r="B18" t="s">
        <v>22</v>
      </c>
      <c r="C18">
        <v>2026</v>
      </c>
      <c r="D18">
        <v>1</v>
      </c>
      <c r="E18" s="2">
        <v>46023</v>
      </c>
      <c r="F18" t="s">
        <v>7</v>
      </c>
      <c r="G18" t="s">
        <v>8</v>
      </c>
      <c r="H18" t="s">
        <v>74</v>
      </c>
      <c r="I18" t="s">
        <v>82</v>
      </c>
      <c r="J18" t="s">
        <v>83</v>
      </c>
      <c r="K18" t="s">
        <v>73</v>
      </c>
      <c r="L18">
        <v>701000</v>
      </c>
      <c r="M18" t="s">
        <v>62</v>
      </c>
      <c r="N18" t="s">
        <v>33</v>
      </c>
      <c r="O18">
        <v>158</v>
      </c>
      <c r="P18">
        <v>18.54</v>
      </c>
      <c r="Q18">
        <v>2.93</v>
      </c>
      <c r="R18" t="s">
        <v>1205</v>
      </c>
      <c r="S18" t="s">
        <v>195</v>
      </c>
    </row>
    <row r="19" spans="1:19" x14ac:dyDescent="0.3">
      <c r="A19" t="s">
        <v>857</v>
      </c>
      <c r="B19" t="s">
        <v>22</v>
      </c>
      <c r="C19">
        <v>2026</v>
      </c>
      <c r="D19">
        <v>1</v>
      </c>
      <c r="E19" s="2">
        <v>46023</v>
      </c>
      <c r="F19" t="s">
        <v>7</v>
      </c>
      <c r="G19" t="s">
        <v>8</v>
      </c>
      <c r="H19" t="s">
        <v>74</v>
      </c>
      <c r="I19" t="s">
        <v>82</v>
      </c>
      <c r="J19" t="s">
        <v>83</v>
      </c>
      <c r="K19" t="s">
        <v>73</v>
      </c>
      <c r="L19">
        <v>701000</v>
      </c>
      <c r="M19" t="s">
        <v>62</v>
      </c>
      <c r="N19" t="s">
        <v>33</v>
      </c>
      <c r="O19">
        <v>109</v>
      </c>
      <c r="P19">
        <v>18.53</v>
      </c>
      <c r="Q19">
        <v>2.02</v>
      </c>
      <c r="R19" t="s">
        <v>1200</v>
      </c>
      <c r="S19" t="s">
        <v>195</v>
      </c>
    </row>
    <row r="20" spans="1:19" x14ac:dyDescent="0.3">
      <c r="A20" t="s">
        <v>858</v>
      </c>
      <c r="B20" t="s">
        <v>22</v>
      </c>
      <c r="C20">
        <v>2026</v>
      </c>
      <c r="D20">
        <v>1</v>
      </c>
      <c r="E20" s="2">
        <v>46023</v>
      </c>
      <c r="F20" t="s">
        <v>7</v>
      </c>
      <c r="G20" t="s">
        <v>8</v>
      </c>
      <c r="H20" t="s">
        <v>74</v>
      </c>
      <c r="I20" t="s">
        <v>82</v>
      </c>
      <c r="J20" t="s">
        <v>83</v>
      </c>
      <c r="K20" t="s">
        <v>73</v>
      </c>
      <c r="L20">
        <v>701000</v>
      </c>
      <c r="M20" t="s">
        <v>62</v>
      </c>
      <c r="N20" t="s">
        <v>33</v>
      </c>
      <c r="O20">
        <v>111</v>
      </c>
      <c r="P20">
        <v>18.47</v>
      </c>
      <c r="Q20">
        <v>2.0499999999999998</v>
      </c>
      <c r="R20" t="s">
        <v>1199</v>
      </c>
      <c r="S20" t="s">
        <v>195</v>
      </c>
    </row>
    <row r="21" spans="1:19" x14ac:dyDescent="0.3">
      <c r="A21" t="s">
        <v>859</v>
      </c>
      <c r="B21" t="s">
        <v>22</v>
      </c>
      <c r="C21">
        <v>2026</v>
      </c>
      <c r="D21">
        <v>1</v>
      </c>
      <c r="E21" s="2">
        <v>46023</v>
      </c>
      <c r="F21" t="s">
        <v>7</v>
      </c>
      <c r="G21" t="s">
        <v>8</v>
      </c>
      <c r="H21" t="s">
        <v>74</v>
      </c>
      <c r="I21" t="s">
        <v>82</v>
      </c>
      <c r="J21" t="s">
        <v>83</v>
      </c>
      <c r="K21" t="s">
        <v>73</v>
      </c>
      <c r="L21">
        <v>701000</v>
      </c>
      <c r="M21" t="s">
        <v>62</v>
      </c>
      <c r="N21" t="s">
        <v>33</v>
      </c>
      <c r="O21">
        <v>116</v>
      </c>
      <c r="P21">
        <v>18.45</v>
      </c>
      <c r="Q21">
        <v>2.14</v>
      </c>
      <c r="R21" t="s">
        <v>1201</v>
      </c>
      <c r="S21" t="s">
        <v>195</v>
      </c>
    </row>
    <row r="22" spans="1:19" x14ac:dyDescent="0.3">
      <c r="A22" t="s">
        <v>275</v>
      </c>
      <c r="B22" t="s">
        <v>22</v>
      </c>
      <c r="C22">
        <v>2026</v>
      </c>
      <c r="D22">
        <v>1</v>
      </c>
      <c r="E22" s="2">
        <v>46024</v>
      </c>
      <c r="F22" t="s">
        <v>7</v>
      </c>
      <c r="G22" t="s">
        <v>8</v>
      </c>
      <c r="H22" t="s">
        <v>70</v>
      </c>
      <c r="I22" t="s">
        <v>84</v>
      </c>
      <c r="J22" t="s">
        <v>85</v>
      </c>
      <c r="K22" t="s">
        <v>73</v>
      </c>
      <c r="L22">
        <v>701000</v>
      </c>
      <c r="M22" t="s">
        <v>62</v>
      </c>
      <c r="N22" t="s">
        <v>33</v>
      </c>
      <c r="O22">
        <v>1792</v>
      </c>
      <c r="P22">
        <v>0.95</v>
      </c>
      <c r="Q22">
        <v>1.7</v>
      </c>
      <c r="R22" t="s">
        <v>1202</v>
      </c>
      <c r="S22" t="s">
        <v>195</v>
      </c>
    </row>
    <row r="23" spans="1:19" x14ac:dyDescent="0.3">
      <c r="A23" t="s">
        <v>276</v>
      </c>
      <c r="B23" t="s">
        <v>22</v>
      </c>
      <c r="C23">
        <v>2026</v>
      </c>
      <c r="D23">
        <v>1</v>
      </c>
      <c r="E23" s="2">
        <v>46024</v>
      </c>
      <c r="F23" t="s">
        <v>7</v>
      </c>
      <c r="G23" t="s">
        <v>8</v>
      </c>
      <c r="H23" t="s">
        <v>70</v>
      </c>
      <c r="I23" t="s">
        <v>84</v>
      </c>
      <c r="J23" t="s">
        <v>85</v>
      </c>
      <c r="K23" t="s">
        <v>73</v>
      </c>
      <c r="L23">
        <v>701000</v>
      </c>
      <c r="M23" t="s">
        <v>62</v>
      </c>
      <c r="N23" t="s">
        <v>33</v>
      </c>
      <c r="O23">
        <v>2171</v>
      </c>
      <c r="P23">
        <v>0.95</v>
      </c>
      <c r="Q23">
        <v>2.06</v>
      </c>
      <c r="R23" t="s">
        <v>1199</v>
      </c>
      <c r="S23" t="s">
        <v>195</v>
      </c>
    </row>
    <row r="24" spans="1:19" x14ac:dyDescent="0.3">
      <c r="A24" t="s">
        <v>277</v>
      </c>
      <c r="B24" t="s">
        <v>22</v>
      </c>
      <c r="C24">
        <v>2026</v>
      </c>
      <c r="D24">
        <v>1</v>
      </c>
      <c r="E24" s="2">
        <v>46024</v>
      </c>
      <c r="F24" t="s">
        <v>7</v>
      </c>
      <c r="G24" t="s">
        <v>8</v>
      </c>
      <c r="H24" t="s">
        <v>70</v>
      </c>
      <c r="I24" t="s">
        <v>84</v>
      </c>
      <c r="J24" t="s">
        <v>85</v>
      </c>
      <c r="K24" t="s">
        <v>73</v>
      </c>
      <c r="L24">
        <v>701000</v>
      </c>
      <c r="M24" t="s">
        <v>62</v>
      </c>
      <c r="N24" t="s">
        <v>33</v>
      </c>
      <c r="O24">
        <v>6016</v>
      </c>
      <c r="P24">
        <v>0.95</v>
      </c>
      <c r="Q24">
        <v>5.71</v>
      </c>
      <c r="R24" t="s">
        <v>1204</v>
      </c>
      <c r="S24" t="s">
        <v>195</v>
      </c>
    </row>
    <row r="25" spans="1:19" x14ac:dyDescent="0.3">
      <c r="A25" t="s">
        <v>278</v>
      </c>
      <c r="B25" t="s">
        <v>22</v>
      </c>
      <c r="C25">
        <v>2026</v>
      </c>
      <c r="D25">
        <v>1</v>
      </c>
      <c r="E25" s="2">
        <v>46024</v>
      </c>
      <c r="F25" t="s">
        <v>7</v>
      </c>
      <c r="G25" t="s">
        <v>8</v>
      </c>
      <c r="H25" t="s">
        <v>70</v>
      </c>
      <c r="I25" t="s">
        <v>84</v>
      </c>
      <c r="J25" t="s">
        <v>85</v>
      </c>
      <c r="K25" t="s">
        <v>73</v>
      </c>
      <c r="L25">
        <v>701000</v>
      </c>
      <c r="M25" t="s">
        <v>62</v>
      </c>
      <c r="N25" t="s">
        <v>33</v>
      </c>
      <c r="O25">
        <v>3136</v>
      </c>
      <c r="P25">
        <v>0.95</v>
      </c>
      <c r="Q25">
        <v>2.98</v>
      </c>
      <c r="R25" t="s">
        <v>1203</v>
      </c>
      <c r="S25" t="s">
        <v>195</v>
      </c>
    </row>
    <row r="26" spans="1:19" x14ac:dyDescent="0.3">
      <c r="A26" t="s">
        <v>279</v>
      </c>
      <c r="B26" t="s">
        <v>22</v>
      </c>
      <c r="C26">
        <v>2026</v>
      </c>
      <c r="D26">
        <v>1</v>
      </c>
      <c r="E26" s="2">
        <v>46024</v>
      </c>
      <c r="F26" t="s">
        <v>7</v>
      </c>
      <c r="G26" t="s">
        <v>8</v>
      </c>
      <c r="H26" t="s">
        <v>70</v>
      </c>
      <c r="I26" t="s">
        <v>84</v>
      </c>
      <c r="J26" t="s">
        <v>85</v>
      </c>
      <c r="K26" t="s">
        <v>73</v>
      </c>
      <c r="L26">
        <v>701000</v>
      </c>
      <c r="M26" t="s">
        <v>62</v>
      </c>
      <c r="N26" t="s">
        <v>33</v>
      </c>
      <c r="O26">
        <v>6267</v>
      </c>
      <c r="P26">
        <v>0.95</v>
      </c>
      <c r="Q26">
        <v>5.96</v>
      </c>
      <c r="R26" t="s">
        <v>1198</v>
      </c>
      <c r="S26" t="s">
        <v>195</v>
      </c>
    </row>
    <row r="27" spans="1:19" x14ac:dyDescent="0.3">
      <c r="A27" t="s">
        <v>315</v>
      </c>
      <c r="B27" t="s">
        <v>22</v>
      </c>
      <c r="C27">
        <v>2026</v>
      </c>
      <c r="D27">
        <v>1</v>
      </c>
      <c r="E27" s="2">
        <v>46024</v>
      </c>
      <c r="F27" t="s">
        <v>7</v>
      </c>
      <c r="G27" t="s">
        <v>8</v>
      </c>
      <c r="H27" t="s">
        <v>70</v>
      </c>
      <c r="I27" t="s">
        <v>71</v>
      </c>
      <c r="J27" t="s">
        <v>72</v>
      </c>
      <c r="K27" t="s">
        <v>73</v>
      </c>
      <c r="L27">
        <v>701000</v>
      </c>
      <c r="M27" t="s">
        <v>62</v>
      </c>
      <c r="N27" t="s">
        <v>33</v>
      </c>
      <c r="O27">
        <v>5157</v>
      </c>
      <c r="P27">
        <v>1.05</v>
      </c>
      <c r="Q27">
        <v>5.41</v>
      </c>
      <c r="R27" t="s">
        <v>1197</v>
      </c>
      <c r="S27" t="s">
        <v>195</v>
      </c>
    </row>
    <row r="28" spans="1:19" x14ac:dyDescent="0.3">
      <c r="A28" t="s">
        <v>316</v>
      </c>
      <c r="B28" t="s">
        <v>22</v>
      </c>
      <c r="C28">
        <v>2026</v>
      </c>
      <c r="D28">
        <v>1</v>
      </c>
      <c r="E28" s="2">
        <v>46024</v>
      </c>
      <c r="F28" t="s">
        <v>7</v>
      </c>
      <c r="G28" t="s">
        <v>8</v>
      </c>
      <c r="H28" t="s">
        <v>70</v>
      </c>
      <c r="I28" t="s">
        <v>71</v>
      </c>
      <c r="J28" t="s">
        <v>72</v>
      </c>
      <c r="K28" t="s">
        <v>73</v>
      </c>
      <c r="L28">
        <v>701000</v>
      </c>
      <c r="M28" t="s">
        <v>62</v>
      </c>
      <c r="N28" t="s">
        <v>33</v>
      </c>
      <c r="O28">
        <v>4371</v>
      </c>
      <c r="P28">
        <v>1.05</v>
      </c>
      <c r="Q28">
        <v>4.59</v>
      </c>
      <c r="R28" t="s">
        <v>1204</v>
      </c>
      <c r="S28" t="s">
        <v>195</v>
      </c>
    </row>
    <row r="29" spans="1:19" x14ac:dyDescent="0.3">
      <c r="A29" t="s">
        <v>317</v>
      </c>
      <c r="B29" t="s">
        <v>22</v>
      </c>
      <c r="C29">
        <v>2026</v>
      </c>
      <c r="D29">
        <v>1</v>
      </c>
      <c r="E29" s="2">
        <v>46024</v>
      </c>
      <c r="F29" t="s">
        <v>7</v>
      </c>
      <c r="G29" t="s">
        <v>8</v>
      </c>
      <c r="H29" t="s">
        <v>70</v>
      </c>
      <c r="I29" t="s">
        <v>71</v>
      </c>
      <c r="J29" t="s">
        <v>72</v>
      </c>
      <c r="K29" t="s">
        <v>73</v>
      </c>
      <c r="L29">
        <v>701000</v>
      </c>
      <c r="M29" t="s">
        <v>62</v>
      </c>
      <c r="N29" t="s">
        <v>33</v>
      </c>
      <c r="O29">
        <v>1603</v>
      </c>
      <c r="P29">
        <v>1.05</v>
      </c>
      <c r="Q29">
        <v>1.68</v>
      </c>
      <c r="R29" t="s">
        <v>1200</v>
      </c>
      <c r="S29" t="s">
        <v>195</v>
      </c>
    </row>
    <row r="30" spans="1:19" x14ac:dyDescent="0.3">
      <c r="A30" t="s">
        <v>318</v>
      </c>
      <c r="B30" t="s">
        <v>22</v>
      </c>
      <c r="C30">
        <v>2026</v>
      </c>
      <c r="D30">
        <v>1</v>
      </c>
      <c r="E30" s="2">
        <v>46024</v>
      </c>
      <c r="F30" t="s">
        <v>7</v>
      </c>
      <c r="G30" t="s">
        <v>8</v>
      </c>
      <c r="H30" t="s">
        <v>70</v>
      </c>
      <c r="I30" t="s">
        <v>71</v>
      </c>
      <c r="J30" t="s">
        <v>72</v>
      </c>
      <c r="K30" t="s">
        <v>73</v>
      </c>
      <c r="L30">
        <v>701000</v>
      </c>
      <c r="M30" t="s">
        <v>62</v>
      </c>
      <c r="N30" t="s">
        <v>33</v>
      </c>
      <c r="O30">
        <v>1063</v>
      </c>
      <c r="P30">
        <v>1.05</v>
      </c>
      <c r="Q30">
        <v>1.1200000000000001</v>
      </c>
      <c r="R30" t="s">
        <v>1203</v>
      </c>
      <c r="S30" t="s">
        <v>195</v>
      </c>
    </row>
    <row r="31" spans="1:19" x14ac:dyDescent="0.3">
      <c r="A31" t="s">
        <v>319</v>
      </c>
      <c r="B31" t="s">
        <v>22</v>
      </c>
      <c r="C31">
        <v>2026</v>
      </c>
      <c r="D31">
        <v>1</v>
      </c>
      <c r="E31" s="2">
        <v>46024</v>
      </c>
      <c r="F31" t="s">
        <v>7</v>
      </c>
      <c r="G31" t="s">
        <v>8</v>
      </c>
      <c r="H31" t="s">
        <v>70</v>
      </c>
      <c r="I31" t="s">
        <v>71</v>
      </c>
      <c r="J31" t="s">
        <v>72</v>
      </c>
      <c r="K31" t="s">
        <v>73</v>
      </c>
      <c r="L31">
        <v>701000</v>
      </c>
      <c r="M31" t="s">
        <v>62</v>
      </c>
      <c r="N31" t="s">
        <v>33</v>
      </c>
      <c r="O31">
        <v>4696</v>
      </c>
      <c r="P31">
        <v>1.05</v>
      </c>
      <c r="Q31">
        <v>4.93</v>
      </c>
      <c r="R31" t="s">
        <v>1198</v>
      </c>
      <c r="S31" t="s">
        <v>195</v>
      </c>
    </row>
    <row r="32" spans="1:19" x14ac:dyDescent="0.3">
      <c r="A32" t="s">
        <v>320</v>
      </c>
      <c r="B32" t="s">
        <v>22</v>
      </c>
      <c r="C32">
        <v>2026</v>
      </c>
      <c r="D32">
        <v>1</v>
      </c>
      <c r="E32" s="2">
        <v>46024</v>
      </c>
      <c r="F32" t="s">
        <v>7</v>
      </c>
      <c r="G32" t="s">
        <v>8</v>
      </c>
      <c r="H32" t="s">
        <v>70</v>
      </c>
      <c r="I32" t="s">
        <v>71</v>
      </c>
      <c r="J32" t="s">
        <v>72</v>
      </c>
      <c r="K32" t="s">
        <v>73</v>
      </c>
      <c r="L32">
        <v>707000</v>
      </c>
      <c r="M32" t="s">
        <v>81</v>
      </c>
      <c r="N32" t="s">
        <v>33</v>
      </c>
      <c r="O32">
        <v>4277</v>
      </c>
      <c r="P32">
        <v>1.05</v>
      </c>
      <c r="Q32">
        <v>4.49</v>
      </c>
      <c r="R32" t="s">
        <v>1200</v>
      </c>
      <c r="S32" t="s">
        <v>195</v>
      </c>
    </row>
    <row r="33" spans="1:19" x14ac:dyDescent="0.3">
      <c r="A33" t="s">
        <v>321</v>
      </c>
      <c r="B33" t="s">
        <v>22</v>
      </c>
      <c r="C33">
        <v>2026</v>
      </c>
      <c r="D33">
        <v>1</v>
      </c>
      <c r="E33" s="2">
        <v>46024</v>
      </c>
      <c r="F33" t="s">
        <v>7</v>
      </c>
      <c r="G33" t="s">
        <v>8</v>
      </c>
      <c r="H33" t="s">
        <v>70</v>
      </c>
      <c r="I33" t="s">
        <v>71</v>
      </c>
      <c r="J33" t="s">
        <v>72</v>
      </c>
      <c r="K33" t="s">
        <v>73</v>
      </c>
      <c r="L33">
        <v>707000</v>
      </c>
      <c r="M33" t="s">
        <v>81</v>
      </c>
      <c r="N33" t="s">
        <v>33</v>
      </c>
      <c r="O33">
        <v>4839</v>
      </c>
      <c r="P33">
        <v>1.05</v>
      </c>
      <c r="Q33">
        <v>5.08</v>
      </c>
      <c r="R33" t="s">
        <v>1205</v>
      </c>
      <c r="S33" t="s">
        <v>195</v>
      </c>
    </row>
    <row r="34" spans="1:19" x14ac:dyDescent="0.3">
      <c r="A34" t="s">
        <v>322</v>
      </c>
      <c r="B34" t="s">
        <v>22</v>
      </c>
      <c r="C34">
        <v>2026</v>
      </c>
      <c r="D34">
        <v>1</v>
      </c>
      <c r="E34" s="2">
        <v>46024</v>
      </c>
      <c r="F34" t="s">
        <v>7</v>
      </c>
      <c r="G34" t="s">
        <v>8</v>
      </c>
      <c r="H34" t="s">
        <v>70</v>
      </c>
      <c r="I34" t="s">
        <v>71</v>
      </c>
      <c r="J34" t="s">
        <v>72</v>
      </c>
      <c r="K34" t="s">
        <v>73</v>
      </c>
      <c r="L34">
        <v>707000</v>
      </c>
      <c r="M34" t="s">
        <v>81</v>
      </c>
      <c r="N34" t="s">
        <v>33</v>
      </c>
      <c r="O34">
        <v>948</v>
      </c>
      <c r="P34">
        <v>1.05</v>
      </c>
      <c r="Q34">
        <v>1</v>
      </c>
      <c r="R34" t="s">
        <v>1204</v>
      </c>
      <c r="S34" t="s">
        <v>195</v>
      </c>
    </row>
    <row r="35" spans="1:19" x14ac:dyDescent="0.3">
      <c r="A35" t="s">
        <v>323</v>
      </c>
      <c r="B35" t="s">
        <v>22</v>
      </c>
      <c r="C35">
        <v>2026</v>
      </c>
      <c r="D35">
        <v>1</v>
      </c>
      <c r="E35" s="2">
        <v>46024</v>
      </c>
      <c r="F35" t="s">
        <v>7</v>
      </c>
      <c r="G35" t="s">
        <v>8</v>
      </c>
      <c r="H35" t="s">
        <v>70</v>
      </c>
      <c r="I35" t="s">
        <v>71</v>
      </c>
      <c r="J35" t="s">
        <v>72</v>
      </c>
      <c r="K35" t="s">
        <v>73</v>
      </c>
      <c r="L35">
        <v>707000</v>
      </c>
      <c r="M35" t="s">
        <v>81</v>
      </c>
      <c r="N35" t="s">
        <v>33</v>
      </c>
      <c r="O35">
        <v>7943</v>
      </c>
      <c r="P35">
        <v>1.05</v>
      </c>
      <c r="Q35">
        <v>8.34</v>
      </c>
      <c r="R35" t="s">
        <v>1197</v>
      </c>
      <c r="S35" t="s">
        <v>195</v>
      </c>
    </row>
    <row r="36" spans="1:19" x14ac:dyDescent="0.3">
      <c r="A36" t="s">
        <v>324</v>
      </c>
      <c r="B36" t="s">
        <v>22</v>
      </c>
      <c r="C36">
        <v>2026</v>
      </c>
      <c r="D36">
        <v>1</v>
      </c>
      <c r="E36" s="2">
        <v>46024</v>
      </c>
      <c r="F36" t="s">
        <v>7</v>
      </c>
      <c r="G36" t="s">
        <v>8</v>
      </c>
      <c r="H36" t="s">
        <v>70</v>
      </c>
      <c r="I36" t="s">
        <v>71</v>
      </c>
      <c r="J36" t="s">
        <v>72</v>
      </c>
      <c r="K36" t="s">
        <v>73</v>
      </c>
      <c r="L36">
        <v>707000</v>
      </c>
      <c r="M36" t="s">
        <v>81</v>
      </c>
      <c r="N36" t="s">
        <v>33</v>
      </c>
      <c r="O36">
        <v>3646</v>
      </c>
      <c r="P36">
        <v>1.05</v>
      </c>
      <c r="Q36">
        <v>3.83</v>
      </c>
      <c r="R36" t="s">
        <v>1203</v>
      </c>
      <c r="S36" t="s">
        <v>195</v>
      </c>
    </row>
    <row r="37" spans="1:19" x14ac:dyDescent="0.3">
      <c r="A37" t="s">
        <v>515</v>
      </c>
      <c r="B37" t="s">
        <v>22</v>
      </c>
      <c r="C37">
        <v>2026</v>
      </c>
      <c r="D37">
        <v>1</v>
      </c>
      <c r="E37" s="2">
        <v>46024</v>
      </c>
      <c r="F37" t="s">
        <v>7</v>
      </c>
      <c r="G37" t="s">
        <v>8</v>
      </c>
      <c r="H37" t="s">
        <v>74</v>
      </c>
      <c r="I37" t="s">
        <v>77</v>
      </c>
      <c r="J37" t="s">
        <v>78</v>
      </c>
      <c r="K37" t="s">
        <v>73</v>
      </c>
      <c r="L37">
        <v>701000</v>
      </c>
      <c r="M37" t="s">
        <v>62</v>
      </c>
      <c r="N37" t="s">
        <v>33</v>
      </c>
      <c r="O37">
        <v>1073</v>
      </c>
      <c r="P37">
        <v>1.8</v>
      </c>
      <c r="Q37">
        <v>1.93</v>
      </c>
      <c r="R37" t="s">
        <v>1200</v>
      </c>
      <c r="S37" t="s">
        <v>195</v>
      </c>
    </row>
    <row r="38" spans="1:19" x14ac:dyDescent="0.3">
      <c r="A38" t="s">
        <v>516</v>
      </c>
      <c r="B38" t="s">
        <v>22</v>
      </c>
      <c r="C38">
        <v>2026</v>
      </c>
      <c r="D38">
        <v>1</v>
      </c>
      <c r="E38" s="2">
        <v>46024</v>
      </c>
      <c r="F38" t="s">
        <v>7</v>
      </c>
      <c r="G38" t="s">
        <v>8</v>
      </c>
      <c r="H38" t="s">
        <v>74</v>
      </c>
      <c r="I38" t="s">
        <v>77</v>
      </c>
      <c r="J38" t="s">
        <v>78</v>
      </c>
      <c r="K38" t="s">
        <v>73</v>
      </c>
      <c r="L38">
        <v>701000</v>
      </c>
      <c r="M38" t="s">
        <v>62</v>
      </c>
      <c r="N38" t="s">
        <v>33</v>
      </c>
      <c r="O38">
        <v>338</v>
      </c>
      <c r="P38">
        <v>1.8</v>
      </c>
      <c r="Q38">
        <v>0.61</v>
      </c>
      <c r="R38" t="s">
        <v>1201</v>
      </c>
      <c r="S38" t="s">
        <v>195</v>
      </c>
    </row>
    <row r="39" spans="1:19" x14ac:dyDescent="0.3">
      <c r="A39" t="s">
        <v>517</v>
      </c>
      <c r="B39" t="s">
        <v>22</v>
      </c>
      <c r="C39">
        <v>2026</v>
      </c>
      <c r="D39">
        <v>1</v>
      </c>
      <c r="E39" s="2">
        <v>46024</v>
      </c>
      <c r="F39" t="s">
        <v>7</v>
      </c>
      <c r="G39" t="s">
        <v>8</v>
      </c>
      <c r="H39" t="s">
        <v>74</v>
      </c>
      <c r="I39" t="s">
        <v>77</v>
      </c>
      <c r="J39" t="s">
        <v>78</v>
      </c>
      <c r="K39" t="s">
        <v>73</v>
      </c>
      <c r="L39">
        <v>701000</v>
      </c>
      <c r="M39" t="s">
        <v>62</v>
      </c>
      <c r="N39" t="s">
        <v>33</v>
      </c>
      <c r="O39">
        <v>780</v>
      </c>
      <c r="P39">
        <v>1.79</v>
      </c>
      <c r="Q39">
        <v>1.4</v>
      </c>
      <c r="R39" t="s">
        <v>1203</v>
      </c>
      <c r="S39" t="s">
        <v>195</v>
      </c>
    </row>
    <row r="40" spans="1:19" x14ac:dyDescent="0.3">
      <c r="A40" t="s">
        <v>518</v>
      </c>
      <c r="B40" t="s">
        <v>22</v>
      </c>
      <c r="C40">
        <v>2026</v>
      </c>
      <c r="D40">
        <v>1</v>
      </c>
      <c r="E40" s="2">
        <v>46024</v>
      </c>
      <c r="F40" t="s">
        <v>7</v>
      </c>
      <c r="G40" t="s">
        <v>8</v>
      </c>
      <c r="H40" t="s">
        <v>74</v>
      </c>
      <c r="I40" t="s">
        <v>77</v>
      </c>
      <c r="J40" t="s">
        <v>78</v>
      </c>
      <c r="K40" t="s">
        <v>73</v>
      </c>
      <c r="L40">
        <v>701000</v>
      </c>
      <c r="M40" t="s">
        <v>62</v>
      </c>
      <c r="N40" t="s">
        <v>33</v>
      </c>
      <c r="O40">
        <v>790</v>
      </c>
      <c r="P40">
        <v>1.8</v>
      </c>
      <c r="Q40">
        <v>1.42</v>
      </c>
      <c r="R40" t="s">
        <v>1199</v>
      </c>
      <c r="S40" t="s">
        <v>195</v>
      </c>
    </row>
    <row r="41" spans="1:19" x14ac:dyDescent="0.3">
      <c r="A41" t="s">
        <v>519</v>
      </c>
      <c r="B41" t="s">
        <v>22</v>
      </c>
      <c r="C41">
        <v>2026</v>
      </c>
      <c r="D41">
        <v>1</v>
      </c>
      <c r="E41" s="2">
        <v>46024</v>
      </c>
      <c r="F41" t="s">
        <v>7</v>
      </c>
      <c r="G41" t="s">
        <v>8</v>
      </c>
      <c r="H41" t="s">
        <v>74</v>
      </c>
      <c r="I41" t="s">
        <v>77</v>
      </c>
      <c r="J41" t="s">
        <v>78</v>
      </c>
      <c r="K41" t="s">
        <v>73</v>
      </c>
      <c r="L41">
        <v>701000</v>
      </c>
      <c r="M41" t="s">
        <v>62</v>
      </c>
      <c r="N41" t="s">
        <v>33</v>
      </c>
      <c r="O41">
        <v>880</v>
      </c>
      <c r="P41">
        <v>1.81</v>
      </c>
      <c r="Q41">
        <v>1.59</v>
      </c>
      <c r="R41" t="s">
        <v>1205</v>
      </c>
      <c r="S41" t="s">
        <v>195</v>
      </c>
    </row>
    <row r="42" spans="1:19" x14ac:dyDescent="0.3">
      <c r="A42" t="s">
        <v>635</v>
      </c>
      <c r="B42" t="s">
        <v>22</v>
      </c>
      <c r="C42">
        <v>2026</v>
      </c>
      <c r="D42">
        <v>1</v>
      </c>
      <c r="E42" s="2">
        <v>46024</v>
      </c>
      <c r="F42" t="s">
        <v>7</v>
      </c>
      <c r="G42" t="s">
        <v>8</v>
      </c>
      <c r="H42" t="s">
        <v>70</v>
      </c>
      <c r="I42" t="s">
        <v>77</v>
      </c>
      <c r="J42" t="s">
        <v>78</v>
      </c>
      <c r="K42" t="s">
        <v>73</v>
      </c>
      <c r="L42">
        <v>701000</v>
      </c>
      <c r="M42" t="s">
        <v>62</v>
      </c>
      <c r="N42" t="s">
        <v>33</v>
      </c>
      <c r="O42">
        <v>685</v>
      </c>
      <c r="P42">
        <v>1.8</v>
      </c>
      <c r="Q42">
        <v>1.23</v>
      </c>
      <c r="R42" t="s">
        <v>1205</v>
      </c>
      <c r="S42" t="s">
        <v>195</v>
      </c>
    </row>
    <row r="43" spans="1:19" x14ac:dyDescent="0.3">
      <c r="A43" t="s">
        <v>636</v>
      </c>
      <c r="B43" t="s">
        <v>22</v>
      </c>
      <c r="C43">
        <v>2026</v>
      </c>
      <c r="D43">
        <v>1</v>
      </c>
      <c r="E43" s="2">
        <v>46024</v>
      </c>
      <c r="F43" t="s">
        <v>7</v>
      </c>
      <c r="G43" t="s">
        <v>8</v>
      </c>
      <c r="H43" t="s">
        <v>70</v>
      </c>
      <c r="I43" t="s">
        <v>77</v>
      </c>
      <c r="J43" t="s">
        <v>78</v>
      </c>
      <c r="K43" t="s">
        <v>73</v>
      </c>
      <c r="L43">
        <v>701000</v>
      </c>
      <c r="M43" t="s">
        <v>62</v>
      </c>
      <c r="N43" t="s">
        <v>33</v>
      </c>
      <c r="O43">
        <v>608</v>
      </c>
      <c r="P43">
        <v>1.79</v>
      </c>
      <c r="Q43">
        <v>1.0900000000000001</v>
      </c>
      <c r="R43" t="s">
        <v>1200</v>
      </c>
      <c r="S43" t="s">
        <v>195</v>
      </c>
    </row>
    <row r="44" spans="1:19" x14ac:dyDescent="0.3">
      <c r="A44" t="s">
        <v>637</v>
      </c>
      <c r="B44" t="s">
        <v>22</v>
      </c>
      <c r="C44">
        <v>2026</v>
      </c>
      <c r="D44">
        <v>1</v>
      </c>
      <c r="E44" s="2">
        <v>46024</v>
      </c>
      <c r="F44" t="s">
        <v>7</v>
      </c>
      <c r="G44" t="s">
        <v>8</v>
      </c>
      <c r="H44" t="s">
        <v>70</v>
      </c>
      <c r="I44" t="s">
        <v>77</v>
      </c>
      <c r="J44" t="s">
        <v>78</v>
      </c>
      <c r="K44" t="s">
        <v>73</v>
      </c>
      <c r="L44">
        <v>701000</v>
      </c>
      <c r="M44" t="s">
        <v>62</v>
      </c>
      <c r="N44" t="s">
        <v>33</v>
      </c>
      <c r="O44">
        <v>1057</v>
      </c>
      <c r="P44">
        <v>1.8</v>
      </c>
      <c r="Q44">
        <v>1.9</v>
      </c>
      <c r="R44" t="s">
        <v>1198</v>
      </c>
      <c r="S44" t="s">
        <v>195</v>
      </c>
    </row>
    <row r="45" spans="1:19" x14ac:dyDescent="0.3">
      <c r="A45" t="s">
        <v>638</v>
      </c>
      <c r="B45" t="s">
        <v>22</v>
      </c>
      <c r="C45">
        <v>2026</v>
      </c>
      <c r="D45">
        <v>1</v>
      </c>
      <c r="E45" s="2">
        <v>46024</v>
      </c>
      <c r="F45" t="s">
        <v>7</v>
      </c>
      <c r="G45" t="s">
        <v>8</v>
      </c>
      <c r="H45" t="s">
        <v>70</v>
      </c>
      <c r="I45" t="s">
        <v>77</v>
      </c>
      <c r="J45" t="s">
        <v>78</v>
      </c>
      <c r="K45" t="s">
        <v>73</v>
      </c>
      <c r="L45">
        <v>701000</v>
      </c>
      <c r="M45" t="s">
        <v>62</v>
      </c>
      <c r="N45" t="s">
        <v>33</v>
      </c>
      <c r="O45">
        <v>810</v>
      </c>
      <c r="P45">
        <v>1.8</v>
      </c>
      <c r="Q45">
        <v>1.46</v>
      </c>
      <c r="R45" t="s">
        <v>1202</v>
      </c>
      <c r="S45" t="s">
        <v>195</v>
      </c>
    </row>
    <row r="46" spans="1:19" x14ac:dyDescent="0.3">
      <c r="A46" t="s">
        <v>639</v>
      </c>
      <c r="B46" t="s">
        <v>22</v>
      </c>
      <c r="C46">
        <v>2026</v>
      </c>
      <c r="D46">
        <v>1</v>
      </c>
      <c r="E46" s="2">
        <v>46024</v>
      </c>
      <c r="F46" t="s">
        <v>7</v>
      </c>
      <c r="G46" t="s">
        <v>8</v>
      </c>
      <c r="H46" t="s">
        <v>70</v>
      </c>
      <c r="I46" t="s">
        <v>77</v>
      </c>
      <c r="J46" t="s">
        <v>78</v>
      </c>
      <c r="K46" t="s">
        <v>73</v>
      </c>
      <c r="L46">
        <v>701000</v>
      </c>
      <c r="M46" t="s">
        <v>62</v>
      </c>
      <c r="N46" t="s">
        <v>33</v>
      </c>
      <c r="O46">
        <v>516</v>
      </c>
      <c r="P46">
        <v>1.82</v>
      </c>
      <c r="Q46">
        <v>0.94</v>
      </c>
      <c r="R46" t="s">
        <v>1197</v>
      </c>
      <c r="S46" t="s">
        <v>195</v>
      </c>
    </row>
    <row r="47" spans="1:19" x14ac:dyDescent="0.3">
      <c r="A47" t="s">
        <v>815</v>
      </c>
      <c r="B47" t="s">
        <v>22</v>
      </c>
      <c r="C47">
        <v>2026</v>
      </c>
      <c r="D47">
        <v>1</v>
      </c>
      <c r="E47" s="2">
        <v>46024</v>
      </c>
      <c r="F47" t="s">
        <v>7</v>
      </c>
      <c r="G47" t="s">
        <v>8</v>
      </c>
      <c r="H47" t="s">
        <v>70</v>
      </c>
      <c r="I47" t="s">
        <v>82</v>
      </c>
      <c r="J47" t="s">
        <v>83</v>
      </c>
      <c r="K47" t="s">
        <v>73</v>
      </c>
      <c r="L47">
        <v>701000</v>
      </c>
      <c r="M47" t="s">
        <v>62</v>
      </c>
      <c r="N47" t="s">
        <v>33</v>
      </c>
      <c r="O47">
        <v>163</v>
      </c>
      <c r="P47">
        <v>18.53</v>
      </c>
      <c r="Q47">
        <v>3.02</v>
      </c>
      <c r="R47" t="s">
        <v>1200</v>
      </c>
      <c r="S47" t="s">
        <v>195</v>
      </c>
    </row>
    <row r="48" spans="1:19" x14ac:dyDescent="0.3">
      <c r="A48" t="s">
        <v>816</v>
      </c>
      <c r="B48" t="s">
        <v>22</v>
      </c>
      <c r="C48">
        <v>2026</v>
      </c>
      <c r="D48">
        <v>1</v>
      </c>
      <c r="E48" s="2">
        <v>46024</v>
      </c>
      <c r="F48" t="s">
        <v>7</v>
      </c>
      <c r="G48" t="s">
        <v>8</v>
      </c>
      <c r="H48" t="s">
        <v>70</v>
      </c>
      <c r="I48" t="s">
        <v>82</v>
      </c>
      <c r="J48" t="s">
        <v>83</v>
      </c>
      <c r="K48" t="s">
        <v>73</v>
      </c>
      <c r="L48">
        <v>701000</v>
      </c>
      <c r="M48" t="s">
        <v>62</v>
      </c>
      <c r="N48" t="s">
        <v>33</v>
      </c>
      <c r="O48">
        <v>212</v>
      </c>
      <c r="P48">
        <v>18.489999999999998</v>
      </c>
      <c r="Q48">
        <v>3.92</v>
      </c>
      <c r="R48" t="s">
        <v>1201</v>
      </c>
      <c r="S48" t="s">
        <v>195</v>
      </c>
    </row>
    <row r="49" spans="1:19" x14ac:dyDescent="0.3">
      <c r="A49" t="s">
        <v>817</v>
      </c>
      <c r="B49" t="s">
        <v>22</v>
      </c>
      <c r="C49">
        <v>2026</v>
      </c>
      <c r="D49">
        <v>1</v>
      </c>
      <c r="E49" s="2">
        <v>46024</v>
      </c>
      <c r="F49" t="s">
        <v>7</v>
      </c>
      <c r="G49" t="s">
        <v>8</v>
      </c>
      <c r="H49" t="s">
        <v>70</v>
      </c>
      <c r="I49" t="s">
        <v>82</v>
      </c>
      <c r="J49" t="s">
        <v>83</v>
      </c>
      <c r="K49" t="s">
        <v>73</v>
      </c>
      <c r="L49">
        <v>701000</v>
      </c>
      <c r="M49" t="s">
        <v>62</v>
      </c>
      <c r="N49" t="s">
        <v>33</v>
      </c>
      <c r="O49">
        <v>68</v>
      </c>
      <c r="P49">
        <v>18.53</v>
      </c>
      <c r="Q49">
        <v>1.26</v>
      </c>
      <c r="R49" t="s">
        <v>1205</v>
      </c>
      <c r="S49" t="s">
        <v>195</v>
      </c>
    </row>
    <row r="50" spans="1:19" x14ac:dyDescent="0.3">
      <c r="A50" t="s">
        <v>818</v>
      </c>
      <c r="B50" t="s">
        <v>22</v>
      </c>
      <c r="C50">
        <v>2026</v>
      </c>
      <c r="D50">
        <v>1</v>
      </c>
      <c r="E50" s="2">
        <v>46024</v>
      </c>
      <c r="F50" t="s">
        <v>7</v>
      </c>
      <c r="G50" t="s">
        <v>8</v>
      </c>
      <c r="H50" t="s">
        <v>70</v>
      </c>
      <c r="I50" t="s">
        <v>82</v>
      </c>
      <c r="J50" t="s">
        <v>83</v>
      </c>
      <c r="K50" t="s">
        <v>73</v>
      </c>
      <c r="L50">
        <v>701000</v>
      </c>
      <c r="M50" t="s">
        <v>62</v>
      </c>
      <c r="N50" t="s">
        <v>33</v>
      </c>
      <c r="O50">
        <v>32</v>
      </c>
      <c r="P50">
        <v>18.75</v>
      </c>
      <c r="Q50">
        <v>0.6</v>
      </c>
      <c r="R50" t="s">
        <v>1204</v>
      </c>
      <c r="S50" t="s">
        <v>195</v>
      </c>
    </row>
    <row r="51" spans="1:19" x14ac:dyDescent="0.3">
      <c r="A51" t="s">
        <v>819</v>
      </c>
      <c r="B51" t="s">
        <v>22</v>
      </c>
      <c r="C51">
        <v>2026</v>
      </c>
      <c r="D51">
        <v>1</v>
      </c>
      <c r="E51" s="2">
        <v>46024</v>
      </c>
      <c r="F51" t="s">
        <v>7</v>
      </c>
      <c r="G51" t="s">
        <v>8</v>
      </c>
      <c r="H51" t="s">
        <v>70</v>
      </c>
      <c r="I51" t="s">
        <v>82</v>
      </c>
      <c r="J51" t="s">
        <v>83</v>
      </c>
      <c r="K51" t="s">
        <v>73</v>
      </c>
      <c r="L51">
        <v>701000</v>
      </c>
      <c r="M51" t="s">
        <v>62</v>
      </c>
      <c r="N51" t="s">
        <v>33</v>
      </c>
      <c r="O51">
        <v>67</v>
      </c>
      <c r="P51">
        <v>18.21</v>
      </c>
      <c r="Q51">
        <v>1.22</v>
      </c>
      <c r="R51" t="s">
        <v>1203</v>
      </c>
      <c r="S51" t="s">
        <v>195</v>
      </c>
    </row>
    <row r="52" spans="1:19" x14ac:dyDescent="0.3">
      <c r="A52" t="s">
        <v>875</v>
      </c>
      <c r="B52" t="s">
        <v>22</v>
      </c>
      <c r="C52">
        <v>2026</v>
      </c>
      <c r="D52">
        <v>1</v>
      </c>
      <c r="E52" s="2">
        <v>46024</v>
      </c>
      <c r="F52" t="s">
        <v>7</v>
      </c>
      <c r="G52" t="s">
        <v>8</v>
      </c>
      <c r="H52" t="s">
        <v>70</v>
      </c>
      <c r="I52" t="s">
        <v>82</v>
      </c>
      <c r="J52" t="s">
        <v>83</v>
      </c>
      <c r="K52" t="s">
        <v>73</v>
      </c>
      <c r="L52">
        <v>701000</v>
      </c>
      <c r="M52" t="s">
        <v>62</v>
      </c>
      <c r="N52" t="s">
        <v>33</v>
      </c>
      <c r="O52">
        <v>191</v>
      </c>
      <c r="P52">
        <v>18.53</v>
      </c>
      <c r="Q52">
        <v>3.54</v>
      </c>
      <c r="R52" t="s">
        <v>1204</v>
      </c>
      <c r="S52" t="s">
        <v>195</v>
      </c>
    </row>
    <row r="53" spans="1:19" x14ac:dyDescent="0.3">
      <c r="A53" t="s">
        <v>876</v>
      </c>
      <c r="B53" t="s">
        <v>22</v>
      </c>
      <c r="C53">
        <v>2026</v>
      </c>
      <c r="D53">
        <v>1</v>
      </c>
      <c r="E53" s="2">
        <v>46024</v>
      </c>
      <c r="F53" t="s">
        <v>7</v>
      </c>
      <c r="G53" t="s">
        <v>8</v>
      </c>
      <c r="H53" t="s">
        <v>70</v>
      </c>
      <c r="I53" t="s">
        <v>82</v>
      </c>
      <c r="J53" t="s">
        <v>83</v>
      </c>
      <c r="K53" t="s">
        <v>73</v>
      </c>
      <c r="L53">
        <v>701000</v>
      </c>
      <c r="M53" t="s">
        <v>62</v>
      </c>
      <c r="N53" t="s">
        <v>33</v>
      </c>
      <c r="O53">
        <v>127</v>
      </c>
      <c r="P53">
        <v>18.43</v>
      </c>
      <c r="Q53">
        <v>2.34</v>
      </c>
      <c r="R53" t="s">
        <v>1203</v>
      </c>
      <c r="S53" t="s">
        <v>195</v>
      </c>
    </row>
    <row r="54" spans="1:19" x14ac:dyDescent="0.3">
      <c r="A54" t="s">
        <v>877</v>
      </c>
      <c r="B54" t="s">
        <v>22</v>
      </c>
      <c r="C54">
        <v>2026</v>
      </c>
      <c r="D54">
        <v>1</v>
      </c>
      <c r="E54" s="2">
        <v>46024</v>
      </c>
      <c r="F54" t="s">
        <v>7</v>
      </c>
      <c r="G54" t="s">
        <v>8</v>
      </c>
      <c r="H54" t="s">
        <v>70</v>
      </c>
      <c r="I54" t="s">
        <v>82</v>
      </c>
      <c r="J54" t="s">
        <v>83</v>
      </c>
      <c r="K54" t="s">
        <v>73</v>
      </c>
      <c r="L54">
        <v>701000</v>
      </c>
      <c r="M54" t="s">
        <v>62</v>
      </c>
      <c r="N54" t="s">
        <v>33</v>
      </c>
      <c r="O54">
        <v>23</v>
      </c>
      <c r="P54">
        <v>18.7</v>
      </c>
      <c r="Q54">
        <v>0.43</v>
      </c>
      <c r="R54" t="s">
        <v>1201</v>
      </c>
      <c r="S54" t="s">
        <v>195</v>
      </c>
    </row>
    <row r="55" spans="1:19" x14ac:dyDescent="0.3">
      <c r="A55" t="s">
        <v>878</v>
      </c>
      <c r="B55" t="s">
        <v>22</v>
      </c>
      <c r="C55">
        <v>2026</v>
      </c>
      <c r="D55">
        <v>1</v>
      </c>
      <c r="E55" s="2">
        <v>46024</v>
      </c>
      <c r="F55" t="s">
        <v>7</v>
      </c>
      <c r="G55" t="s">
        <v>8</v>
      </c>
      <c r="H55" t="s">
        <v>70</v>
      </c>
      <c r="I55" t="s">
        <v>82</v>
      </c>
      <c r="J55" t="s">
        <v>83</v>
      </c>
      <c r="K55" t="s">
        <v>73</v>
      </c>
      <c r="L55">
        <v>701000</v>
      </c>
      <c r="M55" t="s">
        <v>62</v>
      </c>
      <c r="N55" t="s">
        <v>33</v>
      </c>
      <c r="O55">
        <v>122</v>
      </c>
      <c r="P55">
        <v>18.52</v>
      </c>
      <c r="Q55">
        <v>2.2599999999999998</v>
      </c>
      <c r="R55" t="s">
        <v>1205</v>
      </c>
      <c r="S55" t="s">
        <v>195</v>
      </c>
    </row>
    <row r="56" spans="1:19" x14ac:dyDescent="0.3">
      <c r="A56" t="s">
        <v>879</v>
      </c>
      <c r="B56" t="s">
        <v>22</v>
      </c>
      <c r="C56">
        <v>2026</v>
      </c>
      <c r="D56">
        <v>1</v>
      </c>
      <c r="E56" s="2">
        <v>46024</v>
      </c>
      <c r="F56" t="s">
        <v>7</v>
      </c>
      <c r="G56" t="s">
        <v>8</v>
      </c>
      <c r="H56" t="s">
        <v>70</v>
      </c>
      <c r="I56" t="s">
        <v>82</v>
      </c>
      <c r="J56" t="s">
        <v>83</v>
      </c>
      <c r="K56" t="s">
        <v>73</v>
      </c>
      <c r="L56">
        <v>701000</v>
      </c>
      <c r="M56" t="s">
        <v>62</v>
      </c>
      <c r="N56" t="s">
        <v>33</v>
      </c>
      <c r="O56">
        <v>74</v>
      </c>
      <c r="P56">
        <v>18.510000000000002</v>
      </c>
      <c r="Q56">
        <v>1.37</v>
      </c>
      <c r="R56" t="s">
        <v>1198</v>
      </c>
      <c r="S56" t="s">
        <v>195</v>
      </c>
    </row>
    <row r="57" spans="1:19" x14ac:dyDescent="0.3">
      <c r="A57" t="s">
        <v>410</v>
      </c>
      <c r="B57" t="s">
        <v>22</v>
      </c>
      <c r="C57">
        <v>2026</v>
      </c>
      <c r="D57">
        <v>1</v>
      </c>
      <c r="E57" s="2">
        <v>46025</v>
      </c>
      <c r="F57" t="s">
        <v>7</v>
      </c>
      <c r="G57" t="s">
        <v>8</v>
      </c>
      <c r="H57" t="s">
        <v>70</v>
      </c>
      <c r="I57" t="s">
        <v>75</v>
      </c>
      <c r="J57" t="s">
        <v>76</v>
      </c>
      <c r="K57" t="s">
        <v>73</v>
      </c>
      <c r="L57">
        <v>701000</v>
      </c>
      <c r="M57" t="s">
        <v>62</v>
      </c>
      <c r="N57" t="s">
        <v>33</v>
      </c>
      <c r="O57">
        <v>1492</v>
      </c>
      <c r="P57">
        <v>1.4</v>
      </c>
      <c r="Q57">
        <v>2.09</v>
      </c>
      <c r="R57" t="s">
        <v>1200</v>
      </c>
      <c r="S57" t="s">
        <v>195</v>
      </c>
    </row>
    <row r="58" spans="1:19" x14ac:dyDescent="0.3">
      <c r="A58" t="s">
        <v>411</v>
      </c>
      <c r="B58" t="s">
        <v>22</v>
      </c>
      <c r="C58">
        <v>2026</v>
      </c>
      <c r="D58">
        <v>1</v>
      </c>
      <c r="E58" s="2">
        <v>46025</v>
      </c>
      <c r="F58" t="s">
        <v>7</v>
      </c>
      <c r="G58" t="s">
        <v>8</v>
      </c>
      <c r="H58" t="s">
        <v>70</v>
      </c>
      <c r="I58" t="s">
        <v>75</v>
      </c>
      <c r="J58" t="s">
        <v>76</v>
      </c>
      <c r="K58" t="s">
        <v>73</v>
      </c>
      <c r="L58">
        <v>701000</v>
      </c>
      <c r="M58" t="s">
        <v>62</v>
      </c>
      <c r="N58" t="s">
        <v>33</v>
      </c>
      <c r="O58">
        <v>3186</v>
      </c>
      <c r="P58">
        <v>1.4</v>
      </c>
      <c r="Q58">
        <v>4.46</v>
      </c>
      <c r="R58" t="s">
        <v>1203</v>
      </c>
      <c r="S58" t="s">
        <v>195</v>
      </c>
    </row>
    <row r="59" spans="1:19" x14ac:dyDescent="0.3">
      <c r="A59" t="s">
        <v>412</v>
      </c>
      <c r="B59" t="s">
        <v>22</v>
      </c>
      <c r="C59">
        <v>2026</v>
      </c>
      <c r="D59">
        <v>1</v>
      </c>
      <c r="E59" s="2">
        <v>46025</v>
      </c>
      <c r="F59" t="s">
        <v>7</v>
      </c>
      <c r="G59" t="s">
        <v>8</v>
      </c>
      <c r="H59" t="s">
        <v>70</v>
      </c>
      <c r="I59" t="s">
        <v>75</v>
      </c>
      <c r="J59" t="s">
        <v>76</v>
      </c>
      <c r="K59" t="s">
        <v>73</v>
      </c>
      <c r="L59">
        <v>701000</v>
      </c>
      <c r="M59" t="s">
        <v>62</v>
      </c>
      <c r="N59" t="s">
        <v>33</v>
      </c>
      <c r="O59">
        <v>1136</v>
      </c>
      <c r="P59">
        <v>1.4</v>
      </c>
      <c r="Q59">
        <v>1.59</v>
      </c>
      <c r="R59" t="s">
        <v>1198</v>
      </c>
      <c r="S59" t="s">
        <v>195</v>
      </c>
    </row>
    <row r="60" spans="1:19" x14ac:dyDescent="0.3">
      <c r="A60" t="s">
        <v>413</v>
      </c>
      <c r="B60" t="s">
        <v>22</v>
      </c>
      <c r="C60">
        <v>2026</v>
      </c>
      <c r="D60">
        <v>1</v>
      </c>
      <c r="E60" s="2">
        <v>46025</v>
      </c>
      <c r="F60" t="s">
        <v>7</v>
      </c>
      <c r="G60" t="s">
        <v>8</v>
      </c>
      <c r="H60" t="s">
        <v>70</v>
      </c>
      <c r="I60" t="s">
        <v>75</v>
      </c>
      <c r="J60" t="s">
        <v>76</v>
      </c>
      <c r="K60" t="s">
        <v>73</v>
      </c>
      <c r="L60">
        <v>701000</v>
      </c>
      <c r="M60" t="s">
        <v>62</v>
      </c>
      <c r="N60" t="s">
        <v>33</v>
      </c>
      <c r="O60">
        <v>1019</v>
      </c>
      <c r="P60">
        <v>1.4</v>
      </c>
      <c r="Q60">
        <v>1.43</v>
      </c>
      <c r="R60" t="s">
        <v>1199</v>
      </c>
      <c r="S60" t="s">
        <v>195</v>
      </c>
    </row>
    <row r="61" spans="1:19" x14ac:dyDescent="0.3">
      <c r="A61" t="s">
        <v>414</v>
      </c>
      <c r="B61" t="s">
        <v>22</v>
      </c>
      <c r="C61">
        <v>2026</v>
      </c>
      <c r="D61">
        <v>1</v>
      </c>
      <c r="E61" s="2">
        <v>46025</v>
      </c>
      <c r="F61" t="s">
        <v>7</v>
      </c>
      <c r="G61" t="s">
        <v>8</v>
      </c>
      <c r="H61" t="s">
        <v>70</v>
      </c>
      <c r="I61" t="s">
        <v>75</v>
      </c>
      <c r="J61" t="s">
        <v>76</v>
      </c>
      <c r="K61" t="s">
        <v>73</v>
      </c>
      <c r="L61">
        <v>701000</v>
      </c>
      <c r="M61" t="s">
        <v>62</v>
      </c>
      <c r="N61" t="s">
        <v>33</v>
      </c>
      <c r="O61">
        <v>884</v>
      </c>
      <c r="P61">
        <v>1.39</v>
      </c>
      <c r="Q61">
        <v>1.23</v>
      </c>
      <c r="R61" t="s">
        <v>1202</v>
      </c>
      <c r="S61" t="s">
        <v>195</v>
      </c>
    </row>
    <row r="62" spans="1:19" x14ac:dyDescent="0.3">
      <c r="A62" t="s">
        <v>575</v>
      </c>
      <c r="B62" t="s">
        <v>22</v>
      </c>
      <c r="C62">
        <v>2026</v>
      </c>
      <c r="D62">
        <v>1</v>
      </c>
      <c r="E62" s="2">
        <v>46025</v>
      </c>
      <c r="F62" t="s">
        <v>7</v>
      </c>
      <c r="G62" t="s">
        <v>8</v>
      </c>
      <c r="H62" t="s">
        <v>74</v>
      </c>
      <c r="I62" t="s">
        <v>77</v>
      </c>
      <c r="J62" t="s">
        <v>78</v>
      </c>
      <c r="K62" t="s">
        <v>73</v>
      </c>
      <c r="L62">
        <v>707000</v>
      </c>
      <c r="M62" t="s">
        <v>81</v>
      </c>
      <c r="N62" t="s">
        <v>33</v>
      </c>
      <c r="O62">
        <v>619</v>
      </c>
      <c r="P62">
        <v>1.79</v>
      </c>
      <c r="Q62">
        <v>1.1100000000000001</v>
      </c>
      <c r="R62" t="s">
        <v>1198</v>
      </c>
      <c r="S62" t="s">
        <v>195</v>
      </c>
    </row>
    <row r="63" spans="1:19" x14ac:dyDescent="0.3">
      <c r="A63" t="s">
        <v>576</v>
      </c>
      <c r="B63" t="s">
        <v>22</v>
      </c>
      <c r="C63">
        <v>2026</v>
      </c>
      <c r="D63">
        <v>1</v>
      </c>
      <c r="E63" s="2">
        <v>46025</v>
      </c>
      <c r="F63" t="s">
        <v>7</v>
      </c>
      <c r="G63" t="s">
        <v>8</v>
      </c>
      <c r="H63" t="s">
        <v>74</v>
      </c>
      <c r="I63" t="s">
        <v>77</v>
      </c>
      <c r="J63" t="s">
        <v>78</v>
      </c>
      <c r="K63" t="s">
        <v>73</v>
      </c>
      <c r="L63">
        <v>707000</v>
      </c>
      <c r="M63" t="s">
        <v>81</v>
      </c>
      <c r="N63" t="s">
        <v>33</v>
      </c>
      <c r="O63">
        <v>1465</v>
      </c>
      <c r="P63">
        <v>1.8</v>
      </c>
      <c r="Q63">
        <v>2.64</v>
      </c>
      <c r="R63" t="s">
        <v>1201</v>
      </c>
      <c r="S63" t="s">
        <v>195</v>
      </c>
    </row>
    <row r="64" spans="1:19" x14ac:dyDescent="0.3">
      <c r="A64" t="s">
        <v>577</v>
      </c>
      <c r="B64" t="s">
        <v>22</v>
      </c>
      <c r="C64">
        <v>2026</v>
      </c>
      <c r="D64">
        <v>1</v>
      </c>
      <c r="E64" s="2">
        <v>46025</v>
      </c>
      <c r="F64" t="s">
        <v>7</v>
      </c>
      <c r="G64" t="s">
        <v>8</v>
      </c>
      <c r="H64" t="s">
        <v>74</v>
      </c>
      <c r="I64" t="s">
        <v>77</v>
      </c>
      <c r="J64" t="s">
        <v>78</v>
      </c>
      <c r="K64" t="s">
        <v>73</v>
      </c>
      <c r="L64">
        <v>707000</v>
      </c>
      <c r="M64" t="s">
        <v>81</v>
      </c>
      <c r="N64" t="s">
        <v>33</v>
      </c>
      <c r="O64">
        <v>141</v>
      </c>
      <c r="P64">
        <v>1.77</v>
      </c>
      <c r="Q64">
        <v>0.25</v>
      </c>
      <c r="R64" t="s">
        <v>1197</v>
      </c>
      <c r="S64" t="s">
        <v>195</v>
      </c>
    </row>
    <row r="65" spans="1:19" x14ac:dyDescent="0.3">
      <c r="A65" t="s">
        <v>578</v>
      </c>
      <c r="B65" t="s">
        <v>22</v>
      </c>
      <c r="C65">
        <v>2026</v>
      </c>
      <c r="D65">
        <v>1</v>
      </c>
      <c r="E65" s="2">
        <v>46025</v>
      </c>
      <c r="F65" t="s">
        <v>7</v>
      </c>
      <c r="G65" t="s">
        <v>8</v>
      </c>
      <c r="H65" t="s">
        <v>74</v>
      </c>
      <c r="I65" t="s">
        <v>77</v>
      </c>
      <c r="J65" t="s">
        <v>78</v>
      </c>
      <c r="K65" t="s">
        <v>73</v>
      </c>
      <c r="L65">
        <v>707000</v>
      </c>
      <c r="M65" t="s">
        <v>81</v>
      </c>
      <c r="N65" t="s">
        <v>33</v>
      </c>
      <c r="O65">
        <v>35</v>
      </c>
      <c r="P65">
        <v>1.71</v>
      </c>
      <c r="Q65">
        <v>0.06</v>
      </c>
      <c r="R65" t="s">
        <v>1203</v>
      </c>
      <c r="S65" t="s">
        <v>195</v>
      </c>
    </row>
    <row r="66" spans="1:19" x14ac:dyDescent="0.3">
      <c r="A66" t="s">
        <v>579</v>
      </c>
      <c r="B66" t="s">
        <v>22</v>
      </c>
      <c r="C66">
        <v>2026</v>
      </c>
      <c r="D66">
        <v>1</v>
      </c>
      <c r="E66" s="2">
        <v>46025</v>
      </c>
      <c r="F66" t="s">
        <v>7</v>
      </c>
      <c r="G66" t="s">
        <v>8</v>
      </c>
      <c r="H66" t="s">
        <v>74</v>
      </c>
      <c r="I66" t="s">
        <v>77</v>
      </c>
      <c r="J66" t="s">
        <v>78</v>
      </c>
      <c r="K66" t="s">
        <v>73</v>
      </c>
      <c r="L66">
        <v>707000</v>
      </c>
      <c r="M66" t="s">
        <v>81</v>
      </c>
      <c r="N66" t="s">
        <v>33</v>
      </c>
      <c r="O66">
        <v>1985</v>
      </c>
      <c r="P66">
        <v>1.8</v>
      </c>
      <c r="Q66">
        <v>3.58</v>
      </c>
      <c r="R66" t="s">
        <v>1204</v>
      </c>
      <c r="S66" t="s">
        <v>195</v>
      </c>
    </row>
    <row r="67" spans="1:19" x14ac:dyDescent="0.3">
      <c r="A67" t="s">
        <v>830</v>
      </c>
      <c r="B67" t="s">
        <v>22</v>
      </c>
      <c r="C67">
        <v>2026</v>
      </c>
      <c r="D67">
        <v>1</v>
      </c>
      <c r="E67" s="2">
        <v>46025</v>
      </c>
      <c r="F67" t="s">
        <v>7</v>
      </c>
      <c r="G67" t="s">
        <v>8</v>
      </c>
      <c r="H67" t="s">
        <v>74</v>
      </c>
      <c r="I67" t="s">
        <v>82</v>
      </c>
      <c r="J67" t="s">
        <v>83</v>
      </c>
      <c r="K67" t="s">
        <v>73</v>
      </c>
      <c r="L67">
        <v>701000</v>
      </c>
      <c r="M67" t="s">
        <v>62</v>
      </c>
      <c r="N67" t="s">
        <v>33</v>
      </c>
      <c r="O67">
        <v>140</v>
      </c>
      <c r="P67">
        <v>18.5</v>
      </c>
      <c r="Q67">
        <v>2.59</v>
      </c>
      <c r="R67" t="s">
        <v>1202</v>
      </c>
      <c r="S67" t="s">
        <v>195</v>
      </c>
    </row>
    <row r="68" spans="1:19" x14ac:dyDescent="0.3">
      <c r="A68" t="s">
        <v>831</v>
      </c>
      <c r="B68" t="s">
        <v>22</v>
      </c>
      <c r="C68">
        <v>2026</v>
      </c>
      <c r="D68">
        <v>1</v>
      </c>
      <c r="E68" s="2">
        <v>46025</v>
      </c>
      <c r="F68" t="s">
        <v>7</v>
      </c>
      <c r="G68" t="s">
        <v>8</v>
      </c>
      <c r="H68" t="s">
        <v>74</v>
      </c>
      <c r="I68" t="s">
        <v>82</v>
      </c>
      <c r="J68" t="s">
        <v>83</v>
      </c>
      <c r="K68" t="s">
        <v>73</v>
      </c>
      <c r="L68">
        <v>701000</v>
      </c>
      <c r="M68" t="s">
        <v>62</v>
      </c>
      <c r="N68" t="s">
        <v>33</v>
      </c>
      <c r="O68">
        <v>163</v>
      </c>
      <c r="P68">
        <v>18.47</v>
      </c>
      <c r="Q68">
        <v>3.01</v>
      </c>
      <c r="R68" t="s">
        <v>1200</v>
      </c>
      <c r="S68" t="s">
        <v>195</v>
      </c>
    </row>
    <row r="69" spans="1:19" x14ac:dyDescent="0.3">
      <c r="A69" t="s">
        <v>832</v>
      </c>
      <c r="B69" t="s">
        <v>22</v>
      </c>
      <c r="C69">
        <v>2026</v>
      </c>
      <c r="D69">
        <v>1</v>
      </c>
      <c r="E69" s="2">
        <v>46025</v>
      </c>
      <c r="F69" t="s">
        <v>7</v>
      </c>
      <c r="G69" t="s">
        <v>8</v>
      </c>
      <c r="H69" t="s">
        <v>74</v>
      </c>
      <c r="I69" t="s">
        <v>82</v>
      </c>
      <c r="J69" t="s">
        <v>83</v>
      </c>
      <c r="K69" t="s">
        <v>73</v>
      </c>
      <c r="L69">
        <v>701000</v>
      </c>
      <c r="M69" t="s">
        <v>62</v>
      </c>
      <c r="N69" t="s">
        <v>33</v>
      </c>
      <c r="O69">
        <v>48</v>
      </c>
      <c r="P69">
        <v>18.329999999999998</v>
      </c>
      <c r="Q69">
        <v>0.88</v>
      </c>
      <c r="R69" t="s">
        <v>1199</v>
      </c>
      <c r="S69" t="s">
        <v>195</v>
      </c>
    </row>
    <row r="70" spans="1:19" x14ac:dyDescent="0.3">
      <c r="A70" t="s">
        <v>833</v>
      </c>
      <c r="B70" t="s">
        <v>22</v>
      </c>
      <c r="C70">
        <v>2026</v>
      </c>
      <c r="D70">
        <v>1</v>
      </c>
      <c r="E70" s="2">
        <v>46025</v>
      </c>
      <c r="F70" t="s">
        <v>7</v>
      </c>
      <c r="G70" t="s">
        <v>8</v>
      </c>
      <c r="H70" t="s">
        <v>74</v>
      </c>
      <c r="I70" t="s">
        <v>82</v>
      </c>
      <c r="J70" t="s">
        <v>83</v>
      </c>
      <c r="K70" t="s">
        <v>73</v>
      </c>
      <c r="L70">
        <v>701000</v>
      </c>
      <c r="M70" t="s">
        <v>62</v>
      </c>
      <c r="N70" t="s">
        <v>33</v>
      </c>
      <c r="O70">
        <v>194</v>
      </c>
      <c r="P70">
        <v>18.510000000000002</v>
      </c>
      <c r="Q70">
        <v>3.59</v>
      </c>
      <c r="R70" t="s">
        <v>1203</v>
      </c>
      <c r="S70" t="s">
        <v>195</v>
      </c>
    </row>
    <row r="71" spans="1:19" x14ac:dyDescent="0.3">
      <c r="A71" t="s">
        <v>834</v>
      </c>
      <c r="B71" t="s">
        <v>22</v>
      </c>
      <c r="C71">
        <v>2026</v>
      </c>
      <c r="D71">
        <v>1</v>
      </c>
      <c r="E71" s="2">
        <v>46025</v>
      </c>
      <c r="F71" t="s">
        <v>7</v>
      </c>
      <c r="G71" t="s">
        <v>8</v>
      </c>
      <c r="H71" t="s">
        <v>74</v>
      </c>
      <c r="I71" t="s">
        <v>82</v>
      </c>
      <c r="J71" t="s">
        <v>83</v>
      </c>
      <c r="K71" t="s">
        <v>73</v>
      </c>
      <c r="L71">
        <v>701000</v>
      </c>
      <c r="M71" t="s">
        <v>62</v>
      </c>
      <c r="N71" t="s">
        <v>33</v>
      </c>
      <c r="O71">
        <v>118</v>
      </c>
      <c r="P71">
        <v>18.559999999999999</v>
      </c>
      <c r="Q71">
        <v>2.19</v>
      </c>
      <c r="R71" t="s">
        <v>1201</v>
      </c>
      <c r="S71" t="s">
        <v>195</v>
      </c>
    </row>
    <row r="72" spans="1:19" x14ac:dyDescent="0.3">
      <c r="A72" t="s">
        <v>535</v>
      </c>
      <c r="B72" t="s">
        <v>22</v>
      </c>
      <c r="C72">
        <v>2026</v>
      </c>
      <c r="D72">
        <v>1</v>
      </c>
      <c r="E72" s="2">
        <v>46026</v>
      </c>
      <c r="F72" t="s">
        <v>7</v>
      </c>
      <c r="G72" t="s">
        <v>8</v>
      </c>
      <c r="H72" t="s">
        <v>74</v>
      </c>
      <c r="I72" t="s">
        <v>77</v>
      </c>
      <c r="J72" t="s">
        <v>78</v>
      </c>
      <c r="K72" t="s">
        <v>73</v>
      </c>
      <c r="L72">
        <v>707000</v>
      </c>
      <c r="M72" t="s">
        <v>81</v>
      </c>
      <c r="N72" t="s">
        <v>33</v>
      </c>
      <c r="O72">
        <v>302</v>
      </c>
      <c r="P72">
        <v>1.79</v>
      </c>
      <c r="Q72">
        <v>0.54</v>
      </c>
      <c r="R72" t="s">
        <v>1199</v>
      </c>
      <c r="S72" t="s">
        <v>195</v>
      </c>
    </row>
    <row r="73" spans="1:19" x14ac:dyDescent="0.3">
      <c r="A73" t="s">
        <v>536</v>
      </c>
      <c r="B73" t="s">
        <v>22</v>
      </c>
      <c r="C73">
        <v>2026</v>
      </c>
      <c r="D73">
        <v>1</v>
      </c>
      <c r="E73" s="2">
        <v>46026</v>
      </c>
      <c r="F73" t="s">
        <v>7</v>
      </c>
      <c r="G73" t="s">
        <v>8</v>
      </c>
      <c r="H73" t="s">
        <v>74</v>
      </c>
      <c r="I73" t="s">
        <v>77</v>
      </c>
      <c r="J73" t="s">
        <v>78</v>
      </c>
      <c r="K73" t="s">
        <v>73</v>
      </c>
      <c r="L73">
        <v>707000</v>
      </c>
      <c r="M73" t="s">
        <v>81</v>
      </c>
      <c r="N73" t="s">
        <v>33</v>
      </c>
      <c r="O73">
        <v>261</v>
      </c>
      <c r="P73">
        <v>1.8</v>
      </c>
      <c r="Q73">
        <v>0.47</v>
      </c>
      <c r="R73" t="s">
        <v>1202</v>
      </c>
      <c r="S73" t="s">
        <v>195</v>
      </c>
    </row>
    <row r="74" spans="1:19" x14ac:dyDescent="0.3">
      <c r="A74" t="s">
        <v>537</v>
      </c>
      <c r="B74" t="s">
        <v>22</v>
      </c>
      <c r="C74">
        <v>2026</v>
      </c>
      <c r="D74">
        <v>1</v>
      </c>
      <c r="E74" s="2">
        <v>46026</v>
      </c>
      <c r="F74" t="s">
        <v>7</v>
      </c>
      <c r="G74" t="s">
        <v>8</v>
      </c>
      <c r="H74" t="s">
        <v>74</v>
      </c>
      <c r="I74" t="s">
        <v>77</v>
      </c>
      <c r="J74" t="s">
        <v>78</v>
      </c>
      <c r="K74" t="s">
        <v>73</v>
      </c>
      <c r="L74">
        <v>707000</v>
      </c>
      <c r="M74" t="s">
        <v>81</v>
      </c>
      <c r="N74" t="s">
        <v>33</v>
      </c>
      <c r="O74">
        <v>1593</v>
      </c>
      <c r="P74">
        <v>1.8</v>
      </c>
      <c r="Q74">
        <v>2.87</v>
      </c>
      <c r="R74" t="s">
        <v>1204</v>
      </c>
      <c r="S74" t="s">
        <v>195</v>
      </c>
    </row>
    <row r="75" spans="1:19" x14ac:dyDescent="0.3">
      <c r="A75" t="s">
        <v>538</v>
      </c>
      <c r="B75" t="s">
        <v>22</v>
      </c>
      <c r="C75">
        <v>2026</v>
      </c>
      <c r="D75">
        <v>1</v>
      </c>
      <c r="E75" s="2">
        <v>46026</v>
      </c>
      <c r="F75" t="s">
        <v>7</v>
      </c>
      <c r="G75" t="s">
        <v>8</v>
      </c>
      <c r="H75" t="s">
        <v>74</v>
      </c>
      <c r="I75" t="s">
        <v>77</v>
      </c>
      <c r="J75" t="s">
        <v>78</v>
      </c>
      <c r="K75" t="s">
        <v>73</v>
      </c>
      <c r="L75">
        <v>707000</v>
      </c>
      <c r="M75" t="s">
        <v>81</v>
      </c>
      <c r="N75" t="s">
        <v>33</v>
      </c>
      <c r="O75">
        <v>1334</v>
      </c>
      <c r="P75">
        <v>1.8</v>
      </c>
      <c r="Q75">
        <v>2.4</v>
      </c>
      <c r="R75" t="s">
        <v>1198</v>
      </c>
      <c r="S75" t="s">
        <v>195</v>
      </c>
    </row>
    <row r="76" spans="1:19" x14ac:dyDescent="0.3">
      <c r="A76" t="s">
        <v>539</v>
      </c>
      <c r="B76" t="s">
        <v>22</v>
      </c>
      <c r="C76">
        <v>2026</v>
      </c>
      <c r="D76">
        <v>1</v>
      </c>
      <c r="E76" s="2">
        <v>46026</v>
      </c>
      <c r="F76" t="s">
        <v>7</v>
      </c>
      <c r="G76" t="s">
        <v>8</v>
      </c>
      <c r="H76" t="s">
        <v>74</v>
      </c>
      <c r="I76" t="s">
        <v>77</v>
      </c>
      <c r="J76" t="s">
        <v>78</v>
      </c>
      <c r="K76" t="s">
        <v>73</v>
      </c>
      <c r="L76">
        <v>707000</v>
      </c>
      <c r="M76" t="s">
        <v>81</v>
      </c>
      <c r="N76" t="s">
        <v>33</v>
      </c>
      <c r="O76">
        <v>838</v>
      </c>
      <c r="P76">
        <v>1.8</v>
      </c>
      <c r="Q76">
        <v>1.51</v>
      </c>
      <c r="R76" t="s">
        <v>1200</v>
      </c>
      <c r="S76" t="s">
        <v>195</v>
      </c>
    </row>
    <row r="77" spans="1:19" x14ac:dyDescent="0.3">
      <c r="A77" t="s">
        <v>580</v>
      </c>
      <c r="B77" t="s">
        <v>22</v>
      </c>
      <c r="C77">
        <v>2026</v>
      </c>
      <c r="D77">
        <v>1</v>
      </c>
      <c r="E77" s="2">
        <v>46026</v>
      </c>
      <c r="F77" t="s">
        <v>7</v>
      </c>
      <c r="G77" t="s">
        <v>8</v>
      </c>
      <c r="H77" t="s">
        <v>70</v>
      </c>
      <c r="I77" t="s">
        <v>77</v>
      </c>
      <c r="J77" t="s">
        <v>78</v>
      </c>
      <c r="K77" t="s">
        <v>73</v>
      </c>
      <c r="L77">
        <v>701000</v>
      </c>
      <c r="M77" t="s">
        <v>62</v>
      </c>
      <c r="N77" t="s">
        <v>33</v>
      </c>
      <c r="O77">
        <v>466</v>
      </c>
      <c r="P77">
        <v>1.8</v>
      </c>
      <c r="Q77">
        <v>0.84</v>
      </c>
      <c r="R77" t="s">
        <v>1204</v>
      </c>
      <c r="S77" t="s">
        <v>195</v>
      </c>
    </row>
    <row r="78" spans="1:19" x14ac:dyDescent="0.3">
      <c r="A78" t="s">
        <v>581</v>
      </c>
      <c r="B78" t="s">
        <v>22</v>
      </c>
      <c r="C78">
        <v>2026</v>
      </c>
      <c r="D78">
        <v>1</v>
      </c>
      <c r="E78" s="2">
        <v>46026</v>
      </c>
      <c r="F78" t="s">
        <v>7</v>
      </c>
      <c r="G78" t="s">
        <v>8</v>
      </c>
      <c r="H78" t="s">
        <v>70</v>
      </c>
      <c r="I78" t="s">
        <v>77</v>
      </c>
      <c r="J78" t="s">
        <v>78</v>
      </c>
      <c r="K78" t="s">
        <v>73</v>
      </c>
      <c r="L78">
        <v>701000</v>
      </c>
      <c r="M78" t="s">
        <v>62</v>
      </c>
      <c r="N78" t="s">
        <v>33</v>
      </c>
      <c r="O78">
        <v>637</v>
      </c>
      <c r="P78">
        <v>1.81</v>
      </c>
      <c r="Q78">
        <v>1.1499999999999999</v>
      </c>
      <c r="R78" t="s">
        <v>1202</v>
      </c>
      <c r="S78" t="s">
        <v>195</v>
      </c>
    </row>
    <row r="79" spans="1:19" x14ac:dyDescent="0.3">
      <c r="A79" t="s">
        <v>582</v>
      </c>
      <c r="B79" t="s">
        <v>22</v>
      </c>
      <c r="C79">
        <v>2026</v>
      </c>
      <c r="D79">
        <v>1</v>
      </c>
      <c r="E79" s="2">
        <v>46026</v>
      </c>
      <c r="F79" t="s">
        <v>7</v>
      </c>
      <c r="G79" t="s">
        <v>8</v>
      </c>
      <c r="H79" t="s">
        <v>70</v>
      </c>
      <c r="I79" t="s">
        <v>77</v>
      </c>
      <c r="J79" t="s">
        <v>78</v>
      </c>
      <c r="K79" t="s">
        <v>73</v>
      </c>
      <c r="L79">
        <v>701000</v>
      </c>
      <c r="M79" t="s">
        <v>62</v>
      </c>
      <c r="N79" t="s">
        <v>33</v>
      </c>
      <c r="O79">
        <v>868</v>
      </c>
      <c r="P79">
        <v>1.8</v>
      </c>
      <c r="Q79">
        <v>1.56</v>
      </c>
      <c r="R79" t="s">
        <v>1198</v>
      </c>
      <c r="S79" t="s">
        <v>195</v>
      </c>
    </row>
    <row r="80" spans="1:19" x14ac:dyDescent="0.3">
      <c r="A80" t="s">
        <v>583</v>
      </c>
      <c r="B80" t="s">
        <v>22</v>
      </c>
      <c r="C80">
        <v>2026</v>
      </c>
      <c r="D80">
        <v>1</v>
      </c>
      <c r="E80" s="2">
        <v>46026</v>
      </c>
      <c r="F80" t="s">
        <v>7</v>
      </c>
      <c r="G80" t="s">
        <v>8</v>
      </c>
      <c r="H80" t="s">
        <v>70</v>
      </c>
      <c r="I80" t="s">
        <v>77</v>
      </c>
      <c r="J80" t="s">
        <v>78</v>
      </c>
      <c r="K80" t="s">
        <v>73</v>
      </c>
      <c r="L80">
        <v>701000</v>
      </c>
      <c r="M80" t="s">
        <v>62</v>
      </c>
      <c r="N80" t="s">
        <v>33</v>
      </c>
      <c r="O80">
        <v>2095</v>
      </c>
      <c r="P80">
        <v>1.8</v>
      </c>
      <c r="Q80">
        <v>3.77</v>
      </c>
      <c r="R80" t="s">
        <v>1200</v>
      </c>
      <c r="S80" t="s">
        <v>195</v>
      </c>
    </row>
    <row r="81" spans="1:19" x14ac:dyDescent="0.3">
      <c r="A81" t="s">
        <v>584</v>
      </c>
      <c r="B81" t="s">
        <v>22</v>
      </c>
      <c r="C81">
        <v>2026</v>
      </c>
      <c r="D81">
        <v>1</v>
      </c>
      <c r="E81" s="2">
        <v>46026</v>
      </c>
      <c r="F81" t="s">
        <v>7</v>
      </c>
      <c r="G81" t="s">
        <v>8</v>
      </c>
      <c r="H81" t="s">
        <v>70</v>
      </c>
      <c r="I81" t="s">
        <v>77</v>
      </c>
      <c r="J81" t="s">
        <v>78</v>
      </c>
      <c r="K81" t="s">
        <v>73</v>
      </c>
      <c r="L81">
        <v>701000</v>
      </c>
      <c r="M81" t="s">
        <v>62</v>
      </c>
      <c r="N81" t="s">
        <v>33</v>
      </c>
      <c r="O81">
        <v>320</v>
      </c>
      <c r="P81">
        <v>1.78</v>
      </c>
      <c r="Q81">
        <v>0.56999999999999995</v>
      </c>
      <c r="R81" t="s">
        <v>1201</v>
      </c>
      <c r="S81" t="s">
        <v>195</v>
      </c>
    </row>
    <row r="82" spans="1:19" x14ac:dyDescent="0.3">
      <c r="A82" t="s">
        <v>620</v>
      </c>
      <c r="B82" t="s">
        <v>22</v>
      </c>
      <c r="C82">
        <v>2026</v>
      </c>
      <c r="D82">
        <v>1</v>
      </c>
      <c r="E82" s="2">
        <v>46026</v>
      </c>
      <c r="F82" t="s">
        <v>7</v>
      </c>
      <c r="G82" t="s">
        <v>8</v>
      </c>
      <c r="H82" t="s">
        <v>70</v>
      </c>
      <c r="I82" t="s">
        <v>77</v>
      </c>
      <c r="J82" t="s">
        <v>78</v>
      </c>
      <c r="K82" t="s">
        <v>73</v>
      </c>
      <c r="L82">
        <v>701000</v>
      </c>
      <c r="M82" t="s">
        <v>62</v>
      </c>
      <c r="N82" t="s">
        <v>33</v>
      </c>
      <c r="O82">
        <v>994</v>
      </c>
      <c r="P82">
        <v>1.8</v>
      </c>
      <c r="Q82">
        <v>1.79</v>
      </c>
      <c r="R82" t="s">
        <v>1198</v>
      </c>
      <c r="S82" t="s">
        <v>195</v>
      </c>
    </row>
    <row r="83" spans="1:19" x14ac:dyDescent="0.3">
      <c r="A83" t="s">
        <v>621</v>
      </c>
      <c r="B83" t="s">
        <v>22</v>
      </c>
      <c r="C83">
        <v>2026</v>
      </c>
      <c r="D83">
        <v>1</v>
      </c>
      <c r="E83" s="2">
        <v>46026</v>
      </c>
      <c r="F83" t="s">
        <v>7</v>
      </c>
      <c r="G83" t="s">
        <v>8</v>
      </c>
      <c r="H83" t="s">
        <v>70</v>
      </c>
      <c r="I83" t="s">
        <v>77</v>
      </c>
      <c r="J83" t="s">
        <v>78</v>
      </c>
      <c r="K83" t="s">
        <v>73</v>
      </c>
      <c r="L83">
        <v>701000</v>
      </c>
      <c r="M83" t="s">
        <v>62</v>
      </c>
      <c r="N83" t="s">
        <v>33</v>
      </c>
      <c r="O83">
        <v>1298</v>
      </c>
      <c r="P83">
        <v>1.8</v>
      </c>
      <c r="Q83">
        <v>2.34</v>
      </c>
      <c r="R83" t="s">
        <v>1203</v>
      </c>
      <c r="S83" t="s">
        <v>195</v>
      </c>
    </row>
    <row r="84" spans="1:19" x14ac:dyDescent="0.3">
      <c r="A84" t="s">
        <v>622</v>
      </c>
      <c r="B84" t="s">
        <v>22</v>
      </c>
      <c r="C84">
        <v>2026</v>
      </c>
      <c r="D84">
        <v>1</v>
      </c>
      <c r="E84" s="2">
        <v>46026</v>
      </c>
      <c r="F84" t="s">
        <v>7</v>
      </c>
      <c r="G84" t="s">
        <v>8</v>
      </c>
      <c r="H84" t="s">
        <v>70</v>
      </c>
      <c r="I84" t="s">
        <v>77</v>
      </c>
      <c r="J84" t="s">
        <v>78</v>
      </c>
      <c r="K84" t="s">
        <v>73</v>
      </c>
      <c r="L84">
        <v>701000</v>
      </c>
      <c r="M84" t="s">
        <v>62</v>
      </c>
      <c r="N84" t="s">
        <v>33</v>
      </c>
      <c r="O84">
        <v>270</v>
      </c>
      <c r="P84">
        <v>1.81</v>
      </c>
      <c r="Q84">
        <v>0.49</v>
      </c>
      <c r="R84" t="s">
        <v>1201</v>
      </c>
      <c r="S84" t="s">
        <v>195</v>
      </c>
    </row>
    <row r="85" spans="1:19" x14ac:dyDescent="0.3">
      <c r="A85" t="s">
        <v>623</v>
      </c>
      <c r="B85" t="s">
        <v>22</v>
      </c>
      <c r="C85">
        <v>2026</v>
      </c>
      <c r="D85">
        <v>1</v>
      </c>
      <c r="E85" s="2">
        <v>46026</v>
      </c>
      <c r="F85" t="s">
        <v>7</v>
      </c>
      <c r="G85" t="s">
        <v>8</v>
      </c>
      <c r="H85" t="s">
        <v>70</v>
      </c>
      <c r="I85" t="s">
        <v>77</v>
      </c>
      <c r="J85" t="s">
        <v>78</v>
      </c>
      <c r="K85" t="s">
        <v>73</v>
      </c>
      <c r="L85">
        <v>701000</v>
      </c>
      <c r="M85" t="s">
        <v>62</v>
      </c>
      <c r="N85" t="s">
        <v>33</v>
      </c>
      <c r="O85">
        <v>695</v>
      </c>
      <c r="P85">
        <v>1.8</v>
      </c>
      <c r="Q85">
        <v>1.25</v>
      </c>
      <c r="R85" t="s">
        <v>1204</v>
      </c>
      <c r="S85" t="s">
        <v>195</v>
      </c>
    </row>
    <row r="86" spans="1:19" x14ac:dyDescent="0.3">
      <c r="A86" t="s">
        <v>624</v>
      </c>
      <c r="B86" t="s">
        <v>22</v>
      </c>
      <c r="C86">
        <v>2026</v>
      </c>
      <c r="D86">
        <v>1</v>
      </c>
      <c r="E86" s="2">
        <v>46026</v>
      </c>
      <c r="F86" t="s">
        <v>7</v>
      </c>
      <c r="G86" t="s">
        <v>8</v>
      </c>
      <c r="H86" t="s">
        <v>70</v>
      </c>
      <c r="I86" t="s">
        <v>77</v>
      </c>
      <c r="J86" t="s">
        <v>78</v>
      </c>
      <c r="K86" t="s">
        <v>73</v>
      </c>
      <c r="L86">
        <v>701000</v>
      </c>
      <c r="M86" t="s">
        <v>62</v>
      </c>
      <c r="N86" t="s">
        <v>33</v>
      </c>
      <c r="O86">
        <v>1318</v>
      </c>
      <c r="P86">
        <v>1.8</v>
      </c>
      <c r="Q86">
        <v>2.37</v>
      </c>
      <c r="R86" t="s">
        <v>1200</v>
      </c>
      <c r="S86" t="s">
        <v>195</v>
      </c>
    </row>
    <row r="87" spans="1:19" x14ac:dyDescent="0.3">
      <c r="A87" t="s">
        <v>630</v>
      </c>
      <c r="B87" t="s">
        <v>22</v>
      </c>
      <c r="C87">
        <v>2026</v>
      </c>
      <c r="D87">
        <v>1</v>
      </c>
      <c r="E87" s="2">
        <v>46026</v>
      </c>
      <c r="F87" t="s">
        <v>7</v>
      </c>
      <c r="G87" t="s">
        <v>8</v>
      </c>
      <c r="H87" t="s">
        <v>70</v>
      </c>
      <c r="I87" t="s">
        <v>77</v>
      </c>
      <c r="J87" t="s">
        <v>78</v>
      </c>
      <c r="K87" t="s">
        <v>73</v>
      </c>
      <c r="L87">
        <v>701000</v>
      </c>
      <c r="M87" t="s">
        <v>62</v>
      </c>
      <c r="N87" t="s">
        <v>33</v>
      </c>
      <c r="O87">
        <v>465</v>
      </c>
      <c r="P87">
        <v>1.81</v>
      </c>
      <c r="Q87">
        <v>0.84</v>
      </c>
      <c r="R87" t="s">
        <v>1203</v>
      </c>
      <c r="S87" t="s">
        <v>195</v>
      </c>
    </row>
    <row r="88" spans="1:19" x14ac:dyDescent="0.3">
      <c r="A88" t="s">
        <v>631</v>
      </c>
      <c r="B88" t="s">
        <v>22</v>
      </c>
      <c r="C88">
        <v>2026</v>
      </c>
      <c r="D88">
        <v>1</v>
      </c>
      <c r="E88" s="2">
        <v>46026</v>
      </c>
      <c r="F88" t="s">
        <v>7</v>
      </c>
      <c r="G88" t="s">
        <v>8</v>
      </c>
      <c r="H88" t="s">
        <v>70</v>
      </c>
      <c r="I88" t="s">
        <v>77</v>
      </c>
      <c r="J88" t="s">
        <v>78</v>
      </c>
      <c r="K88" t="s">
        <v>73</v>
      </c>
      <c r="L88">
        <v>701000</v>
      </c>
      <c r="M88" t="s">
        <v>62</v>
      </c>
      <c r="N88" t="s">
        <v>33</v>
      </c>
      <c r="O88">
        <v>145</v>
      </c>
      <c r="P88">
        <v>1.79</v>
      </c>
      <c r="Q88">
        <v>0.26</v>
      </c>
      <c r="R88" t="s">
        <v>1202</v>
      </c>
      <c r="S88" t="s">
        <v>195</v>
      </c>
    </row>
    <row r="89" spans="1:19" x14ac:dyDescent="0.3">
      <c r="A89" t="s">
        <v>632</v>
      </c>
      <c r="B89" t="s">
        <v>22</v>
      </c>
      <c r="C89">
        <v>2026</v>
      </c>
      <c r="D89">
        <v>1</v>
      </c>
      <c r="E89" s="2">
        <v>46026</v>
      </c>
      <c r="F89" t="s">
        <v>7</v>
      </c>
      <c r="G89" t="s">
        <v>8</v>
      </c>
      <c r="H89" t="s">
        <v>70</v>
      </c>
      <c r="I89" t="s">
        <v>77</v>
      </c>
      <c r="J89" t="s">
        <v>78</v>
      </c>
      <c r="K89" t="s">
        <v>73</v>
      </c>
      <c r="L89">
        <v>701000</v>
      </c>
      <c r="M89" t="s">
        <v>62</v>
      </c>
      <c r="N89" t="s">
        <v>33</v>
      </c>
      <c r="O89">
        <v>1525</v>
      </c>
      <c r="P89">
        <v>1.8</v>
      </c>
      <c r="Q89">
        <v>2.75</v>
      </c>
      <c r="R89" t="s">
        <v>1200</v>
      </c>
      <c r="S89" t="s">
        <v>195</v>
      </c>
    </row>
    <row r="90" spans="1:19" x14ac:dyDescent="0.3">
      <c r="A90" t="s">
        <v>633</v>
      </c>
      <c r="B90" t="s">
        <v>22</v>
      </c>
      <c r="C90">
        <v>2026</v>
      </c>
      <c r="D90">
        <v>1</v>
      </c>
      <c r="E90" s="2">
        <v>46026</v>
      </c>
      <c r="F90" t="s">
        <v>7</v>
      </c>
      <c r="G90" t="s">
        <v>8</v>
      </c>
      <c r="H90" t="s">
        <v>70</v>
      </c>
      <c r="I90" t="s">
        <v>77</v>
      </c>
      <c r="J90" t="s">
        <v>78</v>
      </c>
      <c r="K90" t="s">
        <v>73</v>
      </c>
      <c r="L90">
        <v>701000</v>
      </c>
      <c r="M90" t="s">
        <v>62</v>
      </c>
      <c r="N90" t="s">
        <v>33</v>
      </c>
      <c r="O90">
        <v>1083</v>
      </c>
      <c r="P90">
        <v>1.8</v>
      </c>
      <c r="Q90">
        <v>1.95</v>
      </c>
      <c r="R90" t="s">
        <v>1199</v>
      </c>
      <c r="S90" t="s">
        <v>195</v>
      </c>
    </row>
    <row r="91" spans="1:19" x14ac:dyDescent="0.3">
      <c r="A91" t="s">
        <v>634</v>
      </c>
      <c r="B91" t="s">
        <v>22</v>
      </c>
      <c r="C91">
        <v>2026</v>
      </c>
      <c r="D91">
        <v>1</v>
      </c>
      <c r="E91" s="2">
        <v>46026</v>
      </c>
      <c r="F91" t="s">
        <v>7</v>
      </c>
      <c r="G91" t="s">
        <v>8</v>
      </c>
      <c r="H91" t="s">
        <v>70</v>
      </c>
      <c r="I91" t="s">
        <v>77</v>
      </c>
      <c r="J91" t="s">
        <v>78</v>
      </c>
      <c r="K91" t="s">
        <v>73</v>
      </c>
      <c r="L91">
        <v>701000</v>
      </c>
      <c r="M91" t="s">
        <v>62</v>
      </c>
      <c r="N91" t="s">
        <v>33</v>
      </c>
      <c r="O91">
        <v>1052</v>
      </c>
      <c r="P91">
        <v>1.8</v>
      </c>
      <c r="Q91">
        <v>1.89</v>
      </c>
      <c r="R91" t="s">
        <v>1198</v>
      </c>
      <c r="S91" t="s">
        <v>195</v>
      </c>
    </row>
    <row r="92" spans="1:19" x14ac:dyDescent="0.3">
      <c r="A92" t="s">
        <v>655</v>
      </c>
      <c r="B92" t="s">
        <v>22</v>
      </c>
      <c r="C92">
        <v>2026</v>
      </c>
      <c r="D92">
        <v>1</v>
      </c>
      <c r="E92" s="2">
        <v>46026</v>
      </c>
      <c r="F92" t="s">
        <v>7</v>
      </c>
      <c r="G92" t="s">
        <v>8</v>
      </c>
      <c r="H92" t="s">
        <v>74</v>
      </c>
      <c r="I92" t="s">
        <v>79</v>
      </c>
      <c r="J92" t="s">
        <v>80</v>
      </c>
      <c r="K92" t="s">
        <v>73</v>
      </c>
      <c r="L92">
        <v>701000</v>
      </c>
      <c r="M92" t="s">
        <v>62</v>
      </c>
      <c r="N92" t="s">
        <v>33</v>
      </c>
      <c r="O92">
        <v>3900</v>
      </c>
      <c r="P92">
        <v>2.6</v>
      </c>
      <c r="Q92">
        <v>10.14</v>
      </c>
      <c r="R92" t="s">
        <v>1199</v>
      </c>
      <c r="S92" t="s">
        <v>195</v>
      </c>
    </row>
    <row r="93" spans="1:19" x14ac:dyDescent="0.3">
      <c r="A93" t="s">
        <v>656</v>
      </c>
      <c r="B93" t="s">
        <v>22</v>
      </c>
      <c r="C93">
        <v>2026</v>
      </c>
      <c r="D93">
        <v>1</v>
      </c>
      <c r="E93" s="2">
        <v>46026</v>
      </c>
      <c r="F93" t="s">
        <v>7</v>
      </c>
      <c r="G93" t="s">
        <v>8</v>
      </c>
      <c r="H93" t="s">
        <v>74</v>
      </c>
      <c r="I93" t="s">
        <v>79</v>
      </c>
      <c r="J93" t="s">
        <v>80</v>
      </c>
      <c r="K93" t="s">
        <v>73</v>
      </c>
      <c r="L93">
        <v>701000</v>
      </c>
      <c r="M93" t="s">
        <v>62</v>
      </c>
      <c r="N93" t="s">
        <v>33</v>
      </c>
      <c r="O93">
        <v>1468</v>
      </c>
      <c r="P93">
        <v>2.6</v>
      </c>
      <c r="Q93">
        <v>3.82</v>
      </c>
      <c r="R93" t="s">
        <v>1198</v>
      </c>
      <c r="S93" t="s">
        <v>195</v>
      </c>
    </row>
    <row r="94" spans="1:19" x14ac:dyDescent="0.3">
      <c r="A94" t="s">
        <v>657</v>
      </c>
      <c r="B94" t="s">
        <v>22</v>
      </c>
      <c r="C94">
        <v>2026</v>
      </c>
      <c r="D94">
        <v>1</v>
      </c>
      <c r="E94" s="2">
        <v>46026</v>
      </c>
      <c r="F94" t="s">
        <v>7</v>
      </c>
      <c r="G94" t="s">
        <v>8</v>
      </c>
      <c r="H94" t="s">
        <v>74</v>
      </c>
      <c r="I94" t="s">
        <v>79</v>
      </c>
      <c r="J94" t="s">
        <v>80</v>
      </c>
      <c r="K94" t="s">
        <v>73</v>
      </c>
      <c r="L94">
        <v>701000</v>
      </c>
      <c r="M94" t="s">
        <v>62</v>
      </c>
      <c r="N94" t="s">
        <v>33</v>
      </c>
      <c r="O94">
        <v>1167</v>
      </c>
      <c r="P94">
        <v>2.6</v>
      </c>
      <c r="Q94">
        <v>3.03</v>
      </c>
      <c r="R94" t="s">
        <v>1205</v>
      </c>
      <c r="S94" t="s">
        <v>195</v>
      </c>
    </row>
    <row r="95" spans="1:19" x14ac:dyDescent="0.3">
      <c r="A95" t="s">
        <v>658</v>
      </c>
      <c r="B95" t="s">
        <v>22</v>
      </c>
      <c r="C95">
        <v>2026</v>
      </c>
      <c r="D95">
        <v>1</v>
      </c>
      <c r="E95" s="2">
        <v>46026</v>
      </c>
      <c r="F95" t="s">
        <v>7</v>
      </c>
      <c r="G95" t="s">
        <v>8</v>
      </c>
      <c r="H95" t="s">
        <v>74</v>
      </c>
      <c r="I95" t="s">
        <v>79</v>
      </c>
      <c r="J95" t="s">
        <v>80</v>
      </c>
      <c r="K95" t="s">
        <v>73</v>
      </c>
      <c r="L95">
        <v>701000</v>
      </c>
      <c r="M95" t="s">
        <v>62</v>
      </c>
      <c r="N95" t="s">
        <v>33</v>
      </c>
      <c r="O95">
        <v>348</v>
      </c>
      <c r="P95">
        <v>2.61</v>
      </c>
      <c r="Q95">
        <v>0.91</v>
      </c>
      <c r="R95" t="s">
        <v>1203</v>
      </c>
      <c r="S95" t="s">
        <v>195</v>
      </c>
    </row>
    <row r="96" spans="1:19" x14ac:dyDescent="0.3">
      <c r="A96" t="s">
        <v>659</v>
      </c>
      <c r="B96" t="s">
        <v>22</v>
      </c>
      <c r="C96">
        <v>2026</v>
      </c>
      <c r="D96">
        <v>1</v>
      </c>
      <c r="E96" s="2">
        <v>46026</v>
      </c>
      <c r="F96" t="s">
        <v>7</v>
      </c>
      <c r="G96" t="s">
        <v>8</v>
      </c>
      <c r="H96" t="s">
        <v>74</v>
      </c>
      <c r="I96" t="s">
        <v>79</v>
      </c>
      <c r="J96" t="s">
        <v>80</v>
      </c>
      <c r="K96" t="s">
        <v>73</v>
      </c>
      <c r="L96">
        <v>701000</v>
      </c>
      <c r="M96" t="s">
        <v>62</v>
      </c>
      <c r="N96" t="s">
        <v>33</v>
      </c>
      <c r="O96">
        <v>2301</v>
      </c>
      <c r="P96">
        <v>2.6</v>
      </c>
      <c r="Q96">
        <v>5.98</v>
      </c>
      <c r="R96" t="s">
        <v>1202</v>
      </c>
      <c r="S96" t="s">
        <v>195</v>
      </c>
    </row>
    <row r="97" spans="1:19" x14ac:dyDescent="0.3">
      <c r="A97" t="s">
        <v>690</v>
      </c>
      <c r="B97" t="s">
        <v>22</v>
      </c>
      <c r="C97">
        <v>2026</v>
      </c>
      <c r="D97">
        <v>1</v>
      </c>
      <c r="E97" s="2">
        <v>46026</v>
      </c>
      <c r="F97" t="s">
        <v>7</v>
      </c>
      <c r="G97" t="s">
        <v>8</v>
      </c>
      <c r="H97" t="s">
        <v>70</v>
      </c>
      <c r="I97" t="s">
        <v>79</v>
      </c>
      <c r="J97" t="s">
        <v>80</v>
      </c>
      <c r="K97" t="s">
        <v>73</v>
      </c>
      <c r="L97">
        <v>707000</v>
      </c>
      <c r="M97" t="s">
        <v>81</v>
      </c>
      <c r="N97" t="s">
        <v>33</v>
      </c>
      <c r="O97">
        <v>953</v>
      </c>
      <c r="P97">
        <v>2.6</v>
      </c>
      <c r="Q97">
        <v>2.48</v>
      </c>
      <c r="R97" t="s">
        <v>1203</v>
      </c>
      <c r="S97" t="s">
        <v>195</v>
      </c>
    </row>
    <row r="98" spans="1:19" x14ac:dyDescent="0.3">
      <c r="A98" t="s">
        <v>691</v>
      </c>
      <c r="B98" t="s">
        <v>22</v>
      </c>
      <c r="C98">
        <v>2026</v>
      </c>
      <c r="D98">
        <v>1</v>
      </c>
      <c r="E98" s="2">
        <v>46026</v>
      </c>
      <c r="F98" t="s">
        <v>7</v>
      </c>
      <c r="G98" t="s">
        <v>8</v>
      </c>
      <c r="H98" t="s">
        <v>70</v>
      </c>
      <c r="I98" t="s">
        <v>79</v>
      </c>
      <c r="J98" t="s">
        <v>80</v>
      </c>
      <c r="K98" t="s">
        <v>73</v>
      </c>
      <c r="L98">
        <v>707000</v>
      </c>
      <c r="M98" t="s">
        <v>81</v>
      </c>
      <c r="N98" t="s">
        <v>33</v>
      </c>
      <c r="O98">
        <v>2182</v>
      </c>
      <c r="P98">
        <v>2.6</v>
      </c>
      <c r="Q98">
        <v>5.67</v>
      </c>
      <c r="R98" t="s">
        <v>1204</v>
      </c>
      <c r="S98" t="s">
        <v>195</v>
      </c>
    </row>
    <row r="99" spans="1:19" x14ac:dyDescent="0.3">
      <c r="A99" t="s">
        <v>692</v>
      </c>
      <c r="B99" t="s">
        <v>22</v>
      </c>
      <c r="C99">
        <v>2026</v>
      </c>
      <c r="D99">
        <v>1</v>
      </c>
      <c r="E99" s="2">
        <v>46026</v>
      </c>
      <c r="F99" t="s">
        <v>7</v>
      </c>
      <c r="G99" t="s">
        <v>8</v>
      </c>
      <c r="H99" t="s">
        <v>70</v>
      </c>
      <c r="I99" t="s">
        <v>79</v>
      </c>
      <c r="J99" t="s">
        <v>80</v>
      </c>
      <c r="K99" t="s">
        <v>73</v>
      </c>
      <c r="L99">
        <v>707000</v>
      </c>
      <c r="M99" t="s">
        <v>81</v>
      </c>
      <c r="N99" t="s">
        <v>33</v>
      </c>
      <c r="O99">
        <v>577</v>
      </c>
      <c r="P99">
        <v>2.6</v>
      </c>
      <c r="Q99">
        <v>1.5</v>
      </c>
      <c r="R99" t="s">
        <v>1199</v>
      </c>
      <c r="S99" t="s">
        <v>195</v>
      </c>
    </row>
    <row r="100" spans="1:19" x14ac:dyDescent="0.3">
      <c r="A100" t="s">
        <v>693</v>
      </c>
      <c r="B100" t="s">
        <v>22</v>
      </c>
      <c r="C100">
        <v>2026</v>
      </c>
      <c r="D100">
        <v>1</v>
      </c>
      <c r="E100" s="2">
        <v>46026</v>
      </c>
      <c r="F100" t="s">
        <v>7</v>
      </c>
      <c r="G100" t="s">
        <v>8</v>
      </c>
      <c r="H100" t="s">
        <v>70</v>
      </c>
      <c r="I100" t="s">
        <v>79</v>
      </c>
      <c r="J100" t="s">
        <v>80</v>
      </c>
      <c r="K100" t="s">
        <v>73</v>
      </c>
      <c r="L100">
        <v>707000</v>
      </c>
      <c r="M100" t="s">
        <v>81</v>
      </c>
      <c r="N100" t="s">
        <v>33</v>
      </c>
      <c r="O100">
        <v>3198</v>
      </c>
      <c r="P100">
        <v>2.6</v>
      </c>
      <c r="Q100">
        <v>8.31</v>
      </c>
      <c r="R100" t="s">
        <v>1198</v>
      </c>
      <c r="S100" t="s">
        <v>195</v>
      </c>
    </row>
    <row r="101" spans="1:19" x14ac:dyDescent="0.3">
      <c r="A101" t="s">
        <v>694</v>
      </c>
      <c r="B101" t="s">
        <v>22</v>
      </c>
      <c r="C101">
        <v>2026</v>
      </c>
      <c r="D101">
        <v>1</v>
      </c>
      <c r="E101" s="2">
        <v>46026</v>
      </c>
      <c r="F101" t="s">
        <v>7</v>
      </c>
      <c r="G101" t="s">
        <v>8</v>
      </c>
      <c r="H101" t="s">
        <v>70</v>
      </c>
      <c r="I101" t="s">
        <v>79</v>
      </c>
      <c r="J101" t="s">
        <v>80</v>
      </c>
      <c r="K101" t="s">
        <v>73</v>
      </c>
      <c r="L101">
        <v>707000</v>
      </c>
      <c r="M101" t="s">
        <v>81</v>
      </c>
      <c r="N101" t="s">
        <v>33</v>
      </c>
      <c r="O101">
        <v>815</v>
      </c>
      <c r="P101">
        <v>2.6</v>
      </c>
      <c r="Q101">
        <v>2.12</v>
      </c>
      <c r="R101" t="s">
        <v>1205</v>
      </c>
      <c r="S101" t="s">
        <v>195</v>
      </c>
    </row>
    <row r="102" spans="1:19" x14ac:dyDescent="0.3">
      <c r="A102" t="s">
        <v>715</v>
      </c>
      <c r="B102" t="s">
        <v>22</v>
      </c>
      <c r="C102">
        <v>2026</v>
      </c>
      <c r="D102">
        <v>1</v>
      </c>
      <c r="E102" s="2">
        <v>46026</v>
      </c>
      <c r="F102" t="s">
        <v>7</v>
      </c>
      <c r="G102" t="s">
        <v>8</v>
      </c>
      <c r="H102" t="s">
        <v>70</v>
      </c>
      <c r="I102" t="s">
        <v>79</v>
      </c>
      <c r="J102" t="s">
        <v>80</v>
      </c>
      <c r="K102" t="s">
        <v>73</v>
      </c>
      <c r="L102">
        <v>701000</v>
      </c>
      <c r="M102" t="s">
        <v>62</v>
      </c>
      <c r="N102" t="s">
        <v>33</v>
      </c>
      <c r="O102">
        <v>1752</v>
      </c>
      <c r="P102">
        <v>2.6</v>
      </c>
      <c r="Q102">
        <v>4.55</v>
      </c>
      <c r="R102" t="s">
        <v>1200</v>
      </c>
      <c r="S102" t="s">
        <v>195</v>
      </c>
    </row>
    <row r="103" spans="1:19" x14ac:dyDescent="0.3">
      <c r="A103" t="s">
        <v>716</v>
      </c>
      <c r="B103" t="s">
        <v>22</v>
      </c>
      <c r="C103">
        <v>2026</v>
      </c>
      <c r="D103">
        <v>1</v>
      </c>
      <c r="E103" s="2">
        <v>46026</v>
      </c>
      <c r="F103" t="s">
        <v>7</v>
      </c>
      <c r="G103" t="s">
        <v>8</v>
      </c>
      <c r="H103" t="s">
        <v>70</v>
      </c>
      <c r="I103" t="s">
        <v>79</v>
      </c>
      <c r="J103" t="s">
        <v>80</v>
      </c>
      <c r="K103" t="s">
        <v>73</v>
      </c>
      <c r="L103">
        <v>701000</v>
      </c>
      <c r="M103" t="s">
        <v>62</v>
      </c>
      <c r="N103" t="s">
        <v>33</v>
      </c>
      <c r="O103">
        <v>2680</v>
      </c>
      <c r="P103">
        <v>2.6</v>
      </c>
      <c r="Q103">
        <v>6.97</v>
      </c>
      <c r="R103" t="s">
        <v>1205</v>
      </c>
      <c r="S103" t="s">
        <v>195</v>
      </c>
    </row>
    <row r="104" spans="1:19" x14ac:dyDescent="0.3">
      <c r="A104" t="s">
        <v>717</v>
      </c>
      <c r="B104" t="s">
        <v>22</v>
      </c>
      <c r="C104">
        <v>2026</v>
      </c>
      <c r="D104">
        <v>1</v>
      </c>
      <c r="E104" s="2">
        <v>46026</v>
      </c>
      <c r="F104" t="s">
        <v>7</v>
      </c>
      <c r="G104" t="s">
        <v>8</v>
      </c>
      <c r="H104" t="s">
        <v>70</v>
      </c>
      <c r="I104" t="s">
        <v>79</v>
      </c>
      <c r="J104" t="s">
        <v>80</v>
      </c>
      <c r="K104" t="s">
        <v>73</v>
      </c>
      <c r="L104">
        <v>701000</v>
      </c>
      <c r="M104" t="s">
        <v>62</v>
      </c>
      <c r="N104" t="s">
        <v>33</v>
      </c>
      <c r="O104">
        <v>684</v>
      </c>
      <c r="P104">
        <v>2.6</v>
      </c>
      <c r="Q104">
        <v>1.78</v>
      </c>
      <c r="R104" t="s">
        <v>1204</v>
      </c>
      <c r="S104" t="s">
        <v>195</v>
      </c>
    </row>
    <row r="105" spans="1:19" x14ac:dyDescent="0.3">
      <c r="A105" t="s">
        <v>718</v>
      </c>
      <c r="B105" t="s">
        <v>22</v>
      </c>
      <c r="C105">
        <v>2026</v>
      </c>
      <c r="D105">
        <v>1</v>
      </c>
      <c r="E105" s="2">
        <v>46026</v>
      </c>
      <c r="F105" t="s">
        <v>7</v>
      </c>
      <c r="G105" t="s">
        <v>8</v>
      </c>
      <c r="H105" t="s">
        <v>70</v>
      </c>
      <c r="I105" t="s">
        <v>79</v>
      </c>
      <c r="J105" t="s">
        <v>80</v>
      </c>
      <c r="K105" t="s">
        <v>73</v>
      </c>
      <c r="L105">
        <v>701000</v>
      </c>
      <c r="M105" t="s">
        <v>62</v>
      </c>
      <c r="N105" t="s">
        <v>33</v>
      </c>
      <c r="O105">
        <v>2297</v>
      </c>
      <c r="P105">
        <v>2.6</v>
      </c>
      <c r="Q105">
        <v>5.97</v>
      </c>
      <c r="R105" t="s">
        <v>1199</v>
      </c>
      <c r="S105" t="s">
        <v>195</v>
      </c>
    </row>
    <row r="106" spans="1:19" x14ac:dyDescent="0.3">
      <c r="A106" t="s">
        <v>719</v>
      </c>
      <c r="B106" t="s">
        <v>22</v>
      </c>
      <c r="C106">
        <v>2026</v>
      </c>
      <c r="D106">
        <v>1</v>
      </c>
      <c r="E106" s="2">
        <v>46026</v>
      </c>
      <c r="F106" t="s">
        <v>7</v>
      </c>
      <c r="G106" t="s">
        <v>8</v>
      </c>
      <c r="H106" t="s">
        <v>70</v>
      </c>
      <c r="I106" t="s">
        <v>79</v>
      </c>
      <c r="J106" t="s">
        <v>80</v>
      </c>
      <c r="K106" t="s">
        <v>73</v>
      </c>
      <c r="L106">
        <v>701000</v>
      </c>
      <c r="M106" t="s">
        <v>62</v>
      </c>
      <c r="N106" t="s">
        <v>33</v>
      </c>
      <c r="O106">
        <v>2493</v>
      </c>
      <c r="P106">
        <v>2.6</v>
      </c>
      <c r="Q106">
        <v>6.48</v>
      </c>
      <c r="R106" t="s">
        <v>1198</v>
      </c>
      <c r="S106" t="s">
        <v>195</v>
      </c>
    </row>
    <row r="107" spans="1:19" x14ac:dyDescent="0.3">
      <c r="A107" t="s">
        <v>760</v>
      </c>
      <c r="B107" t="s">
        <v>22</v>
      </c>
      <c r="C107">
        <v>2026</v>
      </c>
      <c r="D107">
        <v>1</v>
      </c>
      <c r="E107" s="2">
        <v>46026</v>
      </c>
      <c r="F107" t="s">
        <v>7</v>
      </c>
      <c r="G107" t="s">
        <v>8</v>
      </c>
      <c r="H107" t="s">
        <v>70</v>
      </c>
      <c r="I107" t="s">
        <v>82</v>
      </c>
      <c r="J107" t="s">
        <v>83</v>
      </c>
      <c r="K107" t="s">
        <v>73</v>
      </c>
      <c r="L107">
        <v>701000</v>
      </c>
      <c r="M107" t="s">
        <v>62</v>
      </c>
      <c r="N107" t="s">
        <v>33</v>
      </c>
      <c r="O107">
        <v>167</v>
      </c>
      <c r="P107">
        <v>18.5</v>
      </c>
      <c r="Q107">
        <v>3.09</v>
      </c>
      <c r="R107" t="s">
        <v>1205</v>
      </c>
      <c r="S107" t="s">
        <v>195</v>
      </c>
    </row>
    <row r="108" spans="1:19" x14ac:dyDescent="0.3">
      <c r="A108" t="s">
        <v>761</v>
      </c>
      <c r="B108" t="s">
        <v>22</v>
      </c>
      <c r="C108">
        <v>2026</v>
      </c>
      <c r="D108">
        <v>1</v>
      </c>
      <c r="E108" s="2">
        <v>46026</v>
      </c>
      <c r="F108" t="s">
        <v>7</v>
      </c>
      <c r="G108" t="s">
        <v>8</v>
      </c>
      <c r="H108" t="s">
        <v>70</v>
      </c>
      <c r="I108" t="s">
        <v>82</v>
      </c>
      <c r="J108" t="s">
        <v>83</v>
      </c>
      <c r="K108" t="s">
        <v>73</v>
      </c>
      <c r="L108">
        <v>701000</v>
      </c>
      <c r="M108" t="s">
        <v>62</v>
      </c>
      <c r="N108" t="s">
        <v>33</v>
      </c>
      <c r="O108">
        <v>69</v>
      </c>
      <c r="P108">
        <v>18.41</v>
      </c>
      <c r="Q108">
        <v>1.27</v>
      </c>
      <c r="R108" t="s">
        <v>1199</v>
      </c>
      <c r="S108" t="s">
        <v>195</v>
      </c>
    </row>
    <row r="109" spans="1:19" x14ac:dyDescent="0.3">
      <c r="A109" t="s">
        <v>762</v>
      </c>
      <c r="B109" t="s">
        <v>22</v>
      </c>
      <c r="C109">
        <v>2026</v>
      </c>
      <c r="D109">
        <v>1</v>
      </c>
      <c r="E109" s="2">
        <v>46026</v>
      </c>
      <c r="F109" t="s">
        <v>7</v>
      </c>
      <c r="G109" t="s">
        <v>8</v>
      </c>
      <c r="H109" t="s">
        <v>70</v>
      </c>
      <c r="I109" t="s">
        <v>82</v>
      </c>
      <c r="J109" t="s">
        <v>83</v>
      </c>
      <c r="K109" t="s">
        <v>73</v>
      </c>
      <c r="L109">
        <v>701000</v>
      </c>
      <c r="M109" t="s">
        <v>62</v>
      </c>
      <c r="N109" t="s">
        <v>33</v>
      </c>
      <c r="O109">
        <v>83</v>
      </c>
      <c r="P109">
        <v>18.43</v>
      </c>
      <c r="Q109">
        <v>1.53</v>
      </c>
      <c r="R109" t="s">
        <v>1204</v>
      </c>
      <c r="S109" t="s">
        <v>195</v>
      </c>
    </row>
    <row r="110" spans="1:19" x14ac:dyDescent="0.3">
      <c r="A110" t="s">
        <v>763</v>
      </c>
      <c r="B110" t="s">
        <v>22</v>
      </c>
      <c r="C110">
        <v>2026</v>
      </c>
      <c r="D110">
        <v>1</v>
      </c>
      <c r="E110" s="2">
        <v>46026</v>
      </c>
      <c r="F110" t="s">
        <v>7</v>
      </c>
      <c r="G110" t="s">
        <v>8</v>
      </c>
      <c r="H110" t="s">
        <v>70</v>
      </c>
      <c r="I110" t="s">
        <v>82</v>
      </c>
      <c r="J110" t="s">
        <v>83</v>
      </c>
      <c r="K110" t="s">
        <v>73</v>
      </c>
      <c r="L110">
        <v>701000</v>
      </c>
      <c r="M110" t="s">
        <v>62</v>
      </c>
      <c r="N110" t="s">
        <v>33</v>
      </c>
      <c r="O110">
        <v>45</v>
      </c>
      <c r="P110">
        <v>18.440000000000001</v>
      </c>
      <c r="Q110">
        <v>0.83</v>
      </c>
      <c r="R110" t="s">
        <v>1200</v>
      </c>
      <c r="S110" t="s">
        <v>195</v>
      </c>
    </row>
    <row r="111" spans="1:19" x14ac:dyDescent="0.3">
      <c r="A111" t="s">
        <v>764</v>
      </c>
      <c r="B111" t="s">
        <v>22</v>
      </c>
      <c r="C111">
        <v>2026</v>
      </c>
      <c r="D111">
        <v>1</v>
      </c>
      <c r="E111" s="2">
        <v>46026</v>
      </c>
      <c r="F111" t="s">
        <v>7</v>
      </c>
      <c r="G111" t="s">
        <v>8</v>
      </c>
      <c r="H111" t="s">
        <v>70</v>
      </c>
      <c r="I111" t="s">
        <v>82</v>
      </c>
      <c r="J111" t="s">
        <v>83</v>
      </c>
      <c r="K111" t="s">
        <v>73</v>
      </c>
      <c r="L111">
        <v>701000</v>
      </c>
      <c r="M111" t="s">
        <v>62</v>
      </c>
      <c r="N111" t="s">
        <v>33</v>
      </c>
      <c r="O111">
        <v>269</v>
      </c>
      <c r="P111">
        <v>18.59</v>
      </c>
      <c r="Q111">
        <v>5</v>
      </c>
      <c r="R111" t="s">
        <v>1201</v>
      </c>
      <c r="S111" t="s">
        <v>195</v>
      </c>
    </row>
    <row r="112" spans="1:19" x14ac:dyDescent="0.3">
      <c r="A112" t="s">
        <v>805</v>
      </c>
      <c r="B112" t="s">
        <v>22</v>
      </c>
      <c r="C112">
        <v>2026</v>
      </c>
      <c r="D112">
        <v>1</v>
      </c>
      <c r="E112" s="2">
        <v>46026</v>
      </c>
      <c r="F112" t="s">
        <v>7</v>
      </c>
      <c r="G112" t="s">
        <v>8</v>
      </c>
      <c r="H112" t="s">
        <v>70</v>
      </c>
      <c r="I112" t="s">
        <v>82</v>
      </c>
      <c r="J112" t="s">
        <v>83</v>
      </c>
      <c r="K112" t="s">
        <v>73</v>
      </c>
      <c r="L112">
        <v>701000</v>
      </c>
      <c r="M112" t="s">
        <v>62</v>
      </c>
      <c r="N112" t="s">
        <v>33</v>
      </c>
      <c r="O112">
        <v>204</v>
      </c>
      <c r="P112">
        <v>18.579999999999998</v>
      </c>
      <c r="Q112">
        <v>3.79</v>
      </c>
      <c r="R112" t="s">
        <v>1205</v>
      </c>
      <c r="S112" t="s">
        <v>195</v>
      </c>
    </row>
    <row r="113" spans="1:19" x14ac:dyDescent="0.3">
      <c r="A113" t="s">
        <v>806</v>
      </c>
      <c r="B113" t="s">
        <v>22</v>
      </c>
      <c r="C113">
        <v>2026</v>
      </c>
      <c r="D113">
        <v>1</v>
      </c>
      <c r="E113" s="2">
        <v>46026</v>
      </c>
      <c r="F113" t="s">
        <v>7</v>
      </c>
      <c r="G113" t="s">
        <v>8</v>
      </c>
      <c r="H113" t="s">
        <v>70</v>
      </c>
      <c r="I113" t="s">
        <v>82</v>
      </c>
      <c r="J113" t="s">
        <v>83</v>
      </c>
      <c r="K113" t="s">
        <v>73</v>
      </c>
      <c r="L113">
        <v>701000</v>
      </c>
      <c r="M113" t="s">
        <v>62</v>
      </c>
      <c r="N113" t="s">
        <v>33</v>
      </c>
      <c r="O113">
        <v>106</v>
      </c>
      <c r="P113">
        <v>18.489999999999998</v>
      </c>
      <c r="Q113">
        <v>1.96</v>
      </c>
      <c r="R113" t="s">
        <v>1203</v>
      </c>
      <c r="S113" t="s">
        <v>195</v>
      </c>
    </row>
    <row r="114" spans="1:19" x14ac:dyDescent="0.3">
      <c r="A114" t="s">
        <v>807</v>
      </c>
      <c r="B114" t="s">
        <v>22</v>
      </c>
      <c r="C114">
        <v>2026</v>
      </c>
      <c r="D114">
        <v>1</v>
      </c>
      <c r="E114" s="2">
        <v>46026</v>
      </c>
      <c r="F114" t="s">
        <v>7</v>
      </c>
      <c r="G114" t="s">
        <v>8</v>
      </c>
      <c r="H114" t="s">
        <v>70</v>
      </c>
      <c r="I114" t="s">
        <v>82</v>
      </c>
      <c r="J114" t="s">
        <v>83</v>
      </c>
      <c r="K114" t="s">
        <v>73</v>
      </c>
      <c r="L114">
        <v>701000</v>
      </c>
      <c r="M114" t="s">
        <v>62</v>
      </c>
      <c r="N114" t="s">
        <v>33</v>
      </c>
      <c r="O114">
        <v>90</v>
      </c>
      <c r="P114">
        <v>18.440000000000001</v>
      </c>
      <c r="Q114">
        <v>1.66</v>
      </c>
      <c r="R114" t="s">
        <v>1202</v>
      </c>
      <c r="S114" t="s">
        <v>195</v>
      </c>
    </row>
    <row r="115" spans="1:19" x14ac:dyDescent="0.3">
      <c r="A115" t="s">
        <v>808</v>
      </c>
      <c r="B115" t="s">
        <v>22</v>
      </c>
      <c r="C115">
        <v>2026</v>
      </c>
      <c r="D115">
        <v>1</v>
      </c>
      <c r="E115" s="2">
        <v>46026</v>
      </c>
      <c r="F115" t="s">
        <v>7</v>
      </c>
      <c r="G115" t="s">
        <v>8</v>
      </c>
      <c r="H115" t="s">
        <v>70</v>
      </c>
      <c r="I115" t="s">
        <v>82</v>
      </c>
      <c r="J115" t="s">
        <v>83</v>
      </c>
      <c r="K115" t="s">
        <v>73</v>
      </c>
      <c r="L115">
        <v>701000</v>
      </c>
      <c r="M115" t="s">
        <v>62</v>
      </c>
      <c r="N115" t="s">
        <v>33</v>
      </c>
      <c r="O115">
        <v>107</v>
      </c>
      <c r="P115">
        <v>18.5</v>
      </c>
      <c r="Q115">
        <v>1.98</v>
      </c>
      <c r="R115" t="s">
        <v>1204</v>
      </c>
      <c r="S115" t="s">
        <v>195</v>
      </c>
    </row>
    <row r="116" spans="1:19" x14ac:dyDescent="0.3">
      <c r="A116" t="s">
        <v>809</v>
      </c>
      <c r="B116" t="s">
        <v>22</v>
      </c>
      <c r="C116">
        <v>2026</v>
      </c>
      <c r="D116">
        <v>1</v>
      </c>
      <c r="E116" s="2">
        <v>46026</v>
      </c>
      <c r="F116" t="s">
        <v>7</v>
      </c>
      <c r="G116" t="s">
        <v>8</v>
      </c>
      <c r="H116" t="s">
        <v>70</v>
      </c>
      <c r="I116" t="s">
        <v>82</v>
      </c>
      <c r="J116" t="s">
        <v>83</v>
      </c>
      <c r="K116" t="s">
        <v>73</v>
      </c>
      <c r="L116">
        <v>701000</v>
      </c>
      <c r="M116" t="s">
        <v>62</v>
      </c>
      <c r="N116" t="s">
        <v>33</v>
      </c>
      <c r="O116">
        <v>164</v>
      </c>
      <c r="P116">
        <v>18.48</v>
      </c>
      <c r="Q116">
        <v>3.03</v>
      </c>
      <c r="R116" t="s">
        <v>1200</v>
      </c>
      <c r="S116" t="s">
        <v>195</v>
      </c>
    </row>
    <row r="117" spans="1:19" x14ac:dyDescent="0.3">
      <c r="A117" t="s">
        <v>825</v>
      </c>
      <c r="B117" t="s">
        <v>22</v>
      </c>
      <c r="C117">
        <v>2026</v>
      </c>
      <c r="D117">
        <v>1</v>
      </c>
      <c r="E117" s="2">
        <v>46026</v>
      </c>
      <c r="F117" t="s">
        <v>7</v>
      </c>
      <c r="G117" t="s">
        <v>8</v>
      </c>
      <c r="H117" t="s">
        <v>70</v>
      </c>
      <c r="I117" t="s">
        <v>82</v>
      </c>
      <c r="J117" t="s">
        <v>83</v>
      </c>
      <c r="K117" t="s">
        <v>73</v>
      </c>
      <c r="L117">
        <v>701000</v>
      </c>
      <c r="M117" t="s">
        <v>62</v>
      </c>
      <c r="N117" t="s">
        <v>33</v>
      </c>
      <c r="O117">
        <v>198</v>
      </c>
      <c r="P117">
        <v>18.48</v>
      </c>
      <c r="Q117">
        <v>3.66</v>
      </c>
      <c r="R117" t="s">
        <v>1202</v>
      </c>
      <c r="S117" t="s">
        <v>195</v>
      </c>
    </row>
    <row r="118" spans="1:19" x14ac:dyDescent="0.3">
      <c r="A118" t="s">
        <v>826</v>
      </c>
      <c r="B118" t="s">
        <v>22</v>
      </c>
      <c r="C118">
        <v>2026</v>
      </c>
      <c r="D118">
        <v>1</v>
      </c>
      <c r="E118" s="2">
        <v>46026</v>
      </c>
      <c r="F118" t="s">
        <v>7</v>
      </c>
      <c r="G118" t="s">
        <v>8</v>
      </c>
      <c r="H118" t="s">
        <v>70</v>
      </c>
      <c r="I118" t="s">
        <v>82</v>
      </c>
      <c r="J118" t="s">
        <v>83</v>
      </c>
      <c r="K118" t="s">
        <v>73</v>
      </c>
      <c r="L118">
        <v>701000</v>
      </c>
      <c r="M118" t="s">
        <v>62</v>
      </c>
      <c r="N118" t="s">
        <v>33</v>
      </c>
      <c r="O118">
        <v>194</v>
      </c>
      <c r="P118">
        <v>18.510000000000002</v>
      </c>
      <c r="Q118">
        <v>3.59</v>
      </c>
      <c r="R118" t="s">
        <v>1203</v>
      </c>
      <c r="S118" t="s">
        <v>195</v>
      </c>
    </row>
    <row r="119" spans="1:19" x14ac:dyDescent="0.3">
      <c r="A119" t="s">
        <v>827</v>
      </c>
      <c r="B119" t="s">
        <v>22</v>
      </c>
      <c r="C119">
        <v>2026</v>
      </c>
      <c r="D119">
        <v>1</v>
      </c>
      <c r="E119" s="2">
        <v>46026</v>
      </c>
      <c r="F119" t="s">
        <v>7</v>
      </c>
      <c r="G119" t="s">
        <v>8</v>
      </c>
      <c r="H119" t="s">
        <v>70</v>
      </c>
      <c r="I119" t="s">
        <v>82</v>
      </c>
      <c r="J119" t="s">
        <v>83</v>
      </c>
      <c r="K119" t="s">
        <v>73</v>
      </c>
      <c r="L119">
        <v>701000</v>
      </c>
      <c r="M119" t="s">
        <v>62</v>
      </c>
      <c r="N119" t="s">
        <v>33</v>
      </c>
      <c r="O119">
        <v>112</v>
      </c>
      <c r="P119">
        <v>18.48</v>
      </c>
      <c r="Q119">
        <v>2.0699999999999998</v>
      </c>
      <c r="R119" t="s">
        <v>1199</v>
      </c>
      <c r="S119" t="s">
        <v>195</v>
      </c>
    </row>
    <row r="120" spans="1:19" x14ac:dyDescent="0.3">
      <c r="A120" t="s">
        <v>828</v>
      </c>
      <c r="B120" t="s">
        <v>22</v>
      </c>
      <c r="C120">
        <v>2026</v>
      </c>
      <c r="D120">
        <v>1</v>
      </c>
      <c r="E120" s="2">
        <v>46026</v>
      </c>
      <c r="F120" t="s">
        <v>7</v>
      </c>
      <c r="G120" t="s">
        <v>8</v>
      </c>
      <c r="H120" t="s">
        <v>70</v>
      </c>
      <c r="I120" t="s">
        <v>82</v>
      </c>
      <c r="J120" t="s">
        <v>83</v>
      </c>
      <c r="K120" t="s">
        <v>73</v>
      </c>
      <c r="L120">
        <v>701000</v>
      </c>
      <c r="M120" t="s">
        <v>62</v>
      </c>
      <c r="N120" t="s">
        <v>33</v>
      </c>
      <c r="O120">
        <v>44</v>
      </c>
      <c r="P120">
        <v>18.41</v>
      </c>
      <c r="Q120">
        <v>0.81</v>
      </c>
      <c r="R120" t="s">
        <v>1201</v>
      </c>
      <c r="S120" t="s">
        <v>195</v>
      </c>
    </row>
    <row r="121" spans="1:19" x14ac:dyDescent="0.3">
      <c r="A121" t="s">
        <v>829</v>
      </c>
      <c r="B121" t="s">
        <v>22</v>
      </c>
      <c r="C121">
        <v>2026</v>
      </c>
      <c r="D121">
        <v>1</v>
      </c>
      <c r="E121" s="2">
        <v>46026</v>
      </c>
      <c r="F121" t="s">
        <v>7</v>
      </c>
      <c r="G121" t="s">
        <v>8</v>
      </c>
      <c r="H121" t="s">
        <v>70</v>
      </c>
      <c r="I121" t="s">
        <v>82</v>
      </c>
      <c r="J121" t="s">
        <v>83</v>
      </c>
      <c r="K121" t="s">
        <v>73</v>
      </c>
      <c r="L121">
        <v>701000</v>
      </c>
      <c r="M121" t="s">
        <v>62</v>
      </c>
      <c r="N121" t="s">
        <v>33</v>
      </c>
      <c r="O121">
        <v>153</v>
      </c>
      <c r="P121">
        <v>18.559999999999999</v>
      </c>
      <c r="Q121">
        <v>2.84</v>
      </c>
      <c r="R121" t="s">
        <v>1198</v>
      </c>
      <c r="S121" t="s">
        <v>195</v>
      </c>
    </row>
    <row r="122" spans="1:19" x14ac:dyDescent="0.3">
      <c r="A122" t="s">
        <v>210</v>
      </c>
      <c r="B122" t="s">
        <v>22</v>
      </c>
      <c r="C122">
        <v>2026</v>
      </c>
      <c r="D122">
        <v>1</v>
      </c>
      <c r="E122" s="2">
        <v>46027</v>
      </c>
      <c r="F122" t="s">
        <v>7</v>
      </c>
      <c r="G122" t="s">
        <v>8</v>
      </c>
      <c r="H122" t="s">
        <v>70</v>
      </c>
      <c r="I122" t="s">
        <v>84</v>
      </c>
      <c r="J122" t="s">
        <v>85</v>
      </c>
      <c r="K122" t="s">
        <v>73</v>
      </c>
      <c r="L122">
        <v>701000</v>
      </c>
      <c r="M122" t="s">
        <v>62</v>
      </c>
      <c r="N122" t="s">
        <v>33</v>
      </c>
      <c r="O122">
        <v>2597</v>
      </c>
      <c r="P122">
        <v>0.95</v>
      </c>
      <c r="Q122">
        <v>2.4700000000000002</v>
      </c>
      <c r="R122" t="s">
        <v>1205</v>
      </c>
      <c r="S122" t="s">
        <v>195</v>
      </c>
    </row>
    <row r="123" spans="1:19" x14ac:dyDescent="0.3">
      <c r="A123" t="s">
        <v>211</v>
      </c>
      <c r="B123" t="s">
        <v>22</v>
      </c>
      <c r="C123">
        <v>2026</v>
      </c>
      <c r="D123">
        <v>1</v>
      </c>
      <c r="E123" s="2">
        <v>46027</v>
      </c>
      <c r="F123" t="s">
        <v>7</v>
      </c>
      <c r="G123" t="s">
        <v>8</v>
      </c>
      <c r="H123" t="s">
        <v>70</v>
      </c>
      <c r="I123" t="s">
        <v>84</v>
      </c>
      <c r="J123" t="s">
        <v>85</v>
      </c>
      <c r="K123" t="s">
        <v>73</v>
      </c>
      <c r="L123">
        <v>701000</v>
      </c>
      <c r="M123" t="s">
        <v>62</v>
      </c>
      <c r="N123" t="s">
        <v>33</v>
      </c>
      <c r="O123">
        <v>5320</v>
      </c>
      <c r="P123">
        <v>0.95</v>
      </c>
      <c r="Q123">
        <v>5.05</v>
      </c>
      <c r="R123" t="s">
        <v>1198</v>
      </c>
      <c r="S123" t="s">
        <v>195</v>
      </c>
    </row>
    <row r="124" spans="1:19" x14ac:dyDescent="0.3">
      <c r="A124" t="s">
        <v>212</v>
      </c>
      <c r="B124" t="s">
        <v>22</v>
      </c>
      <c r="C124">
        <v>2026</v>
      </c>
      <c r="D124">
        <v>1</v>
      </c>
      <c r="E124" s="2">
        <v>46027</v>
      </c>
      <c r="F124" t="s">
        <v>7</v>
      </c>
      <c r="G124" t="s">
        <v>8</v>
      </c>
      <c r="H124" t="s">
        <v>70</v>
      </c>
      <c r="I124" t="s">
        <v>84</v>
      </c>
      <c r="J124" t="s">
        <v>85</v>
      </c>
      <c r="K124" t="s">
        <v>73</v>
      </c>
      <c r="L124">
        <v>701000</v>
      </c>
      <c r="M124" t="s">
        <v>62</v>
      </c>
      <c r="N124" t="s">
        <v>33</v>
      </c>
      <c r="O124">
        <v>900</v>
      </c>
      <c r="P124">
        <v>0.96</v>
      </c>
      <c r="Q124">
        <v>0.86</v>
      </c>
      <c r="R124" t="s">
        <v>1199</v>
      </c>
      <c r="S124" t="s">
        <v>195</v>
      </c>
    </row>
    <row r="125" spans="1:19" x14ac:dyDescent="0.3">
      <c r="A125" t="s">
        <v>213</v>
      </c>
      <c r="B125" t="s">
        <v>22</v>
      </c>
      <c r="C125">
        <v>2026</v>
      </c>
      <c r="D125">
        <v>1</v>
      </c>
      <c r="E125" s="2">
        <v>46027</v>
      </c>
      <c r="F125" t="s">
        <v>7</v>
      </c>
      <c r="G125" t="s">
        <v>8</v>
      </c>
      <c r="H125" t="s">
        <v>70</v>
      </c>
      <c r="I125" t="s">
        <v>84</v>
      </c>
      <c r="J125" t="s">
        <v>85</v>
      </c>
      <c r="K125" t="s">
        <v>73</v>
      </c>
      <c r="L125">
        <v>701000</v>
      </c>
      <c r="M125" t="s">
        <v>62</v>
      </c>
      <c r="N125" t="s">
        <v>33</v>
      </c>
      <c r="O125">
        <v>8815</v>
      </c>
      <c r="P125">
        <v>0.95</v>
      </c>
      <c r="Q125">
        <v>8.3699999999999992</v>
      </c>
      <c r="R125" t="s">
        <v>1200</v>
      </c>
      <c r="S125" t="s">
        <v>195</v>
      </c>
    </row>
    <row r="126" spans="1:19" x14ac:dyDescent="0.3">
      <c r="A126" t="s">
        <v>214</v>
      </c>
      <c r="B126" t="s">
        <v>22</v>
      </c>
      <c r="C126">
        <v>2026</v>
      </c>
      <c r="D126">
        <v>1</v>
      </c>
      <c r="E126" s="2">
        <v>46027</v>
      </c>
      <c r="F126" t="s">
        <v>7</v>
      </c>
      <c r="G126" t="s">
        <v>8</v>
      </c>
      <c r="H126" t="s">
        <v>70</v>
      </c>
      <c r="I126" t="s">
        <v>84</v>
      </c>
      <c r="J126" t="s">
        <v>85</v>
      </c>
      <c r="K126" t="s">
        <v>73</v>
      </c>
      <c r="L126">
        <v>701000</v>
      </c>
      <c r="M126" t="s">
        <v>62</v>
      </c>
      <c r="N126" t="s">
        <v>33</v>
      </c>
      <c r="O126">
        <v>2410</v>
      </c>
      <c r="P126">
        <v>0.95</v>
      </c>
      <c r="Q126">
        <v>2.29</v>
      </c>
      <c r="R126" t="s">
        <v>1202</v>
      </c>
      <c r="S126" t="s">
        <v>195</v>
      </c>
    </row>
    <row r="127" spans="1:19" x14ac:dyDescent="0.3">
      <c r="A127" t="s">
        <v>270</v>
      </c>
      <c r="B127" t="s">
        <v>22</v>
      </c>
      <c r="C127">
        <v>2026</v>
      </c>
      <c r="D127">
        <v>1</v>
      </c>
      <c r="E127" s="2">
        <v>46027</v>
      </c>
      <c r="F127" t="s">
        <v>7</v>
      </c>
      <c r="G127" t="s">
        <v>8</v>
      </c>
      <c r="H127" t="s">
        <v>74</v>
      </c>
      <c r="I127" t="s">
        <v>84</v>
      </c>
      <c r="J127" t="s">
        <v>85</v>
      </c>
      <c r="K127" t="s">
        <v>73</v>
      </c>
      <c r="L127">
        <v>701000</v>
      </c>
      <c r="M127" t="s">
        <v>62</v>
      </c>
      <c r="N127" t="s">
        <v>33</v>
      </c>
      <c r="O127">
        <v>6129</v>
      </c>
      <c r="P127">
        <v>0.95</v>
      </c>
      <c r="Q127">
        <v>5.82</v>
      </c>
      <c r="R127" t="s">
        <v>1197</v>
      </c>
      <c r="S127" t="s">
        <v>195</v>
      </c>
    </row>
    <row r="128" spans="1:19" x14ac:dyDescent="0.3">
      <c r="A128" t="s">
        <v>271</v>
      </c>
      <c r="B128" t="s">
        <v>22</v>
      </c>
      <c r="C128">
        <v>2026</v>
      </c>
      <c r="D128">
        <v>1</v>
      </c>
      <c r="E128" s="2">
        <v>46027</v>
      </c>
      <c r="F128" t="s">
        <v>7</v>
      </c>
      <c r="G128" t="s">
        <v>8</v>
      </c>
      <c r="H128" t="s">
        <v>74</v>
      </c>
      <c r="I128" t="s">
        <v>84</v>
      </c>
      <c r="J128" t="s">
        <v>85</v>
      </c>
      <c r="K128" t="s">
        <v>73</v>
      </c>
      <c r="L128">
        <v>701000</v>
      </c>
      <c r="M128" t="s">
        <v>62</v>
      </c>
      <c r="N128" t="s">
        <v>33</v>
      </c>
      <c r="O128">
        <v>1874</v>
      </c>
      <c r="P128">
        <v>0.95</v>
      </c>
      <c r="Q128">
        <v>1.78</v>
      </c>
      <c r="R128" t="s">
        <v>1204</v>
      </c>
      <c r="S128" t="s">
        <v>195</v>
      </c>
    </row>
    <row r="129" spans="1:19" x14ac:dyDescent="0.3">
      <c r="A129" t="s">
        <v>272</v>
      </c>
      <c r="B129" t="s">
        <v>22</v>
      </c>
      <c r="C129">
        <v>2026</v>
      </c>
      <c r="D129">
        <v>1</v>
      </c>
      <c r="E129" s="2">
        <v>46027</v>
      </c>
      <c r="F129" t="s">
        <v>7</v>
      </c>
      <c r="G129" t="s">
        <v>8</v>
      </c>
      <c r="H129" t="s">
        <v>74</v>
      </c>
      <c r="I129" t="s">
        <v>84</v>
      </c>
      <c r="J129" t="s">
        <v>85</v>
      </c>
      <c r="K129" t="s">
        <v>73</v>
      </c>
      <c r="L129">
        <v>701000</v>
      </c>
      <c r="M129" t="s">
        <v>62</v>
      </c>
      <c r="N129" t="s">
        <v>33</v>
      </c>
      <c r="O129">
        <v>1620</v>
      </c>
      <c r="P129">
        <v>0.95</v>
      </c>
      <c r="Q129">
        <v>1.54</v>
      </c>
      <c r="R129" t="s">
        <v>1200</v>
      </c>
      <c r="S129" t="s">
        <v>195</v>
      </c>
    </row>
    <row r="130" spans="1:19" x14ac:dyDescent="0.3">
      <c r="A130" t="s">
        <v>273</v>
      </c>
      <c r="B130" t="s">
        <v>22</v>
      </c>
      <c r="C130">
        <v>2026</v>
      </c>
      <c r="D130">
        <v>1</v>
      </c>
      <c r="E130" s="2">
        <v>46027</v>
      </c>
      <c r="F130" t="s">
        <v>7</v>
      </c>
      <c r="G130" t="s">
        <v>8</v>
      </c>
      <c r="H130" t="s">
        <v>74</v>
      </c>
      <c r="I130" t="s">
        <v>84</v>
      </c>
      <c r="J130" t="s">
        <v>85</v>
      </c>
      <c r="K130" t="s">
        <v>73</v>
      </c>
      <c r="L130">
        <v>701000</v>
      </c>
      <c r="M130" t="s">
        <v>62</v>
      </c>
      <c r="N130" t="s">
        <v>33</v>
      </c>
      <c r="O130">
        <v>1144</v>
      </c>
      <c r="P130">
        <v>0.95</v>
      </c>
      <c r="Q130">
        <v>1.0900000000000001</v>
      </c>
      <c r="R130" t="s">
        <v>1201</v>
      </c>
      <c r="S130" t="s">
        <v>195</v>
      </c>
    </row>
    <row r="131" spans="1:19" x14ac:dyDescent="0.3">
      <c r="A131" t="s">
        <v>274</v>
      </c>
      <c r="B131" t="s">
        <v>22</v>
      </c>
      <c r="C131">
        <v>2026</v>
      </c>
      <c r="D131">
        <v>1</v>
      </c>
      <c r="E131" s="2">
        <v>46027</v>
      </c>
      <c r="F131" t="s">
        <v>7</v>
      </c>
      <c r="G131" t="s">
        <v>8</v>
      </c>
      <c r="H131" t="s">
        <v>74</v>
      </c>
      <c r="I131" t="s">
        <v>84</v>
      </c>
      <c r="J131" t="s">
        <v>85</v>
      </c>
      <c r="K131" t="s">
        <v>73</v>
      </c>
      <c r="L131">
        <v>701000</v>
      </c>
      <c r="M131" t="s">
        <v>62</v>
      </c>
      <c r="N131" t="s">
        <v>33</v>
      </c>
      <c r="O131">
        <v>4388</v>
      </c>
      <c r="P131">
        <v>0.95</v>
      </c>
      <c r="Q131">
        <v>4.17</v>
      </c>
      <c r="R131" t="s">
        <v>1203</v>
      </c>
      <c r="S131" t="s">
        <v>195</v>
      </c>
    </row>
    <row r="132" spans="1:19" x14ac:dyDescent="0.3">
      <c r="A132" t="s">
        <v>340</v>
      </c>
      <c r="B132" t="s">
        <v>22</v>
      </c>
      <c r="C132">
        <v>2026</v>
      </c>
      <c r="D132">
        <v>1</v>
      </c>
      <c r="E132" s="2">
        <v>46027</v>
      </c>
      <c r="F132" t="s">
        <v>7</v>
      </c>
      <c r="G132" t="s">
        <v>8</v>
      </c>
      <c r="H132" t="s">
        <v>74</v>
      </c>
      <c r="I132" t="s">
        <v>71</v>
      </c>
      <c r="J132" t="s">
        <v>72</v>
      </c>
      <c r="K132" t="s">
        <v>73</v>
      </c>
      <c r="L132">
        <v>701000</v>
      </c>
      <c r="M132" t="s">
        <v>62</v>
      </c>
      <c r="N132" t="s">
        <v>33</v>
      </c>
      <c r="O132">
        <v>3610</v>
      </c>
      <c r="P132">
        <v>1.05</v>
      </c>
      <c r="Q132">
        <v>3.79</v>
      </c>
      <c r="R132" t="s">
        <v>1202</v>
      </c>
      <c r="S132" t="s">
        <v>195</v>
      </c>
    </row>
    <row r="133" spans="1:19" x14ac:dyDescent="0.3">
      <c r="A133" t="s">
        <v>341</v>
      </c>
      <c r="B133" t="s">
        <v>22</v>
      </c>
      <c r="C133">
        <v>2026</v>
      </c>
      <c r="D133">
        <v>1</v>
      </c>
      <c r="E133" s="2">
        <v>46027</v>
      </c>
      <c r="F133" t="s">
        <v>7</v>
      </c>
      <c r="G133" t="s">
        <v>8</v>
      </c>
      <c r="H133" t="s">
        <v>74</v>
      </c>
      <c r="I133" t="s">
        <v>71</v>
      </c>
      <c r="J133" t="s">
        <v>72</v>
      </c>
      <c r="K133" t="s">
        <v>73</v>
      </c>
      <c r="L133">
        <v>701000</v>
      </c>
      <c r="M133" t="s">
        <v>62</v>
      </c>
      <c r="N133" t="s">
        <v>33</v>
      </c>
      <c r="O133">
        <v>4608</v>
      </c>
      <c r="P133">
        <v>1.05</v>
      </c>
      <c r="Q133">
        <v>4.84</v>
      </c>
      <c r="R133" t="s">
        <v>1204</v>
      </c>
      <c r="S133" t="s">
        <v>195</v>
      </c>
    </row>
    <row r="134" spans="1:19" x14ac:dyDescent="0.3">
      <c r="A134" t="s">
        <v>342</v>
      </c>
      <c r="B134" t="s">
        <v>22</v>
      </c>
      <c r="C134">
        <v>2026</v>
      </c>
      <c r="D134">
        <v>1</v>
      </c>
      <c r="E134" s="2">
        <v>46027</v>
      </c>
      <c r="F134" t="s">
        <v>7</v>
      </c>
      <c r="G134" t="s">
        <v>8</v>
      </c>
      <c r="H134" t="s">
        <v>74</v>
      </c>
      <c r="I134" t="s">
        <v>71</v>
      </c>
      <c r="J134" t="s">
        <v>72</v>
      </c>
      <c r="K134" t="s">
        <v>73</v>
      </c>
      <c r="L134">
        <v>701000</v>
      </c>
      <c r="M134" t="s">
        <v>62</v>
      </c>
      <c r="N134" t="s">
        <v>33</v>
      </c>
      <c r="O134">
        <v>3617</v>
      </c>
      <c r="P134">
        <v>1.05</v>
      </c>
      <c r="Q134">
        <v>3.8</v>
      </c>
      <c r="R134" t="s">
        <v>1203</v>
      </c>
      <c r="S134" t="s">
        <v>195</v>
      </c>
    </row>
    <row r="135" spans="1:19" x14ac:dyDescent="0.3">
      <c r="A135" t="s">
        <v>343</v>
      </c>
      <c r="B135" t="s">
        <v>22</v>
      </c>
      <c r="C135">
        <v>2026</v>
      </c>
      <c r="D135">
        <v>1</v>
      </c>
      <c r="E135" s="2">
        <v>46027</v>
      </c>
      <c r="F135" t="s">
        <v>7</v>
      </c>
      <c r="G135" t="s">
        <v>8</v>
      </c>
      <c r="H135" t="s">
        <v>74</v>
      </c>
      <c r="I135" t="s">
        <v>71</v>
      </c>
      <c r="J135" t="s">
        <v>72</v>
      </c>
      <c r="K135" t="s">
        <v>73</v>
      </c>
      <c r="L135">
        <v>701000</v>
      </c>
      <c r="M135" t="s">
        <v>62</v>
      </c>
      <c r="N135" t="s">
        <v>33</v>
      </c>
      <c r="O135">
        <v>4481</v>
      </c>
      <c r="P135">
        <v>1.05</v>
      </c>
      <c r="Q135">
        <v>4.7</v>
      </c>
      <c r="R135" t="s">
        <v>1205</v>
      </c>
      <c r="S135" t="s">
        <v>195</v>
      </c>
    </row>
    <row r="136" spans="1:19" x14ac:dyDescent="0.3">
      <c r="A136" t="s">
        <v>344</v>
      </c>
      <c r="B136" t="s">
        <v>22</v>
      </c>
      <c r="C136">
        <v>2026</v>
      </c>
      <c r="D136">
        <v>1</v>
      </c>
      <c r="E136" s="2">
        <v>46027</v>
      </c>
      <c r="F136" t="s">
        <v>7</v>
      </c>
      <c r="G136" t="s">
        <v>8</v>
      </c>
      <c r="H136" t="s">
        <v>74</v>
      </c>
      <c r="I136" t="s">
        <v>71</v>
      </c>
      <c r="J136" t="s">
        <v>72</v>
      </c>
      <c r="K136" t="s">
        <v>73</v>
      </c>
      <c r="L136">
        <v>701000</v>
      </c>
      <c r="M136" t="s">
        <v>62</v>
      </c>
      <c r="N136" t="s">
        <v>33</v>
      </c>
      <c r="O136">
        <v>772</v>
      </c>
      <c r="P136">
        <v>1.05</v>
      </c>
      <c r="Q136">
        <v>0.81</v>
      </c>
      <c r="R136" t="s">
        <v>1198</v>
      </c>
      <c r="S136" t="s">
        <v>195</v>
      </c>
    </row>
    <row r="137" spans="1:19" x14ac:dyDescent="0.3">
      <c r="A137" t="s">
        <v>395</v>
      </c>
      <c r="B137" t="s">
        <v>22</v>
      </c>
      <c r="C137">
        <v>2026</v>
      </c>
      <c r="D137">
        <v>1</v>
      </c>
      <c r="E137" s="2">
        <v>46027</v>
      </c>
      <c r="F137" t="s">
        <v>7</v>
      </c>
      <c r="G137" t="s">
        <v>8</v>
      </c>
      <c r="H137" t="s">
        <v>70</v>
      </c>
      <c r="I137" t="s">
        <v>75</v>
      </c>
      <c r="J137" t="s">
        <v>76</v>
      </c>
      <c r="K137" t="s">
        <v>73</v>
      </c>
      <c r="L137">
        <v>701000</v>
      </c>
      <c r="M137" t="s">
        <v>62</v>
      </c>
      <c r="N137" t="s">
        <v>33</v>
      </c>
      <c r="O137">
        <v>1806</v>
      </c>
      <c r="P137">
        <v>1.4</v>
      </c>
      <c r="Q137">
        <v>2.5299999999999998</v>
      </c>
      <c r="R137" t="s">
        <v>1204</v>
      </c>
      <c r="S137" t="s">
        <v>195</v>
      </c>
    </row>
    <row r="138" spans="1:19" x14ac:dyDescent="0.3">
      <c r="A138" t="s">
        <v>396</v>
      </c>
      <c r="B138" t="s">
        <v>22</v>
      </c>
      <c r="C138">
        <v>2026</v>
      </c>
      <c r="D138">
        <v>1</v>
      </c>
      <c r="E138" s="2">
        <v>46027</v>
      </c>
      <c r="F138" t="s">
        <v>7</v>
      </c>
      <c r="G138" t="s">
        <v>8</v>
      </c>
      <c r="H138" t="s">
        <v>70</v>
      </c>
      <c r="I138" t="s">
        <v>75</v>
      </c>
      <c r="J138" t="s">
        <v>76</v>
      </c>
      <c r="K138" t="s">
        <v>73</v>
      </c>
      <c r="L138">
        <v>701000</v>
      </c>
      <c r="M138" t="s">
        <v>62</v>
      </c>
      <c r="N138" t="s">
        <v>33</v>
      </c>
      <c r="O138">
        <v>1484</v>
      </c>
      <c r="P138">
        <v>1.4</v>
      </c>
      <c r="Q138">
        <v>2.08</v>
      </c>
      <c r="R138" t="s">
        <v>1198</v>
      </c>
      <c r="S138" t="s">
        <v>195</v>
      </c>
    </row>
    <row r="139" spans="1:19" x14ac:dyDescent="0.3">
      <c r="A139" t="s">
        <v>397</v>
      </c>
      <c r="B139" t="s">
        <v>22</v>
      </c>
      <c r="C139">
        <v>2026</v>
      </c>
      <c r="D139">
        <v>1</v>
      </c>
      <c r="E139" s="2">
        <v>46027</v>
      </c>
      <c r="F139" t="s">
        <v>7</v>
      </c>
      <c r="G139" t="s">
        <v>8</v>
      </c>
      <c r="H139" t="s">
        <v>70</v>
      </c>
      <c r="I139" t="s">
        <v>75</v>
      </c>
      <c r="J139" t="s">
        <v>76</v>
      </c>
      <c r="K139" t="s">
        <v>73</v>
      </c>
      <c r="L139">
        <v>701000</v>
      </c>
      <c r="M139" t="s">
        <v>62</v>
      </c>
      <c r="N139" t="s">
        <v>33</v>
      </c>
      <c r="O139">
        <v>1678</v>
      </c>
      <c r="P139">
        <v>1.4</v>
      </c>
      <c r="Q139">
        <v>2.35</v>
      </c>
      <c r="R139" t="s">
        <v>1200</v>
      </c>
      <c r="S139" t="s">
        <v>195</v>
      </c>
    </row>
    <row r="140" spans="1:19" x14ac:dyDescent="0.3">
      <c r="A140" t="s">
        <v>398</v>
      </c>
      <c r="B140" t="s">
        <v>22</v>
      </c>
      <c r="C140">
        <v>2026</v>
      </c>
      <c r="D140">
        <v>1</v>
      </c>
      <c r="E140" s="2">
        <v>46027</v>
      </c>
      <c r="F140" t="s">
        <v>7</v>
      </c>
      <c r="G140" t="s">
        <v>8</v>
      </c>
      <c r="H140" t="s">
        <v>70</v>
      </c>
      <c r="I140" t="s">
        <v>75</v>
      </c>
      <c r="J140" t="s">
        <v>76</v>
      </c>
      <c r="K140" t="s">
        <v>73</v>
      </c>
      <c r="L140">
        <v>701000</v>
      </c>
      <c r="M140" t="s">
        <v>62</v>
      </c>
      <c r="N140" t="s">
        <v>33</v>
      </c>
      <c r="O140">
        <v>1265</v>
      </c>
      <c r="P140">
        <v>1.4</v>
      </c>
      <c r="Q140">
        <v>1.77</v>
      </c>
      <c r="R140" t="s">
        <v>1205</v>
      </c>
      <c r="S140" t="s">
        <v>195</v>
      </c>
    </row>
    <row r="141" spans="1:19" x14ac:dyDescent="0.3">
      <c r="A141" t="s">
        <v>399</v>
      </c>
      <c r="B141" t="s">
        <v>22</v>
      </c>
      <c r="C141">
        <v>2026</v>
      </c>
      <c r="D141">
        <v>1</v>
      </c>
      <c r="E141" s="2">
        <v>46027</v>
      </c>
      <c r="F141" t="s">
        <v>7</v>
      </c>
      <c r="G141" t="s">
        <v>8</v>
      </c>
      <c r="H141" t="s">
        <v>70</v>
      </c>
      <c r="I141" t="s">
        <v>75</v>
      </c>
      <c r="J141" t="s">
        <v>76</v>
      </c>
      <c r="K141" t="s">
        <v>73</v>
      </c>
      <c r="L141">
        <v>701000</v>
      </c>
      <c r="M141" t="s">
        <v>62</v>
      </c>
      <c r="N141" t="s">
        <v>33</v>
      </c>
      <c r="O141">
        <v>2057</v>
      </c>
      <c r="P141">
        <v>1.4</v>
      </c>
      <c r="Q141">
        <v>2.88</v>
      </c>
      <c r="R141" t="s">
        <v>1201</v>
      </c>
      <c r="S141" t="s">
        <v>195</v>
      </c>
    </row>
    <row r="142" spans="1:19" x14ac:dyDescent="0.3">
      <c r="A142" t="s">
        <v>785</v>
      </c>
      <c r="B142" t="s">
        <v>22</v>
      </c>
      <c r="C142">
        <v>2026</v>
      </c>
      <c r="D142">
        <v>1</v>
      </c>
      <c r="E142" s="2">
        <v>46027</v>
      </c>
      <c r="F142" t="s">
        <v>7</v>
      </c>
      <c r="G142" t="s">
        <v>8</v>
      </c>
      <c r="H142" t="s">
        <v>74</v>
      </c>
      <c r="I142" t="s">
        <v>82</v>
      </c>
      <c r="J142" t="s">
        <v>83</v>
      </c>
      <c r="K142" t="s">
        <v>73</v>
      </c>
      <c r="L142">
        <v>707000</v>
      </c>
      <c r="M142" t="s">
        <v>81</v>
      </c>
      <c r="N142" t="s">
        <v>33</v>
      </c>
      <c r="O142">
        <v>120</v>
      </c>
      <c r="P142">
        <v>18.5</v>
      </c>
      <c r="Q142">
        <v>2.2200000000000002</v>
      </c>
      <c r="R142" t="s">
        <v>1198</v>
      </c>
      <c r="S142" t="s">
        <v>195</v>
      </c>
    </row>
    <row r="143" spans="1:19" x14ac:dyDescent="0.3">
      <c r="A143" t="s">
        <v>786</v>
      </c>
      <c r="B143" t="s">
        <v>22</v>
      </c>
      <c r="C143">
        <v>2026</v>
      </c>
      <c r="D143">
        <v>1</v>
      </c>
      <c r="E143" s="2">
        <v>46027</v>
      </c>
      <c r="F143" t="s">
        <v>7</v>
      </c>
      <c r="G143" t="s">
        <v>8</v>
      </c>
      <c r="H143" t="s">
        <v>74</v>
      </c>
      <c r="I143" t="s">
        <v>82</v>
      </c>
      <c r="J143" t="s">
        <v>83</v>
      </c>
      <c r="K143" t="s">
        <v>73</v>
      </c>
      <c r="L143">
        <v>707000</v>
      </c>
      <c r="M143" t="s">
        <v>81</v>
      </c>
      <c r="N143" t="s">
        <v>33</v>
      </c>
      <c r="O143">
        <v>115</v>
      </c>
      <c r="P143">
        <v>18.52</v>
      </c>
      <c r="Q143">
        <v>2.13</v>
      </c>
      <c r="R143" t="s">
        <v>1199</v>
      </c>
      <c r="S143" t="s">
        <v>195</v>
      </c>
    </row>
    <row r="144" spans="1:19" x14ac:dyDescent="0.3">
      <c r="A144" t="s">
        <v>787</v>
      </c>
      <c r="B144" t="s">
        <v>22</v>
      </c>
      <c r="C144">
        <v>2026</v>
      </c>
      <c r="D144">
        <v>1</v>
      </c>
      <c r="E144" s="2">
        <v>46027</v>
      </c>
      <c r="F144" t="s">
        <v>7</v>
      </c>
      <c r="G144" t="s">
        <v>8</v>
      </c>
      <c r="H144" t="s">
        <v>74</v>
      </c>
      <c r="I144" t="s">
        <v>82</v>
      </c>
      <c r="J144" t="s">
        <v>83</v>
      </c>
      <c r="K144" t="s">
        <v>73</v>
      </c>
      <c r="L144">
        <v>707000</v>
      </c>
      <c r="M144" t="s">
        <v>81</v>
      </c>
      <c r="N144" t="s">
        <v>33</v>
      </c>
      <c r="O144">
        <v>164</v>
      </c>
      <c r="P144">
        <v>18.48</v>
      </c>
      <c r="Q144">
        <v>3.03</v>
      </c>
      <c r="R144" t="s">
        <v>1203</v>
      </c>
      <c r="S144" t="s">
        <v>195</v>
      </c>
    </row>
    <row r="145" spans="1:19" x14ac:dyDescent="0.3">
      <c r="A145" t="s">
        <v>788</v>
      </c>
      <c r="B145" t="s">
        <v>22</v>
      </c>
      <c r="C145">
        <v>2026</v>
      </c>
      <c r="D145">
        <v>1</v>
      </c>
      <c r="E145" s="2">
        <v>46027</v>
      </c>
      <c r="F145" t="s">
        <v>7</v>
      </c>
      <c r="G145" t="s">
        <v>8</v>
      </c>
      <c r="H145" t="s">
        <v>74</v>
      </c>
      <c r="I145" t="s">
        <v>82</v>
      </c>
      <c r="J145" t="s">
        <v>83</v>
      </c>
      <c r="K145" t="s">
        <v>73</v>
      </c>
      <c r="L145">
        <v>707000</v>
      </c>
      <c r="M145" t="s">
        <v>81</v>
      </c>
      <c r="N145" t="s">
        <v>33</v>
      </c>
      <c r="O145">
        <v>147</v>
      </c>
      <c r="P145">
        <v>18.5</v>
      </c>
      <c r="Q145">
        <v>2.72</v>
      </c>
      <c r="R145" t="s">
        <v>1204</v>
      </c>
      <c r="S145" t="s">
        <v>195</v>
      </c>
    </row>
    <row r="146" spans="1:19" x14ac:dyDescent="0.3">
      <c r="A146" t="s">
        <v>789</v>
      </c>
      <c r="B146" t="s">
        <v>22</v>
      </c>
      <c r="C146">
        <v>2026</v>
      </c>
      <c r="D146">
        <v>1</v>
      </c>
      <c r="E146" s="2">
        <v>46027</v>
      </c>
      <c r="F146" t="s">
        <v>7</v>
      </c>
      <c r="G146" t="s">
        <v>8</v>
      </c>
      <c r="H146" t="s">
        <v>74</v>
      </c>
      <c r="I146" t="s">
        <v>82</v>
      </c>
      <c r="J146" t="s">
        <v>83</v>
      </c>
      <c r="K146" t="s">
        <v>73</v>
      </c>
      <c r="L146">
        <v>707000</v>
      </c>
      <c r="M146" t="s">
        <v>81</v>
      </c>
      <c r="N146" t="s">
        <v>33</v>
      </c>
      <c r="O146">
        <v>141</v>
      </c>
      <c r="P146">
        <v>18.510000000000002</v>
      </c>
      <c r="Q146">
        <v>2.61</v>
      </c>
      <c r="R146" t="s">
        <v>1197</v>
      </c>
      <c r="S146" t="s">
        <v>195</v>
      </c>
    </row>
    <row r="147" spans="1:19" x14ac:dyDescent="0.3">
      <c r="A147" t="s">
        <v>790</v>
      </c>
      <c r="B147" t="s">
        <v>22</v>
      </c>
      <c r="C147">
        <v>2026</v>
      </c>
      <c r="D147">
        <v>1</v>
      </c>
      <c r="E147" s="2">
        <v>46027</v>
      </c>
      <c r="F147" t="s">
        <v>7</v>
      </c>
      <c r="G147" t="s">
        <v>8</v>
      </c>
      <c r="H147" t="s">
        <v>74</v>
      </c>
      <c r="I147" t="s">
        <v>82</v>
      </c>
      <c r="J147" t="s">
        <v>83</v>
      </c>
      <c r="K147" t="s">
        <v>73</v>
      </c>
      <c r="L147">
        <v>701000</v>
      </c>
      <c r="M147" t="s">
        <v>62</v>
      </c>
      <c r="N147" t="s">
        <v>33</v>
      </c>
      <c r="O147">
        <v>68</v>
      </c>
      <c r="P147">
        <v>18.68</v>
      </c>
      <c r="Q147">
        <v>1.27</v>
      </c>
      <c r="R147" t="s">
        <v>1205</v>
      </c>
      <c r="S147" t="s">
        <v>195</v>
      </c>
    </row>
    <row r="148" spans="1:19" x14ac:dyDescent="0.3">
      <c r="A148" t="s">
        <v>791</v>
      </c>
      <c r="B148" t="s">
        <v>22</v>
      </c>
      <c r="C148">
        <v>2026</v>
      </c>
      <c r="D148">
        <v>1</v>
      </c>
      <c r="E148" s="2">
        <v>46027</v>
      </c>
      <c r="F148" t="s">
        <v>7</v>
      </c>
      <c r="G148" t="s">
        <v>8</v>
      </c>
      <c r="H148" t="s">
        <v>74</v>
      </c>
      <c r="I148" t="s">
        <v>82</v>
      </c>
      <c r="J148" t="s">
        <v>83</v>
      </c>
      <c r="K148" t="s">
        <v>73</v>
      </c>
      <c r="L148">
        <v>701000</v>
      </c>
      <c r="M148" t="s">
        <v>62</v>
      </c>
      <c r="N148" t="s">
        <v>33</v>
      </c>
      <c r="O148">
        <v>228</v>
      </c>
      <c r="P148">
        <v>18.46</v>
      </c>
      <c r="Q148">
        <v>4.21</v>
      </c>
      <c r="R148" t="s">
        <v>1202</v>
      </c>
      <c r="S148" t="s">
        <v>195</v>
      </c>
    </row>
    <row r="149" spans="1:19" x14ac:dyDescent="0.3">
      <c r="A149" t="s">
        <v>792</v>
      </c>
      <c r="B149" t="s">
        <v>22</v>
      </c>
      <c r="C149">
        <v>2026</v>
      </c>
      <c r="D149">
        <v>1</v>
      </c>
      <c r="E149" s="2">
        <v>46027</v>
      </c>
      <c r="F149" t="s">
        <v>7</v>
      </c>
      <c r="G149" t="s">
        <v>8</v>
      </c>
      <c r="H149" t="s">
        <v>74</v>
      </c>
      <c r="I149" t="s">
        <v>82</v>
      </c>
      <c r="J149" t="s">
        <v>83</v>
      </c>
      <c r="K149" t="s">
        <v>73</v>
      </c>
      <c r="L149">
        <v>701000</v>
      </c>
      <c r="M149" t="s">
        <v>62</v>
      </c>
      <c r="N149" t="s">
        <v>33</v>
      </c>
      <c r="O149">
        <v>28</v>
      </c>
      <c r="P149">
        <v>18.93</v>
      </c>
      <c r="Q149">
        <v>0.53</v>
      </c>
      <c r="R149" t="s">
        <v>1203</v>
      </c>
      <c r="S149" t="s">
        <v>195</v>
      </c>
    </row>
    <row r="150" spans="1:19" x14ac:dyDescent="0.3">
      <c r="A150" t="s">
        <v>793</v>
      </c>
      <c r="B150" t="s">
        <v>22</v>
      </c>
      <c r="C150">
        <v>2026</v>
      </c>
      <c r="D150">
        <v>1</v>
      </c>
      <c r="E150" s="2">
        <v>46027</v>
      </c>
      <c r="F150" t="s">
        <v>7</v>
      </c>
      <c r="G150" t="s">
        <v>8</v>
      </c>
      <c r="H150" t="s">
        <v>74</v>
      </c>
      <c r="I150" t="s">
        <v>82</v>
      </c>
      <c r="J150" t="s">
        <v>83</v>
      </c>
      <c r="K150" t="s">
        <v>73</v>
      </c>
      <c r="L150">
        <v>701000</v>
      </c>
      <c r="M150" t="s">
        <v>62</v>
      </c>
      <c r="N150" t="s">
        <v>33</v>
      </c>
      <c r="O150">
        <v>286</v>
      </c>
      <c r="P150">
        <v>18.5</v>
      </c>
      <c r="Q150">
        <v>5.29</v>
      </c>
      <c r="R150" t="s">
        <v>1200</v>
      </c>
      <c r="S150" t="s">
        <v>195</v>
      </c>
    </row>
    <row r="151" spans="1:19" x14ac:dyDescent="0.3">
      <c r="A151" t="s">
        <v>794</v>
      </c>
      <c r="B151" t="s">
        <v>22</v>
      </c>
      <c r="C151">
        <v>2026</v>
      </c>
      <c r="D151">
        <v>1</v>
      </c>
      <c r="E151" s="2">
        <v>46027</v>
      </c>
      <c r="F151" t="s">
        <v>7</v>
      </c>
      <c r="G151" t="s">
        <v>8</v>
      </c>
      <c r="H151" t="s">
        <v>74</v>
      </c>
      <c r="I151" t="s">
        <v>82</v>
      </c>
      <c r="J151" t="s">
        <v>83</v>
      </c>
      <c r="K151" t="s">
        <v>73</v>
      </c>
      <c r="L151">
        <v>701000</v>
      </c>
      <c r="M151" t="s">
        <v>62</v>
      </c>
      <c r="N151" t="s">
        <v>33</v>
      </c>
      <c r="O151">
        <v>128</v>
      </c>
      <c r="P151">
        <v>18.36</v>
      </c>
      <c r="Q151">
        <v>2.35</v>
      </c>
      <c r="R151" t="s">
        <v>1198</v>
      </c>
      <c r="S151" t="s">
        <v>195</v>
      </c>
    </row>
    <row r="152" spans="1:19" x14ac:dyDescent="0.3">
      <c r="A152" t="s">
        <v>860</v>
      </c>
      <c r="B152" t="s">
        <v>22</v>
      </c>
      <c r="C152">
        <v>2026</v>
      </c>
      <c r="D152">
        <v>1</v>
      </c>
      <c r="E152" s="2">
        <v>46027</v>
      </c>
      <c r="F152" t="s">
        <v>7</v>
      </c>
      <c r="G152" t="s">
        <v>8</v>
      </c>
      <c r="H152" t="s">
        <v>70</v>
      </c>
      <c r="I152" t="s">
        <v>82</v>
      </c>
      <c r="J152" t="s">
        <v>83</v>
      </c>
      <c r="K152" t="s">
        <v>73</v>
      </c>
      <c r="L152">
        <v>701000</v>
      </c>
      <c r="M152" t="s">
        <v>62</v>
      </c>
      <c r="N152" t="s">
        <v>33</v>
      </c>
      <c r="O152">
        <v>143</v>
      </c>
      <c r="P152">
        <v>18.46</v>
      </c>
      <c r="Q152">
        <v>2.64</v>
      </c>
      <c r="R152" t="s">
        <v>1198</v>
      </c>
      <c r="S152" t="s">
        <v>195</v>
      </c>
    </row>
    <row r="153" spans="1:19" x14ac:dyDescent="0.3">
      <c r="A153" t="s">
        <v>861</v>
      </c>
      <c r="B153" t="s">
        <v>22</v>
      </c>
      <c r="C153">
        <v>2026</v>
      </c>
      <c r="D153">
        <v>1</v>
      </c>
      <c r="E153" s="2">
        <v>46027</v>
      </c>
      <c r="F153" t="s">
        <v>7</v>
      </c>
      <c r="G153" t="s">
        <v>8</v>
      </c>
      <c r="H153" t="s">
        <v>70</v>
      </c>
      <c r="I153" t="s">
        <v>82</v>
      </c>
      <c r="J153" t="s">
        <v>83</v>
      </c>
      <c r="K153" t="s">
        <v>73</v>
      </c>
      <c r="L153">
        <v>701000</v>
      </c>
      <c r="M153" t="s">
        <v>62</v>
      </c>
      <c r="N153" t="s">
        <v>33</v>
      </c>
      <c r="O153">
        <v>148</v>
      </c>
      <c r="P153">
        <v>18.510000000000002</v>
      </c>
      <c r="Q153">
        <v>2.74</v>
      </c>
      <c r="R153" t="s">
        <v>1199</v>
      </c>
      <c r="S153" t="s">
        <v>195</v>
      </c>
    </row>
    <row r="154" spans="1:19" x14ac:dyDescent="0.3">
      <c r="A154" t="s">
        <v>862</v>
      </c>
      <c r="B154" t="s">
        <v>22</v>
      </c>
      <c r="C154">
        <v>2026</v>
      </c>
      <c r="D154">
        <v>1</v>
      </c>
      <c r="E154" s="2">
        <v>46027</v>
      </c>
      <c r="F154" t="s">
        <v>7</v>
      </c>
      <c r="G154" t="s">
        <v>8</v>
      </c>
      <c r="H154" t="s">
        <v>70</v>
      </c>
      <c r="I154" t="s">
        <v>82</v>
      </c>
      <c r="J154" t="s">
        <v>83</v>
      </c>
      <c r="K154" t="s">
        <v>73</v>
      </c>
      <c r="L154">
        <v>701000</v>
      </c>
      <c r="M154" t="s">
        <v>62</v>
      </c>
      <c r="N154" t="s">
        <v>33</v>
      </c>
      <c r="O154">
        <v>19</v>
      </c>
      <c r="P154">
        <v>18.95</v>
      </c>
      <c r="Q154">
        <v>0.36</v>
      </c>
      <c r="R154" t="s">
        <v>1205</v>
      </c>
      <c r="S154" t="s">
        <v>195</v>
      </c>
    </row>
    <row r="155" spans="1:19" x14ac:dyDescent="0.3">
      <c r="A155" t="s">
        <v>863</v>
      </c>
      <c r="B155" t="s">
        <v>22</v>
      </c>
      <c r="C155">
        <v>2026</v>
      </c>
      <c r="D155">
        <v>1</v>
      </c>
      <c r="E155" s="2">
        <v>46027</v>
      </c>
      <c r="F155" t="s">
        <v>7</v>
      </c>
      <c r="G155" t="s">
        <v>8</v>
      </c>
      <c r="H155" t="s">
        <v>70</v>
      </c>
      <c r="I155" t="s">
        <v>82</v>
      </c>
      <c r="J155" t="s">
        <v>83</v>
      </c>
      <c r="K155" t="s">
        <v>73</v>
      </c>
      <c r="L155">
        <v>701000</v>
      </c>
      <c r="M155" t="s">
        <v>62</v>
      </c>
      <c r="N155" t="s">
        <v>33</v>
      </c>
      <c r="O155">
        <v>118</v>
      </c>
      <c r="P155">
        <v>18.47</v>
      </c>
      <c r="Q155">
        <v>2.1800000000000002</v>
      </c>
      <c r="R155" t="s">
        <v>1197</v>
      </c>
      <c r="S155" t="s">
        <v>195</v>
      </c>
    </row>
    <row r="156" spans="1:19" x14ac:dyDescent="0.3">
      <c r="A156" t="s">
        <v>864</v>
      </c>
      <c r="B156" t="s">
        <v>22</v>
      </c>
      <c r="C156">
        <v>2026</v>
      </c>
      <c r="D156">
        <v>1</v>
      </c>
      <c r="E156" s="2">
        <v>46027</v>
      </c>
      <c r="F156" t="s">
        <v>7</v>
      </c>
      <c r="G156" t="s">
        <v>8</v>
      </c>
      <c r="H156" t="s">
        <v>70</v>
      </c>
      <c r="I156" t="s">
        <v>82</v>
      </c>
      <c r="J156" t="s">
        <v>83</v>
      </c>
      <c r="K156" t="s">
        <v>73</v>
      </c>
      <c r="L156">
        <v>701000</v>
      </c>
      <c r="M156" t="s">
        <v>62</v>
      </c>
      <c r="N156" t="s">
        <v>33</v>
      </c>
      <c r="O156">
        <v>153</v>
      </c>
      <c r="P156">
        <v>18.43</v>
      </c>
      <c r="Q156">
        <v>2.82</v>
      </c>
      <c r="R156" t="s">
        <v>1203</v>
      </c>
      <c r="S156" t="s">
        <v>195</v>
      </c>
    </row>
    <row r="157" spans="1:19" x14ac:dyDescent="0.3">
      <c r="A157" t="s">
        <v>880</v>
      </c>
      <c r="B157" t="s">
        <v>22</v>
      </c>
      <c r="C157">
        <v>2026</v>
      </c>
      <c r="D157">
        <v>1</v>
      </c>
      <c r="E157" s="2">
        <v>46027</v>
      </c>
      <c r="F157" t="s">
        <v>7</v>
      </c>
      <c r="G157" t="s">
        <v>8</v>
      </c>
      <c r="H157" t="s">
        <v>74</v>
      </c>
      <c r="I157" t="s">
        <v>82</v>
      </c>
      <c r="J157" t="s">
        <v>83</v>
      </c>
      <c r="K157" t="s">
        <v>73</v>
      </c>
      <c r="L157">
        <v>701000</v>
      </c>
      <c r="M157" t="s">
        <v>62</v>
      </c>
      <c r="N157" t="s">
        <v>33</v>
      </c>
      <c r="O157">
        <v>35</v>
      </c>
      <c r="P157">
        <v>18.57</v>
      </c>
      <c r="Q157">
        <v>0.65</v>
      </c>
      <c r="R157" t="s">
        <v>1200</v>
      </c>
      <c r="S157" t="s">
        <v>195</v>
      </c>
    </row>
    <row r="158" spans="1:19" x14ac:dyDescent="0.3">
      <c r="A158" t="s">
        <v>881</v>
      </c>
      <c r="B158" t="s">
        <v>22</v>
      </c>
      <c r="C158">
        <v>2026</v>
      </c>
      <c r="D158">
        <v>1</v>
      </c>
      <c r="E158" s="2">
        <v>46027</v>
      </c>
      <c r="F158" t="s">
        <v>7</v>
      </c>
      <c r="G158" t="s">
        <v>8</v>
      </c>
      <c r="H158" t="s">
        <v>74</v>
      </c>
      <c r="I158" t="s">
        <v>82</v>
      </c>
      <c r="J158" t="s">
        <v>83</v>
      </c>
      <c r="K158" t="s">
        <v>73</v>
      </c>
      <c r="L158">
        <v>701000</v>
      </c>
      <c r="M158" t="s">
        <v>62</v>
      </c>
      <c r="N158" t="s">
        <v>33</v>
      </c>
      <c r="O158">
        <v>93</v>
      </c>
      <c r="P158">
        <v>18.489999999999998</v>
      </c>
      <c r="Q158">
        <v>1.72</v>
      </c>
      <c r="R158" t="s">
        <v>1197</v>
      </c>
      <c r="S158" t="s">
        <v>195</v>
      </c>
    </row>
    <row r="159" spans="1:19" x14ac:dyDescent="0.3">
      <c r="A159" t="s">
        <v>882</v>
      </c>
      <c r="B159" t="s">
        <v>22</v>
      </c>
      <c r="C159">
        <v>2026</v>
      </c>
      <c r="D159">
        <v>1</v>
      </c>
      <c r="E159" s="2">
        <v>46027</v>
      </c>
      <c r="F159" t="s">
        <v>7</v>
      </c>
      <c r="G159" t="s">
        <v>8</v>
      </c>
      <c r="H159" t="s">
        <v>74</v>
      </c>
      <c r="I159" t="s">
        <v>82</v>
      </c>
      <c r="J159" t="s">
        <v>83</v>
      </c>
      <c r="K159" t="s">
        <v>73</v>
      </c>
      <c r="L159">
        <v>701000</v>
      </c>
      <c r="M159" t="s">
        <v>62</v>
      </c>
      <c r="N159" t="s">
        <v>33</v>
      </c>
      <c r="O159">
        <v>201</v>
      </c>
      <c r="P159">
        <v>18.510000000000002</v>
      </c>
      <c r="Q159">
        <v>3.72</v>
      </c>
      <c r="R159" t="s">
        <v>1205</v>
      </c>
      <c r="S159" t="s">
        <v>195</v>
      </c>
    </row>
    <row r="160" spans="1:19" x14ac:dyDescent="0.3">
      <c r="A160" t="s">
        <v>883</v>
      </c>
      <c r="B160" t="s">
        <v>22</v>
      </c>
      <c r="C160">
        <v>2026</v>
      </c>
      <c r="D160">
        <v>1</v>
      </c>
      <c r="E160" s="2">
        <v>46027</v>
      </c>
      <c r="F160" t="s">
        <v>7</v>
      </c>
      <c r="G160" t="s">
        <v>8</v>
      </c>
      <c r="H160" t="s">
        <v>74</v>
      </c>
      <c r="I160" t="s">
        <v>82</v>
      </c>
      <c r="J160" t="s">
        <v>83</v>
      </c>
      <c r="K160" t="s">
        <v>73</v>
      </c>
      <c r="L160">
        <v>701000</v>
      </c>
      <c r="M160" t="s">
        <v>62</v>
      </c>
      <c r="N160" t="s">
        <v>33</v>
      </c>
      <c r="O160">
        <v>167</v>
      </c>
      <c r="P160">
        <v>18.5</v>
      </c>
      <c r="Q160">
        <v>3.09</v>
      </c>
      <c r="R160" t="s">
        <v>1199</v>
      </c>
      <c r="S160" t="s">
        <v>195</v>
      </c>
    </row>
    <row r="161" spans="1:19" x14ac:dyDescent="0.3">
      <c r="A161" t="s">
        <v>884</v>
      </c>
      <c r="B161" t="s">
        <v>22</v>
      </c>
      <c r="C161">
        <v>2026</v>
      </c>
      <c r="D161">
        <v>1</v>
      </c>
      <c r="E161" s="2">
        <v>46027</v>
      </c>
      <c r="F161" t="s">
        <v>7</v>
      </c>
      <c r="G161" t="s">
        <v>8</v>
      </c>
      <c r="H161" t="s">
        <v>74</v>
      </c>
      <c r="I161" t="s">
        <v>82</v>
      </c>
      <c r="J161" t="s">
        <v>83</v>
      </c>
      <c r="K161" t="s">
        <v>73</v>
      </c>
      <c r="L161">
        <v>701000</v>
      </c>
      <c r="M161" t="s">
        <v>62</v>
      </c>
      <c r="N161" t="s">
        <v>33</v>
      </c>
      <c r="O161">
        <v>143</v>
      </c>
      <c r="P161">
        <v>18.39</v>
      </c>
      <c r="Q161">
        <v>2.63</v>
      </c>
      <c r="R161" t="s">
        <v>1202</v>
      </c>
      <c r="S161" t="s">
        <v>195</v>
      </c>
    </row>
    <row r="162" spans="1:19" x14ac:dyDescent="0.3">
      <c r="A162" t="s">
        <v>310</v>
      </c>
      <c r="B162" t="s">
        <v>22</v>
      </c>
      <c r="C162">
        <v>2026</v>
      </c>
      <c r="D162">
        <v>1</v>
      </c>
      <c r="E162" s="2">
        <v>46028</v>
      </c>
      <c r="F162" t="s">
        <v>7</v>
      </c>
      <c r="G162" t="s">
        <v>8</v>
      </c>
      <c r="H162" t="s">
        <v>74</v>
      </c>
      <c r="I162" t="s">
        <v>84</v>
      </c>
      <c r="J162" t="s">
        <v>85</v>
      </c>
      <c r="K162" t="s">
        <v>73</v>
      </c>
      <c r="L162">
        <v>701000</v>
      </c>
      <c r="M162" t="s">
        <v>62</v>
      </c>
      <c r="N162" t="s">
        <v>33</v>
      </c>
      <c r="O162">
        <v>3043</v>
      </c>
      <c r="P162">
        <v>0.95</v>
      </c>
      <c r="Q162">
        <v>2.89</v>
      </c>
      <c r="R162" t="s">
        <v>1202</v>
      </c>
      <c r="S162" t="s">
        <v>195</v>
      </c>
    </row>
    <row r="163" spans="1:19" x14ac:dyDescent="0.3">
      <c r="A163" t="s">
        <v>311</v>
      </c>
      <c r="B163" t="s">
        <v>22</v>
      </c>
      <c r="C163">
        <v>2026</v>
      </c>
      <c r="D163">
        <v>1</v>
      </c>
      <c r="E163" s="2">
        <v>46028</v>
      </c>
      <c r="F163" t="s">
        <v>7</v>
      </c>
      <c r="G163" t="s">
        <v>8</v>
      </c>
      <c r="H163" t="s">
        <v>74</v>
      </c>
      <c r="I163" t="s">
        <v>84</v>
      </c>
      <c r="J163" t="s">
        <v>85</v>
      </c>
      <c r="K163" t="s">
        <v>73</v>
      </c>
      <c r="L163">
        <v>701000</v>
      </c>
      <c r="M163" t="s">
        <v>62</v>
      </c>
      <c r="N163" t="s">
        <v>33</v>
      </c>
      <c r="O163">
        <v>4588</v>
      </c>
      <c r="P163">
        <v>0.95</v>
      </c>
      <c r="Q163">
        <v>4.3600000000000003</v>
      </c>
      <c r="R163" t="s">
        <v>1205</v>
      </c>
      <c r="S163" t="s">
        <v>195</v>
      </c>
    </row>
    <row r="164" spans="1:19" x14ac:dyDescent="0.3">
      <c r="A164" t="s">
        <v>312</v>
      </c>
      <c r="B164" t="s">
        <v>22</v>
      </c>
      <c r="C164">
        <v>2026</v>
      </c>
      <c r="D164">
        <v>1</v>
      </c>
      <c r="E164" s="2">
        <v>46028</v>
      </c>
      <c r="F164" t="s">
        <v>7</v>
      </c>
      <c r="G164" t="s">
        <v>8</v>
      </c>
      <c r="H164" t="s">
        <v>74</v>
      </c>
      <c r="I164" t="s">
        <v>84</v>
      </c>
      <c r="J164" t="s">
        <v>85</v>
      </c>
      <c r="K164" t="s">
        <v>73</v>
      </c>
      <c r="L164">
        <v>701000</v>
      </c>
      <c r="M164" t="s">
        <v>62</v>
      </c>
      <c r="N164" t="s">
        <v>33</v>
      </c>
      <c r="O164">
        <v>1951</v>
      </c>
      <c r="P164">
        <v>0.95</v>
      </c>
      <c r="Q164">
        <v>1.85</v>
      </c>
      <c r="R164" t="s">
        <v>1197</v>
      </c>
      <c r="S164" t="s">
        <v>195</v>
      </c>
    </row>
    <row r="165" spans="1:19" x14ac:dyDescent="0.3">
      <c r="A165" t="s">
        <v>313</v>
      </c>
      <c r="B165" t="s">
        <v>22</v>
      </c>
      <c r="C165">
        <v>2026</v>
      </c>
      <c r="D165">
        <v>1</v>
      </c>
      <c r="E165" s="2">
        <v>46028</v>
      </c>
      <c r="F165" t="s">
        <v>7</v>
      </c>
      <c r="G165" t="s">
        <v>8</v>
      </c>
      <c r="H165" t="s">
        <v>74</v>
      </c>
      <c r="I165" t="s">
        <v>84</v>
      </c>
      <c r="J165" t="s">
        <v>85</v>
      </c>
      <c r="K165" t="s">
        <v>73</v>
      </c>
      <c r="L165">
        <v>701000</v>
      </c>
      <c r="M165" t="s">
        <v>62</v>
      </c>
      <c r="N165" t="s">
        <v>33</v>
      </c>
      <c r="O165">
        <v>5229</v>
      </c>
      <c r="P165">
        <v>0.95</v>
      </c>
      <c r="Q165">
        <v>4.97</v>
      </c>
      <c r="R165" t="s">
        <v>1204</v>
      </c>
      <c r="S165" t="s">
        <v>195</v>
      </c>
    </row>
    <row r="166" spans="1:19" x14ac:dyDescent="0.3">
      <c r="A166" t="s">
        <v>314</v>
      </c>
      <c r="B166" t="s">
        <v>22</v>
      </c>
      <c r="C166">
        <v>2026</v>
      </c>
      <c r="D166">
        <v>1</v>
      </c>
      <c r="E166" s="2">
        <v>46028</v>
      </c>
      <c r="F166" t="s">
        <v>7</v>
      </c>
      <c r="G166" t="s">
        <v>8</v>
      </c>
      <c r="H166" t="s">
        <v>74</v>
      </c>
      <c r="I166" t="s">
        <v>84</v>
      </c>
      <c r="J166" t="s">
        <v>85</v>
      </c>
      <c r="K166" t="s">
        <v>73</v>
      </c>
      <c r="L166">
        <v>701000</v>
      </c>
      <c r="M166" t="s">
        <v>62</v>
      </c>
      <c r="N166" t="s">
        <v>33</v>
      </c>
      <c r="O166">
        <v>2326</v>
      </c>
      <c r="P166">
        <v>0.95</v>
      </c>
      <c r="Q166">
        <v>2.21</v>
      </c>
      <c r="R166" t="s">
        <v>1201</v>
      </c>
      <c r="S166" t="s">
        <v>195</v>
      </c>
    </row>
    <row r="167" spans="1:19" x14ac:dyDescent="0.3">
      <c r="A167" t="s">
        <v>625</v>
      </c>
      <c r="B167" t="s">
        <v>22</v>
      </c>
      <c r="C167">
        <v>2026</v>
      </c>
      <c r="D167">
        <v>1</v>
      </c>
      <c r="E167" s="2">
        <v>46028</v>
      </c>
      <c r="F167" t="s">
        <v>7</v>
      </c>
      <c r="G167" t="s">
        <v>8</v>
      </c>
      <c r="H167" t="s">
        <v>70</v>
      </c>
      <c r="I167" t="s">
        <v>77</v>
      </c>
      <c r="J167" t="s">
        <v>78</v>
      </c>
      <c r="K167" t="s">
        <v>73</v>
      </c>
      <c r="L167">
        <v>701000</v>
      </c>
      <c r="M167" t="s">
        <v>62</v>
      </c>
      <c r="N167" t="s">
        <v>33</v>
      </c>
      <c r="O167">
        <v>1922</v>
      </c>
      <c r="P167">
        <v>1.8</v>
      </c>
      <c r="Q167">
        <v>3.46</v>
      </c>
      <c r="R167" t="s">
        <v>1202</v>
      </c>
      <c r="S167" t="s">
        <v>195</v>
      </c>
    </row>
    <row r="168" spans="1:19" x14ac:dyDescent="0.3">
      <c r="A168" t="s">
        <v>626</v>
      </c>
      <c r="B168" t="s">
        <v>22</v>
      </c>
      <c r="C168">
        <v>2026</v>
      </c>
      <c r="D168">
        <v>1</v>
      </c>
      <c r="E168" s="2">
        <v>46028</v>
      </c>
      <c r="F168" t="s">
        <v>7</v>
      </c>
      <c r="G168" t="s">
        <v>8</v>
      </c>
      <c r="H168" t="s">
        <v>70</v>
      </c>
      <c r="I168" t="s">
        <v>77</v>
      </c>
      <c r="J168" t="s">
        <v>78</v>
      </c>
      <c r="K168" t="s">
        <v>73</v>
      </c>
      <c r="L168">
        <v>701000</v>
      </c>
      <c r="M168" t="s">
        <v>62</v>
      </c>
      <c r="N168" t="s">
        <v>33</v>
      </c>
      <c r="O168">
        <v>940</v>
      </c>
      <c r="P168">
        <v>1.8</v>
      </c>
      <c r="Q168">
        <v>1.69</v>
      </c>
      <c r="R168" t="s">
        <v>1205</v>
      </c>
      <c r="S168" t="s">
        <v>195</v>
      </c>
    </row>
    <row r="169" spans="1:19" x14ac:dyDescent="0.3">
      <c r="A169" t="s">
        <v>627</v>
      </c>
      <c r="B169" t="s">
        <v>22</v>
      </c>
      <c r="C169">
        <v>2026</v>
      </c>
      <c r="D169">
        <v>1</v>
      </c>
      <c r="E169" s="2">
        <v>46028</v>
      </c>
      <c r="F169" t="s">
        <v>7</v>
      </c>
      <c r="G169" t="s">
        <v>8</v>
      </c>
      <c r="H169" t="s">
        <v>70</v>
      </c>
      <c r="I169" t="s">
        <v>77</v>
      </c>
      <c r="J169" t="s">
        <v>78</v>
      </c>
      <c r="K169" t="s">
        <v>73</v>
      </c>
      <c r="L169">
        <v>701000</v>
      </c>
      <c r="M169" t="s">
        <v>62</v>
      </c>
      <c r="N169" t="s">
        <v>33</v>
      </c>
      <c r="O169">
        <v>529</v>
      </c>
      <c r="P169">
        <v>1.8</v>
      </c>
      <c r="Q169">
        <v>0.95</v>
      </c>
      <c r="R169" t="s">
        <v>1204</v>
      </c>
      <c r="S169" t="s">
        <v>195</v>
      </c>
    </row>
    <row r="170" spans="1:19" x14ac:dyDescent="0.3">
      <c r="A170" t="s">
        <v>628</v>
      </c>
      <c r="B170" t="s">
        <v>22</v>
      </c>
      <c r="C170">
        <v>2026</v>
      </c>
      <c r="D170">
        <v>1</v>
      </c>
      <c r="E170" s="2">
        <v>46028</v>
      </c>
      <c r="F170" t="s">
        <v>7</v>
      </c>
      <c r="G170" t="s">
        <v>8</v>
      </c>
      <c r="H170" t="s">
        <v>70</v>
      </c>
      <c r="I170" t="s">
        <v>77</v>
      </c>
      <c r="J170" t="s">
        <v>78</v>
      </c>
      <c r="K170" t="s">
        <v>73</v>
      </c>
      <c r="L170">
        <v>701000</v>
      </c>
      <c r="M170" t="s">
        <v>62</v>
      </c>
      <c r="N170" t="s">
        <v>33</v>
      </c>
      <c r="O170">
        <v>757</v>
      </c>
      <c r="P170">
        <v>1.8</v>
      </c>
      <c r="Q170">
        <v>1.36</v>
      </c>
      <c r="R170" t="s">
        <v>1203</v>
      </c>
      <c r="S170" t="s">
        <v>195</v>
      </c>
    </row>
    <row r="171" spans="1:19" x14ac:dyDescent="0.3">
      <c r="A171" t="s">
        <v>629</v>
      </c>
      <c r="B171" t="s">
        <v>22</v>
      </c>
      <c r="C171">
        <v>2026</v>
      </c>
      <c r="D171">
        <v>1</v>
      </c>
      <c r="E171" s="2">
        <v>46028</v>
      </c>
      <c r="F171" t="s">
        <v>7</v>
      </c>
      <c r="G171" t="s">
        <v>8</v>
      </c>
      <c r="H171" t="s">
        <v>70</v>
      </c>
      <c r="I171" t="s">
        <v>77</v>
      </c>
      <c r="J171" t="s">
        <v>78</v>
      </c>
      <c r="K171" t="s">
        <v>73</v>
      </c>
      <c r="L171">
        <v>701000</v>
      </c>
      <c r="M171" t="s">
        <v>62</v>
      </c>
      <c r="N171" t="s">
        <v>33</v>
      </c>
      <c r="O171">
        <v>694</v>
      </c>
      <c r="P171">
        <v>1.82</v>
      </c>
      <c r="Q171">
        <v>1.26</v>
      </c>
      <c r="R171" t="s">
        <v>1198</v>
      </c>
      <c r="S171" t="s">
        <v>195</v>
      </c>
    </row>
    <row r="172" spans="1:19" x14ac:dyDescent="0.3">
      <c r="A172" t="s">
        <v>755</v>
      </c>
      <c r="B172" t="s">
        <v>22</v>
      </c>
      <c r="C172">
        <v>2026</v>
      </c>
      <c r="D172">
        <v>1</v>
      </c>
      <c r="E172" s="2">
        <v>46028</v>
      </c>
      <c r="F172" t="s">
        <v>7</v>
      </c>
      <c r="G172" t="s">
        <v>8</v>
      </c>
      <c r="H172" t="s">
        <v>74</v>
      </c>
      <c r="I172" t="s">
        <v>82</v>
      </c>
      <c r="J172" t="s">
        <v>83</v>
      </c>
      <c r="K172" t="s">
        <v>73</v>
      </c>
      <c r="L172">
        <v>707000</v>
      </c>
      <c r="M172" t="s">
        <v>81</v>
      </c>
      <c r="N172" t="s">
        <v>33</v>
      </c>
      <c r="O172">
        <v>46</v>
      </c>
      <c r="P172">
        <v>18.48</v>
      </c>
      <c r="Q172">
        <v>0.85</v>
      </c>
      <c r="R172" t="s">
        <v>1198</v>
      </c>
      <c r="S172" t="s">
        <v>195</v>
      </c>
    </row>
    <row r="173" spans="1:19" x14ac:dyDescent="0.3">
      <c r="A173" t="s">
        <v>756</v>
      </c>
      <c r="B173" t="s">
        <v>22</v>
      </c>
      <c r="C173">
        <v>2026</v>
      </c>
      <c r="D173">
        <v>1</v>
      </c>
      <c r="E173" s="2">
        <v>46028</v>
      </c>
      <c r="F173" t="s">
        <v>7</v>
      </c>
      <c r="G173" t="s">
        <v>8</v>
      </c>
      <c r="H173" t="s">
        <v>74</v>
      </c>
      <c r="I173" t="s">
        <v>82</v>
      </c>
      <c r="J173" t="s">
        <v>83</v>
      </c>
      <c r="K173" t="s">
        <v>73</v>
      </c>
      <c r="L173">
        <v>707000</v>
      </c>
      <c r="M173" t="s">
        <v>81</v>
      </c>
      <c r="N173" t="s">
        <v>33</v>
      </c>
      <c r="O173">
        <v>57</v>
      </c>
      <c r="P173">
        <v>18.420000000000002</v>
      </c>
      <c r="Q173">
        <v>1.05</v>
      </c>
      <c r="R173" t="s">
        <v>1204</v>
      </c>
      <c r="S173" t="s">
        <v>195</v>
      </c>
    </row>
    <row r="174" spans="1:19" x14ac:dyDescent="0.3">
      <c r="A174" t="s">
        <v>757</v>
      </c>
      <c r="B174" t="s">
        <v>22</v>
      </c>
      <c r="C174">
        <v>2026</v>
      </c>
      <c r="D174">
        <v>1</v>
      </c>
      <c r="E174" s="2">
        <v>46028</v>
      </c>
      <c r="F174" t="s">
        <v>7</v>
      </c>
      <c r="G174" t="s">
        <v>8</v>
      </c>
      <c r="H174" t="s">
        <v>74</v>
      </c>
      <c r="I174" t="s">
        <v>82</v>
      </c>
      <c r="J174" t="s">
        <v>83</v>
      </c>
      <c r="K174" t="s">
        <v>73</v>
      </c>
      <c r="L174">
        <v>707000</v>
      </c>
      <c r="M174" t="s">
        <v>81</v>
      </c>
      <c r="N174" t="s">
        <v>33</v>
      </c>
      <c r="O174">
        <v>188</v>
      </c>
      <c r="P174">
        <v>18.510000000000002</v>
      </c>
      <c r="Q174">
        <v>3.48</v>
      </c>
      <c r="R174" t="s">
        <v>1205</v>
      </c>
      <c r="S174" t="s">
        <v>195</v>
      </c>
    </row>
    <row r="175" spans="1:19" x14ac:dyDescent="0.3">
      <c r="A175" t="s">
        <v>758</v>
      </c>
      <c r="B175" t="s">
        <v>22</v>
      </c>
      <c r="C175">
        <v>2026</v>
      </c>
      <c r="D175">
        <v>1</v>
      </c>
      <c r="E175" s="2">
        <v>46028</v>
      </c>
      <c r="F175" t="s">
        <v>7</v>
      </c>
      <c r="G175" t="s">
        <v>8</v>
      </c>
      <c r="H175" t="s">
        <v>74</v>
      </c>
      <c r="I175" t="s">
        <v>82</v>
      </c>
      <c r="J175" t="s">
        <v>83</v>
      </c>
      <c r="K175" t="s">
        <v>73</v>
      </c>
      <c r="L175">
        <v>707000</v>
      </c>
      <c r="M175" t="s">
        <v>81</v>
      </c>
      <c r="N175" t="s">
        <v>33</v>
      </c>
      <c r="O175">
        <v>57</v>
      </c>
      <c r="P175">
        <v>18.600000000000001</v>
      </c>
      <c r="Q175">
        <v>1.06</v>
      </c>
      <c r="R175" t="s">
        <v>1200</v>
      </c>
      <c r="S175" t="s">
        <v>195</v>
      </c>
    </row>
    <row r="176" spans="1:19" x14ac:dyDescent="0.3">
      <c r="A176" t="s">
        <v>759</v>
      </c>
      <c r="B176" t="s">
        <v>22</v>
      </c>
      <c r="C176">
        <v>2026</v>
      </c>
      <c r="D176">
        <v>1</v>
      </c>
      <c r="E176" s="2">
        <v>46028</v>
      </c>
      <c r="F176" t="s">
        <v>7</v>
      </c>
      <c r="G176" t="s">
        <v>8</v>
      </c>
      <c r="H176" t="s">
        <v>74</v>
      </c>
      <c r="I176" t="s">
        <v>82</v>
      </c>
      <c r="J176" t="s">
        <v>83</v>
      </c>
      <c r="K176" t="s">
        <v>73</v>
      </c>
      <c r="L176">
        <v>707000</v>
      </c>
      <c r="M176" t="s">
        <v>81</v>
      </c>
      <c r="N176" t="s">
        <v>33</v>
      </c>
      <c r="O176">
        <v>252</v>
      </c>
      <c r="P176">
        <v>18.45</v>
      </c>
      <c r="Q176">
        <v>4.6500000000000004</v>
      </c>
      <c r="R176" t="s">
        <v>1202</v>
      </c>
      <c r="S176" t="s">
        <v>195</v>
      </c>
    </row>
    <row r="177" spans="1:19" x14ac:dyDescent="0.3">
      <c r="A177" t="s">
        <v>865</v>
      </c>
      <c r="B177" t="s">
        <v>22</v>
      </c>
      <c r="C177">
        <v>2026</v>
      </c>
      <c r="D177">
        <v>1</v>
      </c>
      <c r="E177" s="2">
        <v>46028</v>
      </c>
      <c r="F177" t="s">
        <v>7</v>
      </c>
      <c r="G177" t="s">
        <v>8</v>
      </c>
      <c r="H177" t="s">
        <v>70</v>
      </c>
      <c r="I177" t="s">
        <v>82</v>
      </c>
      <c r="J177" t="s">
        <v>83</v>
      </c>
      <c r="K177" t="s">
        <v>73</v>
      </c>
      <c r="L177">
        <v>701000</v>
      </c>
      <c r="M177" t="s">
        <v>62</v>
      </c>
      <c r="N177" t="s">
        <v>33</v>
      </c>
      <c r="O177">
        <v>168</v>
      </c>
      <c r="P177">
        <v>18.45</v>
      </c>
      <c r="Q177">
        <v>3.1</v>
      </c>
      <c r="R177" t="s">
        <v>1197</v>
      </c>
      <c r="S177" t="s">
        <v>195</v>
      </c>
    </row>
    <row r="178" spans="1:19" x14ac:dyDescent="0.3">
      <c r="A178" t="s">
        <v>866</v>
      </c>
      <c r="B178" t="s">
        <v>22</v>
      </c>
      <c r="C178">
        <v>2026</v>
      </c>
      <c r="D178">
        <v>1</v>
      </c>
      <c r="E178" s="2">
        <v>46028</v>
      </c>
      <c r="F178" t="s">
        <v>7</v>
      </c>
      <c r="G178" t="s">
        <v>8</v>
      </c>
      <c r="H178" t="s">
        <v>70</v>
      </c>
      <c r="I178" t="s">
        <v>82</v>
      </c>
      <c r="J178" t="s">
        <v>83</v>
      </c>
      <c r="K178" t="s">
        <v>73</v>
      </c>
      <c r="L178">
        <v>701000</v>
      </c>
      <c r="M178" t="s">
        <v>62</v>
      </c>
      <c r="N178" t="s">
        <v>33</v>
      </c>
      <c r="O178">
        <v>10</v>
      </c>
      <c r="P178">
        <v>18</v>
      </c>
      <c r="Q178">
        <v>0.18</v>
      </c>
      <c r="R178" t="s">
        <v>1205</v>
      </c>
      <c r="S178" t="s">
        <v>195</v>
      </c>
    </row>
    <row r="179" spans="1:19" x14ac:dyDescent="0.3">
      <c r="A179" t="s">
        <v>867</v>
      </c>
      <c r="B179" t="s">
        <v>22</v>
      </c>
      <c r="C179">
        <v>2026</v>
      </c>
      <c r="D179">
        <v>1</v>
      </c>
      <c r="E179" s="2">
        <v>46028</v>
      </c>
      <c r="F179" t="s">
        <v>7</v>
      </c>
      <c r="G179" t="s">
        <v>8</v>
      </c>
      <c r="H179" t="s">
        <v>70</v>
      </c>
      <c r="I179" t="s">
        <v>82</v>
      </c>
      <c r="J179" t="s">
        <v>83</v>
      </c>
      <c r="K179" t="s">
        <v>73</v>
      </c>
      <c r="L179">
        <v>701000</v>
      </c>
      <c r="M179" t="s">
        <v>62</v>
      </c>
      <c r="N179" t="s">
        <v>33</v>
      </c>
      <c r="O179">
        <v>180</v>
      </c>
      <c r="P179">
        <v>18.5</v>
      </c>
      <c r="Q179">
        <v>3.33</v>
      </c>
      <c r="R179" t="s">
        <v>1199</v>
      </c>
      <c r="S179" t="s">
        <v>195</v>
      </c>
    </row>
    <row r="180" spans="1:19" x14ac:dyDescent="0.3">
      <c r="A180" t="s">
        <v>868</v>
      </c>
      <c r="B180" t="s">
        <v>22</v>
      </c>
      <c r="C180">
        <v>2026</v>
      </c>
      <c r="D180">
        <v>1</v>
      </c>
      <c r="E180" s="2">
        <v>46028</v>
      </c>
      <c r="F180" t="s">
        <v>7</v>
      </c>
      <c r="G180" t="s">
        <v>8</v>
      </c>
      <c r="H180" t="s">
        <v>70</v>
      </c>
      <c r="I180" t="s">
        <v>82</v>
      </c>
      <c r="J180" t="s">
        <v>83</v>
      </c>
      <c r="K180" t="s">
        <v>73</v>
      </c>
      <c r="L180">
        <v>701000</v>
      </c>
      <c r="M180" t="s">
        <v>62</v>
      </c>
      <c r="N180" t="s">
        <v>33</v>
      </c>
      <c r="O180">
        <v>117</v>
      </c>
      <c r="P180">
        <v>18.46</v>
      </c>
      <c r="Q180">
        <v>2.16</v>
      </c>
      <c r="R180" t="s">
        <v>1202</v>
      </c>
      <c r="S180" t="s">
        <v>195</v>
      </c>
    </row>
    <row r="181" spans="1:19" x14ac:dyDescent="0.3">
      <c r="A181" t="s">
        <v>869</v>
      </c>
      <c r="B181" t="s">
        <v>22</v>
      </c>
      <c r="C181">
        <v>2026</v>
      </c>
      <c r="D181">
        <v>1</v>
      </c>
      <c r="E181" s="2">
        <v>46028</v>
      </c>
      <c r="F181" t="s">
        <v>7</v>
      </c>
      <c r="G181" t="s">
        <v>8</v>
      </c>
      <c r="H181" t="s">
        <v>70</v>
      </c>
      <c r="I181" t="s">
        <v>82</v>
      </c>
      <c r="J181" t="s">
        <v>83</v>
      </c>
      <c r="K181" t="s">
        <v>73</v>
      </c>
      <c r="L181">
        <v>701000</v>
      </c>
      <c r="M181" t="s">
        <v>62</v>
      </c>
      <c r="N181" t="s">
        <v>33</v>
      </c>
      <c r="O181">
        <v>185</v>
      </c>
      <c r="P181">
        <v>18.59</v>
      </c>
      <c r="Q181">
        <v>3.44</v>
      </c>
      <c r="R181" t="s">
        <v>1198</v>
      </c>
      <c r="S181" t="s">
        <v>195</v>
      </c>
    </row>
    <row r="182" spans="1:19" x14ac:dyDescent="0.3">
      <c r="A182" t="s">
        <v>285</v>
      </c>
      <c r="B182" t="s">
        <v>22</v>
      </c>
      <c r="C182">
        <v>2026</v>
      </c>
      <c r="D182">
        <v>1</v>
      </c>
      <c r="E182" s="2">
        <v>46029</v>
      </c>
      <c r="F182" t="s">
        <v>7</v>
      </c>
      <c r="G182" t="s">
        <v>8</v>
      </c>
      <c r="H182" t="s">
        <v>70</v>
      </c>
      <c r="I182" t="s">
        <v>84</v>
      </c>
      <c r="J182" t="s">
        <v>85</v>
      </c>
      <c r="K182" t="s">
        <v>73</v>
      </c>
      <c r="L182">
        <v>701000</v>
      </c>
      <c r="M182" t="s">
        <v>62</v>
      </c>
      <c r="N182" t="s">
        <v>33</v>
      </c>
      <c r="O182">
        <v>5273</v>
      </c>
      <c r="P182">
        <v>0.95</v>
      </c>
      <c r="Q182">
        <v>5.01</v>
      </c>
      <c r="R182" t="s">
        <v>1197</v>
      </c>
      <c r="S182" t="s">
        <v>195</v>
      </c>
    </row>
    <row r="183" spans="1:19" x14ac:dyDescent="0.3">
      <c r="A183" t="s">
        <v>286</v>
      </c>
      <c r="B183" t="s">
        <v>22</v>
      </c>
      <c r="C183">
        <v>2026</v>
      </c>
      <c r="D183">
        <v>1</v>
      </c>
      <c r="E183" s="2">
        <v>46029</v>
      </c>
      <c r="F183" t="s">
        <v>7</v>
      </c>
      <c r="G183" t="s">
        <v>8</v>
      </c>
      <c r="H183" t="s">
        <v>70</v>
      </c>
      <c r="I183" t="s">
        <v>84</v>
      </c>
      <c r="J183" t="s">
        <v>85</v>
      </c>
      <c r="K183" t="s">
        <v>73</v>
      </c>
      <c r="L183">
        <v>701000</v>
      </c>
      <c r="M183" t="s">
        <v>62</v>
      </c>
      <c r="N183" t="s">
        <v>33</v>
      </c>
      <c r="O183">
        <v>2955</v>
      </c>
      <c r="P183">
        <v>0.95</v>
      </c>
      <c r="Q183">
        <v>2.81</v>
      </c>
      <c r="R183" t="s">
        <v>1205</v>
      </c>
      <c r="S183" t="s">
        <v>195</v>
      </c>
    </row>
    <row r="184" spans="1:19" x14ac:dyDescent="0.3">
      <c r="A184" t="s">
        <v>287</v>
      </c>
      <c r="B184" t="s">
        <v>22</v>
      </c>
      <c r="C184">
        <v>2026</v>
      </c>
      <c r="D184">
        <v>1</v>
      </c>
      <c r="E184" s="2">
        <v>46029</v>
      </c>
      <c r="F184" t="s">
        <v>7</v>
      </c>
      <c r="G184" t="s">
        <v>8</v>
      </c>
      <c r="H184" t="s">
        <v>70</v>
      </c>
      <c r="I184" t="s">
        <v>84</v>
      </c>
      <c r="J184" t="s">
        <v>85</v>
      </c>
      <c r="K184" t="s">
        <v>73</v>
      </c>
      <c r="L184">
        <v>701000</v>
      </c>
      <c r="M184" t="s">
        <v>62</v>
      </c>
      <c r="N184" t="s">
        <v>33</v>
      </c>
      <c r="O184">
        <v>1185</v>
      </c>
      <c r="P184">
        <v>0.95</v>
      </c>
      <c r="Q184">
        <v>1.1299999999999999</v>
      </c>
      <c r="R184" t="s">
        <v>1198</v>
      </c>
      <c r="S184" t="s">
        <v>195</v>
      </c>
    </row>
    <row r="185" spans="1:19" x14ac:dyDescent="0.3">
      <c r="A185" t="s">
        <v>288</v>
      </c>
      <c r="B185" t="s">
        <v>22</v>
      </c>
      <c r="C185">
        <v>2026</v>
      </c>
      <c r="D185">
        <v>1</v>
      </c>
      <c r="E185" s="2">
        <v>46029</v>
      </c>
      <c r="F185" t="s">
        <v>7</v>
      </c>
      <c r="G185" t="s">
        <v>8</v>
      </c>
      <c r="H185" t="s">
        <v>70</v>
      </c>
      <c r="I185" t="s">
        <v>84</v>
      </c>
      <c r="J185" t="s">
        <v>85</v>
      </c>
      <c r="K185" t="s">
        <v>73</v>
      </c>
      <c r="L185">
        <v>701000</v>
      </c>
      <c r="M185" t="s">
        <v>62</v>
      </c>
      <c r="N185" t="s">
        <v>33</v>
      </c>
      <c r="O185">
        <v>3493</v>
      </c>
      <c r="P185">
        <v>0.95</v>
      </c>
      <c r="Q185">
        <v>3.32</v>
      </c>
      <c r="R185" t="s">
        <v>1199</v>
      </c>
      <c r="S185" t="s">
        <v>195</v>
      </c>
    </row>
    <row r="186" spans="1:19" x14ac:dyDescent="0.3">
      <c r="A186" t="s">
        <v>289</v>
      </c>
      <c r="B186" t="s">
        <v>22</v>
      </c>
      <c r="C186">
        <v>2026</v>
      </c>
      <c r="D186">
        <v>1</v>
      </c>
      <c r="E186" s="2">
        <v>46029</v>
      </c>
      <c r="F186" t="s">
        <v>7</v>
      </c>
      <c r="G186" t="s">
        <v>8</v>
      </c>
      <c r="H186" t="s">
        <v>70</v>
      </c>
      <c r="I186" t="s">
        <v>84</v>
      </c>
      <c r="J186" t="s">
        <v>85</v>
      </c>
      <c r="K186" t="s">
        <v>73</v>
      </c>
      <c r="L186">
        <v>701000</v>
      </c>
      <c r="M186" t="s">
        <v>62</v>
      </c>
      <c r="N186" t="s">
        <v>33</v>
      </c>
      <c r="O186">
        <v>3195</v>
      </c>
      <c r="P186">
        <v>0.95</v>
      </c>
      <c r="Q186">
        <v>3.03</v>
      </c>
      <c r="R186" t="s">
        <v>1202</v>
      </c>
      <c r="S186" t="s">
        <v>195</v>
      </c>
    </row>
    <row r="187" spans="1:19" x14ac:dyDescent="0.3">
      <c r="A187" t="s">
        <v>555</v>
      </c>
      <c r="B187" t="s">
        <v>22</v>
      </c>
      <c r="C187">
        <v>2026</v>
      </c>
      <c r="D187">
        <v>1</v>
      </c>
      <c r="E187" s="2">
        <v>46029</v>
      </c>
      <c r="F187" t="s">
        <v>7</v>
      </c>
      <c r="G187" t="s">
        <v>8</v>
      </c>
      <c r="H187" t="s">
        <v>74</v>
      </c>
      <c r="I187" t="s">
        <v>77</v>
      </c>
      <c r="J187" t="s">
        <v>78</v>
      </c>
      <c r="K187" t="s">
        <v>73</v>
      </c>
      <c r="L187">
        <v>701000</v>
      </c>
      <c r="M187" t="s">
        <v>62</v>
      </c>
      <c r="N187" t="s">
        <v>33</v>
      </c>
      <c r="O187">
        <v>167</v>
      </c>
      <c r="P187">
        <v>1.8</v>
      </c>
      <c r="Q187">
        <v>0.3</v>
      </c>
      <c r="R187" t="s">
        <v>1205</v>
      </c>
      <c r="S187" t="s">
        <v>195</v>
      </c>
    </row>
    <row r="188" spans="1:19" x14ac:dyDescent="0.3">
      <c r="A188" t="s">
        <v>556</v>
      </c>
      <c r="B188" t="s">
        <v>22</v>
      </c>
      <c r="C188">
        <v>2026</v>
      </c>
      <c r="D188">
        <v>1</v>
      </c>
      <c r="E188" s="2">
        <v>46029</v>
      </c>
      <c r="F188" t="s">
        <v>7</v>
      </c>
      <c r="G188" t="s">
        <v>8</v>
      </c>
      <c r="H188" t="s">
        <v>74</v>
      </c>
      <c r="I188" t="s">
        <v>77</v>
      </c>
      <c r="J188" t="s">
        <v>78</v>
      </c>
      <c r="K188" t="s">
        <v>73</v>
      </c>
      <c r="L188">
        <v>701000</v>
      </c>
      <c r="M188" t="s">
        <v>62</v>
      </c>
      <c r="N188" t="s">
        <v>33</v>
      </c>
      <c r="O188">
        <v>648</v>
      </c>
      <c r="P188">
        <v>1.81</v>
      </c>
      <c r="Q188">
        <v>1.17</v>
      </c>
      <c r="R188" t="s">
        <v>1203</v>
      </c>
      <c r="S188" t="s">
        <v>195</v>
      </c>
    </row>
    <row r="189" spans="1:19" x14ac:dyDescent="0.3">
      <c r="A189" t="s">
        <v>557</v>
      </c>
      <c r="B189" t="s">
        <v>22</v>
      </c>
      <c r="C189">
        <v>2026</v>
      </c>
      <c r="D189">
        <v>1</v>
      </c>
      <c r="E189" s="2">
        <v>46029</v>
      </c>
      <c r="F189" t="s">
        <v>7</v>
      </c>
      <c r="G189" t="s">
        <v>8</v>
      </c>
      <c r="H189" t="s">
        <v>74</v>
      </c>
      <c r="I189" t="s">
        <v>77</v>
      </c>
      <c r="J189" t="s">
        <v>78</v>
      </c>
      <c r="K189" t="s">
        <v>73</v>
      </c>
      <c r="L189">
        <v>701000</v>
      </c>
      <c r="M189" t="s">
        <v>62</v>
      </c>
      <c r="N189" t="s">
        <v>33</v>
      </c>
      <c r="O189">
        <v>293</v>
      </c>
      <c r="P189">
        <v>1.81</v>
      </c>
      <c r="Q189">
        <v>0.53</v>
      </c>
      <c r="R189" t="s">
        <v>1204</v>
      </c>
      <c r="S189" t="s">
        <v>195</v>
      </c>
    </row>
    <row r="190" spans="1:19" x14ac:dyDescent="0.3">
      <c r="A190" t="s">
        <v>558</v>
      </c>
      <c r="B190" t="s">
        <v>22</v>
      </c>
      <c r="C190">
        <v>2026</v>
      </c>
      <c r="D190">
        <v>1</v>
      </c>
      <c r="E190" s="2">
        <v>46029</v>
      </c>
      <c r="F190" t="s">
        <v>7</v>
      </c>
      <c r="G190" t="s">
        <v>8</v>
      </c>
      <c r="H190" t="s">
        <v>74</v>
      </c>
      <c r="I190" t="s">
        <v>77</v>
      </c>
      <c r="J190" t="s">
        <v>78</v>
      </c>
      <c r="K190" t="s">
        <v>73</v>
      </c>
      <c r="L190">
        <v>701000</v>
      </c>
      <c r="M190" t="s">
        <v>62</v>
      </c>
      <c r="N190" t="s">
        <v>33</v>
      </c>
      <c r="O190">
        <v>1436</v>
      </c>
      <c r="P190">
        <v>1.8</v>
      </c>
      <c r="Q190">
        <v>2.58</v>
      </c>
      <c r="R190" t="s">
        <v>1197</v>
      </c>
      <c r="S190" t="s">
        <v>195</v>
      </c>
    </row>
    <row r="191" spans="1:19" x14ac:dyDescent="0.3">
      <c r="A191" t="s">
        <v>559</v>
      </c>
      <c r="B191" t="s">
        <v>22</v>
      </c>
      <c r="C191">
        <v>2026</v>
      </c>
      <c r="D191">
        <v>1</v>
      </c>
      <c r="E191" s="2">
        <v>46029</v>
      </c>
      <c r="F191" t="s">
        <v>7</v>
      </c>
      <c r="G191" t="s">
        <v>8</v>
      </c>
      <c r="H191" t="s">
        <v>74</v>
      </c>
      <c r="I191" t="s">
        <v>77</v>
      </c>
      <c r="J191" t="s">
        <v>78</v>
      </c>
      <c r="K191" t="s">
        <v>73</v>
      </c>
      <c r="L191">
        <v>701000</v>
      </c>
      <c r="M191" t="s">
        <v>62</v>
      </c>
      <c r="N191" t="s">
        <v>33</v>
      </c>
      <c r="O191">
        <v>1044</v>
      </c>
      <c r="P191">
        <v>1.8</v>
      </c>
      <c r="Q191">
        <v>1.88</v>
      </c>
      <c r="R191" t="s">
        <v>1202</v>
      </c>
      <c r="S191" t="s">
        <v>195</v>
      </c>
    </row>
    <row r="192" spans="1:19" x14ac:dyDescent="0.3">
      <c r="A192" t="s">
        <v>700</v>
      </c>
      <c r="B192" t="s">
        <v>22</v>
      </c>
      <c r="C192">
        <v>2026</v>
      </c>
      <c r="D192">
        <v>1</v>
      </c>
      <c r="E192" s="2">
        <v>46029</v>
      </c>
      <c r="F192" t="s">
        <v>7</v>
      </c>
      <c r="G192" t="s">
        <v>8</v>
      </c>
      <c r="H192" t="s">
        <v>74</v>
      </c>
      <c r="I192" t="s">
        <v>79</v>
      </c>
      <c r="J192" t="s">
        <v>80</v>
      </c>
      <c r="K192" t="s">
        <v>73</v>
      </c>
      <c r="L192">
        <v>701000</v>
      </c>
      <c r="M192" t="s">
        <v>62</v>
      </c>
      <c r="N192" t="s">
        <v>33</v>
      </c>
      <c r="O192">
        <v>1863</v>
      </c>
      <c r="P192">
        <v>2.6</v>
      </c>
      <c r="Q192">
        <v>4.84</v>
      </c>
      <c r="R192" t="s">
        <v>1205</v>
      </c>
      <c r="S192" t="s">
        <v>195</v>
      </c>
    </row>
    <row r="193" spans="1:19" x14ac:dyDescent="0.3">
      <c r="A193" t="s">
        <v>701</v>
      </c>
      <c r="B193" t="s">
        <v>22</v>
      </c>
      <c r="C193">
        <v>2026</v>
      </c>
      <c r="D193">
        <v>1</v>
      </c>
      <c r="E193" s="2">
        <v>46029</v>
      </c>
      <c r="F193" t="s">
        <v>7</v>
      </c>
      <c r="G193" t="s">
        <v>8</v>
      </c>
      <c r="H193" t="s">
        <v>74</v>
      </c>
      <c r="I193" t="s">
        <v>79</v>
      </c>
      <c r="J193" t="s">
        <v>80</v>
      </c>
      <c r="K193" t="s">
        <v>73</v>
      </c>
      <c r="L193">
        <v>701000</v>
      </c>
      <c r="M193" t="s">
        <v>62</v>
      </c>
      <c r="N193" t="s">
        <v>33</v>
      </c>
      <c r="O193">
        <v>1240</v>
      </c>
      <c r="P193">
        <v>2.6</v>
      </c>
      <c r="Q193">
        <v>3.22</v>
      </c>
      <c r="R193" t="s">
        <v>1203</v>
      </c>
      <c r="S193" t="s">
        <v>195</v>
      </c>
    </row>
    <row r="194" spans="1:19" x14ac:dyDescent="0.3">
      <c r="A194" t="s">
        <v>702</v>
      </c>
      <c r="B194" t="s">
        <v>22</v>
      </c>
      <c r="C194">
        <v>2026</v>
      </c>
      <c r="D194">
        <v>1</v>
      </c>
      <c r="E194" s="2">
        <v>46029</v>
      </c>
      <c r="F194" t="s">
        <v>7</v>
      </c>
      <c r="G194" t="s">
        <v>8</v>
      </c>
      <c r="H194" t="s">
        <v>74</v>
      </c>
      <c r="I194" t="s">
        <v>79</v>
      </c>
      <c r="J194" t="s">
        <v>80</v>
      </c>
      <c r="K194" t="s">
        <v>73</v>
      </c>
      <c r="L194">
        <v>701000</v>
      </c>
      <c r="M194" t="s">
        <v>62</v>
      </c>
      <c r="N194" t="s">
        <v>33</v>
      </c>
      <c r="O194">
        <v>784</v>
      </c>
      <c r="P194">
        <v>2.6</v>
      </c>
      <c r="Q194">
        <v>2.04</v>
      </c>
      <c r="R194" t="s">
        <v>1200</v>
      </c>
      <c r="S194" t="s">
        <v>195</v>
      </c>
    </row>
    <row r="195" spans="1:19" x14ac:dyDescent="0.3">
      <c r="A195" t="s">
        <v>703</v>
      </c>
      <c r="B195" t="s">
        <v>22</v>
      </c>
      <c r="C195">
        <v>2026</v>
      </c>
      <c r="D195">
        <v>1</v>
      </c>
      <c r="E195" s="2">
        <v>46029</v>
      </c>
      <c r="F195" t="s">
        <v>7</v>
      </c>
      <c r="G195" t="s">
        <v>8</v>
      </c>
      <c r="H195" t="s">
        <v>74</v>
      </c>
      <c r="I195" t="s">
        <v>79</v>
      </c>
      <c r="J195" t="s">
        <v>80</v>
      </c>
      <c r="K195" t="s">
        <v>73</v>
      </c>
      <c r="L195">
        <v>701000</v>
      </c>
      <c r="M195" t="s">
        <v>62</v>
      </c>
      <c r="N195" t="s">
        <v>33</v>
      </c>
      <c r="O195">
        <v>2960</v>
      </c>
      <c r="P195">
        <v>2.6</v>
      </c>
      <c r="Q195">
        <v>7.7</v>
      </c>
      <c r="R195" t="s">
        <v>1199</v>
      </c>
      <c r="S195" t="s">
        <v>195</v>
      </c>
    </row>
    <row r="196" spans="1:19" x14ac:dyDescent="0.3">
      <c r="A196" t="s">
        <v>704</v>
      </c>
      <c r="B196" t="s">
        <v>22</v>
      </c>
      <c r="C196">
        <v>2026</v>
      </c>
      <c r="D196">
        <v>1</v>
      </c>
      <c r="E196" s="2">
        <v>46029</v>
      </c>
      <c r="F196" t="s">
        <v>7</v>
      </c>
      <c r="G196" t="s">
        <v>8</v>
      </c>
      <c r="H196" t="s">
        <v>74</v>
      </c>
      <c r="I196" t="s">
        <v>79</v>
      </c>
      <c r="J196" t="s">
        <v>80</v>
      </c>
      <c r="K196" t="s">
        <v>73</v>
      </c>
      <c r="L196">
        <v>701000</v>
      </c>
      <c r="M196" t="s">
        <v>62</v>
      </c>
      <c r="N196" t="s">
        <v>33</v>
      </c>
      <c r="O196">
        <v>1541</v>
      </c>
      <c r="P196">
        <v>2.6</v>
      </c>
      <c r="Q196">
        <v>4.01</v>
      </c>
      <c r="R196" t="s">
        <v>1197</v>
      </c>
      <c r="S196" t="s">
        <v>195</v>
      </c>
    </row>
    <row r="197" spans="1:19" x14ac:dyDescent="0.3">
      <c r="A197" t="s">
        <v>725</v>
      </c>
      <c r="B197" t="s">
        <v>22</v>
      </c>
      <c r="C197">
        <v>2026</v>
      </c>
      <c r="D197">
        <v>1</v>
      </c>
      <c r="E197" s="2">
        <v>46029</v>
      </c>
      <c r="F197" t="s">
        <v>7</v>
      </c>
      <c r="G197" t="s">
        <v>8</v>
      </c>
      <c r="H197" t="s">
        <v>74</v>
      </c>
      <c r="I197" t="s">
        <v>79</v>
      </c>
      <c r="J197" t="s">
        <v>80</v>
      </c>
      <c r="K197" t="s">
        <v>73</v>
      </c>
      <c r="L197">
        <v>701000</v>
      </c>
      <c r="M197" t="s">
        <v>62</v>
      </c>
      <c r="N197" t="s">
        <v>33</v>
      </c>
      <c r="O197">
        <v>2103</v>
      </c>
      <c r="P197">
        <v>2.6</v>
      </c>
      <c r="Q197">
        <v>5.47</v>
      </c>
      <c r="R197" t="s">
        <v>1201</v>
      </c>
      <c r="S197" t="s">
        <v>195</v>
      </c>
    </row>
    <row r="198" spans="1:19" x14ac:dyDescent="0.3">
      <c r="A198" t="s">
        <v>726</v>
      </c>
      <c r="B198" t="s">
        <v>22</v>
      </c>
      <c r="C198">
        <v>2026</v>
      </c>
      <c r="D198">
        <v>1</v>
      </c>
      <c r="E198" s="2">
        <v>46029</v>
      </c>
      <c r="F198" t="s">
        <v>7</v>
      </c>
      <c r="G198" t="s">
        <v>8</v>
      </c>
      <c r="H198" t="s">
        <v>74</v>
      </c>
      <c r="I198" t="s">
        <v>79</v>
      </c>
      <c r="J198" t="s">
        <v>80</v>
      </c>
      <c r="K198" t="s">
        <v>73</v>
      </c>
      <c r="L198">
        <v>701000</v>
      </c>
      <c r="M198" t="s">
        <v>62</v>
      </c>
      <c r="N198" t="s">
        <v>33</v>
      </c>
      <c r="O198">
        <v>1999</v>
      </c>
      <c r="P198">
        <v>2.6</v>
      </c>
      <c r="Q198">
        <v>5.2</v>
      </c>
      <c r="R198" t="s">
        <v>1197</v>
      </c>
      <c r="S198" t="s">
        <v>195</v>
      </c>
    </row>
    <row r="199" spans="1:19" x14ac:dyDescent="0.3">
      <c r="A199" t="s">
        <v>727</v>
      </c>
      <c r="B199" t="s">
        <v>22</v>
      </c>
      <c r="C199">
        <v>2026</v>
      </c>
      <c r="D199">
        <v>1</v>
      </c>
      <c r="E199" s="2">
        <v>46029</v>
      </c>
      <c r="F199" t="s">
        <v>7</v>
      </c>
      <c r="G199" t="s">
        <v>8</v>
      </c>
      <c r="H199" t="s">
        <v>74</v>
      </c>
      <c r="I199" t="s">
        <v>79</v>
      </c>
      <c r="J199" t="s">
        <v>80</v>
      </c>
      <c r="K199" t="s">
        <v>73</v>
      </c>
      <c r="L199">
        <v>701000</v>
      </c>
      <c r="M199" t="s">
        <v>62</v>
      </c>
      <c r="N199" t="s">
        <v>33</v>
      </c>
      <c r="O199">
        <v>1377</v>
      </c>
      <c r="P199">
        <v>2.6</v>
      </c>
      <c r="Q199">
        <v>3.58</v>
      </c>
      <c r="R199" t="s">
        <v>1199</v>
      </c>
      <c r="S199" t="s">
        <v>195</v>
      </c>
    </row>
    <row r="200" spans="1:19" x14ac:dyDescent="0.3">
      <c r="A200" t="s">
        <v>728</v>
      </c>
      <c r="B200" t="s">
        <v>22</v>
      </c>
      <c r="C200">
        <v>2026</v>
      </c>
      <c r="D200">
        <v>1</v>
      </c>
      <c r="E200" s="2">
        <v>46029</v>
      </c>
      <c r="F200" t="s">
        <v>7</v>
      </c>
      <c r="G200" t="s">
        <v>8</v>
      </c>
      <c r="H200" t="s">
        <v>74</v>
      </c>
      <c r="I200" t="s">
        <v>79</v>
      </c>
      <c r="J200" t="s">
        <v>80</v>
      </c>
      <c r="K200" t="s">
        <v>73</v>
      </c>
      <c r="L200">
        <v>701000</v>
      </c>
      <c r="M200" t="s">
        <v>62</v>
      </c>
      <c r="N200" t="s">
        <v>33</v>
      </c>
      <c r="O200">
        <v>1913</v>
      </c>
      <c r="P200">
        <v>2.6</v>
      </c>
      <c r="Q200">
        <v>4.97</v>
      </c>
      <c r="R200" t="s">
        <v>1204</v>
      </c>
      <c r="S200" t="s">
        <v>195</v>
      </c>
    </row>
    <row r="201" spans="1:19" x14ac:dyDescent="0.3">
      <c r="A201" t="s">
        <v>729</v>
      </c>
      <c r="B201" t="s">
        <v>22</v>
      </c>
      <c r="C201">
        <v>2026</v>
      </c>
      <c r="D201">
        <v>1</v>
      </c>
      <c r="E201" s="2">
        <v>46029</v>
      </c>
      <c r="F201" t="s">
        <v>7</v>
      </c>
      <c r="G201" t="s">
        <v>8</v>
      </c>
      <c r="H201" t="s">
        <v>74</v>
      </c>
      <c r="I201" t="s">
        <v>79</v>
      </c>
      <c r="J201" t="s">
        <v>80</v>
      </c>
      <c r="K201" t="s">
        <v>73</v>
      </c>
      <c r="L201">
        <v>701000</v>
      </c>
      <c r="M201" t="s">
        <v>62</v>
      </c>
      <c r="N201" t="s">
        <v>33</v>
      </c>
      <c r="O201">
        <v>2585</v>
      </c>
      <c r="P201">
        <v>2.6</v>
      </c>
      <c r="Q201">
        <v>6.72</v>
      </c>
      <c r="R201" t="s">
        <v>1202</v>
      </c>
      <c r="S201" t="s">
        <v>195</v>
      </c>
    </row>
    <row r="202" spans="1:19" x14ac:dyDescent="0.3">
      <c r="A202" t="s">
        <v>870</v>
      </c>
      <c r="B202" t="s">
        <v>22</v>
      </c>
      <c r="C202">
        <v>2026</v>
      </c>
      <c r="D202">
        <v>1</v>
      </c>
      <c r="E202" s="2">
        <v>46029</v>
      </c>
      <c r="F202" t="s">
        <v>7</v>
      </c>
      <c r="G202" t="s">
        <v>8</v>
      </c>
      <c r="H202" t="s">
        <v>74</v>
      </c>
      <c r="I202" t="s">
        <v>82</v>
      </c>
      <c r="J202" t="s">
        <v>83</v>
      </c>
      <c r="K202" t="s">
        <v>73</v>
      </c>
      <c r="L202">
        <v>707000</v>
      </c>
      <c r="M202" t="s">
        <v>81</v>
      </c>
      <c r="N202" t="s">
        <v>33</v>
      </c>
      <c r="O202">
        <v>153</v>
      </c>
      <c r="P202">
        <v>18.5</v>
      </c>
      <c r="Q202">
        <v>2.83</v>
      </c>
      <c r="R202" t="s">
        <v>1202</v>
      </c>
      <c r="S202" t="s">
        <v>195</v>
      </c>
    </row>
    <row r="203" spans="1:19" x14ac:dyDescent="0.3">
      <c r="A203" t="s">
        <v>871</v>
      </c>
      <c r="B203" t="s">
        <v>22</v>
      </c>
      <c r="C203">
        <v>2026</v>
      </c>
      <c r="D203">
        <v>1</v>
      </c>
      <c r="E203" s="2">
        <v>46029</v>
      </c>
      <c r="F203" t="s">
        <v>7</v>
      </c>
      <c r="G203" t="s">
        <v>8</v>
      </c>
      <c r="H203" t="s">
        <v>74</v>
      </c>
      <c r="I203" t="s">
        <v>82</v>
      </c>
      <c r="J203" t="s">
        <v>83</v>
      </c>
      <c r="K203" t="s">
        <v>73</v>
      </c>
      <c r="L203">
        <v>707000</v>
      </c>
      <c r="M203" t="s">
        <v>81</v>
      </c>
      <c r="N203" t="s">
        <v>33</v>
      </c>
      <c r="O203">
        <v>92</v>
      </c>
      <c r="P203">
        <v>18.48</v>
      </c>
      <c r="Q203">
        <v>1.7</v>
      </c>
      <c r="R203" t="s">
        <v>1197</v>
      </c>
      <c r="S203" t="s">
        <v>195</v>
      </c>
    </row>
    <row r="204" spans="1:19" x14ac:dyDescent="0.3">
      <c r="A204" t="s">
        <v>872</v>
      </c>
      <c r="B204" t="s">
        <v>22</v>
      </c>
      <c r="C204">
        <v>2026</v>
      </c>
      <c r="D204">
        <v>1</v>
      </c>
      <c r="E204" s="2">
        <v>46029</v>
      </c>
      <c r="F204" t="s">
        <v>7</v>
      </c>
      <c r="G204" t="s">
        <v>8</v>
      </c>
      <c r="H204" t="s">
        <v>74</v>
      </c>
      <c r="I204" t="s">
        <v>82</v>
      </c>
      <c r="J204" t="s">
        <v>83</v>
      </c>
      <c r="K204" t="s">
        <v>73</v>
      </c>
      <c r="L204">
        <v>707000</v>
      </c>
      <c r="M204" t="s">
        <v>81</v>
      </c>
      <c r="N204" t="s">
        <v>33</v>
      </c>
      <c r="O204">
        <v>158</v>
      </c>
      <c r="P204">
        <v>18.48</v>
      </c>
      <c r="Q204">
        <v>2.92</v>
      </c>
      <c r="R204" t="s">
        <v>1200</v>
      </c>
      <c r="S204" t="s">
        <v>195</v>
      </c>
    </row>
    <row r="205" spans="1:19" x14ac:dyDescent="0.3">
      <c r="A205" t="s">
        <v>873</v>
      </c>
      <c r="B205" t="s">
        <v>22</v>
      </c>
      <c r="C205">
        <v>2026</v>
      </c>
      <c r="D205">
        <v>1</v>
      </c>
      <c r="E205" s="2">
        <v>46029</v>
      </c>
      <c r="F205" t="s">
        <v>7</v>
      </c>
      <c r="G205" t="s">
        <v>8</v>
      </c>
      <c r="H205" t="s">
        <v>74</v>
      </c>
      <c r="I205" t="s">
        <v>82</v>
      </c>
      <c r="J205" t="s">
        <v>83</v>
      </c>
      <c r="K205" t="s">
        <v>73</v>
      </c>
      <c r="L205">
        <v>707000</v>
      </c>
      <c r="M205" t="s">
        <v>81</v>
      </c>
      <c r="N205" t="s">
        <v>33</v>
      </c>
      <c r="O205">
        <v>37</v>
      </c>
      <c r="P205">
        <v>18.649999999999999</v>
      </c>
      <c r="Q205">
        <v>0.69</v>
      </c>
      <c r="R205" t="s">
        <v>1199</v>
      </c>
      <c r="S205" t="s">
        <v>195</v>
      </c>
    </row>
    <row r="206" spans="1:19" x14ac:dyDescent="0.3">
      <c r="A206" t="s">
        <v>874</v>
      </c>
      <c r="B206" t="s">
        <v>22</v>
      </c>
      <c r="C206">
        <v>2026</v>
      </c>
      <c r="D206">
        <v>1</v>
      </c>
      <c r="E206" s="2">
        <v>46029</v>
      </c>
      <c r="F206" t="s">
        <v>7</v>
      </c>
      <c r="G206" t="s">
        <v>8</v>
      </c>
      <c r="H206" t="s">
        <v>74</v>
      </c>
      <c r="I206" t="s">
        <v>82</v>
      </c>
      <c r="J206" t="s">
        <v>83</v>
      </c>
      <c r="K206" t="s">
        <v>73</v>
      </c>
      <c r="L206">
        <v>707000</v>
      </c>
      <c r="M206" t="s">
        <v>81</v>
      </c>
      <c r="N206" t="s">
        <v>33</v>
      </c>
      <c r="O206">
        <v>123</v>
      </c>
      <c r="P206">
        <v>18.54</v>
      </c>
      <c r="Q206">
        <v>2.2799999999999998</v>
      </c>
      <c r="R206" t="s">
        <v>1203</v>
      </c>
      <c r="S206" t="s">
        <v>195</v>
      </c>
    </row>
    <row r="207" spans="1:19" x14ac:dyDescent="0.3">
      <c r="A207" t="s">
        <v>235</v>
      </c>
      <c r="B207" t="s">
        <v>22</v>
      </c>
      <c r="C207">
        <v>2026</v>
      </c>
      <c r="D207">
        <v>1</v>
      </c>
      <c r="E207" s="2">
        <v>46030</v>
      </c>
      <c r="F207" t="s">
        <v>7</v>
      </c>
      <c r="G207" t="s">
        <v>8</v>
      </c>
      <c r="H207" t="s">
        <v>74</v>
      </c>
      <c r="I207" t="s">
        <v>84</v>
      </c>
      <c r="J207" t="s">
        <v>85</v>
      </c>
      <c r="K207" t="s">
        <v>73</v>
      </c>
      <c r="L207">
        <v>701000</v>
      </c>
      <c r="M207" t="s">
        <v>62</v>
      </c>
      <c r="N207" t="s">
        <v>33</v>
      </c>
      <c r="O207">
        <v>3345</v>
      </c>
      <c r="P207">
        <v>0.95</v>
      </c>
      <c r="Q207">
        <v>3.18</v>
      </c>
      <c r="R207" t="s">
        <v>1200</v>
      </c>
      <c r="S207" t="s">
        <v>195</v>
      </c>
    </row>
    <row r="208" spans="1:19" x14ac:dyDescent="0.3">
      <c r="A208" t="s">
        <v>236</v>
      </c>
      <c r="B208" t="s">
        <v>22</v>
      </c>
      <c r="C208">
        <v>2026</v>
      </c>
      <c r="D208">
        <v>1</v>
      </c>
      <c r="E208" s="2">
        <v>46030</v>
      </c>
      <c r="F208" t="s">
        <v>7</v>
      </c>
      <c r="G208" t="s">
        <v>8</v>
      </c>
      <c r="H208" t="s">
        <v>74</v>
      </c>
      <c r="I208" t="s">
        <v>84</v>
      </c>
      <c r="J208" t="s">
        <v>85</v>
      </c>
      <c r="K208" t="s">
        <v>73</v>
      </c>
      <c r="L208">
        <v>701000</v>
      </c>
      <c r="M208" t="s">
        <v>62</v>
      </c>
      <c r="N208" t="s">
        <v>33</v>
      </c>
      <c r="O208">
        <v>4816</v>
      </c>
      <c r="P208">
        <v>0.95</v>
      </c>
      <c r="Q208">
        <v>4.57</v>
      </c>
      <c r="R208" t="s">
        <v>1198</v>
      </c>
      <c r="S208" t="s">
        <v>195</v>
      </c>
    </row>
    <row r="209" spans="1:19" x14ac:dyDescent="0.3">
      <c r="A209" t="s">
        <v>237</v>
      </c>
      <c r="B209" t="s">
        <v>22</v>
      </c>
      <c r="C209">
        <v>2026</v>
      </c>
      <c r="D209">
        <v>1</v>
      </c>
      <c r="E209" s="2">
        <v>46030</v>
      </c>
      <c r="F209" t="s">
        <v>7</v>
      </c>
      <c r="G209" t="s">
        <v>8</v>
      </c>
      <c r="H209" t="s">
        <v>74</v>
      </c>
      <c r="I209" t="s">
        <v>84</v>
      </c>
      <c r="J209" t="s">
        <v>85</v>
      </c>
      <c r="K209" t="s">
        <v>73</v>
      </c>
      <c r="L209">
        <v>701000</v>
      </c>
      <c r="M209" t="s">
        <v>62</v>
      </c>
      <c r="N209" t="s">
        <v>33</v>
      </c>
      <c r="O209">
        <v>2089</v>
      </c>
      <c r="P209">
        <v>0.95</v>
      </c>
      <c r="Q209">
        <v>1.98</v>
      </c>
      <c r="R209" t="s">
        <v>1203</v>
      </c>
      <c r="S209" t="s">
        <v>195</v>
      </c>
    </row>
    <row r="210" spans="1:19" x14ac:dyDescent="0.3">
      <c r="A210" t="s">
        <v>238</v>
      </c>
      <c r="B210" t="s">
        <v>22</v>
      </c>
      <c r="C210">
        <v>2026</v>
      </c>
      <c r="D210">
        <v>1</v>
      </c>
      <c r="E210" s="2">
        <v>46030</v>
      </c>
      <c r="F210" t="s">
        <v>7</v>
      </c>
      <c r="G210" t="s">
        <v>8</v>
      </c>
      <c r="H210" t="s">
        <v>74</v>
      </c>
      <c r="I210" t="s">
        <v>84</v>
      </c>
      <c r="J210" t="s">
        <v>85</v>
      </c>
      <c r="K210" t="s">
        <v>73</v>
      </c>
      <c r="L210">
        <v>701000</v>
      </c>
      <c r="M210" t="s">
        <v>62</v>
      </c>
      <c r="N210" t="s">
        <v>33</v>
      </c>
      <c r="O210">
        <v>4270</v>
      </c>
      <c r="P210">
        <v>0.95</v>
      </c>
      <c r="Q210">
        <v>4.05</v>
      </c>
      <c r="R210" t="s">
        <v>1197</v>
      </c>
      <c r="S210" t="s">
        <v>195</v>
      </c>
    </row>
    <row r="211" spans="1:19" x14ac:dyDescent="0.3">
      <c r="A211" t="s">
        <v>239</v>
      </c>
      <c r="B211" t="s">
        <v>22</v>
      </c>
      <c r="C211">
        <v>2026</v>
      </c>
      <c r="D211">
        <v>1</v>
      </c>
      <c r="E211" s="2">
        <v>46030</v>
      </c>
      <c r="F211" t="s">
        <v>7</v>
      </c>
      <c r="G211" t="s">
        <v>8</v>
      </c>
      <c r="H211" t="s">
        <v>74</v>
      </c>
      <c r="I211" t="s">
        <v>84</v>
      </c>
      <c r="J211" t="s">
        <v>85</v>
      </c>
      <c r="K211" t="s">
        <v>73</v>
      </c>
      <c r="L211">
        <v>701000</v>
      </c>
      <c r="M211" t="s">
        <v>62</v>
      </c>
      <c r="N211" t="s">
        <v>33</v>
      </c>
      <c r="O211">
        <v>4159</v>
      </c>
      <c r="P211">
        <v>0.95</v>
      </c>
      <c r="Q211">
        <v>3.96</v>
      </c>
      <c r="R211" t="s">
        <v>1205</v>
      </c>
      <c r="S211" t="s">
        <v>195</v>
      </c>
    </row>
    <row r="212" spans="1:19" x14ac:dyDescent="0.3">
      <c r="A212" t="s">
        <v>260</v>
      </c>
      <c r="B212" t="s">
        <v>22</v>
      </c>
      <c r="C212">
        <v>2026</v>
      </c>
      <c r="D212">
        <v>1</v>
      </c>
      <c r="E212" s="2">
        <v>46030</v>
      </c>
      <c r="F212" t="s">
        <v>7</v>
      </c>
      <c r="G212" t="s">
        <v>8</v>
      </c>
      <c r="H212" t="s">
        <v>74</v>
      </c>
      <c r="I212" t="s">
        <v>84</v>
      </c>
      <c r="J212" t="s">
        <v>85</v>
      </c>
      <c r="K212" t="s">
        <v>73</v>
      </c>
      <c r="L212">
        <v>701000</v>
      </c>
      <c r="M212" t="s">
        <v>62</v>
      </c>
      <c r="N212" t="s">
        <v>33</v>
      </c>
      <c r="O212">
        <v>1166</v>
      </c>
      <c r="P212">
        <v>0.95</v>
      </c>
      <c r="Q212">
        <v>1.1100000000000001</v>
      </c>
      <c r="R212" t="s">
        <v>1197</v>
      </c>
      <c r="S212" t="s">
        <v>195</v>
      </c>
    </row>
    <row r="213" spans="1:19" x14ac:dyDescent="0.3">
      <c r="A213" t="s">
        <v>261</v>
      </c>
      <c r="B213" t="s">
        <v>22</v>
      </c>
      <c r="C213">
        <v>2026</v>
      </c>
      <c r="D213">
        <v>1</v>
      </c>
      <c r="E213" s="2">
        <v>46030</v>
      </c>
      <c r="F213" t="s">
        <v>7</v>
      </c>
      <c r="G213" t="s">
        <v>8</v>
      </c>
      <c r="H213" t="s">
        <v>74</v>
      </c>
      <c r="I213" t="s">
        <v>84</v>
      </c>
      <c r="J213" t="s">
        <v>85</v>
      </c>
      <c r="K213" t="s">
        <v>73</v>
      </c>
      <c r="L213">
        <v>701000</v>
      </c>
      <c r="M213" t="s">
        <v>62</v>
      </c>
      <c r="N213" t="s">
        <v>33</v>
      </c>
      <c r="O213">
        <v>3229</v>
      </c>
      <c r="P213">
        <v>0.95</v>
      </c>
      <c r="Q213">
        <v>3.07</v>
      </c>
      <c r="R213" t="s">
        <v>1200</v>
      </c>
      <c r="S213" t="s">
        <v>195</v>
      </c>
    </row>
    <row r="214" spans="1:19" x14ac:dyDescent="0.3">
      <c r="A214" t="s">
        <v>262</v>
      </c>
      <c r="B214" t="s">
        <v>22</v>
      </c>
      <c r="C214">
        <v>2026</v>
      </c>
      <c r="D214">
        <v>1</v>
      </c>
      <c r="E214" s="2">
        <v>46030</v>
      </c>
      <c r="F214" t="s">
        <v>7</v>
      </c>
      <c r="G214" t="s">
        <v>8</v>
      </c>
      <c r="H214" t="s">
        <v>74</v>
      </c>
      <c r="I214" t="s">
        <v>84</v>
      </c>
      <c r="J214" t="s">
        <v>85</v>
      </c>
      <c r="K214" t="s">
        <v>73</v>
      </c>
      <c r="L214">
        <v>701000</v>
      </c>
      <c r="M214" t="s">
        <v>62</v>
      </c>
      <c r="N214" t="s">
        <v>33</v>
      </c>
      <c r="O214">
        <v>8392</v>
      </c>
      <c r="P214">
        <v>0.95</v>
      </c>
      <c r="Q214">
        <v>7.97</v>
      </c>
      <c r="R214" t="s">
        <v>1203</v>
      </c>
      <c r="S214" t="s">
        <v>195</v>
      </c>
    </row>
    <row r="215" spans="1:19" x14ac:dyDescent="0.3">
      <c r="A215" t="s">
        <v>263</v>
      </c>
      <c r="B215" t="s">
        <v>22</v>
      </c>
      <c r="C215">
        <v>2026</v>
      </c>
      <c r="D215">
        <v>1</v>
      </c>
      <c r="E215" s="2">
        <v>46030</v>
      </c>
      <c r="F215" t="s">
        <v>7</v>
      </c>
      <c r="G215" t="s">
        <v>8</v>
      </c>
      <c r="H215" t="s">
        <v>74</v>
      </c>
      <c r="I215" t="s">
        <v>84</v>
      </c>
      <c r="J215" t="s">
        <v>85</v>
      </c>
      <c r="K215" t="s">
        <v>73</v>
      </c>
      <c r="L215">
        <v>701000</v>
      </c>
      <c r="M215" t="s">
        <v>62</v>
      </c>
      <c r="N215" t="s">
        <v>33</v>
      </c>
      <c r="O215">
        <v>5334</v>
      </c>
      <c r="P215">
        <v>0.95</v>
      </c>
      <c r="Q215">
        <v>5.07</v>
      </c>
      <c r="R215" t="s">
        <v>1198</v>
      </c>
      <c r="S215" t="s">
        <v>195</v>
      </c>
    </row>
    <row r="216" spans="1:19" x14ac:dyDescent="0.3">
      <c r="A216" t="s">
        <v>264</v>
      </c>
      <c r="B216" t="s">
        <v>22</v>
      </c>
      <c r="C216">
        <v>2026</v>
      </c>
      <c r="D216">
        <v>1</v>
      </c>
      <c r="E216" s="2">
        <v>46030</v>
      </c>
      <c r="F216" t="s">
        <v>7</v>
      </c>
      <c r="G216" t="s">
        <v>8</v>
      </c>
      <c r="H216" t="s">
        <v>74</v>
      </c>
      <c r="I216" t="s">
        <v>84</v>
      </c>
      <c r="J216" t="s">
        <v>85</v>
      </c>
      <c r="K216" t="s">
        <v>73</v>
      </c>
      <c r="L216">
        <v>701000</v>
      </c>
      <c r="M216" t="s">
        <v>62</v>
      </c>
      <c r="N216" t="s">
        <v>33</v>
      </c>
      <c r="O216">
        <v>2045</v>
      </c>
      <c r="P216">
        <v>0.95</v>
      </c>
      <c r="Q216">
        <v>1.94</v>
      </c>
      <c r="R216" t="s">
        <v>1204</v>
      </c>
      <c r="S216" t="s">
        <v>195</v>
      </c>
    </row>
    <row r="217" spans="1:19" x14ac:dyDescent="0.3">
      <c r="A217" t="s">
        <v>265</v>
      </c>
      <c r="B217" t="s">
        <v>22</v>
      </c>
      <c r="C217">
        <v>2026</v>
      </c>
      <c r="D217">
        <v>1</v>
      </c>
      <c r="E217" s="2">
        <v>46030</v>
      </c>
      <c r="F217" t="s">
        <v>7</v>
      </c>
      <c r="G217" t="s">
        <v>8</v>
      </c>
      <c r="H217" t="s">
        <v>74</v>
      </c>
      <c r="I217" t="s">
        <v>84</v>
      </c>
      <c r="J217" t="s">
        <v>85</v>
      </c>
      <c r="K217" t="s">
        <v>73</v>
      </c>
      <c r="L217">
        <v>701000</v>
      </c>
      <c r="M217" t="s">
        <v>62</v>
      </c>
      <c r="N217" t="s">
        <v>33</v>
      </c>
      <c r="O217">
        <v>3118</v>
      </c>
      <c r="P217">
        <v>0.95</v>
      </c>
      <c r="Q217">
        <v>2.96</v>
      </c>
      <c r="R217" t="s">
        <v>1205</v>
      </c>
      <c r="S217" t="s">
        <v>195</v>
      </c>
    </row>
    <row r="218" spans="1:19" x14ac:dyDescent="0.3">
      <c r="A218" t="s">
        <v>266</v>
      </c>
      <c r="B218" t="s">
        <v>22</v>
      </c>
      <c r="C218">
        <v>2026</v>
      </c>
      <c r="D218">
        <v>1</v>
      </c>
      <c r="E218" s="2">
        <v>46030</v>
      </c>
      <c r="F218" t="s">
        <v>7</v>
      </c>
      <c r="G218" t="s">
        <v>8</v>
      </c>
      <c r="H218" t="s">
        <v>74</v>
      </c>
      <c r="I218" t="s">
        <v>84</v>
      </c>
      <c r="J218" t="s">
        <v>85</v>
      </c>
      <c r="K218" t="s">
        <v>73</v>
      </c>
      <c r="L218">
        <v>701000</v>
      </c>
      <c r="M218" t="s">
        <v>62</v>
      </c>
      <c r="N218" t="s">
        <v>33</v>
      </c>
      <c r="O218">
        <v>3760</v>
      </c>
      <c r="P218">
        <v>0.95</v>
      </c>
      <c r="Q218">
        <v>3.57</v>
      </c>
      <c r="R218" t="s">
        <v>1197</v>
      </c>
      <c r="S218" t="s">
        <v>195</v>
      </c>
    </row>
    <row r="219" spans="1:19" x14ac:dyDescent="0.3">
      <c r="A219" t="s">
        <v>267</v>
      </c>
      <c r="B219" t="s">
        <v>22</v>
      </c>
      <c r="C219">
        <v>2026</v>
      </c>
      <c r="D219">
        <v>1</v>
      </c>
      <c r="E219" s="2">
        <v>46030</v>
      </c>
      <c r="F219" t="s">
        <v>7</v>
      </c>
      <c r="G219" t="s">
        <v>8</v>
      </c>
      <c r="H219" t="s">
        <v>74</v>
      </c>
      <c r="I219" t="s">
        <v>84</v>
      </c>
      <c r="J219" t="s">
        <v>85</v>
      </c>
      <c r="K219" t="s">
        <v>73</v>
      </c>
      <c r="L219">
        <v>701000</v>
      </c>
      <c r="M219" t="s">
        <v>62</v>
      </c>
      <c r="N219" t="s">
        <v>33</v>
      </c>
      <c r="O219">
        <v>6212</v>
      </c>
      <c r="P219">
        <v>0.95</v>
      </c>
      <c r="Q219">
        <v>5.9</v>
      </c>
      <c r="R219" t="s">
        <v>1198</v>
      </c>
      <c r="S219" t="s">
        <v>195</v>
      </c>
    </row>
    <row r="220" spans="1:19" x14ac:dyDescent="0.3">
      <c r="A220" t="s">
        <v>268</v>
      </c>
      <c r="B220" t="s">
        <v>22</v>
      </c>
      <c r="C220">
        <v>2026</v>
      </c>
      <c r="D220">
        <v>1</v>
      </c>
      <c r="E220" s="2">
        <v>46030</v>
      </c>
      <c r="F220" t="s">
        <v>7</v>
      </c>
      <c r="G220" t="s">
        <v>8</v>
      </c>
      <c r="H220" t="s">
        <v>74</v>
      </c>
      <c r="I220" t="s">
        <v>84</v>
      </c>
      <c r="J220" t="s">
        <v>85</v>
      </c>
      <c r="K220" t="s">
        <v>73</v>
      </c>
      <c r="L220">
        <v>701000</v>
      </c>
      <c r="M220" t="s">
        <v>62</v>
      </c>
      <c r="N220" t="s">
        <v>33</v>
      </c>
      <c r="O220">
        <v>2898</v>
      </c>
      <c r="P220">
        <v>0.95</v>
      </c>
      <c r="Q220">
        <v>2.75</v>
      </c>
      <c r="R220" t="s">
        <v>1203</v>
      </c>
      <c r="S220" t="s">
        <v>195</v>
      </c>
    </row>
    <row r="221" spans="1:19" x14ac:dyDescent="0.3">
      <c r="A221" t="s">
        <v>269</v>
      </c>
      <c r="B221" t="s">
        <v>22</v>
      </c>
      <c r="C221">
        <v>2026</v>
      </c>
      <c r="D221">
        <v>1</v>
      </c>
      <c r="E221" s="2">
        <v>46030</v>
      </c>
      <c r="F221" t="s">
        <v>7</v>
      </c>
      <c r="G221" t="s">
        <v>8</v>
      </c>
      <c r="H221" t="s">
        <v>74</v>
      </c>
      <c r="I221" t="s">
        <v>84</v>
      </c>
      <c r="J221" t="s">
        <v>85</v>
      </c>
      <c r="K221" t="s">
        <v>73</v>
      </c>
      <c r="L221">
        <v>701000</v>
      </c>
      <c r="M221" t="s">
        <v>62</v>
      </c>
      <c r="N221" t="s">
        <v>33</v>
      </c>
      <c r="O221">
        <v>4129</v>
      </c>
      <c r="P221">
        <v>0.95</v>
      </c>
      <c r="Q221">
        <v>3.93</v>
      </c>
      <c r="R221" t="s">
        <v>1199</v>
      </c>
      <c r="S221" t="s">
        <v>195</v>
      </c>
    </row>
    <row r="222" spans="1:19" x14ac:dyDescent="0.3">
      <c r="A222" t="s">
        <v>300</v>
      </c>
      <c r="B222" t="s">
        <v>22</v>
      </c>
      <c r="C222">
        <v>2026</v>
      </c>
      <c r="D222">
        <v>1</v>
      </c>
      <c r="E222" s="2">
        <v>46030</v>
      </c>
      <c r="F222" t="s">
        <v>7</v>
      </c>
      <c r="G222" t="s">
        <v>8</v>
      </c>
      <c r="H222" t="s">
        <v>70</v>
      </c>
      <c r="I222" t="s">
        <v>84</v>
      </c>
      <c r="J222" t="s">
        <v>85</v>
      </c>
      <c r="K222" t="s">
        <v>73</v>
      </c>
      <c r="L222">
        <v>701000</v>
      </c>
      <c r="M222" t="s">
        <v>62</v>
      </c>
      <c r="N222" t="s">
        <v>33</v>
      </c>
      <c r="O222">
        <v>1961</v>
      </c>
      <c r="P222">
        <v>0.95</v>
      </c>
      <c r="Q222">
        <v>1.86</v>
      </c>
      <c r="R222" t="s">
        <v>1202</v>
      </c>
      <c r="S222" t="s">
        <v>195</v>
      </c>
    </row>
    <row r="223" spans="1:19" x14ac:dyDescent="0.3">
      <c r="A223" t="s">
        <v>301</v>
      </c>
      <c r="B223" t="s">
        <v>22</v>
      </c>
      <c r="C223">
        <v>2026</v>
      </c>
      <c r="D223">
        <v>1</v>
      </c>
      <c r="E223" s="2">
        <v>46030</v>
      </c>
      <c r="F223" t="s">
        <v>7</v>
      </c>
      <c r="G223" t="s">
        <v>8</v>
      </c>
      <c r="H223" t="s">
        <v>70</v>
      </c>
      <c r="I223" t="s">
        <v>84</v>
      </c>
      <c r="J223" t="s">
        <v>85</v>
      </c>
      <c r="K223" t="s">
        <v>73</v>
      </c>
      <c r="L223">
        <v>701000</v>
      </c>
      <c r="M223" t="s">
        <v>62</v>
      </c>
      <c r="N223" t="s">
        <v>33</v>
      </c>
      <c r="O223">
        <v>5224</v>
      </c>
      <c r="P223">
        <v>0.95</v>
      </c>
      <c r="Q223">
        <v>4.96</v>
      </c>
      <c r="R223" t="s">
        <v>1200</v>
      </c>
      <c r="S223" t="s">
        <v>195</v>
      </c>
    </row>
    <row r="224" spans="1:19" x14ac:dyDescent="0.3">
      <c r="A224" t="s">
        <v>302</v>
      </c>
      <c r="B224" t="s">
        <v>22</v>
      </c>
      <c r="C224">
        <v>2026</v>
      </c>
      <c r="D224">
        <v>1</v>
      </c>
      <c r="E224" s="2">
        <v>46030</v>
      </c>
      <c r="F224" t="s">
        <v>7</v>
      </c>
      <c r="G224" t="s">
        <v>8</v>
      </c>
      <c r="H224" t="s">
        <v>70</v>
      </c>
      <c r="I224" t="s">
        <v>84</v>
      </c>
      <c r="J224" t="s">
        <v>85</v>
      </c>
      <c r="K224" t="s">
        <v>73</v>
      </c>
      <c r="L224">
        <v>701000</v>
      </c>
      <c r="M224" t="s">
        <v>62</v>
      </c>
      <c r="N224" t="s">
        <v>33</v>
      </c>
      <c r="O224">
        <v>4324</v>
      </c>
      <c r="P224">
        <v>0.95</v>
      </c>
      <c r="Q224">
        <v>4.1100000000000003</v>
      </c>
      <c r="R224" t="s">
        <v>1198</v>
      </c>
      <c r="S224" t="s">
        <v>195</v>
      </c>
    </row>
    <row r="225" spans="1:19" x14ac:dyDescent="0.3">
      <c r="A225" t="s">
        <v>303</v>
      </c>
      <c r="B225" t="s">
        <v>22</v>
      </c>
      <c r="C225">
        <v>2026</v>
      </c>
      <c r="D225">
        <v>1</v>
      </c>
      <c r="E225" s="2">
        <v>46030</v>
      </c>
      <c r="F225" t="s">
        <v>7</v>
      </c>
      <c r="G225" t="s">
        <v>8</v>
      </c>
      <c r="H225" t="s">
        <v>70</v>
      </c>
      <c r="I225" t="s">
        <v>84</v>
      </c>
      <c r="J225" t="s">
        <v>85</v>
      </c>
      <c r="K225" t="s">
        <v>73</v>
      </c>
      <c r="L225">
        <v>701000</v>
      </c>
      <c r="M225" t="s">
        <v>62</v>
      </c>
      <c r="N225" t="s">
        <v>33</v>
      </c>
      <c r="O225">
        <v>6702</v>
      </c>
      <c r="P225">
        <v>0.95</v>
      </c>
      <c r="Q225">
        <v>6.37</v>
      </c>
      <c r="R225" t="s">
        <v>1197</v>
      </c>
      <c r="S225" t="s">
        <v>195</v>
      </c>
    </row>
    <row r="226" spans="1:19" x14ac:dyDescent="0.3">
      <c r="A226" t="s">
        <v>304</v>
      </c>
      <c r="B226" t="s">
        <v>22</v>
      </c>
      <c r="C226">
        <v>2026</v>
      </c>
      <c r="D226">
        <v>1</v>
      </c>
      <c r="E226" s="2">
        <v>46030</v>
      </c>
      <c r="F226" t="s">
        <v>7</v>
      </c>
      <c r="G226" t="s">
        <v>8</v>
      </c>
      <c r="H226" t="s">
        <v>70</v>
      </c>
      <c r="I226" t="s">
        <v>84</v>
      </c>
      <c r="J226" t="s">
        <v>85</v>
      </c>
      <c r="K226" t="s">
        <v>73</v>
      </c>
      <c r="L226">
        <v>701000</v>
      </c>
      <c r="M226" t="s">
        <v>62</v>
      </c>
      <c r="N226" t="s">
        <v>33</v>
      </c>
      <c r="O226">
        <v>1382</v>
      </c>
      <c r="P226">
        <v>0.95</v>
      </c>
      <c r="Q226">
        <v>1.31</v>
      </c>
      <c r="R226" t="s">
        <v>1199</v>
      </c>
      <c r="S226" t="s">
        <v>195</v>
      </c>
    </row>
    <row r="227" spans="1:19" x14ac:dyDescent="0.3">
      <c r="A227" t="s">
        <v>365</v>
      </c>
      <c r="B227" t="s">
        <v>22</v>
      </c>
      <c r="C227">
        <v>2026</v>
      </c>
      <c r="D227">
        <v>1</v>
      </c>
      <c r="E227" s="2">
        <v>46030</v>
      </c>
      <c r="F227" t="s">
        <v>7</v>
      </c>
      <c r="G227" t="s">
        <v>8</v>
      </c>
      <c r="H227" t="s">
        <v>74</v>
      </c>
      <c r="I227" t="s">
        <v>71</v>
      </c>
      <c r="J227" t="s">
        <v>72</v>
      </c>
      <c r="K227" t="s">
        <v>73</v>
      </c>
      <c r="L227">
        <v>701000</v>
      </c>
      <c r="M227" t="s">
        <v>62</v>
      </c>
      <c r="N227" t="s">
        <v>33</v>
      </c>
      <c r="O227">
        <v>5085</v>
      </c>
      <c r="P227">
        <v>1.05</v>
      </c>
      <c r="Q227">
        <v>5.34</v>
      </c>
      <c r="R227" t="s">
        <v>1197</v>
      </c>
      <c r="S227" t="s">
        <v>195</v>
      </c>
    </row>
    <row r="228" spans="1:19" x14ac:dyDescent="0.3">
      <c r="A228" t="s">
        <v>366</v>
      </c>
      <c r="B228" t="s">
        <v>22</v>
      </c>
      <c r="C228">
        <v>2026</v>
      </c>
      <c r="D228">
        <v>1</v>
      </c>
      <c r="E228" s="2">
        <v>46030</v>
      </c>
      <c r="F228" t="s">
        <v>7</v>
      </c>
      <c r="G228" t="s">
        <v>8</v>
      </c>
      <c r="H228" t="s">
        <v>74</v>
      </c>
      <c r="I228" t="s">
        <v>71</v>
      </c>
      <c r="J228" t="s">
        <v>72</v>
      </c>
      <c r="K228" t="s">
        <v>73</v>
      </c>
      <c r="L228">
        <v>701000</v>
      </c>
      <c r="M228" t="s">
        <v>62</v>
      </c>
      <c r="N228" t="s">
        <v>33</v>
      </c>
      <c r="O228">
        <v>1612</v>
      </c>
      <c r="P228">
        <v>1.05</v>
      </c>
      <c r="Q228">
        <v>1.69</v>
      </c>
      <c r="R228" t="s">
        <v>1198</v>
      </c>
      <c r="S228" t="s">
        <v>195</v>
      </c>
    </row>
    <row r="229" spans="1:19" x14ac:dyDescent="0.3">
      <c r="A229" t="s">
        <v>367</v>
      </c>
      <c r="B229" t="s">
        <v>22</v>
      </c>
      <c r="C229">
        <v>2026</v>
      </c>
      <c r="D229">
        <v>1</v>
      </c>
      <c r="E229" s="2">
        <v>46030</v>
      </c>
      <c r="F229" t="s">
        <v>7</v>
      </c>
      <c r="G229" t="s">
        <v>8</v>
      </c>
      <c r="H229" t="s">
        <v>74</v>
      </c>
      <c r="I229" t="s">
        <v>71</v>
      </c>
      <c r="J229" t="s">
        <v>72</v>
      </c>
      <c r="K229" t="s">
        <v>73</v>
      </c>
      <c r="L229">
        <v>701000</v>
      </c>
      <c r="M229" t="s">
        <v>62</v>
      </c>
      <c r="N229" t="s">
        <v>33</v>
      </c>
      <c r="O229">
        <v>7635</v>
      </c>
      <c r="P229">
        <v>1.05</v>
      </c>
      <c r="Q229">
        <v>8.02</v>
      </c>
      <c r="R229" t="s">
        <v>1201</v>
      </c>
      <c r="S229" t="s">
        <v>195</v>
      </c>
    </row>
    <row r="230" spans="1:19" x14ac:dyDescent="0.3">
      <c r="A230" t="s">
        <v>368</v>
      </c>
      <c r="B230" t="s">
        <v>22</v>
      </c>
      <c r="C230">
        <v>2026</v>
      </c>
      <c r="D230">
        <v>1</v>
      </c>
      <c r="E230" s="2">
        <v>46030</v>
      </c>
      <c r="F230" t="s">
        <v>7</v>
      </c>
      <c r="G230" t="s">
        <v>8</v>
      </c>
      <c r="H230" t="s">
        <v>74</v>
      </c>
      <c r="I230" t="s">
        <v>71</v>
      </c>
      <c r="J230" t="s">
        <v>72</v>
      </c>
      <c r="K230" t="s">
        <v>73</v>
      </c>
      <c r="L230">
        <v>701000</v>
      </c>
      <c r="M230" t="s">
        <v>62</v>
      </c>
      <c r="N230" t="s">
        <v>33</v>
      </c>
      <c r="O230">
        <v>2734</v>
      </c>
      <c r="P230">
        <v>1.05</v>
      </c>
      <c r="Q230">
        <v>2.87</v>
      </c>
      <c r="R230" t="s">
        <v>1202</v>
      </c>
      <c r="S230" t="s">
        <v>195</v>
      </c>
    </row>
    <row r="231" spans="1:19" x14ac:dyDescent="0.3">
      <c r="A231" t="s">
        <v>369</v>
      </c>
      <c r="B231" t="s">
        <v>22</v>
      </c>
      <c r="C231">
        <v>2026</v>
      </c>
      <c r="D231">
        <v>1</v>
      </c>
      <c r="E231" s="2">
        <v>46030</v>
      </c>
      <c r="F231" t="s">
        <v>7</v>
      </c>
      <c r="G231" t="s">
        <v>8</v>
      </c>
      <c r="H231" t="s">
        <v>74</v>
      </c>
      <c r="I231" t="s">
        <v>71</v>
      </c>
      <c r="J231" t="s">
        <v>72</v>
      </c>
      <c r="K231" t="s">
        <v>73</v>
      </c>
      <c r="L231">
        <v>701000</v>
      </c>
      <c r="M231" t="s">
        <v>62</v>
      </c>
      <c r="N231" t="s">
        <v>33</v>
      </c>
      <c r="O231">
        <v>3970</v>
      </c>
      <c r="P231">
        <v>1.05</v>
      </c>
      <c r="Q231">
        <v>4.17</v>
      </c>
      <c r="R231" t="s">
        <v>1199</v>
      </c>
      <c r="S231" t="s">
        <v>195</v>
      </c>
    </row>
    <row r="232" spans="1:19" x14ac:dyDescent="0.3">
      <c r="A232" t="s">
        <v>495</v>
      </c>
      <c r="B232" t="s">
        <v>22</v>
      </c>
      <c r="C232">
        <v>2026</v>
      </c>
      <c r="D232">
        <v>1</v>
      </c>
      <c r="E232" s="2">
        <v>46030</v>
      </c>
      <c r="F232" t="s">
        <v>7</v>
      </c>
      <c r="G232" t="s">
        <v>8</v>
      </c>
      <c r="H232" t="s">
        <v>74</v>
      </c>
      <c r="I232" t="s">
        <v>77</v>
      </c>
      <c r="J232" t="s">
        <v>78</v>
      </c>
      <c r="K232" t="s">
        <v>73</v>
      </c>
      <c r="L232">
        <v>706000</v>
      </c>
      <c r="M232" t="s">
        <v>63</v>
      </c>
      <c r="N232" t="s">
        <v>33</v>
      </c>
      <c r="O232">
        <v>597</v>
      </c>
      <c r="P232">
        <v>1.79</v>
      </c>
      <c r="Q232">
        <v>1.07</v>
      </c>
      <c r="R232" t="s">
        <v>1197</v>
      </c>
      <c r="S232" t="s">
        <v>195</v>
      </c>
    </row>
    <row r="233" spans="1:19" x14ac:dyDescent="0.3">
      <c r="A233" t="s">
        <v>496</v>
      </c>
      <c r="B233" t="s">
        <v>22</v>
      </c>
      <c r="C233">
        <v>2026</v>
      </c>
      <c r="D233">
        <v>1</v>
      </c>
      <c r="E233" s="2">
        <v>46030</v>
      </c>
      <c r="F233" t="s">
        <v>7</v>
      </c>
      <c r="G233" t="s">
        <v>8</v>
      </c>
      <c r="H233" t="s">
        <v>74</v>
      </c>
      <c r="I233" t="s">
        <v>77</v>
      </c>
      <c r="J233" t="s">
        <v>78</v>
      </c>
      <c r="K233" t="s">
        <v>73</v>
      </c>
      <c r="L233">
        <v>706000</v>
      </c>
      <c r="M233" t="s">
        <v>63</v>
      </c>
      <c r="N233" t="s">
        <v>33</v>
      </c>
      <c r="O233">
        <v>738</v>
      </c>
      <c r="P233">
        <v>1.8</v>
      </c>
      <c r="Q233">
        <v>1.33</v>
      </c>
      <c r="R233" t="s">
        <v>1205</v>
      </c>
      <c r="S233" t="s">
        <v>195</v>
      </c>
    </row>
    <row r="234" spans="1:19" x14ac:dyDescent="0.3">
      <c r="A234" t="s">
        <v>497</v>
      </c>
      <c r="B234" t="s">
        <v>22</v>
      </c>
      <c r="C234">
        <v>2026</v>
      </c>
      <c r="D234">
        <v>1</v>
      </c>
      <c r="E234" s="2">
        <v>46030</v>
      </c>
      <c r="F234" t="s">
        <v>7</v>
      </c>
      <c r="G234" t="s">
        <v>8</v>
      </c>
      <c r="H234" t="s">
        <v>74</v>
      </c>
      <c r="I234" t="s">
        <v>77</v>
      </c>
      <c r="J234" t="s">
        <v>78</v>
      </c>
      <c r="K234" t="s">
        <v>73</v>
      </c>
      <c r="L234">
        <v>706000</v>
      </c>
      <c r="M234" t="s">
        <v>63</v>
      </c>
      <c r="N234" t="s">
        <v>33</v>
      </c>
      <c r="O234">
        <v>963</v>
      </c>
      <c r="P234">
        <v>1.8</v>
      </c>
      <c r="Q234">
        <v>1.73</v>
      </c>
      <c r="R234" t="s">
        <v>1198</v>
      </c>
      <c r="S234" t="s">
        <v>195</v>
      </c>
    </row>
    <row r="235" spans="1:19" x14ac:dyDescent="0.3">
      <c r="A235" t="s">
        <v>498</v>
      </c>
      <c r="B235" t="s">
        <v>22</v>
      </c>
      <c r="C235">
        <v>2026</v>
      </c>
      <c r="D235">
        <v>1</v>
      </c>
      <c r="E235" s="2">
        <v>46030</v>
      </c>
      <c r="F235" t="s">
        <v>7</v>
      </c>
      <c r="G235" t="s">
        <v>8</v>
      </c>
      <c r="H235" t="s">
        <v>74</v>
      </c>
      <c r="I235" t="s">
        <v>77</v>
      </c>
      <c r="J235" t="s">
        <v>78</v>
      </c>
      <c r="K235" t="s">
        <v>73</v>
      </c>
      <c r="L235">
        <v>706000</v>
      </c>
      <c r="M235" t="s">
        <v>63</v>
      </c>
      <c r="N235" t="s">
        <v>33</v>
      </c>
      <c r="O235">
        <v>1042</v>
      </c>
      <c r="P235">
        <v>1.79</v>
      </c>
      <c r="Q235">
        <v>1.87</v>
      </c>
      <c r="R235" t="s">
        <v>1204</v>
      </c>
      <c r="S235" t="s">
        <v>195</v>
      </c>
    </row>
    <row r="236" spans="1:19" x14ac:dyDescent="0.3">
      <c r="A236" t="s">
        <v>499</v>
      </c>
      <c r="B236" t="s">
        <v>22</v>
      </c>
      <c r="C236">
        <v>2026</v>
      </c>
      <c r="D236">
        <v>1</v>
      </c>
      <c r="E236" s="2">
        <v>46030</v>
      </c>
      <c r="F236" t="s">
        <v>7</v>
      </c>
      <c r="G236" t="s">
        <v>8</v>
      </c>
      <c r="H236" t="s">
        <v>74</v>
      </c>
      <c r="I236" t="s">
        <v>77</v>
      </c>
      <c r="J236" t="s">
        <v>78</v>
      </c>
      <c r="K236" t="s">
        <v>73</v>
      </c>
      <c r="L236">
        <v>706000</v>
      </c>
      <c r="M236" t="s">
        <v>63</v>
      </c>
      <c r="N236" t="s">
        <v>33</v>
      </c>
      <c r="O236">
        <v>1295</v>
      </c>
      <c r="P236">
        <v>1.81</v>
      </c>
      <c r="Q236">
        <v>2.34</v>
      </c>
      <c r="R236" t="s">
        <v>1202</v>
      </c>
      <c r="S236" t="s">
        <v>195</v>
      </c>
    </row>
    <row r="237" spans="1:19" x14ac:dyDescent="0.3">
      <c r="A237" t="s">
        <v>795</v>
      </c>
      <c r="B237" t="s">
        <v>22</v>
      </c>
      <c r="C237">
        <v>2026</v>
      </c>
      <c r="D237">
        <v>1</v>
      </c>
      <c r="E237" s="2">
        <v>46030</v>
      </c>
      <c r="F237" t="s">
        <v>7</v>
      </c>
      <c r="G237" t="s">
        <v>8</v>
      </c>
      <c r="H237" t="s">
        <v>74</v>
      </c>
      <c r="I237" t="s">
        <v>82</v>
      </c>
      <c r="J237" t="s">
        <v>83</v>
      </c>
      <c r="K237" t="s">
        <v>73</v>
      </c>
      <c r="L237">
        <v>701000</v>
      </c>
      <c r="M237" t="s">
        <v>62</v>
      </c>
      <c r="N237" t="s">
        <v>33</v>
      </c>
      <c r="O237">
        <v>83</v>
      </c>
      <c r="P237">
        <v>18.43</v>
      </c>
      <c r="Q237">
        <v>1.53</v>
      </c>
      <c r="R237" t="s">
        <v>1202</v>
      </c>
      <c r="S237" t="s">
        <v>195</v>
      </c>
    </row>
    <row r="238" spans="1:19" x14ac:dyDescent="0.3">
      <c r="A238" t="s">
        <v>796</v>
      </c>
      <c r="B238" t="s">
        <v>22</v>
      </c>
      <c r="C238">
        <v>2026</v>
      </c>
      <c r="D238">
        <v>1</v>
      </c>
      <c r="E238" s="2">
        <v>46030</v>
      </c>
      <c r="F238" t="s">
        <v>7</v>
      </c>
      <c r="G238" t="s">
        <v>8</v>
      </c>
      <c r="H238" t="s">
        <v>74</v>
      </c>
      <c r="I238" t="s">
        <v>82</v>
      </c>
      <c r="J238" t="s">
        <v>83</v>
      </c>
      <c r="K238" t="s">
        <v>73</v>
      </c>
      <c r="L238">
        <v>701000</v>
      </c>
      <c r="M238" t="s">
        <v>62</v>
      </c>
      <c r="N238" t="s">
        <v>33</v>
      </c>
      <c r="O238">
        <v>101</v>
      </c>
      <c r="P238">
        <v>18.510000000000002</v>
      </c>
      <c r="Q238">
        <v>1.87</v>
      </c>
      <c r="R238" t="s">
        <v>1203</v>
      </c>
      <c r="S238" t="s">
        <v>195</v>
      </c>
    </row>
    <row r="239" spans="1:19" x14ac:dyDescent="0.3">
      <c r="A239" t="s">
        <v>797</v>
      </c>
      <c r="B239" t="s">
        <v>22</v>
      </c>
      <c r="C239">
        <v>2026</v>
      </c>
      <c r="D239">
        <v>1</v>
      </c>
      <c r="E239" s="2">
        <v>46030</v>
      </c>
      <c r="F239" t="s">
        <v>7</v>
      </c>
      <c r="G239" t="s">
        <v>8</v>
      </c>
      <c r="H239" t="s">
        <v>74</v>
      </c>
      <c r="I239" t="s">
        <v>82</v>
      </c>
      <c r="J239" t="s">
        <v>83</v>
      </c>
      <c r="K239" t="s">
        <v>73</v>
      </c>
      <c r="L239">
        <v>701000</v>
      </c>
      <c r="M239" t="s">
        <v>62</v>
      </c>
      <c r="N239" t="s">
        <v>33</v>
      </c>
      <c r="O239">
        <v>137</v>
      </c>
      <c r="P239">
        <v>18.47</v>
      </c>
      <c r="Q239">
        <v>2.5299999999999998</v>
      </c>
      <c r="R239" t="s">
        <v>1205</v>
      </c>
      <c r="S239" t="s">
        <v>195</v>
      </c>
    </row>
    <row r="240" spans="1:19" x14ac:dyDescent="0.3">
      <c r="A240" t="s">
        <v>798</v>
      </c>
      <c r="B240" t="s">
        <v>22</v>
      </c>
      <c r="C240">
        <v>2026</v>
      </c>
      <c r="D240">
        <v>1</v>
      </c>
      <c r="E240" s="2">
        <v>46030</v>
      </c>
      <c r="F240" t="s">
        <v>7</v>
      </c>
      <c r="G240" t="s">
        <v>8</v>
      </c>
      <c r="H240" t="s">
        <v>74</v>
      </c>
      <c r="I240" t="s">
        <v>82</v>
      </c>
      <c r="J240" t="s">
        <v>83</v>
      </c>
      <c r="K240" t="s">
        <v>73</v>
      </c>
      <c r="L240">
        <v>701000</v>
      </c>
      <c r="M240" t="s">
        <v>62</v>
      </c>
      <c r="N240" t="s">
        <v>33</v>
      </c>
      <c r="O240">
        <v>185</v>
      </c>
      <c r="P240">
        <v>18.489999999999998</v>
      </c>
      <c r="Q240">
        <v>3.42</v>
      </c>
      <c r="R240" t="s">
        <v>1198</v>
      </c>
      <c r="S240" t="s">
        <v>195</v>
      </c>
    </row>
    <row r="241" spans="1:19" x14ac:dyDescent="0.3">
      <c r="A241" t="s">
        <v>799</v>
      </c>
      <c r="B241" t="s">
        <v>22</v>
      </c>
      <c r="C241">
        <v>2026</v>
      </c>
      <c r="D241">
        <v>1</v>
      </c>
      <c r="E241" s="2">
        <v>46030</v>
      </c>
      <c r="F241" t="s">
        <v>7</v>
      </c>
      <c r="G241" t="s">
        <v>8</v>
      </c>
      <c r="H241" t="s">
        <v>74</v>
      </c>
      <c r="I241" t="s">
        <v>82</v>
      </c>
      <c r="J241" t="s">
        <v>83</v>
      </c>
      <c r="K241" t="s">
        <v>73</v>
      </c>
      <c r="L241">
        <v>701000</v>
      </c>
      <c r="M241" t="s">
        <v>62</v>
      </c>
      <c r="N241" t="s">
        <v>33</v>
      </c>
      <c r="O241">
        <v>185</v>
      </c>
      <c r="P241">
        <v>18.59</v>
      </c>
      <c r="Q241">
        <v>3.44</v>
      </c>
      <c r="R241" t="s">
        <v>1197</v>
      </c>
      <c r="S241" t="s">
        <v>195</v>
      </c>
    </row>
    <row r="242" spans="1:19" x14ac:dyDescent="0.3">
      <c r="A242" t="s">
        <v>220</v>
      </c>
      <c r="B242" t="s">
        <v>22</v>
      </c>
      <c r="C242">
        <v>2026</v>
      </c>
      <c r="D242">
        <v>1</v>
      </c>
      <c r="E242" s="2">
        <v>46031</v>
      </c>
      <c r="F242" t="s">
        <v>7</v>
      </c>
      <c r="G242" t="s">
        <v>8</v>
      </c>
      <c r="H242" t="s">
        <v>70</v>
      </c>
      <c r="I242" t="s">
        <v>84</v>
      </c>
      <c r="J242" t="s">
        <v>85</v>
      </c>
      <c r="K242" t="s">
        <v>73</v>
      </c>
      <c r="L242">
        <v>701000</v>
      </c>
      <c r="M242" t="s">
        <v>62</v>
      </c>
      <c r="N242" t="s">
        <v>33</v>
      </c>
      <c r="O242">
        <v>4414</v>
      </c>
      <c r="P242">
        <v>0.95</v>
      </c>
      <c r="Q242">
        <v>4.1900000000000004</v>
      </c>
      <c r="R242" t="s">
        <v>1199</v>
      </c>
      <c r="S242" t="s">
        <v>195</v>
      </c>
    </row>
    <row r="243" spans="1:19" x14ac:dyDescent="0.3">
      <c r="A243" t="s">
        <v>221</v>
      </c>
      <c r="B243" t="s">
        <v>22</v>
      </c>
      <c r="C243">
        <v>2026</v>
      </c>
      <c r="D243">
        <v>1</v>
      </c>
      <c r="E243" s="2">
        <v>46031</v>
      </c>
      <c r="F243" t="s">
        <v>7</v>
      </c>
      <c r="G243" t="s">
        <v>8</v>
      </c>
      <c r="H243" t="s">
        <v>70</v>
      </c>
      <c r="I243" t="s">
        <v>84</v>
      </c>
      <c r="J243" t="s">
        <v>85</v>
      </c>
      <c r="K243" t="s">
        <v>73</v>
      </c>
      <c r="L243">
        <v>701000</v>
      </c>
      <c r="M243" t="s">
        <v>62</v>
      </c>
      <c r="N243" t="s">
        <v>33</v>
      </c>
      <c r="O243">
        <v>2132</v>
      </c>
      <c r="P243">
        <v>0.95</v>
      </c>
      <c r="Q243">
        <v>2.02</v>
      </c>
      <c r="R243" t="s">
        <v>1202</v>
      </c>
      <c r="S243" t="s">
        <v>195</v>
      </c>
    </row>
    <row r="244" spans="1:19" x14ac:dyDescent="0.3">
      <c r="A244" t="s">
        <v>222</v>
      </c>
      <c r="B244" t="s">
        <v>22</v>
      </c>
      <c r="C244">
        <v>2026</v>
      </c>
      <c r="D244">
        <v>1</v>
      </c>
      <c r="E244" s="2">
        <v>46031</v>
      </c>
      <c r="F244" t="s">
        <v>7</v>
      </c>
      <c r="G244" t="s">
        <v>8</v>
      </c>
      <c r="H244" t="s">
        <v>70</v>
      </c>
      <c r="I244" t="s">
        <v>84</v>
      </c>
      <c r="J244" t="s">
        <v>85</v>
      </c>
      <c r="K244" t="s">
        <v>73</v>
      </c>
      <c r="L244">
        <v>701000</v>
      </c>
      <c r="M244" t="s">
        <v>62</v>
      </c>
      <c r="N244" t="s">
        <v>33</v>
      </c>
      <c r="O244">
        <v>7298</v>
      </c>
      <c r="P244">
        <v>0.95</v>
      </c>
      <c r="Q244">
        <v>6.93</v>
      </c>
      <c r="R244" t="s">
        <v>1205</v>
      </c>
      <c r="S244" t="s">
        <v>195</v>
      </c>
    </row>
    <row r="245" spans="1:19" x14ac:dyDescent="0.3">
      <c r="A245" t="s">
        <v>223</v>
      </c>
      <c r="B245" t="s">
        <v>22</v>
      </c>
      <c r="C245">
        <v>2026</v>
      </c>
      <c r="D245">
        <v>1</v>
      </c>
      <c r="E245" s="2">
        <v>46031</v>
      </c>
      <c r="F245" t="s">
        <v>7</v>
      </c>
      <c r="G245" t="s">
        <v>8</v>
      </c>
      <c r="H245" t="s">
        <v>70</v>
      </c>
      <c r="I245" t="s">
        <v>84</v>
      </c>
      <c r="J245" t="s">
        <v>85</v>
      </c>
      <c r="K245" t="s">
        <v>73</v>
      </c>
      <c r="L245">
        <v>701000</v>
      </c>
      <c r="M245" t="s">
        <v>62</v>
      </c>
      <c r="N245" t="s">
        <v>33</v>
      </c>
      <c r="O245">
        <v>1589</v>
      </c>
      <c r="P245">
        <v>0.95</v>
      </c>
      <c r="Q245">
        <v>1.51</v>
      </c>
      <c r="R245" t="s">
        <v>1201</v>
      </c>
      <c r="S245" t="s">
        <v>195</v>
      </c>
    </row>
    <row r="246" spans="1:19" x14ac:dyDescent="0.3">
      <c r="A246" t="s">
        <v>224</v>
      </c>
      <c r="B246" t="s">
        <v>22</v>
      </c>
      <c r="C246">
        <v>2026</v>
      </c>
      <c r="D246">
        <v>1</v>
      </c>
      <c r="E246" s="2">
        <v>46031</v>
      </c>
      <c r="F246" t="s">
        <v>7</v>
      </c>
      <c r="G246" t="s">
        <v>8</v>
      </c>
      <c r="H246" t="s">
        <v>70</v>
      </c>
      <c r="I246" t="s">
        <v>84</v>
      </c>
      <c r="J246" t="s">
        <v>85</v>
      </c>
      <c r="K246" t="s">
        <v>73</v>
      </c>
      <c r="L246">
        <v>701000</v>
      </c>
      <c r="M246" t="s">
        <v>62</v>
      </c>
      <c r="N246" t="s">
        <v>33</v>
      </c>
      <c r="O246">
        <v>4423</v>
      </c>
      <c r="P246">
        <v>0.95</v>
      </c>
      <c r="Q246">
        <v>4.21</v>
      </c>
      <c r="R246" t="s">
        <v>1200</v>
      </c>
      <c r="S246" t="s">
        <v>195</v>
      </c>
    </row>
    <row r="247" spans="1:19" x14ac:dyDescent="0.3">
      <c r="A247" t="s">
        <v>330</v>
      </c>
      <c r="B247" t="s">
        <v>22</v>
      </c>
      <c r="C247">
        <v>2026</v>
      </c>
      <c r="D247">
        <v>1</v>
      </c>
      <c r="E247" s="2">
        <v>46031</v>
      </c>
      <c r="F247" t="s">
        <v>7</v>
      </c>
      <c r="G247" t="s">
        <v>8</v>
      </c>
      <c r="H247" t="s">
        <v>74</v>
      </c>
      <c r="I247" t="s">
        <v>71</v>
      </c>
      <c r="J247" t="s">
        <v>72</v>
      </c>
      <c r="K247" t="s">
        <v>73</v>
      </c>
      <c r="L247">
        <v>701000</v>
      </c>
      <c r="M247" t="s">
        <v>62</v>
      </c>
      <c r="N247" t="s">
        <v>33</v>
      </c>
      <c r="O247">
        <v>2579</v>
      </c>
      <c r="P247">
        <v>1.05</v>
      </c>
      <c r="Q247">
        <v>2.71</v>
      </c>
      <c r="R247" t="s">
        <v>1202</v>
      </c>
      <c r="S247" t="s">
        <v>195</v>
      </c>
    </row>
    <row r="248" spans="1:19" x14ac:dyDescent="0.3">
      <c r="A248" t="s">
        <v>331</v>
      </c>
      <c r="B248" t="s">
        <v>22</v>
      </c>
      <c r="C248">
        <v>2026</v>
      </c>
      <c r="D248">
        <v>1</v>
      </c>
      <c r="E248" s="2">
        <v>46031</v>
      </c>
      <c r="F248" t="s">
        <v>7</v>
      </c>
      <c r="G248" t="s">
        <v>8</v>
      </c>
      <c r="H248" t="s">
        <v>74</v>
      </c>
      <c r="I248" t="s">
        <v>71</v>
      </c>
      <c r="J248" t="s">
        <v>72</v>
      </c>
      <c r="K248" t="s">
        <v>73</v>
      </c>
      <c r="L248">
        <v>701000</v>
      </c>
      <c r="M248" t="s">
        <v>62</v>
      </c>
      <c r="N248" t="s">
        <v>33</v>
      </c>
      <c r="O248">
        <v>5059</v>
      </c>
      <c r="P248">
        <v>1.05</v>
      </c>
      <c r="Q248">
        <v>5.31</v>
      </c>
      <c r="R248" t="s">
        <v>1203</v>
      </c>
      <c r="S248" t="s">
        <v>195</v>
      </c>
    </row>
    <row r="249" spans="1:19" x14ac:dyDescent="0.3">
      <c r="A249" t="s">
        <v>332</v>
      </c>
      <c r="B249" t="s">
        <v>22</v>
      </c>
      <c r="C249">
        <v>2026</v>
      </c>
      <c r="D249">
        <v>1</v>
      </c>
      <c r="E249" s="2">
        <v>46031</v>
      </c>
      <c r="F249" t="s">
        <v>7</v>
      </c>
      <c r="G249" t="s">
        <v>8</v>
      </c>
      <c r="H249" t="s">
        <v>74</v>
      </c>
      <c r="I249" t="s">
        <v>71</v>
      </c>
      <c r="J249" t="s">
        <v>72</v>
      </c>
      <c r="K249" t="s">
        <v>73</v>
      </c>
      <c r="L249">
        <v>701000</v>
      </c>
      <c r="M249" t="s">
        <v>62</v>
      </c>
      <c r="N249" t="s">
        <v>33</v>
      </c>
      <c r="O249">
        <v>2596</v>
      </c>
      <c r="P249">
        <v>1.05</v>
      </c>
      <c r="Q249">
        <v>2.73</v>
      </c>
      <c r="R249" t="s">
        <v>1200</v>
      </c>
      <c r="S249" t="s">
        <v>195</v>
      </c>
    </row>
    <row r="250" spans="1:19" x14ac:dyDescent="0.3">
      <c r="A250" t="s">
        <v>333</v>
      </c>
      <c r="B250" t="s">
        <v>22</v>
      </c>
      <c r="C250">
        <v>2026</v>
      </c>
      <c r="D250">
        <v>1</v>
      </c>
      <c r="E250" s="2">
        <v>46031</v>
      </c>
      <c r="F250" t="s">
        <v>7</v>
      </c>
      <c r="G250" t="s">
        <v>8</v>
      </c>
      <c r="H250" t="s">
        <v>74</v>
      </c>
      <c r="I250" t="s">
        <v>71</v>
      </c>
      <c r="J250" t="s">
        <v>72</v>
      </c>
      <c r="K250" t="s">
        <v>73</v>
      </c>
      <c r="L250">
        <v>701000</v>
      </c>
      <c r="M250" t="s">
        <v>62</v>
      </c>
      <c r="N250" t="s">
        <v>33</v>
      </c>
      <c r="O250">
        <v>2914</v>
      </c>
      <c r="P250">
        <v>1.05</v>
      </c>
      <c r="Q250">
        <v>3.06</v>
      </c>
      <c r="R250" t="s">
        <v>1204</v>
      </c>
      <c r="S250" t="s">
        <v>195</v>
      </c>
    </row>
    <row r="251" spans="1:19" x14ac:dyDescent="0.3">
      <c r="A251" t="s">
        <v>334</v>
      </c>
      <c r="B251" t="s">
        <v>22</v>
      </c>
      <c r="C251">
        <v>2026</v>
      </c>
      <c r="D251">
        <v>1</v>
      </c>
      <c r="E251" s="2">
        <v>46031</v>
      </c>
      <c r="F251" t="s">
        <v>7</v>
      </c>
      <c r="G251" t="s">
        <v>8</v>
      </c>
      <c r="H251" t="s">
        <v>74</v>
      </c>
      <c r="I251" t="s">
        <v>71</v>
      </c>
      <c r="J251" t="s">
        <v>72</v>
      </c>
      <c r="K251" t="s">
        <v>73</v>
      </c>
      <c r="L251">
        <v>701000</v>
      </c>
      <c r="M251" t="s">
        <v>62</v>
      </c>
      <c r="N251" t="s">
        <v>33</v>
      </c>
      <c r="O251">
        <v>6185</v>
      </c>
      <c r="P251">
        <v>1.05</v>
      </c>
      <c r="Q251">
        <v>6.49</v>
      </c>
      <c r="R251" t="s">
        <v>1201</v>
      </c>
      <c r="S251" t="s">
        <v>195</v>
      </c>
    </row>
    <row r="252" spans="1:19" x14ac:dyDescent="0.3">
      <c r="A252" t="s">
        <v>435</v>
      </c>
      <c r="B252" t="s">
        <v>22</v>
      </c>
      <c r="C252">
        <v>2026</v>
      </c>
      <c r="D252">
        <v>1</v>
      </c>
      <c r="E252" s="2">
        <v>46031</v>
      </c>
      <c r="F252" t="s">
        <v>7</v>
      </c>
      <c r="G252" t="s">
        <v>8</v>
      </c>
      <c r="H252" t="s">
        <v>70</v>
      </c>
      <c r="I252" t="s">
        <v>75</v>
      </c>
      <c r="J252" t="s">
        <v>76</v>
      </c>
      <c r="K252" t="s">
        <v>73</v>
      </c>
      <c r="L252">
        <v>701000</v>
      </c>
      <c r="M252" t="s">
        <v>62</v>
      </c>
      <c r="N252" t="s">
        <v>33</v>
      </c>
      <c r="O252">
        <v>3632</v>
      </c>
      <c r="P252">
        <v>1.4</v>
      </c>
      <c r="Q252">
        <v>5.08</v>
      </c>
      <c r="R252" t="s">
        <v>1199</v>
      </c>
      <c r="S252" t="s">
        <v>195</v>
      </c>
    </row>
    <row r="253" spans="1:19" x14ac:dyDescent="0.3">
      <c r="A253" t="s">
        <v>436</v>
      </c>
      <c r="B253" t="s">
        <v>22</v>
      </c>
      <c r="C253">
        <v>2026</v>
      </c>
      <c r="D253">
        <v>1</v>
      </c>
      <c r="E253" s="2">
        <v>46031</v>
      </c>
      <c r="F253" t="s">
        <v>7</v>
      </c>
      <c r="G253" t="s">
        <v>8</v>
      </c>
      <c r="H253" t="s">
        <v>70</v>
      </c>
      <c r="I253" t="s">
        <v>75</v>
      </c>
      <c r="J253" t="s">
        <v>76</v>
      </c>
      <c r="K253" t="s">
        <v>73</v>
      </c>
      <c r="L253">
        <v>701000</v>
      </c>
      <c r="M253" t="s">
        <v>62</v>
      </c>
      <c r="N253" t="s">
        <v>33</v>
      </c>
      <c r="O253">
        <v>2406</v>
      </c>
      <c r="P253">
        <v>1.4</v>
      </c>
      <c r="Q253">
        <v>3.37</v>
      </c>
      <c r="R253" t="s">
        <v>1203</v>
      </c>
      <c r="S253" t="s">
        <v>195</v>
      </c>
    </row>
    <row r="254" spans="1:19" x14ac:dyDescent="0.3">
      <c r="A254" t="s">
        <v>437</v>
      </c>
      <c r="B254" t="s">
        <v>22</v>
      </c>
      <c r="C254">
        <v>2026</v>
      </c>
      <c r="D254">
        <v>1</v>
      </c>
      <c r="E254" s="2">
        <v>46031</v>
      </c>
      <c r="F254" t="s">
        <v>7</v>
      </c>
      <c r="G254" t="s">
        <v>8</v>
      </c>
      <c r="H254" t="s">
        <v>70</v>
      </c>
      <c r="I254" t="s">
        <v>75</v>
      </c>
      <c r="J254" t="s">
        <v>76</v>
      </c>
      <c r="K254" t="s">
        <v>73</v>
      </c>
      <c r="L254">
        <v>701000</v>
      </c>
      <c r="M254" t="s">
        <v>62</v>
      </c>
      <c r="N254" t="s">
        <v>33</v>
      </c>
      <c r="O254">
        <v>156</v>
      </c>
      <c r="P254">
        <v>1.41</v>
      </c>
      <c r="Q254">
        <v>0.22</v>
      </c>
      <c r="R254" t="s">
        <v>1205</v>
      </c>
      <c r="S254" t="s">
        <v>195</v>
      </c>
    </row>
    <row r="255" spans="1:19" x14ac:dyDescent="0.3">
      <c r="A255" t="s">
        <v>438</v>
      </c>
      <c r="B255" t="s">
        <v>22</v>
      </c>
      <c r="C255">
        <v>2026</v>
      </c>
      <c r="D255">
        <v>1</v>
      </c>
      <c r="E255" s="2">
        <v>46031</v>
      </c>
      <c r="F255" t="s">
        <v>7</v>
      </c>
      <c r="G255" t="s">
        <v>8</v>
      </c>
      <c r="H255" t="s">
        <v>70</v>
      </c>
      <c r="I255" t="s">
        <v>75</v>
      </c>
      <c r="J255" t="s">
        <v>76</v>
      </c>
      <c r="K255" t="s">
        <v>73</v>
      </c>
      <c r="L255">
        <v>701000</v>
      </c>
      <c r="M255" t="s">
        <v>62</v>
      </c>
      <c r="N255" t="s">
        <v>33</v>
      </c>
      <c r="O255">
        <v>2001</v>
      </c>
      <c r="P255">
        <v>1.4</v>
      </c>
      <c r="Q255">
        <v>2.8</v>
      </c>
      <c r="R255" t="s">
        <v>1204</v>
      </c>
      <c r="S255" t="s">
        <v>195</v>
      </c>
    </row>
    <row r="256" spans="1:19" x14ac:dyDescent="0.3">
      <c r="A256" t="s">
        <v>439</v>
      </c>
      <c r="B256" t="s">
        <v>22</v>
      </c>
      <c r="C256">
        <v>2026</v>
      </c>
      <c r="D256">
        <v>1</v>
      </c>
      <c r="E256" s="2">
        <v>46031</v>
      </c>
      <c r="F256" t="s">
        <v>7</v>
      </c>
      <c r="G256" t="s">
        <v>8</v>
      </c>
      <c r="H256" t="s">
        <v>70</v>
      </c>
      <c r="I256" t="s">
        <v>75</v>
      </c>
      <c r="J256" t="s">
        <v>76</v>
      </c>
      <c r="K256" t="s">
        <v>73</v>
      </c>
      <c r="L256">
        <v>701000</v>
      </c>
      <c r="M256" t="s">
        <v>62</v>
      </c>
      <c r="N256" t="s">
        <v>33</v>
      </c>
      <c r="O256">
        <v>768</v>
      </c>
      <c r="P256">
        <v>1.41</v>
      </c>
      <c r="Q256">
        <v>1.08</v>
      </c>
      <c r="R256" t="s">
        <v>1202</v>
      </c>
      <c r="S256" t="s">
        <v>195</v>
      </c>
    </row>
    <row r="257" spans="1:19" x14ac:dyDescent="0.3">
      <c r="A257" t="s">
        <v>485</v>
      </c>
      <c r="B257" t="s">
        <v>22</v>
      </c>
      <c r="C257">
        <v>2026</v>
      </c>
      <c r="D257">
        <v>1</v>
      </c>
      <c r="E257" s="2">
        <v>46031</v>
      </c>
      <c r="F257" t="s">
        <v>7</v>
      </c>
      <c r="G257" t="s">
        <v>8</v>
      </c>
      <c r="H257" t="s">
        <v>70</v>
      </c>
      <c r="I257" t="s">
        <v>77</v>
      </c>
      <c r="J257" t="s">
        <v>78</v>
      </c>
      <c r="K257" t="s">
        <v>73</v>
      </c>
      <c r="L257">
        <v>706000</v>
      </c>
      <c r="M257" t="s">
        <v>63</v>
      </c>
      <c r="N257" t="s">
        <v>33</v>
      </c>
      <c r="O257">
        <v>279</v>
      </c>
      <c r="P257">
        <v>1.79</v>
      </c>
      <c r="Q257">
        <v>0.5</v>
      </c>
      <c r="R257" t="s">
        <v>1197</v>
      </c>
      <c r="S257" t="s">
        <v>195</v>
      </c>
    </row>
    <row r="258" spans="1:19" x14ac:dyDescent="0.3">
      <c r="A258" t="s">
        <v>486</v>
      </c>
      <c r="B258" t="s">
        <v>22</v>
      </c>
      <c r="C258">
        <v>2026</v>
      </c>
      <c r="D258">
        <v>1</v>
      </c>
      <c r="E258" s="2">
        <v>46031</v>
      </c>
      <c r="F258" t="s">
        <v>7</v>
      </c>
      <c r="G258" t="s">
        <v>8</v>
      </c>
      <c r="H258" t="s">
        <v>70</v>
      </c>
      <c r="I258" t="s">
        <v>77</v>
      </c>
      <c r="J258" t="s">
        <v>78</v>
      </c>
      <c r="K258" t="s">
        <v>73</v>
      </c>
      <c r="L258">
        <v>706000</v>
      </c>
      <c r="M258" t="s">
        <v>63</v>
      </c>
      <c r="N258" t="s">
        <v>33</v>
      </c>
      <c r="O258">
        <v>917</v>
      </c>
      <c r="P258">
        <v>1.8</v>
      </c>
      <c r="Q258">
        <v>1.65</v>
      </c>
      <c r="R258" t="s">
        <v>1198</v>
      </c>
      <c r="S258" t="s">
        <v>195</v>
      </c>
    </row>
    <row r="259" spans="1:19" x14ac:dyDescent="0.3">
      <c r="A259" t="s">
        <v>487</v>
      </c>
      <c r="B259" t="s">
        <v>22</v>
      </c>
      <c r="C259">
        <v>2026</v>
      </c>
      <c r="D259">
        <v>1</v>
      </c>
      <c r="E259" s="2">
        <v>46031</v>
      </c>
      <c r="F259" t="s">
        <v>7</v>
      </c>
      <c r="G259" t="s">
        <v>8</v>
      </c>
      <c r="H259" t="s">
        <v>70</v>
      </c>
      <c r="I259" t="s">
        <v>77</v>
      </c>
      <c r="J259" t="s">
        <v>78</v>
      </c>
      <c r="K259" t="s">
        <v>73</v>
      </c>
      <c r="L259">
        <v>706000</v>
      </c>
      <c r="M259" t="s">
        <v>63</v>
      </c>
      <c r="N259" t="s">
        <v>33</v>
      </c>
      <c r="O259">
        <v>394</v>
      </c>
      <c r="P259">
        <v>1.8</v>
      </c>
      <c r="Q259">
        <v>0.71</v>
      </c>
      <c r="R259" t="s">
        <v>1199</v>
      </c>
      <c r="S259" t="s">
        <v>195</v>
      </c>
    </row>
    <row r="260" spans="1:19" x14ac:dyDescent="0.3">
      <c r="A260" t="s">
        <v>488</v>
      </c>
      <c r="B260" t="s">
        <v>22</v>
      </c>
      <c r="C260">
        <v>2026</v>
      </c>
      <c r="D260">
        <v>1</v>
      </c>
      <c r="E260" s="2">
        <v>46031</v>
      </c>
      <c r="F260" t="s">
        <v>7</v>
      </c>
      <c r="G260" t="s">
        <v>8</v>
      </c>
      <c r="H260" t="s">
        <v>70</v>
      </c>
      <c r="I260" t="s">
        <v>77</v>
      </c>
      <c r="J260" t="s">
        <v>78</v>
      </c>
      <c r="K260" t="s">
        <v>73</v>
      </c>
      <c r="L260">
        <v>706000</v>
      </c>
      <c r="M260" t="s">
        <v>63</v>
      </c>
      <c r="N260" t="s">
        <v>33</v>
      </c>
      <c r="O260">
        <v>1912</v>
      </c>
      <c r="P260">
        <v>1.8</v>
      </c>
      <c r="Q260">
        <v>3.44</v>
      </c>
      <c r="R260" t="s">
        <v>1201</v>
      </c>
      <c r="S260" t="s">
        <v>195</v>
      </c>
    </row>
    <row r="261" spans="1:19" x14ac:dyDescent="0.3">
      <c r="A261" t="s">
        <v>489</v>
      </c>
      <c r="B261" t="s">
        <v>22</v>
      </c>
      <c r="C261">
        <v>2026</v>
      </c>
      <c r="D261">
        <v>1</v>
      </c>
      <c r="E261" s="2">
        <v>46031</v>
      </c>
      <c r="F261" t="s">
        <v>7</v>
      </c>
      <c r="G261" t="s">
        <v>8</v>
      </c>
      <c r="H261" t="s">
        <v>70</v>
      </c>
      <c r="I261" t="s">
        <v>77</v>
      </c>
      <c r="J261" t="s">
        <v>78</v>
      </c>
      <c r="K261" t="s">
        <v>73</v>
      </c>
      <c r="L261">
        <v>706000</v>
      </c>
      <c r="M261" t="s">
        <v>63</v>
      </c>
      <c r="N261" t="s">
        <v>33</v>
      </c>
      <c r="O261">
        <v>257</v>
      </c>
      <c r="P261">
        <v>1.83</v>
      </c>
      <c r="Q261">
        <v>0.47</v>
      </c>
      <c r="R261" t="s">
        <v>1204</v>
      </c>
      <c r="S261" t="s">
        <v>195</v>
      </c>
    </row>
    <row r="262" spans="1:19" x14ac:dyDescent="0.3">
      <c r="A262" t="s">
        <v>675</v>
      </c>
      <c r="B262" t="s">
        <v>22</v>
      </c>
      <c r="C262">
        <v>2026</v>
      </c>
      <c r="D262">
        <v>1</v>
      </c>
      <c r="E262" s="2">
        <v>46031</v>
      </c>
      <c r="F262" t="s">
        <v>7</v>
      </c>
      <c r="G262" t="s">
        <v>8</v>
      </c>
      <c r="H262" t="s">
        <v>74</v>
      </c>
      <c r="I262" t="s">
        <v>79</v>
      </c>
      <c r="J262" t="s">
        <v>80</v>
      </c>
      <c r="K262" t="s">
        <v>73</v>
      </c>
      <c r="L262">
        <v>701000</v>
      </c>
      <c r="M262" t="s">
        <v>62</v>
      </c>
      <c r="N262" t="s">
        <v>33</v>
      </c>
      <c r="O262">
        <v>358</v>
      </c>
      <c r="P262">
        <v>2.6</v>
      </c>
      <c r="Q262">
        <v>0.93</v>
      </c>
      <c r="R262" t="s">
        <v>1205</v>
      </c>
      <c r="S262" t="s">
        <v>195</v>
      </c>
    </row>
    <row r="263" spans="1:19" x14ac:dyDescent="0.3">
      <c r="A263" t="s">
        <v>676</v>
      </c>
      <c r="B263" t="s">
        <v>22</v>
      </c>
      <c r="C263">
        <v>2026</v>
      </c>
      <c r="D263">
        <v>1</v>
      </c>
      <c r="E263" s="2">
        <v>46031</v>
      </c>
      <c r="F263" t="s">
        <v>7</v>
      </c>
      <c r="G263" t="s">
        <v>8</v>
      </c>
      <c r="H263" t="s">
        <v>74</v>
      </c>
      <c r="I263" t="s">
        <v>79</v>
      </c>
      <c r="J263" t="s">
        <v>80</v>
      </c>
      <c r="K263" t="s">
        <v>73</v>
      </c>
      <c r="L263">
        <v>701000</v>
      </c>
      <c r="M263" t="s">
        <v>62</v>
      </c>
      <c r="N263" t="s">
        <v>33</v>
      </c>
      <c r="O263">
        <v>2897</v>
      </c>
      <c r="P263">
        <v>2.6</v>
      </c>
      <c r="Q263">
        <v>7.53</v>
      </c>
      <c r="R263" t="s">
        <v>1201</v>
      </c>
      <c r="S263" t="s">
        <v>195</v>
      </c>
    </row>
    <row r="264" spans="1:19" x14ac:dyDescent="0.3">
      <c r="A264" t="s">
        <v>677</v>
      </c>
      <c r="B264" t="s">
        <v>22</v>
      </c>
      <c r="C264">
        <v>2026</v>
      </c>
      <c r="D264">
        <v>1</v>
      </c>
      <c r="E264" s="2">
        <v>46031</v>
      </c>
      <c r="F264" t="s">
        <v>7</v>
      </c>
      <c r="G264" t="s">
        <v>8</v>
      </c>
      <c r="H264" t="s">
        <v>74</v>
      </c>
      <c r="I264" t="s">
        <v>79</v>
      </c>
      <c r="J264" t="s">
        <v>80</v>
      </c>
      <c r="K264" t="s">
        <v>73</v>
      </c>
      <c r="L264">
        <v>701000</v>
      </c>
      <c r="M264" t="s">
        <v>62</v>
      </c>
      <c r="N264" t="s">
        <v>33</v>
      </c>
      <c r="O264">
        <v>507</v>
      </c>
      <c r="P264">
        <v>2.6</v>
      </c>
      <c r="Q264">
        <v>1.32</v>
      </c>
      <c r="R264" t="s">
        <v>1203</v>
      </c>
      <c r="S264" t="s">
        <v>195</v>
      </c>
    </row>
    <row r="265" spans="1:19" x14ac:dyDescent="0.3">
      <c r="A265" t="s">
        <v>678</v>
      </c>
      <c r="B265" t="s">
        <v>22</v>
      </c>
      <c r="C265">
        <v>2026</v>
      </c>
      <c r="D265">
        <v>1</v>
      </c>
      <c r="E265" s="2">
        <v>46031</v>
      </c>
      <c r="F265" t="s">
        <v>7</v>
      </c>
      <c r="G265" t="s">
        <v>8</v>
      </c>
      <c r="H265" t="s">
        <v>74</v>
      </c>
      <c r="I265" t="s">
        <v>79</v>
      </c>
      <c r="J265" t="s">
        <v>80</v>
      </c>
      <c r="K265" t="s">
        <v>73</v>
      </c>
      <c r="L265">
        <v>701000</v>
      </c>
      <c r="M265" t="s">
        <v>62</v>
      </c>
      <c r="N265" t="s">
        <v>33</v>
      </c>
      <c r="O265">
        <v>1653</v>
      </c>
      <c r="P265">
        <v>2.6</v>
      </c>
      <c r="Q265">
        <v>4.3</v>
      </c>
      <c r="R265" t="s">
        <v>1197</v>
      </c>
      <c r="S265" t="s">
        <v>195</v>
      </c>
    </row>
    <row r="266" spans="1:19" x14ac:dyDescent="0.3">
      <c r="A266" t="s">
        <v>679</v>
      </c>
      <c r="B266" t="s">
        <v>22</v>
      </c>
      <c r="C266">
        <v>2026</v>
      </c>
      <c r="D266">
        <v>1</v>
      </c>
      <c r="E266" s="2">
        <v>46031</v>
      </c>
      <c r="F266" t="s">
        <v>7</v>
      </c>
      <c r="G266" t="s">
        <v>8</v>
      </c>
      <c r="H266" t="s">
        <v>74</v>
      </c>
      <c r="I266" t="s">
        <v>79</v>
      </c>
      <c r="J266" t="s">
        <v>80</v>
      </c>
      <c r="K266" t="s">
        <v>73</v>
      </c>
      <c r="L266">
        <v>701000</v>
      </c>
      <c r="M266" t="s">
        <v>62</v>
      </c>
      <c r="N266" t="s">
        <v>33</v>
      </c>
      <c r="O266">
        <v>3097</v>
      </c>
      <c r="P266">
        <v>2.6</v>
      </c>
      <c r="Q266">
        <v>8.0500000000000007</v>
      </c>
      <c r="R266" t="s">
        <v>1200</v>
      </c>
      <c r="S266" t="s">
        <v>195</v>
      </c>
    </row>
    <row r="267" spans="1:19" x14ac:dyDescent="0.3">
      <c r="A267" t="s">
        <v>730</v>
      </c>
      <c r="B267" t="s">
        <v>22</v>
      </c>
      <c r="C267">
        <v>2026</v>
      </c>
      <c r="D267">
        <v>1</v>
      </c>
      <c r="E267" s="2">
        <v>46031</v>
      </c>
      <c r="F267" t="s">
        <v>7</v>
      </c>
      <c r="G267" t="s">
        <v>8</v>
      </c>
      <c r="H267" t="s">
        <v>74</v>
      </c>
      <c r="I267" t="s">
        <v>79</v>
      </c>
      <c r="J267" t="s">
        <v>80</v>
      </c>
      <c r="K267" t="s">
        <v>73</v>
      </c>
      <c r="L267">
        <v>701000</v>
      </c>
      <c r="M267" t="s">
        <v>62</v>
      </c>
      <c r="N267" t="s">
        <v>33</v>
      </c>
      <c r="O267">
        <v>2111</v>
      </c>
      <c r="P267">
        <v>2.6</v>
      </c>
      <c r="Q267">
        <v>5.49</v>
      </c>
      <c r="R267" t="s">
        <v>1202</v>
      </c>
      <c r="S267" t="s">
        <v>195</v>
      </c>
    </row>
    <row r="268" spans="1:19" x14ac:dyDescent="0.3">
      <c r="A268" t="s">
        <v>731</v>
      </c>
      <c r="B268" t="s">
        <v>22</v>
      </c>
      <c r="C268">
        <v>2026</v>
      </c>
      <c r="D268">
        <v>1</v>
      </c>
      <c r="E268" s="2">
        <v>46031</v>
      </c>
      <c r="F268" t="s">
        <v>7</v>
      </c>
      <c r="G268" t="s">
        <v>8</v>
      </c>
      <c r="H268" t="s">
        <v>74</v>
      </c>
      <c r="I268" t="s">
        <v>79</v>
      </c>
      <c r="J268" t="s">
        <v>80</v>
      </c>
      <c r="K268" t="s">
        <v>73</v>
      </c>
      <c r="L268">
        <v>701000</v>
      </c>
      <c r="M268" t="s">
        <v>62</v>
      </c>
      <c r="N268" t="s">
        <v>33</v>
      </c>
      <c r="O268">
        <v>1580</v>
      </c>
      <c r="P268">
        <v>2.6</v>
      </c>
      <c r="Q268">
        <v>4.1100000000000003</v>
      </c>
      <c r="R268" t="s">
        <v>1199</v>
      </c>
      <c r="S268" t="s">
        <v>195</v>
      </c>
    </row>
    <row r="269" spans="1:19" x14ac:dyDescent="0.3">
      <c r="A269" t="s">
        <v>732</v>
      </c>
      <c r="B269" t="s">
        <v>22</v>
      </c>
      <c r="C269">
        <v>2026</v>
      </c>
      <c r="D269">
        <v>1</v>
      </c>
      <c r="E269" s="2">
        <v>46031</v>
      </c>
      <c r="F269" t="s">
        <v>7</v>
      </c>
      <c r="G269" t="s">
        <v>8</v>
      </c>
      <c r="H269" t="s">
        <v>74</v>
      </c>
      <c r="I269" t="s">
        <v>79</v>
      </c>
      <c r="J269" t="s">
        <v>80</v>
      </c>
      <c r="K269" t="s">
        <v>73</v>
      </c>
      <c r="L269">
        <v>701000</v>
      </c>
      <c r="M269" t="s">
        <v>62</v>
      </c>
      <c r="N269" t="s">
        <v>33</v>
      </c>
      <c r="O269">
        <v>2131</v>
      </c>
      <c r="P269">
        <v>2.6</v>
      </c>
      <c r="Q269">
        <v>5.54</v>
      </c>
      <c r="R269" t="s">
        <v>1205</v>
      </c>
      <c r="S269" t="s">
        <v>195</v>
      </c>
    </row>
    <row r="270" spans="1:19" x14ac:dyDescent="0.3">
      <c r="A270" t="s">
        <v>733</v>
      </c>
      <c r="B270" t="s">
        <v>22</v>
      </c>
      <c r="C270">
        <v>2026</v>
      </c>
      <c r="D270">
        <v>1</v>
      </c>
      <c r="E270" s="2">
        <v>46031</v>
      </c>
      <c r="F270" t="s">
        <v>7</v>
      </c>
      <c r="G270" t="s">
        <v>8</v>
      </c>
      <c r="H270" t="s">
        <v>74</v>
      </c>
      <c r="I270" t="s">
        <v>79</v>
      </c>
      <c r="J270" t="s">
        <v>80</v>
      </c>
      <c r="K270" t="s">
        <v>73</v>
      </c>
      <c r="L270">
        <v>701000</v>
      </c>
      <c r="M270" t="s">
        <v>62</v>
      </c>
      <c r="N270" t="s">
        <v>33</v>
      </c>
      <c r="O270">
        <v>871</v>
      </c>
      <c r="P270">
        <v>2.59</v>
      </c>
      <c r="Q270">
        <v>2.2599999999999998</v>
      </c>
      <c r="R270" t="s">
        <v>1200</v>
      </c>
      <c r="S270" t="s">
        <v>195</v>
      </c>
    </row>
    <row r="271" spans="1:19" x14ac:dyDescent="0.3">
      <c r="A271" t="s">
        <v>734</v>
      </c>
      <c r="B271" t="s">
        <v>22</v>
      </c>
      <c r="C271">
        <v>2026</v>
      </c>
      <c r="D271">
        <v>1</v>
      </c>
      <c r="E271" s="2">
        <v>46031</v>
      </c>
      <c r="F271" t="s">
        <v>7</v>
      </c>
      <c r="G271" t="s">
        <v>8</v>
      </c>
      <c r="H271" t="s">
        <v>74</v>
      </c>
      <c r="I271" t="s">
        <v>79</v>
      </c>
      <c r="J271" t="s">
        <v>80</v>
      </c>
      <c r="K271" t="s">
        <v>73</v>
      </c>
      <c r="L271">
        <v>701000</v>
      </c>
      <c r="M271" t="s">
        <v>62</v>
      </c>
      <c r="N271" t="s">
        <v>33</v>
      </c>
      <c r="O271">
        <v>1301</v>
      </c>
      <c r="P271">
        <v>2.6</v>
      </c>
      <c r="Q271">
        <v>3.38</v>
      </c>
      <c r="R271" t="s">
        <v>1197</v>
      </c>
      <c r="S271" t="s">
        <v>195</v>
      </c>
    </row>
    <row r="272" spans="1:19" x14ac:dyDescent="0.3">
      <c r="A272" t="s">
        <v>780</v>
      </c>
      <c r="B272" t="s">
        <v>22</v>
      </c>
      <c r="C272">
        <v>2026</v>
      </c>
      <c r="D272">
        <v>1</v>
      </c>
      <c r="E272" s="2">
        <v>46031</v>
      </c>
      <c r="F272" t="s">
        <v>7</v>
      </c>
      <c r="G272" t="s">
        <v>8</v>
      </c>
      <c r="H272" t="s">
        <v>74</v>
      </c>
      <c r="I272" t="s">
        <v>82</v>
      </c>
      <c r="J272" t="s">
        <v>83</v>
      </c>
      <c r="K272" t="s">
        <v>73</v>
      </c>
      <c r="L272">
        <v>701000</v>
      </c>
      <c r="M272" t="s">
        <v>62</v>
      </c>
      <c r="N272" t="s">
        <v>33</v>
      </c>
      <c r="O272">
        <v>143</v>
      </c>
      <c r="P272">
        <v>18.46</v>
      </c>
      <c r="Q272">
        <v>2.64</v>
      </c>
      <c r="R272" t="s">
        <v>1205</v>
      </c>
      <c r="S272" t="s">
        <v>195</v>
      </c>
    </row>
    <row r="273" spans="1:19" x14ac:dyDescent="0.3">
      <c r="A273" t="s">
        <v>781</v>
      </c>
      <c r="B273" t="s">
        <v>22</v>
      </c>
      <c r="C273">
        <v>2026</v>
      </c>
      <c r="D273">
        <v>1</v>
      </c>
      <c r="E273" s="2">
        <v>46031</v>
      </c>
      <c r="F273" t="s">
        <v>7</v>
      </c>
      <c r="G273" t="s">
        <v>8</v>
      </c>
      <c r="H273" t="s">
        <v>74</v>
      </c>
      <c r="I273" t="s">
        <v>82</v>
      </c>
      <c r="J273" t="s">
        <v>83</v>
      </c>
      <c r="K273" t="s">
        <v>73</v>
      </c>
      <c r="L273">
        <v>701000</v>
      </c>
      <c r="M273" t="s">
        <v>62</v>
      </c>
      <c r="N273" t="s">
        <v>33</v>
      </c>
      <c r="O273">
        <v>148</v>
      </c>
      <c r="P273">
        <v>18.510000000000002</v>
      </c>
      <c r="Q273">
        <v>2.74</v>
      </c>
      <c r="R273" t="s">
        <v>1199</v>
      </c>
      <c r="S273" t="s">
        <v>195</v>
      </c>
    </row>
    <row r="274" spans="1:19" x14ac:dyDescent="0.3">
      <c r="A274" t="s">
        <v>782</v>
      </c>
      <c r="B274" t="s">
        <v>22</v>
      </c>
      <c r="C274">
        <v>2026</v>
      </c>
      <c r="D274">
        <v>1</v>
      </c>
      <c r="E274" s="2">
        <v>46031</v>
      </c>
      <c r="F274" t="s">
        <v>7</v>
      </c>
      <c r="G274" t="s">
        <v>8</v>
      </c>
      <c r="H274" t="s">
        <v>74</v>
      </c>
      <c r="I274" t="s">
        <v>82</v>
      </c>
      <c r="J274" t="s">
        <v>83</v>
      </c>
      <c r="K274" t="s">
        <v>73</v>
      </c>
      <c r="L274">
        <v>701000</v>
      </c>
      <c r="M274" t="s">
        <v>62</v>
      </c>
      <c r="N274" t="s">
        <v>33</v>
      </c>
      <c r="O274">
        <v>13</v>
      </c>
      <c r="P274">
        <v>18.46</v>
      </c>
      <c r="Q274">
        <v>0.24</v>
      </c>
      <c r="R274" t="s">
        <v>1198</v>
      </c>
      <c r="S274" t="s">
        <v>195</v>
      </c>
    </row>
    <row r="275" spans="1:19" x14ac:dyDescent="0.3">
      <c r="A275" t="s">
        <v>783</v>
      </c>
      <c r="B275" t="s">
        <v>22</v>
      </c>
      <c r="C275">
        <v>2026</v>
      </c>
      <c r="D275">
        <v>1</v>
      </c>
      <c r="E275" s="2">
        <v>46031</v>
      </c>
      <c r="F275" t="s">
        <v>7</v>
      </c>
      <c r="G275" t="s">
        <v>8</v>
      </c>
      <c r="H275" t="s">
        <v>74</v>
      </c>
      <c r="I275" t="s">
        <v>82</v>
      </c>
      <c r="J275" t="s">
        <v>83</v>
      </c>
      <c r="K275" t="s">
        <v>73</v>
      </c>
      <c r="L275">
        <v>701000</v>
      </c>
      <c r="M275" t="s">
        <v>62</v>
      </c>
      <c r="N275" t="s">
        <v>33</v>
      </c>
      <c r="O275">
        <v>245</v>
      </c>
      <c r="P275">
        <v>18.489999999999998</v>
      </c>
      <c r="Q275">
        <v>4.53</v>
      </c>
      <c r="R275" t="s">
        <v>1197</v>
      </c>
      <c r="S275" t="s">
        <v>195</v>
      </c>
    </row>
    <row r="276" spans="1:19" x14ac:dyDescent="0.3">
      <c r="A276" t="s">
        <v>784</v>
      </c>
      <c r="B276" t="s">
        <v>22</v>
      </c>
      <c r="C276">
        <v>2026</v>
      </c>
      <c r="D276">
        <v>1</v>
      </c>
      <c r="E276" s="2">
        <v>46031</v>
      </c>
      <c r="F276" t="s">
        <v>7</v>
      </c>
      <c r="G276" t="s">
        <v>8</v>
      </c>
      <c r="H276" t="s">
        <v>74</v>
      </c>
      <c r="I276" t="s">
        <v>82</v>
      </c>
      <c r="J276" t="s">
        <v>83</v>
      </c>
      <c r="K276" t="s">
        <v>73</v>
      </c>
      <c r="L276">
        <v>701000</v>
      </c>
      <c r="M276" t="s">
        <v>62</v>
      </c>
      <c r="N276" t="s">
        <v>33</v>
      </c>
      <c r="O276">
        <v>128</v>
      </c>
      <c r="P276">
        <v>18.59</v>
      </c>
      <c r="Q276">
        <v>2.38</v>
      </c>
      <c r="R276" t="s">
        <v>1201</v>
      </c>
      <c r="S276" t="s">
        <v>195</v>
      </c>
    </row>
    <row r="277" spans="1:19" x14ac:dyDescent="0.3">
      <c r="A277" t="s">
        <v>850</v>
      </c>
      <c r="B277" t="s">
        <v>22</v>
      </c>
      <c r="C277">
        <v>2026</v>
      </c>
      <c r="D277">
        <v>1</v>
      </c>
      <c r="E277" s="2">
        <v>46031</v>
      </c>
      <c r="F277" t="s">
        <v>7</v>
      </c>
      <c r="G277" t="s">
        <v>8</v>
      </c>
      <c r="H277" t="s">
        <v>74</v>
      </c>
      <c r="I277" t="s">
        <v>82</v>
      </c>
      <c r="J277" t="s">
        <v>83</v>
      </c>
      <c r="K277" t="s">
        <v>73</v>
      </c>
      <c r="L277">
        <v>701000</v>
      </c>
      <c r="M277" t="s">
        <v>62</v>
      </c>
      <c r="N277" t="s">
        <v>33</v>
      </c>
      <c r="O277">
        <v>191</v>
      </c>
      <c r="P277">
        <v>18.53</v>
      </c>
      <c r="Q277">
        <v>3.54</v>
      </c>
      <c r="R277" t="s">
        <v>1204</v>
      </c>
      <c r="S277" t="s">
        <v>195</v>
      </c>
    </row>
    <row r="278" spans="1:19" x14ac:dyDescent="0.3">
      <c r="A278" t="s">
        <v>851</v>
      </c>
      <c r="B278" t="s">
        <v>22</v>
      </c>
      <c r="C278">
        <v>2026</v>
      </c>
      <c r="D278">
        <v>1</v>
      </c>
      <c r="E278" s="2">
        <v>46031</v>
      </c>
      <c r="F278" t="s">
        <v>7</v>
      </c>
      <c r="G278" t="s">
        <v>8</v>
      </c>
      <c r="H278" t="s">
        <v>74</v>
      </c>
      <c r="I278" t="s">
        <v>82</v>
      </c>
      <c r="J278" t="s">
        <v>83</v>
      </c>
      <c r="K278" t="s">
        <v>73</v>
      </c>
      <c r="L278">
        <v>701000</v>
      </c>
      <c r="M278" t="s">
        <v>62</v>
      </c>
      <c r="N278" t="s">
        <v>33</v>
      </c>
      <c r="O278">
        <v>71</v>
      </c>
      <c r="P278">
        <v>18.59</v>
      </c>
      <c r="Q278">
        <v>1.32</v>
      </c>
      <c r="R278" t="s">
        <v>1198</v>
      </c>
      <c r="S278" t="s">
        <v>195</v>
      </c>
    </row>
    <row r="279" spans="1:19" x14ac:dyDescent="0.3">
      <c r="A279" t="s">
        <v>852</v>
      </c>
      <c r="B279" t="s">
        <v>22</v>
      </c>
      <c r="C279">
        <v>2026</v>
      </c>
      <c r="D279">
        <v>1</v>
      </c>
      <c r="E279" s="2">
        <v>46031</v>
      </c>
      <c r="F279" t="s">
        <v>7</v>
      </c>
      <c r="G279" t="s">
        <v>8</v>
      </c>
      <c r="H279" t="s">
        <v>74</v>
      </c>
      <c r="I279" t="s">
        <v>82</v>
      </c>
      <c r="J279" t="s">
        <v>83</v>
      </c>
      <c r="K279" t="s">
        <v>73</v>
      </c>
      <c r="L279">
        <v>701000</v>
      </c>
      <c r="M279" t="s">
        <v>62</v>
      </c>
      <c r="N279" t="s">
        <v>33</v>
      </c>
      <c r="O279">
        <v>75</v>
      </c>
      <c r="P279">
        <v>18.53</v>
      </c>
      <c r="Q279">
        <v>1.39</v>
      </c>
      <c r="R279" t="s">
        <v>1205</v>
      </c>
      <c r="S279" t="s">
        <v>195</v>
      </c>
    </row>
    <row r="280" spans="1:19" x14ac:dyDescent="0.3">
      <c r="A280" t="s">
        <v>853</v>
      </c>
      <c r="B280" t="s">
        <v>22</v>
      </c>
      <c r="C280">
        <v>2026</v>
      </c>
      <c r="D280">
        <v>1</v>
      </c>
      <c r="E280" s="2">
        <v>46031</v>
      </c>
      <c r="F280" t="s">
        <v>7</v>
      </c>
      <c r="G280" t="s">
        <v>8</v>
      </c>
      <c r="H280" t="s">
        <v>74</v>
      </c>
      <c r="I280" t="s">
        <v>82</v>
      </c>
      <c r="J280" t="s">
        <v>83</v>
      </c>
      <c r="K280" t="s">
        <v>73</v>
      </c>
      <c r="L280">
        <v>701000</v>
      </c>
      <c r="M280" t="s">
        <v>62</v>
      </c>
      <c r="N280" t="s">
        <v>33</v>
      </c>
      <c r="O280">
        <v>143</v>
      </c>
      <c r="P280">
        <v>18.600000000000001</v>
      </c>
      <c r="Q280">
        <v>2.66</v>
      </c>
      <c r="R280" t="s">
        <v>1200</v>
      </c>
      <c r="S280" t="s">
        <v>195</v>
      </c>
    </row>
    <row r="281" spans="1:19" x14ac:dyDescent="0.3">
      <c r="A281" t="s">
        <v>854</v>
      </c>
      <c r="B281" t="s">
        <v>22</v>
      </c>
      <c r="C281">
        <v>2026</v>
      </c>
      <c r="D281">
        <v>1</v>
      </c>
      <c r="E281" s="2">
        <v>46031</v>
      </c>
      <c r="F281" t="s">
        <v>7</v>
      </c>
      <c r="G281" t="s">
        <v>8</v>
      </c>
      <c r="H281" t="s">
        <v>74</v>
      </c>
      <c r="I281" t="s">
        <v>82</v>
      </c>
      <c r="J281" t="s">
        <v>83</v>
      </c>
      <c r="K281" t="s">
        <v>73</v>
      </c>
      <c r="L281">
        <v>701000</v>
      </c>
      <c r="M281" t="s">
        <v>62</v>
      </c>
      <c r="N281" t="s">
        <v>33</v>
      </c>
      <c r="O281">
        <v>126</v>
      </c>
      <c r="P281">
        <v>18.329999999999998</v>
      </c>
      <c r="Q281">
        <v>2.31</v>
      </c>
      <c r="R281" t="s">
        <v>1201</v>
      </c>
      <c r="S281" t="s">
        <v>195</v>
      </c>
    </row>
    <row r="282" spans="1:19" x14ac:dyDescent="0.3">
      <c r="A282" t="s">
        <v>415</v>
      </c>
      <c r="B282" t="s">
        <v>22</v>
      </c>
      <c r="C282">
        <v>2026</v>
      </c>
      <c r="D282">
        <v>1</v>
      </c>
      <c r="E282" s="2">
        <v>46032</v>
      </c>
      <c r="F282" t="s">
        <v>7</v>
      </c>
      <c r="G282" t="s">
        <v>8</v>
      </c>
      <c r="H282" t="s">
        <v>70</v>
      </c>
      <c r="I282" t="s">
        <v>75</v>
      </c>
      <c r="J282" t="s">
        <v>76</v>
      </c>
      <c r="K282" t="s">
        <v>73</v>
      </c>
      <c r="L282">
        <v>701000</v>
      </c>
      <c r="M282" t="s">
        <v>62</v>
      </c>
      <c r="N282" t="s">
        <v>33</v>
      </c>
      <c r="O282">
        <v>736</v>
      </c>
      <c r="P282">
        <v>1.4</v>
      </c>
      <c r="Q282">
        <v>1.03</v>
      </c>
      <c r="R282" t="s">
        <v>1199</v>
      </c>
      <c r="S282" t="s">
        <v>195</v>
      </c>
    </row>
    <row r="283" spans="1:19" x14ac:dyDescent="0.3">
      <c r="A283" t="s">
        <v>416</v>
      </c>
      <c r="B283" t="s">
        <v>22</v>
      </c>
      <c r="C283">
        <v>2026</v>
      </c>
      <c r="D283">
        <v>1</v>
      </c>
      <c r="E283" s="2">
        <v>46032</v>
      </c>
      <c r="F283" t="s">
        <v>7</v>
      </c>
      <c r="G283" t="s">
        <v>8</v>
      </c>
      <c r="H283" t="s">
        <v>70</v>
      </c>
      <c r="I283" t="s">
        <v>75</v>
      </c>
      <c r="J283" t="s">
        <v>76</v>
      </c>
      <c r="K283" t="s">
        <v>73</v>
      </c>
      <c r="L283">
        <v>701000</v>
      </c>
      <c r="M283" t="s">
        <v>62</v>
      </c>
      <c r="N283" t="s">
        <v>33</v>
      </c>
      <c r="O283">
        <v>2695</v>
      </c>
      <c r="P283">
        <v>1.4</v>
      </c>
      <c r="Q283">
        <v>3.77</v>
      </c>
      <c r="R283" t="s">
        <v>1204</v>
      </c>
      <c r="S283" t="s">
        <v>195</v>
      </c>
    </row>
    <row r="284" spans="1:19" x14ac:dyDescent="0.3">
      <c r="A284" t="s">
        <v>417</v>
      </c>
      <c r="B284" t="s">
        <v>22</v>
      </c>
      <c r="C284">
        <v>2026</v>
      </c>
      <c r="D284">
        <v>1</v>
      </c>
      <c r="E284" s="2">
        <v>46032</v>
      </c>
      <c r="F284" t="s">
        <v>7</v>
      </c>
      <c r="G284" t="s">
        <v>8</v>
      </c>
      <c r="H284" t="s">
        <v>70</v>
      </c>
      <c r="I284" t="s">
        <v>75</v>
      </c>
      <c r="J284" t="s">
        <v>76</v>
      </c>
      <c r="K284" t="s">
        <v>73</v>
      </c>
      <c r="L284">
        <v>701000</v>
      </c>
      <c r="M284" t="s">
        <v>62</v>
      </c>
      <c r="N284" t="s">
        <v>33</v>
      </c>
      <c r="O284">
        <v>2164</v>
      </c>
      <c r="P284">
        <v>1.4</v>
      </c>
      <c r="Q284">
        <v>3.03</v>
      </c>
      <c r="R284" t="s">
        <v>1202</v>
      </c>
      <c r="S284" t="s">
        <v>195</v>
      </c>
    </row>
    <row r="285" spans="1:19" x14ac:dyDescent="0.3">
      <c r="A285" t="s">
        <v>418</v>
      </c>
      <c r="B285" t="s">
        <v>22</v>
      </c>
      <c r="C285">
        <v>2026</v>
      </c>
      <c r="D285">
        <v>1</v>
      </c>
      <c r="E285" s="2">
        <v>46032</v>
      </c>
      <c r="F285" t="s">
        <v>7</v>
      </c>
      <c r="G285" t="s">
        <v>8</v>
      </c>
      <c r="H285" t="s">
        <v>70</v>
      </c>
      <c r="I285" t="s">
        <v>75</v>
      </c>
      <c r="J285" t="s">
        <v>76</v>
      </c>
      <c r="K285" t="s">
        <v>73</v>
      </c>
      <c r="L285">
        <v>701000</v>
      </c>
      <c r="M285" t="s">
        <v>62</v>
      </c>
      <c r="N285" t="s">
        <v>33</v>
      </c>
      <c r="O285">
        <v>537</v>
      </c>
      <c r="P285">
        <v>1.4</v>
      </c>
      <c r="Q285">
        <v>0.75</v>
      </c>
      <c r="R285" t="s">
        <v>1197</v>
      </c>
      <c r="S285" t="s">
        <v>195</v>
      </c>
    </row>
    <row r="286" spans="1:19" x14ac:dyDescent="0.3">
      <c r="A286" t="s">
        <v>419</v>
      </c>
      <c r="B286" t="s">
        <v>22</v>
      </c>
      <c r="C286">
        <v>2026</v>
      </c>
      <c r="D286">
        <v>1</v>
      </c>
      <c r="E286" s="2">
        <v>46032</v>
      </c>
      <c r="F286" t="s">
        <v>7</v>
      </c>
      <c r="G286" t="s">
        <v>8</v>
      </c>
      <c r="H286" t="s">
        <v>70</v>
      </c>
      <c r="I286" t="s">
        <v>75</v>
      </c>
      <c r="J286" t="s">
        <v>76</v>
      </c>
      <c r="K286" t="s">
        <v>73</v>
      </c>
      <c r="L286">
        <v>701000</v>
      </c>
      <c r="M286" t="s">
        <v>62</v>
      </c>
      <c r="N286" t="s">
        <v>33</v>
      </c>
      <c r="O286">
        <v>972</v>
      </c>
      <c r="P286">
        <v>1.41</v>
      </c>
      <c r="Q286">
        <v>1.37</v>
      </c>
      <c r="R286" t="s">
        <v>1205</v>
      </c>
      <c r="S286" t="s">
        <v>195</v>
      </c>
    </row>
    <row r="287" spans="1:19" x14ac:dyDescent="0.3">
      <c r="A287" t="s">
        <v>455</v>
      </c>
      <c r="B287" t="s">
        <v>22</v>
      </c>
      <c r="C287">
        <v>2026</v>
      </c>
      <c r="D287">
        <v>1</v>
      </c>
      <c r="E287" s="2">
        <v>46032</v>
      </c>
      <c r="F287" t="s">
        <v>7</v>
      </c>
      <c r="G287" t="s">
        <v>8</v>
      </c>
      <c r="H287" t="s">
        <v>70</v>
      </c>
      <c r="I287" t="s">
        <v>75</v>
      </c>
      <c r="J287" t="s">
        <v>76</v>
      </c>
      <c r="K287" t="s">
        <v>73</v>
      </c>
      <c r="L287">
        <v>701000</v>
      </c>
      <c r="M287" t="s">
        <v>62</v>
      </c>
      <c r="N287" t="s">
        <v>33</v>
      </c>
      <c r="O287">
        <v>613</v>
      </c>
      <c r="P287">
        <v>1.4</v>
      </c>
      <c r="Q287">
        <v>0.86</v>
      </c>
      <c r="R287" t="s">
        <v>1205</v>
      </c>
      <c r="S287" t="s">
        <v>195</v>
      </c>
    </row>
    <row r="288" spans="1:19" x14ac:dyDescent="0.3">
      <c r="A288" t="s">
        <v>456</v>
      </c>
      <c r="B288" t="s">
        <v>22</v>
      </c>
      <c r="C288">
        <v>2026</v>
      </c>
      <c r="D288">
        <v>1</v>
      </c>
      <c r="E288" s="2">
        <v>46032</v>
      </c>
      <c r="F288" t="s">
        <v>7</v>
      </c>
      <c r="G288" t="s">
        <v>8</v>
      </c>
      <c r="H288" t="s">
        <v>70</v>
      </c>
      <c r="I288" t="s">
        <v>75</v>
      </c>
      <c r="J288" t="s">
        <v>76</v>
      </c>
      <c r="K288" t="s">
        <v>73</v>
      </c>
      <c r="L288">
        <v>701000</v>
      </c>
      <c r="M288" t="s">
        <v>62</v>
      </c>
      <c r="N288" t="s">
        <v>33</v>
      </c>
      <c r="O288">
        <v>607</v>
      </c>
      <c r="P288">
        <v>1.4</v>
      </c>
      <c r="Q288">
        <v>0.85</v>
      </c>
      <c r="R288" t="s">
        <v>1199</v>
      </c>
      <c r="S288" t="s">
        <v>195</v>
      </c>
    </row>
    <row r="289" spans="1:19" x14ac:dyDescent="0.3">
      <c r="A289" t="s">
        <v>457</v>
      </c>
      <c r="B289" t="s">
        <v>22</v>
      </c>
      <c r="C289">
        <v>2026</v>
      </c>
      <c r="D289">
        <v>1</v>
      </c>
      <c r="E289" s="2">
        <v>46032</v>
      </c>
      <c r="F289" t="s">
        <v>7</v>
      </c>
      <c r="G289" t="s">
        <v>8</v>
      </c>
      <c r="H289" t="s">
        <v>70</v>
      </c>
      <c r="I289" t="s">
        <v>75</v>
      </c>
      <c r="J289" t="s">
        <v>76</v>
      </c>
      <c r="K289" t="s">
        <v>73</v>
      </c>
      <c r="L289">
        <v>701000</v>
      </c>
      <c r="M289" t="s">
        <v>62</v>
      </c>
      <c r="N289" t="s">
        <v>33</v>
      </c>
      <c r="O289">
        <v>3237</v>
      </c>
      <c r="P289">
        <v>1.4</v>
      </c>
      <c r="Q289">
        <v>4.53</v>
      </c>
      <c r="R289" t="s">
        <v>1204</v>
      </c>
      <c r="S289" t="s">
        <v>195</v>
      </c>
    </row>
    <row r="290" spans="1:19" x14ac:dyDescent="0.3">
      <c r="A290" t="s">
        <v>458</v>
      </c>
      <c r="B290" t="s">
        <v>22</v>
      </c>
      <c r="C290">
        <v>2026</v>
      </c>
      <c r="D290">
        <v>1</v>
      </c>
      <c r="E290" s="2">
        <v>46032</v>
      </c>
      <c r="F290" t="s">
        <v>7</v>
      </c>
      <c r="G290" t="s">
        <v>8</v>
      </c>
      <c r="H290" t="s">
        <v>70</v>
      </c>
      <c r="I290" t="s">
        <v>75</v>
      </c>
      <c r="J290" t="s">
        <v>76</v>
      </c>
      <c r="K290" t="s">
        <v>73</v>
      </c>
      <c r="L290">
        <v>701000</v>
      </c>
      <c r="M290" t="s">
        <v>62</v>
      </c>
      <c r="N290" t="s">
        <v>33</v>
      </c>
      <c r="O290">
        <v>3396</v>
      </c>
      <c r="P290">
        <v>1.4</v>
      </c>
      <c r="Q290">
        <v>4.75</v>
      </c>
      <c r="R290" t="s">
        <v>1200</v>
      </c>
      <c r="S290" t="s">
        <v>195</v>
      </c>
    </row>
    <row r="291" spans="1:19" x14ac:dyDescent="0.3">
      <c r="A291" t="s">
        <v>459</v>
      </c>
      <c r="B291" t="s">
        <v>22</v>
      </c>
      <c r="C291">
        <v>2026</v>
      </c>
      <c r="D291">
        <v>1</v>
      </c>
      <c r="E291" s="2">
        <v>46032</v>
      </c>
      <c r="F291" t="s">
        <v>7</v>
      </c>
      <c r="G291" t="s">
        <v>8</v>
      </c>
      <c r="H291" t="s">
        <v>70</v>
      </c>
      <c r="I291" t="s">
        <v>75</v>
      </c>
      <c r="J291" t="s">
        <v>76</v>
      </c>
      <c r="K291" t="s">
        <v>73</v>
      </c>
      <c r="L291">
        <v>701000</v>
      </c>
      <c r="M291" t="s">
        <v>62</v>
      </c>
      <c r="N291" t="s">
        <v>33</v>
      </c>
      <c r="O291">
        <v>942</v>
      </c>
      <c r="P291">
        <v>1.4</v>
      </c>
      <c r="Q291">
        <v>1.32</v>
      </c>
      <c r="R291" t="s">
        <v>1197</v>
      </c>
      <c r="S291" t="s">
        <v>195</v>
      </c>
    </row>
    <row r="292" spans="1:19" x14ac:dyDescent="0.3">
      <c r="A292" t="s">
        <v>595</v>
      </c>
      <c r="B292" t="s">
        <v>22</v>
      </c>
      <c r="C292">
        <v>2026</v>
      </c>
      <c r="D292">
        <v>1</v>
      </c>
      <c r="E292" s="2">
        <v>46032</v>
      </c>
      <c r="F292" t="s">
        <v>7</v>
      </c>
      <c r="G292" t="s">
        <v>8</v>
      </c>
      <c r="H292" t="s">
        <v>70</v>
      </c>
      <c r="I292" t="s">
        <v>77</v>
      </c>
      <c r="J292" t="s">
        <v>78</v>
      </c>
      <c r="K292" t="s">
        <v>73</v>
      </c>
      <c r="L292">
        <v>701000</v>
      </c>
      <c r="M292" t="s">
        <v>62</v>
      </c>
      <c r="N292" t="s">
        <v>33</v>
      </c>
      <c r="O292">
        <v>1567</v>
      </c>
      <c r="P292">
        <v>1.8</v>
      </c>
      <c r="Q292">
        <v>2.82</v>
      </c>
      <c r="R292" t="s">
        <v>1205</v>
      </c>
      <c r="S292" t="s">
        <v>195</v>
      </c>
    </row>
    <row r="293" spans="1:19" x14ac:dyDescent="0.3">
      <c r="A293" t="s">
        <v>596</v>
      </c>
      <c r="B293" t="s">
        <v>22</v>
      </c>
      <c r="C293">
        <v>2026</v>
      </c>
      <c r="D293">
        <v>1</v>
      </c>
      <c r="E293" s="2">
        <v>46032</v>
      </c>
      <c r="F293" t="s">
        <v>7</v>
      </c>
      <c r="G293" t="s">
        <v>8</v>
      </c>
      <c r="H293" t="s">
        <v>70</v>
      </c>
      <c r="I293" t="s">
        <v>77</v>
      </c>
      <c r="J293" t="s">
        <v>78</v>
      </c>
      <c r="K293" t="s">
        <v>73</v>
      </c>
      <c r="L293">
        <v>701000</v>
      </c>
      <c r="M293" t="s">
        <v>62</v>
      </c>
      <c r="N293" t="s">
        <v>33</v>
      </c>
      <c r="O293">
        <v>902</v>
      </c>
      <c r="P293">
        <v>1.8</v>
      </c>
      <c r="Q293">
        <v>1.62</v>
      </c>
      <c r="R293" t="s">
        <v>1197</v>
      </c>
      <c r="S293" t="s">
        <v>195</v>
      </c>
    </row>
    <row r="294" spans="1:19" x14ac:dyDescent="0.3">
      <c r="A294" t="s">
        <v>597</v>
      </c>
      <c r="B294" t="s">
        <v>22</v>
      </c>
      <c r="C294">
        <v>2026</v>
      </c>
      <c r="D294">
        <v>1</v>
      </c>
      <c r="E294" s="2">
        <v>46032</v>
      </c>
      <c r="F294" t="s">
        <v>7</v>
      </c>
      <c r="G294" t="s">
        <v>8</v>
      </c>
      <c r="H294" t="s">
        <v>70</v>
      </c>
      <c r="I294" t="s">
        <v>77</v>
      </c>
      <c r="J294" t="s">
        <v>78</v>
      </c>
      <c r="K294" t="s">
        <v>73</v>
      </c>
      <c r="L294">
        <v>701000</v>
      </c>
      <c r="M294" t="s">
        <v>62</v>
      </c>
      <c r="N294" t="s">
        <v>33</v>
      </c>
      <c r="O294">
        <v>76</v>
      </c>
      <c r="P294">
        <v>1.84</v>
      </c>
      <c r="Q294">
        <v>0.14000000000000001</v>
      </c>
      <c r="R294" t="s">
        <v>1202</v>
      </c>
      <c r="S294" t="s">
        <v>195</v>
      </c>
    </row>
    <row r="295" spans="1:19" x14ac:dyDescent="0.3">
      <c r="A295" t="s">
        <v>598</v>
      </c>
      <c r="B295" t="s">
        <v>22</v>
      </c>
      <c r="C295">
        <v>2026</v>
      </c>
      <c r="D295">
        <v>1</v>
      </c>
      <c r="E295" s="2">
        <v>46032</v>
      </c>
      <c r="F295" t="s">
        <v>7</v>
      </c>
      <c r="G295" t="s">
        <v>8</v>
      </c>
      <c r="H295" t="s">
        <v>70</v>
      </c>
      <c r="I295" t="s">
        <v>77</v>
      </c>
      <c r="J295" t="s">
        <v>78</v>
      </c>
      <c r="K295" t="s">
        <v>73</v>
      </c>
      <c r="L295">
        <v>701000</v>
      </c>
      <c r="M295" t="s">
        <v>62</v>
      </c>
      <c r="N295" t="s">
        <v>33</v>
      </c>
      <c r="O295">
        <v>374</v>
      </c>
      <c r="P295">
        <v>1.79</v>
      </c>
      <c r="Q295">
        <v>0.67</v>
      </c>
      <c r="R295" t="s">
        <v>1204</v>
      </c>
      <c r="S295" t="s">
        <v>195</v>
      </c>
    </row>
    <row r="296" spans="1:19" x14ac:dyDescent="0.3">
      <c r="A296" t="s">
        <v>599</v>
      </c>
      <c r="B296" t="s">
        <v>22</v>
      </c>
      <c r="C296">
        <v>2026</v>
      </c>
      <c r="D296">
        <v>1</v>
      </c>
      <c r="E296" s="2">
        <v>46032</v>
      </c>
      <c r="F296" t="s">
        <v>7</v>
      </c>
      <c r="G296" t="s">
        <v>8</v>
      </c>
      <c r="H296" t="s">
        <v>70</v>
      </c>
      <c r="I296" t="s">
        <v>77</v>
      </c>
      <c r="J296" t="s">
        <v>78</v>
      </c>
      <c r="K296" t="s">
        <v>73</v>
      </c>
      <c r="L296">
        <v>701000</v>
      </c>
      <c r="M296" t="s">
        <v>62</v>
      </c>
      <c r="N296" t="s">
        <v>33</v>
      </c>
      <c r="O296">
        <v>627</v>
      </c>
      <c r="P296">
        <v>1.8</v>
      </c>
      <c r="Q296">
        <v>1.1299999999999999</v>
      </c>
      <c r="R296" t="s">
        <v>1199</v>
      </c>
      <c r="S296" t="s">
        <v>195</v>
      </c>
    </row>
    <row r="297" spans="1:19" x14ac:dyDescent="0.3">
      <c r="A297" t="s">
        <v>650</v>
      </c>
      <c r="B297" t="s">
        <v>22</v>
      </c>
      <c r="C297">
        <v>2026</v>
      </c>
      <c r="D297">
        <v>1</v>
      </c>
      <c r="E297" s="2">
        <v>46032</v>
      </c>
      <c r="F297" t="s">
        <v>7</v>
      </c>
      <c r="G297" t="s">
        <v>8</v>
      </c>
      <c r="H297" t="s">
        <v>74</v>
      </c>
      <c r="I297" t="s">
        <v>79</v>
      </c>
      <c r="J297" t="s">
        <v>80</v>
      </c>
      <c r="K297" t="s">
        <v>73</v>
      </c>
      <c r="L297">
        <v>701000</v>
      </c>
      <c r="M297" t="s">
        <v>62</v>
      </c>
      <c r="N297" t="s">
        <v>33</v>
      </c>
      <c r="O297">
        <v>1386</v>
      </c>
      <c r="P297">
        <v>2.6</v>
      </c>
      <c r="Q297">
        <v>3.6</v>
      </c>
      <c r="R297" t="s">
        <v>1205</v>
      </c>
      <c r="S297" t="s">
        <v>195</v>
      </c>
    </row>
    <row r="298" spans="1:19" x14ac:dyDescent="0.3">
      <c r="A298" t="s">
        <v>651</v>
      </c>
      <c r="B298" t="s">
        <v>22</v>
      </c>
      <c r="C298">
        <v>2026</v>
      </c>
      <c r="D298">
        <v>1</v>
      </c>
      <c r="E298" s="2">
        <v>46032</v>
      </c>
      <c r="F298" t="s">
        <v>7</v>
      </c>
      <c r="G298" t="s">
        <v>8</v>
      </c>
      <c r="H298" t="s">
        <v>74</v>
      </c>
      <c r="I298" t="s">
        <v>79</v>
      </c>
      <c r="J298" t="s">
        <v>80</v>
      </c>
      <c r="K298" t="s">
        <v>73</v>
      </c>
      <c r="L298">
        <v>701000</v>
      </c>
      <c r="M298" t="s">
        <v>62</v>
      </c>
      <c r="N298" t="s">
        <v>33</v>
      </c>
      <c r="O298">
        <v>1766</v>
      </c>
      <c r="P298">
        <v>2.6</v>
      </c>
      <c r="Q298">
        <v>4.59</v>
      </c>
      <c r="R298" t="s">
        <v>1201</v>
      </c>
      <c r="S298" t="s">
        <v>195</v>
      </c>
    </row>
    <row r="299" spans="1:19" x14ac:dyDescent="0.3">
      <c r="A299" t="s">
        <v>652</v>
      </c>
      <c r="B299" t="s">
        <v>22</v>
      </c>
      <c r="C299">
        <v>2026</v>
      </c>
      <c r="D299">
        <v>1</v>
      </c>
      <c r="E299" s="2">
        <v>46032</v>
      </c>
      <c r="F299" t="s">
        <v>7</v>
      </c>
      <c r="G299" t="s">
        <v>8</v>
      </c>
      <c r="H299" t="s">
        <v>74</v>
      </c>
      <c r="I299" t="s">
        <v>79</v>
      </c>
      <c r="J299" t="s">
        <v>80</v>
      </c>
      <c r="K299" t="s">
        <v>73</v>
      </c>
      <c r="L299">
        <v>701000</v>
      </c>
      <c r="M299" t="s">
        <v>62</v>
      </c>
      <c r="N299" t="s">
        <v>33</v>
      </c>
      <c r="O299">
        <v>4982</v>
      </c>
      <c r="P299">
        <v>2.6</v>
      </c>
      <c r="Q299">
        <v>12.95</v>
      </c>
      <c r="R299" t="s">
        <v>1200</v>
      </c>
      <c r="S299" t="s">
        <v>195</v>
      </c>
    </row>
    <row r="300" spans="1:19" x14ac:dyDescent="0.3">
      <c r="A300" t="s">
        <v>653</v>
      </c>
      <c r="B300" t="s">
        <v>22</v>
      </c>
      <c r="C300">
        <v>2026</v>
      </c>
      <c r="D300">
        <v>1</v>
      </c>
      <c r="E300" s="2">
        <v>46032</v>
      </c>
      <c r="F300" t="s">
        <v>7</v>
      </c>
      <c r="G300" t="s">
        <v>8</v>
      </c>
      <c r="H300" t="s">
        <v>74</v>
      </c>
      <c r="I300" t="s">
        <v>79</v>
      </c>
      <c r="J300" t="s">
        <v>80</v>
      </c>
      <c r="K300" t="s">
        <v>73</v>
      </c>
      <c r="L300">
        <v>701000</v>
      </c>
      <c r="M300" t="s">
        <v>62</v>
      </c>
      <c r="N300" t="s">
        <v>33</v>
      </c>
      <c r="O300">
        <v>684</v>
      </c>
      <c r="P300">
        <v>2.6</v>
      </c>
      <c r="Q300">
        <v>1.78</v>
      </c>
      <c r="R300" t="s">
        <v>1203</v>
      </c>
      <c r="S300" t="s">
        <v>195</v>
      </c>
    </row>
    <row r="301" spans="1:19" x14ac:dyDescent="0.3">
      <c r="A301" t="s">
        <v>654</v>
      </c>
      <c r="B301" t="s">
        <v>22</v>
      </c>
      <c r="C301">
        <v>2026</v>
      </c>
      <c r="D301">
        <v>1</v>
      </c>
      <c r="E301" s="2">
        <v>46032</v>
      </c>
      <c r="F301" t="s">
        <v>7</v>
      </c>
      <c r="G301" t="s">
        <v>8</v>
      </c>
      <c r="H301" t="s">
        <v>74</v>
      </c>
      <c r="I301" t="s">
        <v>79</v>
      </c>
      <c r="J301" t="s">
        <v>80</v>
      </c>
      <c r="K301" t="s">
        <v>73</v>
      </c>
      <c r="L301">
        <v>701000</v>
      </c>
      <c r="M301" t="s">
        <v>62</v>
      </c>
      <c r="N301" t="s">
        <v>33</v>
      </c>
      <c r="O301">
        <v>915</v>
      </c>
      <c r="P301">
        <v>2.61</v>
      </c>
      <c r="Q301">
        <v>2.39</v>
      </c>
      <c r="R301" t="s">
        <v>1204</v>
      </c>
      <c r="S301" t="s">
        <v>195</v>
      </c>
    </row>
    <row r="302" spans="1:19" x14ac:dyDescent="0.3">
      <c r="A302" t="s">
        <v>835</v>
      </c>
      <c r="B302" t="s">
        <v>22</v>
      </c>
      <c r="C302">
        <v>2026</v>
      </c>
      <c r="D302">
        <v>1</v>
      </c>
      <c r="E302" s="2">
        <v>46032</v>
      </c>
      <c r="F302" t="s">
        <v>7</v>
      </c>
      <c r="G302" t="s">
        <v>8</v>
      </c>
      <c r="H302" t="s">
        <v>70</v>
      </c>
      <c r="I302" t="s">
        <v>82</v>
      </c>
      <c r="J302" t="s">
        <v>83</v>
      </c>
      <c r="K302" t="s">
        <v>73</v>
      </c>
      <c r="L302">
        <v>701000</v>
      </c>
      <c r="M302" t="s">
        <v>62</v>
      </c>
      <c r="N302" t="s">
        <v>33</v>
      </c>
      <c r="O302">
        <v>77</v>
      </c>
      <c r="P302">
        <v>18.440000000000001</v>
      </c>
      <c r="Q302">
        <v>1.42</v>
      </c>
      <c r="R302" t="s">
        <v>1203</v>
      </c>
      <c r="S302" t="s">
        <v>195</v>
      </c>
    </row>
    <row r="303" spans="1:19" x14ac:dyDescent="0.3">
      <c r="A303" t="s">
        <v>836</v>
      </c>
      <c r="B303" t="s">
        <v>22</v>
      </c>
      <c r="C303">
        <v>2026</v>
      </c>
      <c r="D303">
        <v>1</v>
      </c>
      <c r="E303" s="2">
        <v>46032</v>
      </c>
      <c r="F303" t="s">
        <v>7</v>
      </c>
      <c r="G303" t="s">
        <v>8</v>
      </c>
      <c r="H303" t="s">
        <v>70</v>
      </c>
      <c r="I303" t="s">
        <v>82</v>
      </c>
      <c r="J303" t="s">
        <v>83</v>
      </c>
      <c r="K303" t="s">
        <v>73</v>
      </c>
      <c r="L303">
        <v>701000</v>
      </c>
      <c r="M303" t="s">
        <v>62</v>
      </c>
      <c r="N303" t="s">
        <v>33</v>
      </c>
      <c r="O303">
        <v>51</v>
      </c>
      <c r="P303">
        <v>18.43</v>
      </c>
      <c r="Q303">
        <v>0.94</v>
      </c>
      <c r="R303" t="s">
        <v>1199</v>
      </c>
      <c r="S303" t="s">
        <v>195</v>
      </c>
    </row>
    <row r="304" spans="1:19" x14ac:dyDescent="0.3">
      <c r="A304" t="s">
        <v>837</v>
      </c>
      <c r="B304" t="s">
        <v>22</v>
      </c>
      <c r="C304">
        <v>2026</v>
      </c>
      <c r="D304">
        <v>1</v>
      </c>
      <c r="E304" s="2">
        <v>46032</v>
      </c>
      <c r="F304" t="s">
        <v>7</v>
      </c>
      <c r="G304" t="s">
        <v>8</v>
      </c>
      <c r="H304" t="s">
        <v>70</v>
      </c>
      <c r="I304" t="s">
        <v>82</v>
      </c>
      <c r="J304" t="s">
        <v>83</v>
      </c>
      <c r="K304" t="s">
        <v>73</v>
      </c>
      <c r="L304">
        <v>701000</v>
      </c>
      <c r="M304" t="s">
        <v>62</v>
      </c>
      <c r="N304" t="s">
        <v>33</v>
      </c>
      <c r="O304">
        <v>184</v>
      </c>
      <c r="P304">
        <v>18.53</v>
      </c>
      <c r="Q304">
        <v>3.41</v>
      </c>
      <c r="R304" t="s">
        <v>1205</v>
      </c>
      <c r="S304" t="s">
        <v>195</v>
      </c>
    </row>
    <row r="305" spans="1:19" x14ac:dyDescent="0.3">
      <c r="A305" t="s">
        <v>838</v>
      </c>
      <c r="B305" t="s">
        <v>22</v>
      </c>
      <c r="C305">
        <v>2026</v>
      </c>
      <c r="D305">
        <v>1</v>
      </c>
      <c r="E305" s="2">
        <v>46032</v>
      </c>
      <c r="F305" t="s">
        <v>7</v>
      </c>
      <c r="G305" t="s">
        <v>8</v>
      </c>
      <c r="H305" t="s">
        <v>70</v>
      </c>
      <c r="I305" t="s">
        <v>82</v>
      </c>
      <c r="J305" t="s">
        <v>83</v>
      </c>
      <c r="K305" t="s">
        <v>73</v>
      </c>
      <c r="L305">
        <v>701000</v>
      </c>
      <c r="M305" t="s">
        <v>62</v>
      </c>
      <c r="N305" t="s">
        <v>33</v>
      </c>
      <c r="O305">
        <v>206</v>
      </c>
      <c r="P305">
        <v>18.54</v>
      </c>
      <c r="Q305">
        <v>3.82</v>
      </c>
      <c r="R305" t="s">
        <v>1202</v>
      </c>
      <c r="S305" t="s">
        <v>195</v>
      </c>
    </row>
    <row r="306" spans="1:19" x14ac:dyDescent="0.3">
      <c r="A306" t="s">
        <v>839</v>
      </c>
      <c r="B306" t="s">
        <v>22</v>
      </c>
      <c r="C306">
        <v>2026</v>
      </c>
      <c r="D306">
        <v>1</v>
      </c>
      <c r="E306" s="2">
        <v>46032</v>
      </c>
      <c r="F306" t="s">
        <v>7</v>
      </c>
      <c r="G306" t="s">
        <v>8</v>
      </c>
      <c r="H306" t="s">
        <v>70</v>
      </c>
      <c r="I306" t="s">
        <v>82</v>
      </c>
      <c r="J306" t="s">
        <v>83</v>
      </c>
      <c r="K306" t="s">
        <v>73</v>
      </c>
      <c r="L306">
        <v>701000</v>
      </c>
      <c r="M306" t="s">
        <v>62</v>
      </c>
      <c r="N306" t="s">
        <v>33</v>
      </c>
      <c r="O306">
        <v>103</v>
      </c>
      <c r="P306">
        <v>18.45</v>
      </c>
      <c r="Q306">
        <v>1.9</v>
      </c>
      <c r="R306" t="s">
        <v>1200</v>
      </c>
      <c r="S306" t="s">
        <v>195</v>
      </c>
    </row>
    <row r="307" spans="1:19" x14ac:dyDescent="0.3">
      <c r="A307" t="s">
        <v>430</v>
      </c>
      <c r="B307" t="s">
        <v>22</v>
      </c>
      <c r="C307">
        <v>2026</v>
      </c>
      <c r="D307">
        <v>1</v>
      </c>
      <c r="E307" s="2">
        <v>46033</v>
      </c>
      <c r="F307" t="s">
        <v>7</v>
      </c>
      <c r="G307" t="s">
        <v>8</v>
      </c>
      <c r="H307" t="s">
        <v>74</v>
      </c>
      <c r="I307" t="s">
        <v>75</v>
      </c>
      <c r="J307" t="s">
        <v>76</v>
      </c>
      <c r="K307" t="s">
        <v>73</v>
      </c>
      <c r="L307">
        <v>701000</v>
      </c>
      <c r="M307" t="s">
        <v>62</v>
      </c>
      <c r="N307" t="s">
        <v>33</v>
      </c>
      <c r="O307">
        <v>2553</v>
      </c>
      <c r="P307">
        <v>1.4</v>
      </c>
      <c r="Q307">
        <v>3.57</v>
      </c>
      <c r="R307" t="s">
        <v>1202</v>
      </c>
      <c r="S307" t="s">
        <v>195</v>
      </c>
    </row>
    <row r="308" spans="1:19" x14ac:dyDescent="0.3">
      <c r="A308" t="s">
        <v>431</v>
      </c>
      <c r="B308" t="s">
        <v>22</v>
      </c>
      <c r="C308">
        <v>2026</v>
      </c>
      <c r="D308">
        <v>1</v>
      </c>
      <c r="E308" s="2">
        <v>46033</v>
      </c>
      <c r="F308" t="s">
        <v>7</v>
      </c>
      <c r="G308" t="s">
        <v>8</v>
      </c>
      <c r="H308" t="s">
        <v>74</v>
      </c>
      <c r="I308" t="s">
        <v>75</v>
      </c>
      <c r="J308" t="s">
        <v>76</v>
      </c>
      <c r="K308" t="s">
        <v>73</v>
      </c>
      <c r="L308">
        <v>701000</v>
      </c>
      <c r="M308" t="s">
        <v>62</v>
      </c>
      <c r="N308" t="s">
        <v>33</v>
      </c>
      <c r="O308">
        <v>471</v>
      </c>
      <c r="P308">
        <v>1.4</v>
      </c>
      <c r="Q308">
        <v>0.66</v>
      </c>
      <c r="R308" t="s">
        <v>1197</v>
      </c>
      <c r="S308" t="s">
        <v>195</v>
      </c>
    </row>
    <row r="309" spans="1:19" x14ac:dyDescent="0.3">
      <c r="A309" t="s">
        <v>432</v>
      </c>
      <c r="B309" t="s">
        <v>22</v>
      </c>
      <c r="C309">
        <v>2026</v>
      </c>
      <c r="D309">
        <v>1</v>
      </c>
      <c r="E309" s="2">
        <v>46033</v>
      </c>
      <c r="F309" t="s">
        <v>7</v>
      </c>
      <c r="G309" t="s">
        <v>8</v>
      </c>
      <c r="H309" t="s">
        <v>74</v>
      </c>
      <c r="I309" t="s">
        <v>75</v>
      </c>
      <c r="J309" t="s">
        <v>76</v>
      </c>
      <c r="K309" t="s">
        <v>73</v>
      </c>
      <c r="L309">
        <v>701000</v>
      </c>
      <c r="M309" t="s">
        <v>62</v>
      </c>
      <c r="N309" t="s">
        <v>33</v>
      </c>
      <c r="O309">
        <v>431</v>
      </c>
      <c r="P309">
        <v>1.39</v>
      </c>
      <c r="Q309">
        <v>0.6</v>
      </c>
      <c r="R309" t="s">
        <v>1203</v>
      </c>
      <c r="S309" t="s">
        <v>195</v>
      </c>
    </row>
    <row r="310" spans="1:19" x14ac:dyDescent="0.3">
      <c r="A310" t="s">
        <v>433</v>
      </c>
      <c r="B310" t="s">
        <v>22</v>
      </c>
      <c r="C310">
        <v>2026</v>
      </c>
      <c r="D310">
        <v>1</v>
      </c>
      <c r="E310" s="2">
        <v>46033</v>
      </c>
      <c r="F310" t="s">
        <v>7</v>
      </c>
      <c r="G310" t="s">
        <v>8</v>
      </c>
      <c r="H310" t="s">
        <v>74</v>
      </c>
      <c r="I310" t="s">
        <v>75</v>
      </c>
      <c r="J310" t="s">
        <v>76</v>
      </c>
      <c r="K310" t="s">
        <v>73</v>
      </c>
      <c r="L310">
        <v>701000</v>
      </c>
      <c r="M310" t="s">
        <v>62</v>
      </c>
      <c r="N310" t="s">
        <v>33</v>
      </c>
      <c r="O310">
        <v>2028</v>
      </c>
      <c r="P310">
        <v>1.4</v>
      </c>
      <c r="Q310">
        <v>2.84</v>
      </c>
      <c r="R310" t="s">
        <v>1198</v>
      </c>
      <c r="S310" t="s">
        <v>195</v>
      </c>
    </row>
    <row r="311" spans="1:19" x14ac:dyDescent="0.3">
      <c r="A311" t="s">
        <v>434</v>
      </c>
      <c r="B311" t="s">
        <v>22</v>
      </c>
      <c r="C311">
        <v>2026</v>
      </c>
      <c r="D311">
        <v>1</v>
      </c>
      <c r="E311" s="2">
        <v>46033</v>
      </c>
      <c r="F311" t="s">
        <v>7</v>
      </c>
      <c r="G311" t="s">
        <v>8</v>
      </c>
      <c r="H311" t="s">
        <v>74</v>
      </c>
      <c r="I311" t="s">
        <v>75</v>
      </c>
      <c r="J311" t="s">
        <v>76</v>
      </c>
      <c r="K311" t="s">
        <v>73</v>
      </c>
      <c r="L311">
        <v>701000</v>
      </c>
      <c r="M311" t="s">
        <v>62</v>
      </c>
      <c r="N311" t="s">
        <v>33</v>
      </c>
      <c r="O311">
        <v>2645</v>
      </c>
      <c r="P311">
        <v>1.4</v>
      </c>
      <c r="Q311">
        <v>3.71</v>
      </c>
      <c r="R311" t="s">
        <v>1201</v>
      </c>
      <c r="S311" t="s">
        <v>195</v>
      </c>
    </row>
    <row r="312" spans="1:19" x14ac:dyDescent="0.3">
      <c r="A312" t="s">
        <v>480</v>
      </c>
      <c r="B312" t="s">
        <v>22</v>
      </c>
      <c r="C312">
        <v>2026</v>
      </c>
      <c r="D312">
        <v>1</v>
      </c>
      <c r="E312" s="2">
        <v>46033</v>
      </c>
      <c r="F312" t="s">
        <v>7</v>
      </c>
      <c r="G312" t="s">
        <v>8</v>
      </c>
      <c r="H312" t="s">
        <v>70</v>
      </c>
      <c r="I312" t="s">
        <v>75</v>
      </c>
      <c r="J312" t="s">
        <v>76</v>
      </c>
      <c r="K312" t="s">
        <v>73</v>
      </c>
      <c r="L312">
        <v>701000</v>
      </c>
      <c r="M312" t="s">
        <v>62</v>
      </c>
      <c r="N312" t="s">
        <v>33</v>
      </c>
      <c r="O312">
        <v>1221</v>
      </c>
      <c r="P312">
        <v>1.4</v>
      </c>
      <c r="Q312">
        <v>1.71</v>
      </c>
      <c r="R312" t="s">
        <v>1205</v>
      </c>
      <c r="S312" t="s">
        <v>195</v>
      </c>
    </row>
    <row r="313" spans="1:19" x14ac:dyDescent="0.3">
      <c r="A313" t="s">
        <v>481</v>
      </c>
      <c r="B313" t="s">
        <v>22</v>
      </c>
      <c r="C313">
        <v>2026</v>
      </c>
      <c r="D313">
        <v>1</v>
      </c>
      <c r="E313" s="2">
        <v>46033</v>
      </c>
      <c r="F313" t="s">
        <v>7</v>
      </c>
      <c r="G313" t="s">
        <v>8</v>
      </c>
      <c r="H313" t="s">
        <v>70</v>
      </c>
      <c r="I313" t="s">
        <v>75</v>
      </c>
      <c r="J313" t="s">
        <v>76</v>
      </c>
      <c r="K313" t="s">
        <v>73</v>
      </c>
      <c r="L313">
        <v>701000</v>
      </c>
      <c r="M313" t="s">
        <v>62</v>
      </c>
      <c r="N313" t="s">
        <v>33</v>
      </c>
      <c r="O313">
        <v>2674</v>
      </c>
      <c r="P313">
        <v>1.4</v>
      </c>
      <c r="Q313">
        <v>3.74</v>
      </c>
      <c r="R313" t="s">
        <v>1202</v>
      </c>
      <c r="S313" t="s">
        <v>195</v>
      </c>
    </row>
    <row r="314" spans="1:19" x14ac:dyDescent="0.3">
      <c r="A314" t="s">
        <v>482</v>
      </c>
      <c r="B314" t="s">
        <v>22</v>
      </c>
      <c r="C314">
        <v>2026</v>
      </c>
      <c r="D314">
        <v>1</v>
      </c>
      <c r="E314" s="2">
        <v>46033</v>
      </c>
      <c r="F314" t="s">
        <v>7</v>
      </c>
      <c r="G314" t="s">
        <v>8</v>
      </c>
      <c r="H314" t="s">
        <v>70</v>
      </c>
      <c r="I314" t="s">
        <v>75</v>
      </c>
      <c r="J314" t="s">
        <v>76</v>
      </c>
      <c r="K314" t="s">
        <v>73</v>
      </c>
      <c r="L314">
        <v>701000</v>
      </c>
      <c r="M314" t="s">
        <v>62</v>
      </c>
      <c r="N314" t="s">
        <v>33</v>
      </c>
      <c r="O314">
        <v>1948</v>
      </c>
      <c r="P314">
        <v>1.4</v>
      </c>
      <c r="Q314">
        <v>2.73</v>
      </c>
      <c r="R314" t="s">
        <v>1197</v>
      </c>
      <c r="S314" t="s">
        <v>195</v>
      </c>
    </row>
    <row r="315" spans="1:19" x14ac:dyDescent="0.3">
      <c r="A315" t="s">
        <v>483</v>
      </c>
      <c r="B315" t="s">
        <v>22</v>
      </c>
      <c r="C315">
        <v>2026</v>
      </c>
      <c r="D315">
        <v>1</v>
      </c>
      <c r="E315" s="2">
        <v>46033</v>
      </c>
      <c r="F315" t="s">
        <v>7</v>
      </c>
      <c r="G315" t="s">
        <v>8</v>
      </c>
      <c r="H315" t="s">
        <v>70</v>
      </c>
      <c r="I315" t="s">
        <v>75</v>
      </c>
      <c r="J315" t="s">
        <v>76</v>
      </c>
      <c r="K315" t="s">
        <v>73</v>
      </c>
      <c r="L315">
        <v>701000</v>
      </c>
      <c r="M315" t="s">
        <v>62</v>
      </c>
      <c r="N315" t="s">
        <v>33</v>
      </c>
      <c r="O315">
        <v>604</v>
      </c>
      <c r="P315">
        <v>1.41</v>
      </c>
      <c r="Q315">
        <v>0.85</v>
      </c>
      <c r="R315" t="s">
        <v>1201</v>
      </c>
      <c r="S315" t="s">
        <v>195</v>
      </c>
    </row>
    <row r="316" spans="1:19" x14ac:dyDescent="0.3">
      <c r="A316" t="s">
        <v>484</v>
      </c>
      <c r="B316" t="s">
        <v>22</v>
      </c>
      <c r="C316">
        <v>2026</v>
      </c>
      <c r="D316">
        <v>1</v>
      </c>
      <c r="E316" s="2">
        <v>46033</v>
      </c>
      <c r="F316" t="s">
        <v>7</v>
      </c>
      <c r="G316" t="s">
        <v>8</v>
      </c>
      <c r="H316" t="s">
        <v>70</v>
      </c>
      <c r="I316" t="s">
        <v>75</v>
      </c>
      <c r="J316" t="s">
        <v>76</v>
      </c>
      <c r="K316" t="s">
        <v>73</v>
      </c>
      <c r="L316">
        <v>701000</v>
      </c>
      <c r="M316" t="s">
        <v>62</v>
      </c>
      <c r="N316" t="s">
        <v>33</v>
      </c>
      <c r="O316">
        <v>1059</v>
      </c>
      <c r="P316">
        <v>1.4</v>
      </c>
      <c r="Q316">
        <v>1.48</v>
      </c>
      <c r="R316" t="s">
        <v>1204</v>
      </c>
      <c r="S316" t="s">
        <v>195</v>
      </c>
    </row>
    <row r="317" spans="1:19" x14ac:dyDescent="0.3">
      <c r="A317" t="s">
        <v>660</v>
      </c>
      <c r="B317" t="s">
        <v>22</v>
      </c>
      <c r="C317">
        <v>2026</v>
      </c>
      <c r="D317">
        <v>1</v>
      </c>
      <c r="E317" s="2">
        <v>46033</v>
      </c>
      <c r="F317" t="s">
        <v>7</v>
      </c>
      <c r="G317" t="s">
        <v>8</v>
      </c>
      <c r="H317" t="s">
        <v>70</v>
      </c>
      <c r="I317" t="s">
        <v>79</v>
      </c>
      <c r="J317" t="s">
        <v>80</v>
      </c>
      <c r="K317" t="s">
        <v>73</v>
      </c>
      <c r="L317">
        <v>701000</v>
      </c>
      <c r="M317" t="s">
        <v>62</v>
      </c>
      <c r="N317" t="s">
        <v>33</v>
      </c>
      <c r="O317">
        <v>539</v>
      </c>
      <c r="P317">
        <v>2.6</v>
      </c>
      <c r="Q317">
        <v>1.4</v>
      </c>
      <c r="R317" t="s">
        <v>1201</v>
      </c>
      <c r="S317" t="s">
        <v>195</v>
      </c>
    </row>
    <row r="318" spans="1:19" x14ac:dyDescent="0.3">
      <c r="A318" t="s">
        <v>661</v>
      </c>
      <c r="B318" t="s">
        <v>22</v>
      </c>
      <c r="C318">
        <v>2026</v>
      </c>
      <c r="D318">
        <v>1</v>
      </c>
      <c r="E318" s="2">
        <v>46033</v>
      </c>
      <c r="F318" t="s">
        <v>7</v>
      </c>
      <c r="G318" t="s">
        <v>8</v>
      </c>
      <c r="H318" t="s">
        <v>70</v>
      </c>
      <c r="I318" t="s">
        <v>79</v>
      </c>
      <c r="J318" t="s">
        <v>80</v>
      </c>
      <c r="K318" t="s">
        <v>73</v>
      </c>
      <c r="L318">
        <v>701000</v>
      </c>
      <c r="M318" t="s">
        <v>62</v>
      </c>
      <c r="N318" t="s">
        <v>33</v>
      </c>
      <c r="O318">
        <v>1274</v>
      </c>
      <c r="P318">
        <v>2.6</v>
      </c>
      <c r="Q318">
        <v>3.31</v>
      </c>
      <c r="R318" t="s">
        <v>1203</v>
      </c>
      <c r="S318" t="s">
        <v>195</v>
      </c>
    </row>
    <row r="319" spans="1:19" x14ac:dyDescent="0.3">
      <c r="A319" t="s">
        <v>662</v>
      </c>
      <c r="B319" t="s">
        <v>22</v>
      </c>
      <c r="C319">
        <v>2026</v>
      </c>
      <c r="D319">
        <v>1</v>
      </c>
      <c r="E319" s="2">
        <v>46033</v>
      </c>
      <c r="F319" t="s">
        <v>7</v>
      </c>
      <c r="G319" t="s">
        <v>8</v>
      </c>
      <c r="H319" t="s">
        <v>70</v>
      </c>
      <c r="I319" t="s">
        <v>79</v>
      </c>
      <c r="J319" t="s">
        <v>80</v>
      </c>
      <c r="K319" t="s">
        <v>73</v>
      </c>
      <c r="L319">
        <v>701000</v>
      </c>
      <c r="M319" t="s">
        <v>62</v>
      </c>
      <c r="N319" t="s">
        <v>33</v>
      </c>
      <c r="O319">
        <v>1872</v>
      </c>
      <c r="P319">
        <v>2.6</v>
      </c>
      <c r="Q319">
        <v>4.87</v>
      </c>
      <c r="R319" t="s">
        <v>1198</v>
      </c>
      <c r="S319" t="s">
        <v>195</v>
      </c>
    </row>
    <row r="320" spans="1:19" x14ac:dyDescent="0.3">
      <c r="A320" t="s">
        <v>663</v>
      </c>
      <c r="B320" t="s">
        <v>22</v>
      </c>
      <c r="C320">
        <v>2026</v>
      </c>
      <c r="D320">
        <v>1</v>
      </c>
      <c r="E320" s="2">
        <v>46033</v>
      </c>
      <c r="F320" t="s">
        <v>7</v>
      </c>
      <c r="G320" t="s">
        <v>8</v>
      </c>
      <c r="H320" t="s">
        <v>70</v>
      </c>
      <c r="I320" t="s">
        <v>79</v>
      </c>
      <c r="J320" t="s">
        <v>80</v>
      </c>
      <c r="K320" t="s">
        <v>73</v>
      </c>
      <c r="L320">
        <v>701000</v>
      </c>
      <c r="M320" t="s">
        <v>62</v>
      </c>
      <c r="N320" t="s">
        <v>33</v>
      </c>
      <c r="O320">
        <v>1107</v>
      </c>
      <c r="P320">
        <v>2.6</v>
      </c>
      <c r="Q320">
        <v>2.88</v>
      </c>
      <c r="R320" t="s">
        <v>1200</v>
      </c>
      <c r="S320" t="s">
        <v>195</v>
      </c>
    </row>
    <row r="321" spans="1:19" x14ac:dyDescent="0.3">
      <c r="A321" t="s">
        <v>664</v>
      </c>
      <c r="B321" t="s">
        <v>22</v>
      </c>
      <c r="C321">
        <v>2026</v>
      </c>
      <c r="D321">
        <v>1</v>
      </c>
      <c r="E321" s="2">
        <v>46033</v>
      </c>
      <c r="F321" t="s">
        <v>7</v>
      </c>
      <c r="G321" t="s">
        <v>8</v>
      </c>
      <c r="H321" t="s">
        <v>70</v>
      </c>
      <c r="I321" t="s">
        <v>79</v>
      </c>
      <c r="J321" t="s">
        <v>80</v>
      </c>
      <c r="K321" t="s">
        <v>73</v>
      </c>
      <c r="L321">
        <v>701000</v>
      </c>
      <c r="M321" t="s">
        <v>62</v>
      </c>
      <c r="N321" t="s">
        <v>33</v>
      </c>
      <c r="O321">
        <v>2409</v>
      </c>
      <c r="P321">
        <v>2.6</v>
      </c>
      <c r="Q321">
        <v>6.26</v>
      </c>
      <c r="R321" t="s">
        <v>1204</v>
      </c>
      <c r="S321" t="s">
        <v>195</v>
      </c>
    </row>
    <row r="322" spans="1:19" x14ac:dyDescent="0.3">
      <c r="A322" t="s">
        <v>450</v>
      </c>
      <c r="B322" t="s">
        <v>22</v>
      </c>
      <c r="C322">
        <v>2026</v>
      </c>
      <c r="D322">
        <v>1</v>
      </c>
      <c r="E322" s="2">
        <v>46034</v>
      </c>
      <c r="F322" t="s">
        <v>7</v>
      </c>
      <c r="G322" t="s">
        <v>8</v>
      </c>
      <c r="H322" t="s">
        <v>70</v>
      </c>
      <c r="I322" t="s">
        <v>75</v>
      </c>
      <c r="J322" t="s">
        <v>76</v>
      </c>
      <c r="K322" t="s">
        <v>73</v>
      </c>
      <c r="L322">
        <v>701000</v>
      </c>
      <c r="M322" t="s">
        <v>62</v>
      </c>
      <c r="N322" t="s">
        <v>33</v>
      </c>
      <c r="O322">
        <v>1467</v>
      </c>
      <c r="P322">
        <v>1.4</v>
      </c>
      <c r="Q322">
        <v>2.0499999999999998</v>
      </c>
      <c r="R322" t="s">
        <v>1202</v>
      </c>
      <c r="S322" t="s">
        <v>195</v>
      </c>
    </row>
    <row r="323" spans="1:19" x14ac:dyDescent="0.3">
      <c r="A323" t="s">
        <v>451</v>
      </c>
      <c r="B323" t="s">
        <v>22</v>
      </c>
      <c r="C323">
        <v>2026</v>
      </c>
      <c r="D323">
        <v>1</v>
      </c>
      <c r="E323" s="2">
        <v>46034</v>
      </c>
      <c r="F323" t="s">
        <v>7</v>
      </c>
      <c r="G323" t="s">
        <v>8</v>
      </c>
      <c r="H323" t="s">
        <v>70</v>
      </c>
      <c r="I323" t="s">
        <v>75</v>
      </c>
      <c r="J323" t="s">
        <v>76</v>
      </c>
      <c r="K323" t="s">
        <v>73</v>
      </c>
      <c r="L323">
        <v>701000</v>
      </c>
      <c r="M323" t="s">
        <v>62</v>
      </c>
      <c r="N323" t="s">
        <v>33</v>
      </c>
      <c r="O323">
        <v>1433</v>
      </c>
      <c r="P323">
        <v>1.4</v>
      </c>
      <c r="Q323">
        <v>2.0099999999999998</v>
      </c>
      <c r="R323" t="s">
        <v>1200</v>
      </c>
      <c r="S323" t="s">
        <v>195</v>
      </c>
    </row>
    <row r="324" spans="1:19" x14ac:dyDescent="0.3">
      <c r="A324" t="s">
        <v>452</v>
      </c>
      <c r="B324" t="s">
        <v>22</v>
      </c>
      <c r="C324">
        <v>2026</v>
      </c>
      <c r="D324">
        <v>1</v>
      </c>
      <c r="E324" s="2">
        <v>46034</v>
      </c>
      <c r="F324" t="s">
        <v>7</v>
      </c>
      <c r="G324" t="s">
        <v>8</v>
      </c>
      <c r="H324" t="s">
        <v>70</v>
      </c>
      <c r="I324" t="s">
        <v>75</v>
      </c>
      <c r="J324" t="s">
        <v>76</v>
      </c>
      <c r="K324" t="s">
        <v>73</v>
      </c>
      <c r="L324">
        <v>701000</v>
      </c>
      <c r="M324" t="s">
        <v>62</v>
      </c>
      <c r="N324" t="s">
        <v>33</v>
      </c>
      <c r="O324">
        <v>1883</v>
      </c>
      <c r="P324">
        <v>1.4</v>
      </c>
      <c r="Q324">
        <v>2.64</v>
      </c>
      <c r="R324" t="s">
        <v>1203</v>
      </c>
      <c r="S324" t="s">
        <v>195</v>
      </c>
    </row>
    <row r="325" spans="1:19" x14ac:dyDescent="0.3">
      <c r="A325" t="s">
        <v>453</v>
      </c>
      <c r="B325" t="s">
        <v>22</v>
      </c>
      <c r="C325">
        <v>2026</v>
      </c>
      <c r="D325">
        <v>1</v>
      </c>
      <c r="E325" s="2">
        <v>46034</v>
      </c>
      <c r="F325" t="s">
        <v>7</v>
      </c>
      <c r="G325" t="s">
        <v>8</v>
      </c>
      <c r="H325" t="s">
        <v>70</v>
      </c>
      <c r="I325" t="s">
        <v>75</v>
      </c>
      <c r="J325" t="s">
        <v>76</v>
      </c>
      <c r="K325" t="s">
        <v>73</v>
      </c>
      <c r="L325">
        <v>701000</v>
      </c>
      <c r="M325" t="s">
        <v>62</v>
      </c>
      <c r="N325" t="s">
        <v>33</v>
      </c>
      <c r="O325">
        <v>603</v>
      </c>
      <c r="P325">
        <v>1.39</v>
      </c>
      <c r="Q325">
        <v>0.84</v>
      </c>
      <c r="R325" t="s">
        <v>1197</v>
      </c>
      <c r="S325" t="s">
        <v>195</v>
      </c>
    </row>
    <row r="326" spans="1:19" x14ac:dyDescent="0.3">
      <c r="A326" t="s">
        <v>454</v>
      </c>
      <c r="B326" t="s">
        <v>22</v>
      </c>
      <c r="C326">
        <v>2026</v>
      </c>
      <c r="D326">
        <v>1</v>
      </c>
      <c r="E326" s="2">
        <v>46034</v>
      </c>
      <c r="F326" t="s">
        <v>7</v>
      </c>
      <c r="G326" t="s">
        <v>8</v>
      </c>
      <c r="H326" t="s">
        <v>70</v>
      </c>
      <c r="I326" t="s">
        <v>75</v>
      </c>
      <c r="J326" t="s">
        <v>76</v>
      </c>
      <c r="K326" t="s">
        <v>73</v>
      </c>
      <c r="L326">
        <v>701000</v>
      </c>
      <c r="M326" t="s">
        <v>62</v>
      </c>
      <c r="N326" t="s">
        <v>33</v>
      </c>
      <c r="O326">
        <v>2113</v>
      </c>
      <c r="P326">
        <v>1.4</v>
      </c>
      <c r="Q326">
        <v>2.96</v>
      </c>
      <c r="R326" t="s">
        <v>1199</v>
      </c>
      <c r="S326" t="s">
        <v>195</v>
      </c>
    </row>
    <row r="327" spans="1:19" x14ac:dyDescent="0.3">
      <c r="A327" t="s">
        <v>525</v>
      </c>
      <c r="B327" t="s">
        <v>22</v>
      </c>
      <c r="C327">
        <v>2026</v>
      </c>
      <c r="D327">
        <v>1</v>
      </c>
      <c r="E327" s="2">
        <v>46034</v>
      </c>
      <c r="F327" t="s">
        <v>7</v>
      </c>
      <c r="G327" t="s">
        <v>8</v>
      </c>
      <c r="H327" t="s">
        <v>70</v>
      </c>
      <c r="I327" t="s">
        <v>77</v>
      </c>
      <c r="J327" t="s">
        <v>78</v>
      </c>
      <c r="K327" t="s">
        <v>73</v>
      </c>
      <c r="L327">
        <v>701000</v>
      </c>
      <c r="M327" t="s">
        <v>62</v>
      </c>
      <c r="N327" t="s">
        <v>33</v>
      </c>
      <c r="O327">
        <v>652</v>
      </c>
      <c r="P327">
        <v>1.79</v>
      </c>
      <c r="Q327">
        <v>1.17</v>
      </c>
      <c r="R327" t="s">
        <v>1198</v>
      </c>
      <c r="S327" t="s">
        <v>195</v>
      </c>
    </row>
    <row r="328" spans="1:19" x14ac:dyDescent="0.3">
      <c r="A328" t="s">
        <v>526</v>
      </c>
      <c r="B328" t="s">
        <v>22</v>
      </c>
      <c r="C328">
        <v>2026</v>
      </c>
      <c r="D328">
        <v>1</v>
      </c>
      <c r="E328" s="2">
        <v>46034</v>
      </c>
      <c r="F328" t="s">
        <v>7</v>
      </c>
      <c r="G328" t="s">
        <v>8</v>
      </c>
      <c r="H328" t="s">
        <v>70</v>
      </c>
      <c r="I328" t="s">
        <v>77</v>
      </c>
      <c r="J328" t="s">
        <v>78</v>
      </c>
      <c r="K328" t="s">
        <v>73</v>
      </c>
      <c r="L328">
        <v>701000</v>
      </c>
      <c r="M328" t="s">
        <v>62</v>
      </c>
      <c r="N328" t="s">
        <v>33</v>
      </c>
      <c r="O328">
        <v>436</v>
      </c>
      <c r="P328">
        <v>1.79</v>
      </c>
      <c r="Q328">
        <v>0.78</v>
      </c>
      <c r="R328" t="s">
        <v>1197</v>
      </c>
      <c r="S328" t="s">
        <v>195</v>
      </c>
    </row>
    <row r="329" spans="1:19" x14ac:dyDescent="0.3">
      <c r="A329" t="s">
        <v>527</v>
      </c>
      <c r="B329" t="s">
        <v>22</v>
      </c>
      <c r="C329">
        <v>2026</v>
      </c>
      <c r="D329">
        <v>1</v>
      </c>
      <c r="E329" s="2">
        <v>46034</v>
      </c>
      <c r="F329" t="s">
        <v>7</v>
      </c>
      <c r="G329" t="s">
        <v>8</v>
      </c>
      <c r="H329" t="s">
        <v>70</v>
      </c>
      <c r="I329" t="s">
        <v>77</v>
      </c>
      <c r="J329" t="s">
        <v>78</v>
      </c>
      <c r="K329" t="s">
        <v>73</v>
      </c>
      <c r="L329">
        <v>701000</v>
      </c>
      <c r="M329" t="s">
        <v>62</v>
      </c>
      <c r="N329" t="s">
        <v>33</v>
      </c>
      <c r="O329">
        <v>888</v>
      </c>
      <c r="P329">
        <v>1.8</v>
      </c>
      <c r="Q329">
        <v>1.6</v>
      </c>
      <c r="R329" t="s">
        <v>1201</v>
      </c>
      <c r="S329" t="s">
        <v>195</v>
      </c>
    </row>
    <row r="330" spans="1:19" x14ac:dyDescent="0.3">
      <c r="A330" t="s">
        <v>528</v>
      </c>
      <c r="B330" t="s">
        <v>22</v>
      </c>
      <c r="C330">
        <v>2026</v>
      </c>
      <c r="D330">
        <v>1</v>
      </c>
      <c r="E330" s="2">
        <v>46034</v>
      </c>
      <c r="F330" t="s">
        <v>7</v>
      </c>
      <c r="G330" t="s">
        <v>8</v>
      </c>
      <c r="H330" t="s">
        <v>70</v>
      </c>
      <c r="I330" t="s">
        <v>77</v>
      </c>
      <c r="J330" t="s">
        <v>78</v>
      </c>
      <c r="K330" t="s">
        <v>73</v>
      </c>
      <c r="L330">
        <v>701000</v>
      </c>
      <c r="M330" t="s">
        <v>62</v>
      </c>
      <c r="N330" t="s">
        <v>33</v>
      </c>
      <c r="O330">
        <v>1035</v>
      </c>
      <c r="P330">
        <v>1.8</v>
      </c>
      <c r="Q330">
        <v>1.86</v>
      </c>
      <c r="R330" t="s">
        <v>1204</v>
      </c>
      <c r="S330" t="s">
        <v>195</v>
      </c>
    </row>
    <row r="331" spans="1:19" x14ac:dyDescent="0.3">
      <c r="A331" t="s">
        <v>529</v>
      </c>
      <c r="B331" t="s">
        <v>22</v>
      </c>
      <c r="C331">
        <v>2026</v>
      </c>
      <c r="D331">
        <v>1</v>
      </c>
      <c r="E331" s="2">
        <v>46034</v>
      </c>
      <c r="F331" t="s">
        <v>7</v>
      </c>
      <c r="G331" t="s">
        <v>8</v>
      </c>
      <c r="H331" t="s">
        <v>70</v>
      </c>
      <c r="I331" t="s">
        <v>77</v>
      </c>
      <c r="J331" t="s">
        <v>78</v>
      </c>
      <c r="K331" t="s">
        <v>73</v>
      </c>
      <c r="L331">
        <v>701000</v>
      </c>
      <c r="M331" t="s">
        <v>62</v>
      </c>
      <c r="N331" t="s">
        <v>33</v>
      </c>
      <c r="O331">
        <v>375</v>
      </c>
      <c r="P331">
        <v>1.81</v>
      </c>
      <c r="Q331">
        <v>0.68</v>
      </c>
      <c r="R331" t="s">
        <v>1199</v>
      </c>
      <c r="S331" t="s">
        <v>195</v>
      </c>
    </row>
    <row r="332" spans="1:19" x14ac:dyDescent="0.3">
      <c r="A332" t="s">
        <v>560</v>
      </c>
      <c r="B332" t="s">
        <v>22</v>
      </c>
      <c r="C332">
        <v>2026</v>
      </c>
      <c r="D332">
        <v>1</v>
      </c>
      <c r="E332" s="2">
        <v>46034</v>
      </c>
      <c r="F332" t="s">
        <v>7</v>
      </c>
      <c r="G332" t="s">
        <v>8</v>
      </c>
      <c r="H332" t="s">
        <v>74</v>
      </c>
      <c r="I332" t="s">
        <v>77</v>
      </c>
      <c r="J332" t="s">
        <v>78</v>
      </c>
      <c r="K332" t="s">
        <v>73</v>
      </c>
      <c r="L332">
        <v>701000</v>
      </c>
      <c r="M332" t="s">
        <v>62</v>
      </c>
      <c r="N332" t="s">
        <v>33</v>
      </c>
      <c r="O332">
        <v>740</v>
      </c>
      <c r="P332">
        <v>1.8</v>
      </c>
      <c r="Q332">
        <v>1.33</v>
      </c>
      <c r="R332" t="s">
        <v>1203</v>
      </c>
      <c r="S332" t="s">
        <v>195</v>
      </c>
    </row>
    <row r="333" spans="1:19" x14ac:dyDescent="0.3">
      <c r="A333" t="s">
        <v>561</v>
      </c>
      <c r="B333" t="s">
        <v>22</v>
      </c>
      <c r="C333">
        <v>2026</v>
      </c>
      <c r="D333">
        <v>1</v>
      </c>
      <c r="E333" s="2">
        <v>46034</v>
      </c>
      <c r="F333" t="s">
        <v>7</v>
      </c>
      <c r="G333" t="s">
        <v>8</v>
      </c>
      <c r="H333" t="s">
        <v>74</v>
      </c>
      <c r="I333" t="s">
        <v>77</v>
      </c>
      <c r="J333" t="s">
        <v>78</v>
      </c>
      <c r="K333" t="s">
        <v>73</v>
      </c>
      <c r="L333">
        <v>701000</v>
      </c>
      <c r="M333" t="s">
        <v>62</v>
      </c>
      <c r="N333" t="s">
        <v>33</v>
      </c>
      <c r="O333">
        <v>692</v>
      </c>
      <c r="P333">
        <v>1.81</v>
      </c>
      <c r="Q333">
        <v>1.25</v>
      </c>
      <c r="R333" t="s">
        <v>1204</v>
      </c>
      <c r="S333" t="s">
        <v>195</v>
      </c>
    </row>
    <row r="334" spans="1:19" x14ac:dyDescent="0.3">
      <c r="A334" t="s">
        <v>562</v>
      </c>
      <c r="B334" t="s">
        <v>22</v>
      </c>
      <c r="C334">
        <v>2026</v>
      </c>
      <c r="D334">
        <v>1</v>
      </c>
      <c r="E334" s="2">
        <v>46034</v>
      </c>
      <c r="F334" t="s">
        <v>7</v>
      </c>
      <c r="G334" t="s">
        <v>8</v>
      </c>
      <c r="H334" t="s">
        <v>74</v>
      </c>
      <c r="I334" t="s">
        <v>77</v>
      </c>
      <c r="J334" t="s">
        <v>78</v>
      </c>
      <c r="K334" t="s">
        <v>73</v>
      </c>
      <c r="L334">
        <v>701000</v>
      </c>
      <c r="M334" t="s">
        <v>62</v>
      </c>
      <c r="N334" t="s">
        <v>33</v>
      </c>
      <c r="O334">
        <v>1133</v>
      </c>
      <c r="P334">
        <v>1.8</v>
      </c>
      <c r="Q334">
        <v>2.04</v>
      </c>
      <c r="R334" t="s">
        <v>1197</v>
      </c>
      <c r="S334" t="s">
        <v>195</v>
      </c>
    </row>
    <row r="335" spans="1:19" x14ac:dyDescent="0.3">
      <c r="A335" t="s">
        <v>563</v>
      </c>
      <c r="B335" t="s">
        <v>22</v>
      </c>
      <c r="C335">
        <v>2026</v>
      </c>
      <c r="D335">
        <v>1</v>
      </c>
      <c r="E335" s="2">
        <v>46034</v>
      </c>
      <c r="F335" t="s">
        <v>7</v>
      </c>
      <c r="G335" t="s">
        <v>8</v>
      </c>
      <c r="H335" t="s">
        <v>74</v>
      </c>
      <c r="I335" t="s">
        <v>77</v>
      </c>
      <c r="J335" t="s">
        <v>78</v>
      </c>
      <c r="K335" t="s">
        <v>73</v>
      </c>
      <c r="L335">
        <v>701000</v>
      </c>
      <c r="M335" t="s">
        <v>62</v>
      </c>
      <c r="N335" t="s">
        <v>33</v>
      </c>
      <c r="O335">
        <v>444</v>
      </c>
      <c r="P335">
        <v>1.8</v>
      </c>
      <c r="Q335">
        <v>0.8</v>
      </c>
      <c r="R335" t="s">
        <v>1201</v>
      </c>
      <c r="S335" t="s">
        <v>195</v>
      </c>
    </row>
    <row r="336" spans="1:19" x14ac:dyDescent="0.3">
      <c r="A336" t="s">
        <v>564</v>
      </c>
      <c r="B336" t="s">
        <v>22</v>
      </c>
      <c r="C336">
        <v>2026</v>
      </c>
      <c r="D336">
        <v>1</v>
      </c>
      <c r="E336" s="2">
        <v>46034</v>
      </c>
      <c r="F336" t="s">
        <v>7</v>
      </c>
      <c r="G336" t="s">
        <v>8</v>
      </c>
      <c r="H336" t="s">
        <v>74</v>
      </c>
      <c r="I336" t="s">
        <v>77</v>
      </c>
      <c r="J336" t="s">
        <v>78</v>
      </c>
      <c r="K336" t="s">
        <v>73</v>
      </c>
      <c r="L336">
        <v>701000</v>
      </c>
      <c r="M336" t="s">
        <v>62</v>
      </c>
      <c r="N336" t="s">
        <v>33</v>
      </c>
      <c r="O336">
        <v>717</v>
      </c>
      <c r="P336">
        <v>1.8</v>
      </c>
      <c r="Q336">
        <v>1.29</v>
      </c>
      <c r="R336" t="s">
        <v>1200</v>
      </c>
      <c r="S336" t="s">
        <v>195</v>
      </c>
    </row>
    <row r="337" spans="1:19" x14ac:dyDescent="0.3">
      <c r="A337" t="s">
        <v>615</v>
      </c>
      <c r="B337" t="s">
        <v>22</v>
      </c>
      <c r="C337">
        <v>2026</v>
      </c>
      <c r="D337">
        <v>1</v>
      </c>
      <c r="E337" s="2">
        <v>46034</v>
      </c>
      <c r="F337" t="s">
        <v>7</v>
      </c>
      <c r="G337" t="s">
        <v>8</v>
      </c>
      <c r="H337" t="s">
        <v>70</v>
      </c>
      <c r="I337" t="s">
        <v>77</v>
      </c>
      <c r="J337" t="s">
        <v>78</v>
      </c>
      <c r="K337" t="s">
        <v>73</v>
      </c>
      <c r="L337">
        <v>701000</v>
      </c>
      <c r="M337" t="s">
        <v>62</v>
      </c>
      <c r="N337" t="s">
        <v>33</v>
      </c>
      <c r="O337">
        <v>553</v>
      </c>
      <c r="P337">
        <v>1.79</v>
      </c>
      <c r="Q337">
        <v>0.99</v>
      </c>
      <c r="R337" t="s">
        <v>1204</v>
      </c>
      <c r="S337" t="s">
        <v>195</v>
      </c>
    </row>
    <row r="338" spans="1:19" x14ac:dyDescent="0.3">
      <c r="A338" t="s">
        <v>616</v>
      </c>
      <c r="B338" t="s">
        <v>22</v>
      </c>
      <c r="C338">
        <v>2026</v>
      </c>
      <c r="D338">
        <v>1</v>
      </c>
      <c r="E338" s="2">
        <v>46034</v>
      </c>
      <c r="F338" t="s">
        <v>7</v>
      </c>
      <c r="G338" t="s">
        <v>8</v>
      </c>
      <c r="H338" t="s">
        <v>70</v>
      </c>
      <c r="I338" t="s">
        <v>77</v>
      </c>
      <c r="J338" t="s">
        <v>78</v>
      </c>
      <c r="K338" t="s">
        <v>73</v>
      </c>
      <c r="L338">
        <v>701000</v>
      </c>
      <c r="M338" t="s">
        <v>62</v>
      </c>
      <c r="N338" t="s">
        <v>33</v>
      </c>
      <c r="O338">
        <v>1359</v>
      </c>
      <c r="P338">
        <v>1.8</v>
      </c>
      <c r="Q338">
        <v>2.4500000000000002</v>
      </c>
      <c r="R338" t="s">
        <v>1199</v>
      </c>
      <c r="S338" t="s">
        <v>195</v>
      </c>
    </row>
    <row r="339" spans="1:19" x14ac:dyDescent="0.3">
      <c r="A339" t="s">
        <v>617</v>
      </c>
      <c r="B339" t="s">
        <v>22</v>
      </c>
      <c r="C339">
        <v>2026</v>
      </c>
      <c r="D339">
        <v>1</v>
      </c>
      <c r="E339" s="2">
        <v>46034</v>
      </c>
      <c r="F339" t="s">
        <v>7</v>
      </c>
      <c r="G339" t="s">
        <v>8</v>
      </c>
      <c r="H339" t="s">
        <v>70</v>
      </c>
      <c r="I339" t="s">
        <v>77</v>
      </c>
      <c r="J339" t="s">
        <v>78</v>
      </c>
      <c r="K339" t="s">
        <v>73</v>
      </c>
      <c r="L339">
        <v>701000</v>
      </c>
      <c r="M339" t="s">
        <v>62</v>
      </c>
      <c r="N339" t="s">
        <v>33</v>
      </c>
      <c r="O339">
        <v>144</v>
      </c>
      <c r="P339">
        <v>1.81</v>
      </c>
      <c r="Q339">
        <v>0.26</v>
      </c>
      <c r="R339" t="s">
        <v>1197</v>
      </c>
      <c r="S339" t="s">
        <v>195</v>
      </c>
    </row>
    <row r="340" spans="1:19" x14ac:dyDescent="0.3">
      <c r="A340" t="s">
        <v>618</v>
      </c>
      <c r="B340" t="s">
        <v>22</v>
      </c>
      <c r="C340">
        <v>2026</v>
      </c>
      <c r="D340">
        <v>1</v>
      </c>
      <c r="E340" s="2">
        <v>46034</v>
      </c>
      <c r="F340" t="s">
        <v>7</v>
      </c>
      <c r="G340" t="s">
        <v>8</v>
      </c>
      <c r="H340" t="s">
        <v>70</v>
      </c>
      <c r="I340" t="s">
        <v>77</v>
      </c>
      <c r="J340" t="s">
        <v>78</v>
      </c>
      <c r="K340" t="s">
        <v>73</v>
      </c>
      <c r="L340">
        <v>701000</v>
      </c>
      <c r="M340" t="s">
        <v>62</v>
      </c>
      <c r="N340" t="s">
        <v>33</v>
      </c>
      <c r="O340">
        <v>1204</v>
      </c>
      <c r="P340">
        <v>1.8</v>
      </c>
      <c r="Q340">
        <v>2.17</v>
      </c>
      <c r="R340" t="s">
        <v>1198</v>
      </c>
      <c r="S340" t="s">
        <v>195</v>
      </c>
    </row>
    <row r="341" spans="1:19" x14ac:dyDescent="0.3">
      <c r="A341" t="s">
        <v>619</v>
      </c>
      <c r="B341" t="s">
        <v>22</v>
      </c>
      <c r="C341">
        <v>2026</v>
      </c>
      <c r="D341">
        <v>1</v>
      </c>
      <c r="E341" s="2">
        <v>46034</v>
      </c>
      <c r="F341" t="s">
        <v>7</v>
      </c>
      <c r="G341" t="s">
        <v>8</v>
      </c>
      <c r="H341" t="s">
        <v>70</v>
      </c>
      <c r="I341" t="s">
        <v>77</v>
      </c>
      <c r="J341" t="s">
        <v>78</v>
      </c>
      <c r="K341" t="s">
        <v>73</v>
      </c>
      <c r="L341">
        <v>701000</v>
      </c>
      <c r="M341" t="s">
        <v>62</v>
      </c>
      <c r="N341" t="s">
        <v>33</v>
      </c>
      <c r="O341">
        <v>706</v>
      </c>
      <c r="P341">
        <v>1.8</v>
      </c>
      <c r="Q341">
        <v>1.27</v>
      </c>
      <c r="R341" t="s">
        <v>1202</v>
      </c>
      <c r="S341" t="s">
        <v>195</v>
      </c>
    </row>
    <row r="342" spans="1:19" x14ac:dyDescent="0.3">
      <c r="A342" t="s">
        <v>695</v>
      </c>
      <c r="B342" t="s">
        <v>22</v>
      </c>
      <c r="C342">
        <v>2026</v>
      </c>
      <c r="D342">
        <v>1</v>
      </c>
      <c r="E342" s="2">
        <v>46034</v>
      </c>
      <c r="F342" t="s">
        <v>7</v>
      </c>
      <c r="G342" t="s">
        <v>8</v>
      </c>
      <c r="H342" t="s">
        <v>74</v>
      </c>
      <c r="I342" t="s">
        <v>79</v>
      </c>
      <c r="J342" t="s">
        <v>80</v>
      </c>
      <c r="K342" t="s">
        <v>73</v>
      </c>
      <c r="L342">
        <v>701000</v>
      </c>
      <c r="M342" t="s">
        <v>62</v>
      </c>
      <c r="N342" t="s">
        <v>33</v>
      </c>
      <c r="O342">
        <v>1453</v>
      </c>
      <c r="P342">
        <v>2.6</v>
      </c>
      <c r="Q342">
        <v>3.78</v>
      </c>
      <c r="R342" t="s">
        <v>1202</v>
      </c>
      <c r="S342" t="s">
        <v>195</v>
      </c>
    </row>
    <row r="343" spans="1:19" x14ac:dyDescent="0.3">
      <c r="A343" t="s">
        <v>696</v>
      </c>
      <c r="B343" t="s">
        <v>22</v>
      </c>
      <c r="C343">
        <v>2026</v>
      </c>
      <c r="D343">
        <v>1</v>
      </c>
      <c r="E343" s="2">
        <v>46034</v>
      </c>
      <c r="F343" t="s">
        <v>7</v>
      </c>
      <c r="G343" t="s">
        <v>8</v>
      </c>
      <c r="H343" t="s">
        <v>74</v>
      </c>
      <c r="I343" t="s">
        <v>79</v>
      </c>
      <c r="J343" t="s">
        <v>80</v>
      </c>
      <c r="K343" t="s">
        <v>73</v>
      </c>
      <c r="L343">
        <v>701000</v>
      </c>
      <c r="M343" t="s">
        <v>62</v>
      </c>
      <c r="N343" t="s">
        <v>33</v>
      </c>
      <c r="O343">
        <v>1994</v>
      </c>
      <c r="P343">
        <v>2.6</v>
      </c>
      <c r="Q343">
        <v>5.18</v>
      </c>
      <c r="R343" t="s">
        <v>1205</v>
      </c>
      <c r="S343" t="s">
        <v>195</v>
      </c>
    </row>
    <row r="344" spans="1:19" x14ac:dyDescent="0.3">
      <c r="A344" t="s">
        <v>697</v>
      </c>
      <c r="B344" t="s">
        <v>22</v>
      </c>
      <c r="C344">
        <v>2026</v>
      </c>
      <c r="D344">
        <v>1</v>
      </c>
      <c r="E344" s="2">
        <v>46034</v>
      </c>
      <c r="F344" t="s">
        <v>7</v>
      </c>
      <c r="G344" t="s">
        <v>8</v>
      </c>
      <c r="H344" t="s">
        <v>74</v>
      </c>
      <c r="I344" t="s">
        <v>79</v>
      </c>
      <c r="J344" t="s">
        <v>80</v>
      </c>
      <c r="K344" t="s">
        <v>73</v>
      </c>
      <c r="L344">
        <v>701000</v>
      </c>
      <c r="M344" t="s">
        <v>62</v>
      </c>
      <c r="N344" t="s">
        <v>33</v>
      </c>
      <c r="O344">
        <v>1072</v>
      </c>
      <c r="P344">
        <v>2.6</v>
      </c>
      <c r="Q344">
        <v>2.79</v>
      </c>
      <c r="R344" t="s">
        <v>1200</v>
      </c>
      <c r="S344" t="s">
        <v>195</v>
      </c>
    </row>
    <row r="345" spans="1:19" x14ac:dyDescent="0.3">
      <c r="A345" t="s">
        <v>698</v>
      </c>
      <c r="B345" t="s">
        <v>22</v>
      </c>
      <c r="C345">
        <v>2026</v>
      </c>
      <c r="D345">
        <v>1</v>
      </c>
      <c r="E345" s="2">
        <v>46034</v>
      </c>
      <c r="F345" t="s">
        <v>7</v>
      </c>
      <c r="G345" t="s">
        <v>8</v>
      </c>
      <c r="H345" t="s">
        <v>74</v>
      </c>
      <c r="I345" t="s">
        <v>79</v>
      </c>
      <c r="J345" t="s">
        <v>80</v>
      </c>
      <c r="K345" t="s">
        <v>73</v>
      </c>
      <c r="L345">
        <v>701000</v>
      </c>
      <c r="M345" t="s">
        <v>62</v>
      </c>
      <c r="N345" t="s">
        <v>33</v>
      </c>
      <c r="O345">
        <v>1275</v>
      </c>
      <c r="P345">
        <v>2.6</v>
      </c>
      <c r="Q345">
        <v>3.32</v>
      </c>
      <c r="R345" t="s">
        <v>1204</v>
      </c>
      <c r="S345" t="s">
        <v>195</v>
      </c>
    </row>
    <row r="346" spans="1:19" x14ac:dyDescent="0.3">
      <c r="A346" t="s">
        <v>699</v>
      </c>
      <c r="B346" t="s">
        <v>22</v>
      </c>
      <c r="C346">
        <v>2026</v>
      </c>
      <c r="D346">
        <v>1</v>
      </c>
      <c r="E346" s="2">
        <v>46034</v>
      </c>
      <c r="F346" t="s">
        <v>7</v>
      </c>
      <c r="G346" t="s">
        <v>8</v>
      </c>
      <c r="H346" t="s">
        <v>74</v>
      </c>
      <c r="I346" t="s">
        <v>79</v>
      </c>
      <c r="J346" t="s">
        <v>80</v>
      </c>
      <c r="K346" t="s">
        <v>73</v>
      </c>
      <c r="L346">
        <v>701000</v>
      </c>
      <c r="M346" t="s">
        <v>62</v>
      </c>
      <c r="N346" t="s">
        <v>33</v>
      </c>
      <c r="O346">
        <v>2070</v>
      </c>
      <c r="P346">
        <v>2.6</v>
      </c>
      <c r="Q346">
        <v>5.38</v>
      </c>
      <c r="R346" t="s">
        <v>1203</v>
      </c>
      <c r="S346" t="s">
        <v>195</v>
      </c>
    </row>
    <row r="347" spans="1:19" x14ac:dyDescent="0.3">
      <c r="A347" t="s">
        <v>545</v>
      </c>
      <c r="B347" t="s">
        <v>22</v>
      </c>
      <c r="C347">
        <v>2026</v>
      </c>
      <c r="D347">
        <v>1</v>
      </c>
      <c r="E347" s="2">
        <v>46035</v>
      </c>
      <c r="F347" t="s">
        <v>7</v>
      </c>
      <c r="G347" t="s">
        <v>8</v>
      </c>
      <c r="H347" t="s">
        <v>70</v>
      </c>
      <c r="I347" t="s">
        <v>77</v>
      </c>
      <c r="J347" t="s">
        <v>78</v>
      </c>
      <c r="K347" t="s">
        <v>73</v>
      </c>
      <c r="L347">
        <v>701000</v>
      </c>
      <c r="M347" t="s">
        <v>62</v>
      </c>
      <c r="N347" t="s">
        <v>33</v>
      </c>
      <c r="O347">
        <v>666</v>
      </c>
      <c r="P347">
        <v>1.8</v>
      </c>
      <c r="Q347">
        <v>1.2</v>
      </c>
      <c r="R347" t="s">
        <v>1199</v>
      </c>
      <c r="S347" t="s">
        <v>195</v>
      </c>
    </row>
    <row r="348" spans="1:19" x14ac:dyDescent="0.3">
      <c r="A348" t="s">
        <v>546</v>
      </c>
      <c r="B348" t="s">
        <v>22</v>
      </c>
      <c r="C348">
        <v>2026</v>
      </c>
      <c r="D348">
        <v>1</v>
      </c>
      <c r="E348" s="2">
        <v>46035</v>
      </c>
      <c r="F348" t="s">
        <v>7</v>
      </c>
      <c r="G348" t="s">
        <v>8</v>
      </c>
      <c r="H348" t="s">
        <v>70</v>
      </c>
      <c r="I348" t="s">
        <v>77</v>
      </c>
      <c r="J348" t="s">
        <v>78</v>
      </c>
      <c r="K348" t="s">
        <v>73</v>
      </c>
      <c r="L348">
        <v>701000</v>
      </c>
      <c r="M348" t="s">
        <v>62</v>
      </c>
      <c r="N348" t="s">
        <v>33</v>
      </c>
      <c r="O348">
        <v>1211</v>
      </c>
      <c r="P348">
        <v>1.8</v>
      </c>
      <c r="Q348">
        <v>2.1800000000000002</v>
      </c>
      <c r="R348" t="s">
        <v>1203</v>
      </c>
      <c r="S348" t="s">
        <v>195</v>
      </c>
    </row>
    <row r="349" spans="1:19" x14ac:dyDescent="0.3">
      <c r="A349" t="s">
        <v>547</v>
      </c>
      <c r="B349" t="s">
        <v>22</v>
      </c>
      <c r="C349">
        <v>2026</v>
      </c>
      <c r="D349">
        <v>1</v>
      </c>
      <c r="E349" s="2">
        <v>46035</v>
      </c>
      <c r="F349" t="s">
        <v>7</v>
      </c>
      <c r="G349" t="s">
        <v>8</v>
      </c>
      <c r="H349" t="s">
        <v>70</v>
      </c>
      <c r="I349" t="s">
        <v>77</v>
      </c>
      <c r="J349" t="s">
        <v>78</v>
      </c>
      <c r="K349" t="s">
        <v>73</v>
      </c>
      <c r="L349">
        <v>701000</v>
      </c>
      <c r="M349" t="s">
        <v>62</v>
      </c>
      <c r="N349" t="s">
        <v>33</v>
      </c>
      <c r="O349">
        <v>1285</v>
      </c>
      <c r="P349">
        <v>1.8</v>
      </c>
      <c r="Q349">
        <v>2.31</v>
      </c>
      <c r="R349" t="s">
        <v>1204</v>
      </c>
      <c r="S349" t="s">
        <v>195</v>
      </c>
    </row>
    <row r="350" spans="1:19" x14ac:dyDescent="0.3">
      <c r="A350" t="s">
        <v>548</v>
      </c>
      <c r="B350" t="s">
        <v>22</v>
      </c>
      <c r="C350">
        <v>2026</v>
      </c>
      <c r="D350">
        <v>1</v>
      </c>
      <c r="E350" s="2">
        <v>46035</v>
      </c>
      <c r="F350" t="s">
        <v>7</v>
      </c>
      <c r="G350" t="s">
        <v>8</v>
      </c>
      <c r="H350" t="s">
        <v>70</v>
      </c>
      <c r="I350" t="s">
        <v>77</v>
      </c>
      <c r="J350" t="s">
        <v>78</v>
      </c>
      <c r="K350" t="s">
        <v>73</v>
      </c>
      <c r="L350">
        <v>701000</v>
      </c>
      <c r="M350" t="s">
        <v>62</v>
      </c>
      <c r="N350" t="s">
        <v>33</v>
      </c>
      <c r="O350">
        <v>1141</v>
      </c>
      <c r="P350">
        <v>1.8</v>
      </c>
      <c r="Q350">
        <v>2.0499999999999998</v>
      </c>
      <c r="R350" t="s">
        <v>1198</v>
      </c>
      <c r="S350" t="s">
        <v>195</v>
      </c>
    </row>
    <row r="351" spans="1:19" x14ac:dyDescent="0.3">
      <c r="A351" t="s">
        <v>549</v>
      </c>
      <c r="B351" t="s">
        <v>22</v>
      </c>
      <c r="C351">
        <v>2026</v>
      </c>
      <c r="D351">
        <v>1</v>
      </c>
      <c r="E351" s="2">
        <v>46035</v>
      </c>
      <c r="F351" t="s">
        <v>7</v>
      </c>
      <c r="G351" t="s">
        <v>8</v>
      </c>
      <c r="H351" t="s">
        <v>70</v>
      </c>
      <c r="I351" t="s">
        <v>77</v>
      </c>
      <c r="J351" t="s">
        <v>78</v>
      </c>
      <c r="K351" t="s">
        <v>73</v>
      </c>
      <c r="L351">
        <v>701000</v>
      </c>
      <c r="M351" t="s">
        <v>62</v>
      </c>
      <c r="N351" t="s">
        <v>33</v>
      </c>
      <c r="O351">
        <v>454</v>
      </c>
      <c r="P351">
        <v>1.81</v>
      </c>
      <c r="Q351">
        <v>0.82</v>
      </c>
      <c r="R351" t="s">
        <v>1205</v>
      </c>
      <c r="S351" t="s">
        <v>195</v>
      </c>
    </row>
    <row r="352" spans="1:19" x14ac:dyDescent="0.3">
      <c r="A352" t="s">
        <v>810</v>
      </c>
      <c r="B352" t="s">
        <v>22</v>
      </c>
      <c r="C352">
        <v>2026</v>
      </c>
      <c r="D352">
        <v>1</v>
      </c>
      <c r="E352" s="2">
        <v>46035</v>
      </c>
      <c r="F352" t="s">
        <v>7</v>
      </c>
      <c r="G352" t="s">
        <v>8</v>
      </c>
      <c r="H352" t="s">
        <v>74</v>
      </c>
      <c r="I352" t="s">
        <v>82</v>
      </c>
      <c r="J352" t="s">
        <v>83</v>
      </c>
      <c r="K352" t="s">
        <v>73</v>
      </c>
      <c r="L352">
        <v>701000</v>
      </c>
      <c r="M352" t="s">
        <v>62</v>
      </c>
      <c r="N352" t="s">
        <v>33</v>
      </c>
      <c r="O352">
        <v>196</v>
      </c>
      <c r="P352">
        <v>18.52</v>
      </c>
      <c r="Q352">
        <v>3.63</v>
      </c>
      <c r="R352" t="s">
        <v>1205</v>
      </c>
      <c r="S352" t="s">
        <v>195</v>
      </c>
    </row>
    <row r="353" spans="1:19" x14ac:dyDescent="0.3">
      <c r="A353" t="s">
        <v>811</v>
      </c>
      <c r="B353" t="s">
        <v>22</v>
      </c>
      <c r="C353">
        <v>2026</v>
      </c>
      <c r="D353">
        <v>1</v>
      </c>
      <c r="E353" s="2">
        <v>46035</v>
      </c>
      <c r="F353" t="s">
        <v>7</v>
      </c>
      <c r="G353" t="s">
        <v>8</v>
      </c>
      <c r="H353" t="s">
        <v>74</v>
      </c>
      <c r="I353" t="s">
        <v>82</v>
      </c>
      <c r="J353" t="s">
        <v>83</v>
      </c>
      <c r="K353" t="s">
        <v>73</v>
      </c>
      <c r="L353">
        <v>701000</v>
      </c>
      <c r="M353" t="s">
        <v>62</v>
      </c>
      <c r="N353" t="s">
        <v>33</v>
      </c>
      <c r="O353">
        <v>58</v>
      </c>
      <c r="P353">
        <v>18.45</v>
      </c>
      <c r="Q353">
        <v>1.07</v>
      </c>
      <c r="R353" t="s">
        <v>1198</v>
      </c>
      <c r="S353" t="s">
        <v>195</v>
      </c>
    </row>
    <row r="354" spans="1:19" x14ac:dyDescent="0.3">
      <c r="A354" t="s">
        <v>812</v>
      </c>
      <c r="B354" t="s">
        <v>22</v>
      </c>
      <c r="C354">
        <v>2026</v>
      </c>
      <c r="D354">
        <v>1</v>
      </c>
      <c r="E354" s="2">
        <v>46035</v>
      </c>
      <c r="F354" t="s">
        <v>7</v>
      </c>
      <c r="G354" t="s">
        <v>8</v>
      </c>
      <c r="H354" t="s">
        <v>74</v>
      </c>
      <c r="I354" t="s">
        <v>82</v>
      </c>
      <c r="J354" t="s">
        <v>83</v>
      </c>
      <c r="K354" t="s">
        <v>73</v>
      </c>
      <c r="L354">
        <v>701000</v>
      </c>
      <c r="M354" t="s">
        <v>62</v>
      </c>
      <c r="N354" t="s">
        <v>33</v>
      </c>
      <c r="O354">
        <v>134</v>
      </c>
      <c r="P354">
        <v>18.43</v>
      </c>
      <c r="Q354">
        <v>2.4700000000000002</v>
      </c>
      <c r="R354" t="s">
        <v>1199</v>
      </c>
      <c r="S354" t="s">
        <v>195</v>
      </c>
    </row>
    <row r="355" spans="1:19" x14ac:dyDescent="0.3">
      <c r="A355" t="s">
        <v>813</v>
      </c>
      <c r="B355" t="s">
        <v>22</v>
      </c>
      <c r="C355">
        <v>2026</v>
      </c>
      <c r="D355">
        <v>1</v>
      </c>
      <c r="E355" s="2">
        <v>46035</v>
      </c>
      <c r="F355" t="s">
        <v>7</v>
      </c>
      <c r="G355" t="s">
        <v>8</v>
      </c>
      <c r="H355" t="s">
        <v>74</v>
      </c>
      <c r="I355" t="s">
        <v>82</v>
      </c>
      <c r="J355" t="s">
        <v>83</v>
      </c>
      <c r="K355" t="s">
        <v>73</v>
      </c>
      <c r="L355">
        <v>701000</v>
      </c>
      <c r="M355" t="s">
        <v>62</v>
      </c>
      <c r="N355" t="s">
        <v>33</v>
      </c>
      <c r="O355">
        <v>122</v>
      </c>
      <c r="P355">
        <v>18.440000000000001</v>
      </c>
      <c r="Q355">
        <v>2.25</v>
      </c>
      <c r="R355" t="s">
        <v>1197</v>
      </c>
      <c r="S355" t="s">
        <v>195</v>
      </c>
    </row>
    <row r="356" spans="1:19" x14ac:dyDescent="0.3">
      <c r="A356" t="s">
        <v>814</v>
      </c>
      <c r="B356" t="s">
        <v>22</v>
      </c>
      <c r="C356">
        <v>2026</v>
      </c>
      <c r="D356">
        <v>1</v>
      </c>
      <c r="E356" s="2">
        <v>46035</v>
      </c>
      <c r="F356" t="s">
        <v>7</v>
      </c>
      <c r="G356" t="s">
        <v>8</v>
      </c>
      <c r="H356" t="s">
        <v>74</v>
      </c>
      <c r="I356" t="s">
        <v>82</v>
      </c>
      <c r="J356" t="s">
        <v>83</v>
      </c>
      <c r="K356" t="s">
        <v>73</v>
      </c>
      <c r="L356">
        <v>701000</v>
      </c>
      <c r="M356" t="s">
        <v>62</v>
      </c>
      <c r="N356" t="s">
        <v>33</v>
      </c>
      <c r="O356">
        <v>68</v>
      </c>
      <c r="P356">
        <v>18.82</v>
      </c>
      <c r="Q356">
        <v>1.28</v>
      </c>
      <c r="R356" t="s">
        <v>1204</v>
      </c>
      <c r="S356" t="s">
        <v>195</v>
      </c>
    </row>
    <row r="357" spans="1:19" x14ac:dyDescent="0.3">
      <c r="A357" t="s">
        <v>305</v>
      </c>
      <c r="B357" t="s">
        <v>22</v>
      </c>
      <c r="C357">
        <v>2026</v>
      </c>
      <c r="D357">
        <v>1</v>
      </c>
      <c r="E357" s="2">
        <v>46036</v>
      </c>
      <c r="F357" t="s">
        <v>7</v>
      </c>
      <c r="G357" t="s">
        <v>8</v>
      </c>
      <c r="H357" t="s">
        <v>74</v>
      </c>
      <c r="I357" t="s">
        <v>84</v>
      </c>
      <c r="J357" t="s">
        <v>85</v>
      </c>
      <c r="K357" t="s">
        <v>73</v>
      </c>
      <c r="L357">
        <v>701000</v>
      </c>
      <c r="M357" t="s">
        <v>62</v>
      </c>
      <c r="N357" t="s">
        <v>33</v>
      </c>
      <c r="O357">
        <v>9129</v>
      </c>
      <c r="P357">
        <v>0.95</v>
      </c>
      <c r="Q357">
        <v>8.67</v>
      </c>
      <c r="R357" t="s">
        <v>1203</v>
      </c>
      <c r="S357" t="s">
        <v>195</v>
      </c>
    </row>
    <row r="358" spans="1:19" x14ac:dyDescent="0.3">
      <c r="A358" t="s">
        <v>306</v>
      </c>
      <c r="B358" t="s">
        <v>22</v>
      </c>
      <c r="C358">
        <v>2026</v>
      </c>
      <c r="D358">
        <v>1</v>
      </c>
      <c r="E358" s="2">
        <v>46036</v>
      </c>
      <c r="F358" t="s">
        <v>7</v>
      </c>
      <c r="G358" t="s">
        <v>8</v>
      </c>
      <c r="H358" t="s">
        <v>74</v>
      </c>
      <c r="I358" t="s">
        <v>84</v>
      </c>
      <c r="J358" t="s">
        <v>85</v>
      </c>
      <c r="K358" t="s">
        <v>73</v>
      </c>
      <c r="L358">
        <v>701000</v>
      </c>
      <c r="M358" t="s">
        <v>62</v>
      </c>
      <c r="N358" t="s">
        <v>33</v>
      </c>
      <c r="O358">
        <v>582</v>
      </c>
      <c r="P358">
        <v>0.95</v>
      </c>
      <c r="Q358">
        <v>0.55000000000000004</v>
      </c>
      <c r="R358" t="s">
        <v>1201</v>
      </c>
      <c r="S358" t="s">
        <v>195</v>
      </c>
    </row>
    <row r="359" spans="1:19" x14ac:dyDescent="0.3">
      <c r="A359" t="s">
        <v>307</v>
      </c>
      <c r="B359" t="s">
        <v>22</v>
      </c>
      <c r="C359">
        <v>2026</v>
      </c>
      <c r="D359">
        <v>1</v>
      </c>
      <c r="E359" s="2">
        <v>46036</v>
      </c>
      <c r="F359" t="s">
        <v>7</v>
      </c>
      <c r="G359" t="s">
        <v>8</v>
      </c>
      <c r="H359" t="s">
        <v>74</v>
      </c>
      <c r="I359" t="s">
        <v>84</v>
      </c>
      <c r="J359" t="s">
        <v>85</v>
      </c>
      <c r="K359" t="s">
        <v>73</v>
      </c>
      <c r="L359">
        <v>701000</v>
      </c>
      <c r="M359" t="s">
        <v>62</v>
      </c>
      <c r="N359" t="s">
        <v>33</v>
      </c>
      <c r="O359">
        <v>2128</v>
      </c>
      <c r="P359">
        <v>0.95</v>
      </c>
      <c r="Q359">
        <v>2.02</v>
      </c>
      <c r="R359" t="s">
        <v>1204</v>
      </c>
      <c r="S359" t="s">
        <v>195</v>
      </c>
    </row>
    <row r="360" spans="1:19" x14ac:dyDescent="0.3">
      <c r="A360" t="s">
        <v>308</v>
      </c>
      <c r="B360" t="s">
        <v>22</v>
      </c>
      <c r="C360">
        <v>2026</v>
      </c>
      <c r="D360">
        <v>1</v>
      </c>
      <c r="E360" s="2">
        <v>46036</v>
      </c>
      <c r="F360" t="s">
        <v>7</v>
      </c>
      <c r="G360" t="s">
        <v>8</v>
      </c>
      <c r="H360" t="s">
        <v>74</v>
      </c>
      <c r="I360" t="s">
        <v>84</v>
      </c>
      <c r="J360" t="s">
        <v>85</v>
      </c>
      <c r="K360" t="s">
        <v>73</v>
      </c>
      <c r="L360">
        <v>701000</v>
      </c>
      <c r="M360" t="s">
        <v>62</v>
      </c>
      <c r="N360" t="s">
        <v>33</v>
      </c>
      <c r="O360">
        <v>1993</v>
      </c>
      <c r="P360">
        <v>0.95</v>
      </c>
      <c r="Q360">
        <v>1.89</v>
      </c>
      <c r="R360" t="s">
        <v>1199</v>
      </c>
      <c r="S360" t="s">
        <v>195</v>
      </c>
    </row>
    <row r="361" spans="1:19" x14ac:dyDescent="0.3">
      <c r="A361" t="s">
        <v>309</v>
      </c>
      <c r="B361" t="s">
        <v>22</v>
      </c>
      <c r="C361">
        <v>2026</v>
      </c>
      <c r="D361">
        <v>1</v>
      </c>
      <c r="E361" s="2">
        <v>46036</v>
      </c>
      <c r="F361" t="s">
        <v>7</v>
      </c>
      <c r="G361" t="s">
        <v>8</v>
      </c>
      <c r="H361" t="s">
        <v>74</v>
      </c>
      <c r="I361" t="s">
        <v>84</v>
      </c>
      <c r="J361" t="s">
        <v>85</v>
      </c>
      <c r="K361" t="s">
        <v>73</v>
      </c>
      <c r="L361">
        <v>701000</v>
      </c>
      <c r="M361" t="s">
        <v>62</v>
      </c>
      <c r="N361" t="s">
        <v>33</v>
      </c>
      <c r="O361">
        <v>5066</v>
      </c>
      <c r="P361">
        <v>0.95</v>
      </c>
      <c r="Q361">
        <v>4.82</v>
      </c>
      <c r="R361" t="s">
        <v>1197</v>
      </c>
      <c r="S361" t="s">
        <v>195</v>
      </c>
    </row>
    <row r="362" spans="1:19" x14ac:dyDescent="0.3">
      <c r="A362" t="s">
        <v>440</v>
      </c>
      <c r="B362" t="s">
        <v>22</v>
      </c>
      <c r="C362">
        <v>2026</v>
      </c>
      <c r="D362">
        <v>1</v>
      </c>
      <c r="E362" s="2">
        <v>46036</v>
      </c>
      <c r="F362" t="s">
        <v>7</v>
      </c>
      <c r="G362" t="s">
        <v>8</v>
      </c>
      <c r="H362" t="s">
        <v>70</v>
      </c>
      <c r="I362" t="s">
        <v>75</v>
      </c>
      <c r="J362" t="s">
        <v>76</v>
      </c>
      <c r="K362" t="s">
        <v>73</v>
      </c>
      <c r="L362">
        <v>701000</v>
      </c>
      <c r="M362" t="s">
        <v>62</v>
      </c>
      <c r="N362" t="s">
        <v>33</v>
      </c>
      <c r="O362">
        <v>2161</v>
      </c>
      <c r="P362">
        <v>1.4</v>
      </c>
      <c r="Q362">
        <v>3.03</v>
      </c>
      <c r="R362" t="s">
        <v>1204</v>
      </c>
      <c r="S362" t="s">
        <v>195</v>
      </c>
    </row>
    <row r="363" spans="1:19" x14ac:dyDescent="0.3">
      <c r="A363" t="s">
        <v>441</v>
      </c>
      <c r="B363" t="s">
        <v>22</v>
      </c>
      <c r="C363">
        <v>2026</v>
      </c>
      <c r="D363">
        <v>1</v>
      </c>
      <c r="E363" s="2">
        <v>46036</v>
      </c>
      <c r="F363" t="s">
        <v>7</v>
      </c>
      <c r="G363" t="s">
        <v>8</v>
      </c>
      <c r="H363" t="s">
        <v>70</v>
      </c>
      <c r="I363" t="s">
        <v>75</v>
      </c>
      <c r="J363" t="s">
        <v>76</v>
      </c>
      <c r="K363" t="s">
        <v>73</v>
      </c>
      <c r="L363">
        <v>701000</v>
      </c>
      <c r="M363" t="s">
        <v>62</v>
      </c>
      <c r="N363" t="s">
        <v>33</v>
      </c>
      <c r="O363">
        <v>716</v>
      </c>
      <c r="P363">
        <v>1.4</v>
      </c>
      <c r="Q363">
        <v>1</v>
      </c>
      <c r="R363" t="s">
        <v>1205</v>
      </c>
      <c r="S363" t="s">
        <v>195</v>
      </c>
    </row>
    <row r="364" spans="1:19" x14ac:dyDescent="0.3">
      <c r="A364" t="s">
        <v>442</v>
      </c>
      <c r="B364" t="s">
        <v>22</v>
      </c>
      <c r="C364">
        <v>2026</v>
      </c>
      <c r="D364">
        <v>1</v>
      </c>
      <c r="E364" s="2">
        <v>46036</v>
      </c>
      <c r="F364" t="s">
        <v>7</v>
      </c>
      <c r="G364" t="s">
        <v>8</v>
      </c>
      <c r="H364" t="s">
        <v>70</v>
      </c>
      <c r="I364" t="s">
        <v>75</v>
      </c>
      <c r="J364" t="s">
        <v>76</v>
      </c>
      <c r="K364" t="s">
        <v>73</v>
      </c>
      <c r="L364">
        <v>701000</v>
      </c>
      <c r="M364" t="s">
        <v>62</v>
      </c>
      <c r="N364" t="s">
        <v>33</v>
      </c>
      <c r="O364">
        <v>1439</v>
      </c>
      <c r="P364">
        <v>1.4</v>
      </c>
      <c r="Q364">
        <v>2.0099999999999998</v>
      </c>
      <c r="R364" t="s">
        <v>1202</v>
      </c>
      <c r="S364" t="s">
        <v>195</v>
      </c>
    </row>
    <row r="365" spans="1:19" x14ac:dyDescent="0.3">
      <c r="A365" t="s">
        <v>443</v>
      </c>
      <c r="B365" t="s">
        <v>22</v>
      </c>
      <c r="C365">
        <v>2026</v>
      </c>
      <c r="D365">
        <v>1</v>
      </c>
      <c r="E365" s="2">
        <v>46036</v>
      </c>
      <c r="F365" t="s">
        <v>7</v>
      </c>
      <c r="G365" t="s">
        <v>8</v>
      </c>
      <c r="H365" t="s">
        <v>70</v>
      </c>
      <c r="I365" t="s">
        <v>75</v>
      </c>
      <c r="J365" t="s">
        <v>76</v>
      </c>
      <c r="K365" t="s">
        <v>73</v>
      </c>
      <c r="L365">
        <v>701000</v>
      </c>
      <c r="M365" t="s">
        <v>62</v>
      </c>
      <c r="N365" t="s">
        <v>33</v>
      </c>
      <c r="O365">
        <v>2947</v>
      </c>
      <c r="P365">
        <v>1.4</v>
      </c>
      <c r="Q365">
        <v>4.13</v>
      </c>
      <c r="R365" t="s">
        <v>1203</v>
      </c>
      <c r="S365" t="s">
        <v>195</v>
      </c>
    </row>
    <row r="366" spans="1:19" x14ac:dyDescent="0.3">
      <c r="A366" t="s">
        <v>444</v>
      </c>
      <c r="B366" t="s">
        <v>22</v>
      </c>
      <c r="C366">
        <v>2026</v>
      </c>
      <c r="D366">
        <v>1</v>
      </c>
      <c r="E366" s="2">
        <v>46036</v>
      </c>
      <c r="F366" t="s">
        <v>7</v>
      </c>
      <c r="G366" t="s">
        <v>8</v>
      </c>
      <c r="H366" t="s">
        <v>70</v>
      </c>
      <c r="I366" t="s">
        <v>75</v>
      </c>
      <c r="J366" t="s">
        <v>76</v>
      </c>
      <c r="K366" t="s">
        <v>73</v>
      </c>
      <c r="L366">
        <v>701000</v>
      </c>
      <c r="M366" t="s">
        <v>62</v>
      </c>
      <c r="N366" t="s">
        <v>33</v>
      </c>
      <c r="O366">
        <v>1105</v>
      </c>
      <c r="P366">
        <v>1.4</v>
      </c>
      <c r="Q366">
        <v>1.55</v>
      </c>
      <c r="R366" t="s">
        <v>1197</v>
      </c>
      <c r="S366" t="s">
        <v>195</v>
      </c>
    </row>
    <row r="367" spans="1:19" x14ac:dyDescent="0.3">
      <c r="A367" t="s">
        <v>720</v>
      </c>
      <c r="B367" t="s">
        <v>22</v>
      </c>
      <c r="C367">
        <v>2026</v>
      </c>
      <c r="D367">
        <v>1</v>
      </c>
      <c r="E367" s="2">
        <v>46036</v>
      </c>
      <c r="F367" t="s">
        <v>7</v>
      </c>
      <c r="G367" t="s">
        <v>8</v>
      </c>
      <c r="H367" t="s">
        <v>70</v>
      </c>
      <c r="I367" t="s">
        <v>79</v>
      </c>
      <c r="J367" t="s">
        <v>80</v>
      </c>
      <c r="K367" t="s">
        <v>73</v>
      </c>
      <c r="L367">
        <v>701000</v>
      </c>
      <c r="M367" t="s">
        <v>62</v>
      </c>
      <c r="N367" t="s">
        <v>33</v>
      </c>
      <c r="O367">
        <v>1675</v>
      </c>
      <c r="P367">
        <v>2.6</v>
      </c>
      <c r="Q367">
        <v>4.3499999999999996</v>
      </c>
      <c r="R367" t="s">
        <v>1200</v>
      </c>
      <c r="S367" t="s">
        <v>195</v>
      </c>
    </row>
    <row r="368" spans="1:19" x14ac:dyDescent="0.3">
      <c r="A368" t="s">
        <v>721</v>
      </c>
      <c r="B368" t="s">
        <v>22</v>
      </c>
      <c r="C368">
        <v>2026</v>
      </c>
      <c r="D368">
        <v>1</v>
      </c>
      <c r="E368" s="2">
        <v>46036</v>
      </c>
      <c r="F368" t="s">
        <v>7</v>
      </c>
      <c r="G368" t="s">
        <v>8</v>
      </c>
      <c r="H368" t="s">
        <v>70</v>
      </c>
      <c r="I368" t="s">
        <v>79</v>
      </c>
      <c r="J368" t="s">
        <v>80</v>
      </c>
      <c r="K368" t="s">
        <v>73</v>
      </c>
      <c r="L368">
        <v>701000</v>
      </c>
      <c r="M368" t="s">
        <v>62</v>
      </c>
      <c r="N368" t="s">
        <v>33</v>
      </c>
      <c r="O368">
        <v>3950</v>
      </c>
      <c r="P368">
        <v>2.6</v>
      </c>
      <c r="Q368">
        <v>10.27</v>
      </c>
      <c r="R368" t="s">
        <v>1202</v>
      </c>
      <c r="S368" t="s">
        <v>195</v>
      </c>
    </row>
    <row r="369" spans="1:19" x14ac:dyDescent="0.3">
      <c r="A369" t="s">
        <v>722</v>
      </c>
      <c r="B369" t="s">
        <v>22</v>
      </c>
      <c r="C369">
        <v>2026</v>
      </c>
      <c r="D369">
        <v>1</v>
      </c>
      <c r="E369" s="2">
        <v>46036</v>
      </c>
      <c r="F369" t="s">
        <v>7</v>
      </c>
      <c r="G369" t="s">
        <v>8</v>
      </c>
      <c r="H369" t="s">
        <v>70</v>
      </c>
      <c r="I369" t="s">
        <v>79</v>
      </c>
      <c r="J369" t="s">
        <v>80</v>
      </c>
      <c r="K369" t="s">
        <v>73</v>
      </c>
      <c r="L369">
        <v>701000</v>
      </c>
      <c r="M369" t="s">
        <v>62</v>
      </c>
      <c r="N369" t="s">
        <v>33</v>
      </c>
      <c r="O369">
        <v>884</v>
      </c>
      <c r="P369">
        <v>2.6</v>
      </c>
      <c r="Q369">
        <v>2.2999999999999998</v>
      </c>
      <c r="R369" t="s">
        <v>1203</v>
      </c>
      <c r="S369" t="s">
        <v>195</v>
      </c>
    </row>
    <row r="370" spans="1:19" x14ac:dyDescent="0.3">
      <c r="A370" t="s">
        <v>723</v>
      </c>
      <c r="B370" t="s">
        <v>22</v>
      </c>
      <c r="C370">
        <v>2026</v>
      </c>
      <c r="D370">
        <v>1</v>
      </c>
      <c r="E370" s="2">
        <v>46036</v>
      </c>
      <c r="F370" t="s">
        <v>7</v>
      </c>
      <c r="G370" t="s">
        <v>8</v>
      </c>
      <c r="H370" t="s">
        <v>70</v>
      </c>
      <c r="I370" t="s">
        <v>79</v>
      </c>
      <c r="J370" t="s">
        <v>80</v>
      </c>
      <c r="K370" t="s">
        <v>73</v>
      </c>
      <c r="L370">
        <v>701000</v>
      </c>
      <c r="M370" t="s">
        <v>62</v>
      </c>
      <c r="N370" t="s">
        <v>33</v>
      </c>
      <c r="O370">
        <v>723</v>
      </c>
      <c r="P370">
        <v>2.6</v>
      </c>
      <c r="Q370">
        <v>1.88</v>
      </c>
      <c r="R370" t="s">
        <v>1199</v>
      </c>
      <c r="S370" t="s">
        <v>195</v>
      </c>
    </row>
    <row r="371" spans="1:19" x14ac:dyDescent="0.3">
      <c r="A371" t="s">
        <v>724</v>
      </c>
      <c r="B371" t="s">
        <v>22</v>
      </c>
      <c r="C371">
        <v>2026</v>
      </c>
      <c r="D371">
        <v>1</v>
      </c>
      <c r="E371" s="2">
        <v>46036</v>
      </c>
      <c r="F371" t="s">
        <v>7</v>
      </c>
      <c r="G371" t="s">
        <v>8</v>
      </c>
      <c r="H371" t="s">
        <v>70</v>
      </c>
      <c r="I371" t="s">
        <v>79</v>
      </c>
      <c r="J371" t="s">
        <v>80</v>
      </c>
      <c r="K371" t="s">
        <v>73</v>
      </c>
      <c r="L371">
        <v>701000</v>
      </c>
      <c r="M371" t="s">
        <v>62</v>
      </c>
      <c r="N371" t="s">
        <v>33</v>
      </c>
      <c r="O371">
        <v>1065</v>
      </c>
      <c r="P371">
        <v>2.6</v>
      </c>
      <c r="Q371">
        <v>2.77</v>
      </c>
      <c r="R371" t="s">
        <v>1198</v>
      </c>
      <c r="S371" t="s">
        <v>195</v>
      </c>
    </row>
    <row r="372" spans="1:19" x14ac:dyDescent="0.3">
      <c r="A372" t="s">
        <v>230</v>
      </c>
      <c r="B372" t="s">
        <v>22</v>
      </c>
      <c r="C372">
        <v>2026</v>
      </c>
      <c r="D372">
        <v>1</v>
      </c>
      <c r="E372" s="2">
        <v>46037</v>
      </c>
      <c r="F372" t="s">
        <v>7</v>
      </c>
      <c r="G372" t="s">
        <v>8</v>
      </c>
      <c r="H372" t="s">
        <v>70</v>
      </c>
      <c r="I372" t="s">
        <v>84</v>
      </c>
      <c r="J372" t="s">
        <v>85</v>
      </c>
      <c r="K372" t="s">
        <v>73</v>
      </c>
      <c r="L372">
        <v>701000</v>
      </c>
      <c r="M372" t="s">
        <v>62</v>
      </c>
      <c r="N372" t="s">
        <v>33</v>
      </c>
      <c r="O372">
        <v>6018</v>
      </c>
      <c r="P372">
        <v>0.95</v>
      </c>
      <c r="Q372">
        <v>5.72</v>
      </c>
      <c r="R372" t="s">
        <v>1198</v>
      </c>
      <c r="S372" t="s">
        <v>195</v>
      </c>
    </row>
    <row r="373" spans="1:19" x14ac:dyDescent="0.3">
      <c r="A373" t="s">
        <v>231</v>
      </c>
      <c r="B373" t="s">
        <v>22</v>
      </c>
      <c r="C373">
        <v>2026</v>
      </c>
      <c r="D373">
        <v>1</v>
      </c>
      <c r="E373" s="2">
        <v>46037</v>
      </c>
      <c r="F373" t="s">
        <v>7</v>
      </c>
      <c r="G373" t="s">
        <v>8</v>
      </c>
      <c r="H373" t="s">
        <v>70</v>
      </c>
      <c r="I373" t="s">
        <v>84</v>
      </c>
      <c r="J373" t="s">
        <v>85</v>
      </c>
      <c r="K373" t="s">
        <v>73</v>
      </c>
      <c r="L373">
        <v>701000</v>
      </c>
      <c r="M373" t="s">
        <v>62</v>
      </c>
      <c r="N373" t="s">
        <v>33</v>
      </c>
      <c r="O373">
        <v>1430</v>
      </c>
      <c r="P373">
        <v>0.95</v>
      </c>
      <c r="Q373">
        <v>1.36</v>
      </c>
      <c r="R373" t="s">
        <v>1201</v>
      </c>
      <c r="S373" t="s">
        <v>195</v>
      </c>
    </row>
    <row r="374" spans="1:19" x14ac:dyDescent="0.3">
      <c r="A374" t="s">
        <v>232</v>
      </c>
      <c r="B374" t="s">
        <v>22</v>
      </c>
      <c r="C374">
        <v>2026</v>
      </c>
      <c r="D374">
        <v>1</v>
      </c>
      <c r="E374" s="2">
        <v>46037</v>
      </c>
      <c r="F374" t="s">
        <v>7</v>
      </c>
      <c r="G374" t="s">
        <v>8</v>
      </c>
      <c r="H374" t="s">
        <v>70</v>
      </c>
      <c r="I374" t="s">
        <v>84</v>
      </c>
      <c r="J374" t="s">
        <v>85</v>
      </c>
      <c r="K374" t="s">
        <v>73</v>
      </c>
      <c r="L374">
        <v>701000</v>
      </c>
      <c r="M374" t="s">
        <v>62</v>
      </c>
      <c r="N374" t="s">
        <v>33</v>
      </c>
      <c r="O374">
        <v>3570</v>
      </c>
      <c r="P374">
        <v>0.95</v>
      </c>
      <c r="Q374">
        <v>3.39</v>
      </c>
      <c r="R374" t="s">
        <v>1204</v>
      </c>
      <c r="S374" t="s">
        <v>195</v>
      </c>
    </row>
    <row r="375" spans="1:19" x14ac:dyDescent="0.3">
      <c r="A375" t="s">
        <v>233</v>
      </c>
      <c r="B375" t="s">
        <v>22</v>
      </c>
      <c r="C375">
        <v>2026</v>
      </c>
      <c r="D375">
        <v>1</v>
      </c>
      <c r="E375" s="2">
        <v>46037</v>
      </c>
      <c r="F375" t="s">
        <v>7</v>
      </c>
      <c r="G375" t="s">
        <v>8</v>
      </c>
      <c r="H375" t="s">
        <v>70</v>
      </c>
      <c r="I375" t="s">
        <v>84</v>
      </c>
      <c r="J375" t="s">
        <v>85</v>
      </c>
      <c r="K375" t="s">
        <v>73</v>
      </c>
      <c r="L375">
        <v>701000</v>
      </c>
      <c r="M375" t="s">
        <v>62</v>
      </c>
      <c r="N375" t="s">
        <v>33</v>
      </c>
      <c r="O375">
        <v>2635</v>
      </c>
      <c r="P375">
        <v>0.95</v>
      </c>
      <c r="Q375">
        <v>2.5</v>
      </c>
      <c r="R375" t="s">
        <v>1202</v>
      </c>
      <c r="S375" t="s">
        <v>195</v>
      </c>
    </row>
    <row r="376" spans="1:19" x14ac:dyDescent="0.3">
      <c r="A376" t="s">
        <v>234</v>
      </c>
      <c r="B376" t="s">
        <v>22</v>
      </c>
      <c r="C376">
        <v>2026</v>
      </c>
      <c r="D376">
        <v>1</v>
      </c>
      <c r="E376" s="2">
        <v>46037</v>
      </c>
      <c r="F376" t="s">
        <v>7</v>
      </c>
      <c r="G376" t="s">
        <v>8</v>
      </c>
      <c r="H376" t="s">
        <v>70</v>
      </c>
      <c r="I376" t="s">
        <v>84</v>
      </c>
      <c r="J376" t="s">
        <v>85</v>
      </c>
      <c r="K376" t="s">
        <v>73</v>
      </c>
      <c r="L376">
        <v>701000</v>
      </c>
      <c r="M376" t="s">
        <v>62</v>
      </c>
      <c r="N376" t="s">
        <v>33</v>
      </c>
      <c r="O376">
        <v>1475</v>
      </c>
      <c r="P376">
        <v>0.95</v>
      </c>
      <c r="Q376">
        <v>1.4</v>
      </c>
      <c r="R376" t="s">
        <v>1200</v>
      </c>
      <c r="S376" t="s">
        <v>195</v>
      </c>
    </row>
    <row r="377" spans="1:19" x14ac:dyDescent="0.3">
      <c r="A377" t="s">
        <v>325</v>
      </c>
      <c r="B377" t="s">
        <v>22</v>
      </c>
      <c r="C377">
        <v>2026</v>
      </c>
      <c r="D377">
        <v>1</v>
      </c>
      <c r="E377" s="2">
        <v>46037</v>
      </c>
      <c r="F377" t="s">
        <v>7</v>
      </c>
      <c r="G377" t="s">
        <v>8</v>
      </c>
      <c r="H377" t="s">
        <v>70</v>
      </c>
      <c r="I377" t="s">
        <v>71</v>
      </c>
      <c r="J377" t="s">
        <v>72</v>
      </c>
      <c r="K377" t="s">
        <v>73</v>
      </c>
      <c r="L377">
        <v>701000</v>
      </c>
      <c r="M377" t="s">
        <v>62</v>
      </c>
      <c r="N377" t="s">
        <v>33</v>
      </c>
      <c r="O377">
        <v>4797</v>
      </c>
      <c r="P377">
        <v>1.05</v>
      </c>
      <c r="Q377">
        <v>5.04</v>
      </c>
      <c r="R377" t="s">
        <v>1201</v>
      </c>
      <c r="S377" t="s">
        <v>195</v>
      </c>
    </row>
    <row r="378" spans="1:19" x14ac:dyDescent="0.3">
      <c r="A378" t="s">
        <v>326</v>
      </c>
      <c r="B378" t="s">
        <v>22</v>
      </c>
      <c r="C378">
        <v>2026</v>
      </c>
      <c r="D378">
        <v>1</v>
      </c>
      <c r="E378" s="2">
        <v>46037</v>
      </c>
      <c r="F378" t="s">
        <v>7</v>
      </c>
      <c r="G378" t="s">
        <v>8</v>
      </c>
      <c r="H378" t="s">
        <v>70</v>
      </c>
      <c r="I378" t="s">
        <v>71</v>
      </c>
      <c r="J378" t="s">
        <v>72</v>
      </c>
      <c r="K378" t="s">
        <v>73</v>
      </c>
      <c r="L378">
        <v>701000</v>
      </c>
      <c r="M378" t="s">
        <v>62</v>
      </c>
      <c r="N378" t="s">
        <v>33</v>
      </c>
      <c r="O378">
        <v>746</v>
      </c>
      <c r="P378">
        <v>1.05</v>
      </c>
      <c r="Q378">
        <v>0.78</v>
      </c>
      <c r="R378" t="s">
        <v>1198</v>
      </c>
      <c r="S378" t="s">
        <v>195</v>
      </c>
    </row>
    <row r="379" spans="1:19" x14ac:dyDescent="0.3">
      <c r="A379" t="s">
        <v>327</v>
      </c>
      <c r="B379" t="s">
        <v>22</v>
      </c>
      <c r="C379">
        <v>2026</v>
      </c>
      <c r="D379">
        <v>1</v>
      </c>
      <c r="E379" s="2">
        <v>46037</v>
      </c>
      <c r="F379" t="s">
        <v>7</v>
      </c>
      <c r="G379" t="s">
        <v>8</v>
      </c>
      <c r="H379" t="s">
        <v>70</v>
      </c>
      <c r="I379" t="s">
        <v>71</v>
      </c>
      <c r="J379" t="s">
        <v>72</v>
      </c>
      <c r="K379" t="s">
        <v>73</v>
      </c>
      <c r="L379">
        <v>701000</v>
      </c>
      <c r="M379" t="s">
        <v>62</v>
      </c>
      <c r="N379" t="s">
        <v>33</v>
      </c>
      <c r="O379">
        <v>1257</v>
      </c>
      <c r="P379">
        <v>1.05</v>
      </c>
      <c r="Q379">
        <v>1.32</v>
      </c>
      <c r="R379" t="s">
        <v>1200</v>
      </c>
      <c r="S379" t="s">
        <v>195</v>
      </c>
    </row>
    <row r="380" spans="1:19" x14ac:dyDescent="0.3">
      <c r="A380" t="s">
        <v>328</v>
      </c>
      <c r="B380" t="s">
        <v>22</v>
      </c>
      <c r="C380">
        <v>2026</v>
      </c>
      <c r="D380">
        <v>1</v>
      </c>
      <c r="E380" s="2">
        <v>46037</v>
      </c>
      <c r="F380" t="s">
        <v>7</v>
      </c>
      <c r="G380" t="s">
        <v>8</v>
      </c>
      <c r="H380" t="s">
        <v>70</v>
      </c>
      <c r="I380" t="s">
        <v>71</v>
      </c>
      <c r="J380" t="s">
        <v>72</v>
      </c>
      <c r="K380" t="s">
        <v>73</v>
      </c>
      <c r="L380">
        <v>701000</v>
      </c>
      <c r="M380" t="s">
        <v>62</v>
      </c>
      <c r="N380" t="s">
        <v>33</v>
      </c>
      <c r="O380">
        <v>6037</v>
      </c>
      <c r="P380">
        <v>1.05</v>
      </c>
      <c r="Q380">
        <v>6.34</v>
      </c>
      <c r="R380" t="s">
        <v>1205</v>
      </c>
      <c r="S380" t="s">
        <v>195</v>
      </c>
    </row>
    <row r="381" spans="1:19" x14ac:dyDescent="0.3">
      <c r="A381" t="s">
        <v>329</v>
      </c>
      <c r="B381" t="s">
        <v>22</v>
      </c>
      <c r="C381">
        <v>2026</v>
      </c>
      <c r="D381">
        <v>1</v>
      </c>
      <c r="E381" s="2">
        <v>46037</v>
      </c>
      <c r="F381" t="s">
        <v>7</v>
      </c>
      <c r="G381" t="s">
        <v>8</v>
      </c>
      <c r="H381" t="s">
        <v>70</v>
      </c>
      <c r="I381" t="s">
        <v>71</v>
      </c>
      <c r="J381" t="s">
        <v>72</v>
      </c>
      <c r="K381" t="s">
        <v>73</v>
      </c>
      <c r="L381">
        <v>701000</v>
      </c>
      <c r="M381" t="s">
        <v>62</v>
      </c>
      <c r="N381" t="s">
        <v>33</v>
      </c>
      <c r="O381">
        <v>5395</v>
      </c>
      <c r="P381">
        <v>1.05</v>
      </c>
      <c r="Q381">
        <v>5.66</v>
      </c>
      <c r="R381" t="s">
        <v>1199</v>
      </c>
      <c r="S381" t="s">
        <v>195</v>
      </c>
    </row>
    <row r="382" spans="1:19" x14ac:dyDescent="0.3">
      <c r="A382" t="s">
        <v>335</v>
      </c>
      <c r="B382" t="s">
        <v>22</v>
      </c>
      <c r="C382">
        <v>2026</v>
      </c>
      <c r="D382">
        <v>1</v>
      </c>
      <c r="E382" s="2">
        <v>46037</v>
      </c>
      <c r="F382" t="s">
        <v>7</v>
      </c>
      <c r="G382" t="s">
        <v>8</v>
      </c>
      <c r="H382" t="s">
        <v>70</v>
      </c>
      <c r="I382" t="s">
        <v>71</v>
      </c>
      <c r="J382" t="s">
        <v>72</v>
      </c>
      <c r="K382" t="s">
        <v>73</v>
      </c>
      <c r="L382">
        <v>701000</v>
      </c>
      <c r="M382" t="s">
        <v>62</v>
      </c>
      <c r="N382" t="s">
        <v>33</v>
      </c>
      <c r="O382">
        <v>913</v>
      </c>
      <c r="P382">
        <v>1.05</v>
      </c>
      <c r="Q382">
        <v>0.96</v>
      </c>
      <c r="R382" t="s">
        <v>1203</v>
      </c>
      <c r="S382" t="s">
        <v>195</v>
      </c>
    </row>
    <row r="383" spans="1:19" x14ac:dyDescent="0.3">
      <c r="A383" t="s">
        <v>336</v>
      </c>
      <c r="B383" t="s">
        <v>22</v>
      </c>
      <c r="C383">
        <v>2026</v>
      </c>
      <c r="D383">
        <v>1</v>
      </c>
      <c r="E383" s="2">
        <v>46037</v>
      </c>
      <c r="F383" t="s">
        <v>7</v>
      </c>
      <c r="G383" t="s">
        <v>8</v>
      </c>
      <c r="H383" t="s">
        <v>70</v>
      </c>
      <c r="I383" t="s">
        <v>71</v>
      </c>
      <c r="J383" t="s">
        <v>72</v>
      </c>
      <c r="K383" t="s">
        <v>73</v>
      </c>
      <c r="L383">
        <v>701000</v>
      </c>
      <c r="M383" t="s">
        <v>62</v>
      </c>
      <c r="N383" t="s">
        <v>33</v>
      </c>
      <c r="O383">
        <v>2751</v>
      </c>
      <c r="P383">
        <v>1.05</v>
      </c>
      <c r="Q383">
        <v>2.89</v>
      </c>
      <c r="R383" t="s">
        <v>1205</v>
      </c>
      <c r="S383" t="s">
        <v>195</v>
      </c>
    </row>
    <row r="384" spans="1:19" x14ac:dyDescent="0.3">
      <c r="A384" t="s">
        <v>337</v>
      </c>
      <c r="B384" t="s">
        <v>22</v>
      </c>
      <c r="C384">
        <v>2026</v>
      </c>
      <c r="D384">
        <v>1</v>
      </c>
      <c r="E384" s="2">
        <v>46037</v>
      </c>
      <c r="F384" t="s">
        <v>7</v>
      </c>
      <c r="G384" t="s">
        <v>8</v>
      </c>
      <c r="H384" t="s">
        <v>70</v>
      </c>
      <c r="I384" t="s">
        <v>71</v>
      </c>
      <c r="J384" t="s">
        <v>72</v>
      </c>
      <c r="K384" t="s">
        <v>73</v>
      </c>
      <c r="L384">
        <v>701000</v>
      </c>
      <c r="M384" t="s">
        <v>62</v>
      </c>
      <c r="N384" t="s">
        <v>33</v>
      </c>
      <c r="O384">
        <v>5394</v>
      </c>
      <c r="P384">
        <v>1.05</v>
      </c>
      <c r="Q384">
        <v>5.67</v>
      </c>
      <c r="R384" t="s">
        <v>1202</v>
      </c>
      <c r="S384" t="s">
        <v>195</v>
      </c>
    </row>
    <row r="385" spans="1:19" x14ac:dyDescent="0.3">
      <c r="A385" t="s">
        <v>338</v>
      </c>
      <c r="B385" t="s">
        <v>22</v>
      </c>
      <c r="C385">
        <v>2026</v>
      </c>
      <c r="D385">
        <v>1</v>
      </c>
      <c r="E385" s="2">
        <v>46037</v>
      </c>
      <c r="F385" t="s">
        <v>7</v>
      </c>
      <c r="G385" t="s">
        <v>8</v>
      </c>
      <c r="H385" t="s">
        <v>70</v>
      </c>
      <c r="I385" t="s">
        <v>71</v>
      </c>
      <c r="J385" t="s">
        <v>72</v>
      </c>
      <c r="K385" t="s">
        <v>73</v>
      </c>
      <c r="L385">
        <v>701000</v>
      </c>
      <c r="M385" t="s">
        <v>62</v>
      </c>
      <c r="N385" t="s">
        <v>33</v>
      </c>
      <c r="O385">
        <v>8164</v>
      </c>
      <c r="P385">
        <v>1.05</v>
      </c>
      <c r="Q385">
        <v>8.57</v>
      </c>
      <c r="R385" t="s">
        <v>1201</v>
      </c>
      <c r="S385" t="s">
        <v>195</v>
      </c>
    </row>
    <row r="386" spans="1:19" x14ac:dyDescent="0.3">
      <c r="A386" t="s">
        <v>339</v>
      </c>
      <c r="B386" t="s">
        <v>22</v>
      </c>
      <c r="C386">
        <v>2026</v>
      </c>
      <c r="D386">
        <v>1</v>
      </c>
      <c r="E386" s="2">
        <v>46037</v>
      </c>
      <c r="F386" t="s">
        <v>7</v>
      </c>
      <c r="G386" t="s">
        <v>8</v>
      </c>
      <c r="H386" t="s">
        <v>70</v>
      </c>
      <c r="I386" t="s">
        <v>71</v>
      </c>
      <c r="J386" t="s">
        <v>72</v>
      </c>
      <c r="K386" t="s">
        <v>73</v>
      </c>
      <c r="L386">
        <v>701000</v>
      </c>
      <c r="M386" t="s">
        <v>62</v>
      </c>
      <c r="N386" t="s">
        <v>33</v>
      </c>
      <c r="O386">
        <v>2069</v>
      </c>
      <c r="P386">
        <v>1.05</v>
      </c>
      <c r="Q386">
        <v>2.17</v>
      </c>
      <c r="R386" t="s">
        <v>1197</v>
      </c>
      <c r="S386" t="s">
        <v>195</v>
      </c>
    </row>
    <row r="387" spans="1:19" x14ac:dyDescent="0.3">
      <c r="A387" t="s">
        <v>745</v>
      </c>
      <c r="B387" t="s">
        <v>22</v>
      </c>
      <c r="C387">
        <v>2026</v>
      </c>
      <c r="D387">
        <v>1</v>
      </c>
      <c r="E387" s="2">
        <v>46037</v>
      </c>
      <c r="F387" t="s">
        <v>7</v>
      </c>
      <c r="G387" t="s">
        <v>8</v>
      </c>
      <c r="H387" t="s">
        <v>70</v>
      </c>
      <c r="I387" t="s">
        <v>82</v>
      </c>
      <c r="J387" t="s">
        <v>83</v>
      </c>
      <c r="K387" t="s">
        <v>73</v>
      </c>
      <c r="L387">
        <v>706000</v>
      </c>
      <c r="M387" t="s">
        <v>63</v>
      </c>
      <c r="N387" t="s">
        <v>33</v>
      </c>
      <c r="O387">
        <v>73</v>
      </c>
      <c r="P387">
        <v>18.489999999999998</v>
      </c>
      <c r="Q387">
        <v>1.35</v>
      </c>
      <c r="R387" t="s">
        <v>1198</v>
      </c>
      <c r="S387" t="s">
        <v>195</v>
      </c>
    </row>
    <row r="388" spans="1:19" x14ac:dyDescent="0.3">
      <c r="A388" t="s">
        <v>746</v>
      </c>
      <c r="B388" t="s">
        <v>22</v>
      </c>
      <c r="C388">
        <v>2026</v>
      </c>
      <c r="D388">
        <v>1</v>
      </c>
      <c r="E388" s="2">
        <v>46037</v>
      </c>
      <c r="F388" t="s">
        <v>7</v>
      </c>
      <c r="G388" t="s">
        <v>8</v>
      </c>
      <c r="H388" t="s">
        <v>70</v>
      </c>
      <c r="I388" t="s">
        <v>82</v>
      </c>
      <c r="J388" t="s">
        <v>83</v>
      </c>
      <c r="K388" t="s">
        <v>73</v>
      </c>
      <c r="L388">
        <v>706000</v>
      </c>
      <c r="M388" t="s">
        <v>63</v>
      </c>
      <c r="N388" t="s">
        <v>33</v>
      </c>
      <c r="O388">
        <v>118</v>
      </c>
      <c r="P388">
        <v>18.559999999999999</v>
      </c>
      <c r="Q388">
        <v>2.19</v>
      </c>
      <c r="R388" t="s">
        <v>1203</v>
      </c>
      <c r="S388" t="s">
        <v>195</v>
      </c>
    </row>
    <row r="389" spans="1:19" x14ac:dyDescent="0.3">
      <c r="A389" t="s">
        <v>747</v>
      </c>
      <c r="B389" t="s">
        <v>22</v>
      </c>
      <c r="C389">
        <v>2026</v>
      </c>
      <c r="D389">
        <v>1</v>
      </c>
      <c r="E389" s="2">
        <v>46037</v>
      </c>
      <c r="F389" t="s">
        <v>7</v>
      </c>
      <c r="G389" t="s">
        <v>8</v>
      </c>
      <c r="H389" t="s">
        <v>70</v>
      </c>
      <c r="I389" t="s">
        <v>82</v>
      </c>
      <c r="J389" t="s">
        <v>83</v>
      </c>
      <c r="K389" t="s">
        <v>73</v>
      </c>
      <c r="L389">
        <v>706000</v>
      </c>
      <c r="M389" t="s">
        <v>63</v>
      </c>
      <c r="N389" t="s">
        <v>33</v>
      </c>
      <c r="O389">
        <v>163</v>
      </c>
      <c r="P389">
        <v>18.47</v>
      </c>
      <c r="Q389">
        <v>3.01</v>
      </c>
      <c r="R389" t="s">
        <v>1205</v>
      </c>
      <c r="S389" t="s">
        <v>195</v>
      </c>
    </row>
    <row r="390" spans="1:19" x14ac:dyDescent="0.3">
      <c r="A390" t="s">
        <v>748</v>
      </c>
      <c r="B390" t="s">
        <v>22</v>
      </c>
      <c r="C390">
        <v>2026</v>
      </c>
      <c r="D390">
        <v>1</v>
      </c>
      <c r="E390" s="2">
        <v>46037</v>
      </c>
      <c r="F390" t="s">
        <v>7</v>
      </c>
      <c r="G390" t="s">
        <v>8</v>
      </c>
      <c r="H390" t="s">
        <v>70</v>
      </c>
      <c r="I390" t="s">
        <v>82</v>
      </c>
      <c r="J390" t="s">
        <v>83</v>
      </c>
      <c r="K390" t="s">
        <v>73</v>
      </c>
      <c r="L390">
        <v>706000</v>
      </c>
      <c r="M390" t="s">
        <v>63</v>
      </c>
      <c r="N390" t="s">
        <v>33</v>
      </c>
      <c r="O390">
        <v>36</v>
      </c>
      <c r="P390">
        <v>18.329999999999998</v>
      </c>
      <c r="Q390">
        <v>0.66</v>
      </c>
      <c r="R390" t="s">
        <v>1199</v>
      </c>
      <c r="S390" t="s">
        <v>195</v>
      </c>
    </row>
    <row r="391" spans="1:19" x14ac:dyDescent="0.3">
      <c r="A391" t="s">
        <v>749</v>
      </c>
      <c r="B391" t="s">
        <v>22</v>
      </c>
      <c r="C391">
        <v>2026</v>
      </c>
      <c r="D391">
        <v>1</v>
      </c>
      <c r="E391" s="2">
        <v>46037</v>
      </c>
      <c r="F391" t="s">
        <v>7</v>
      </c>
      <c r="G391" t="s">
        <v>8</v>
      </c>
      <c r="H391" t="s">
        <v>70</v>
      </c>
      <c r="I391" t="s">
        <v>82</v>
      </c>
      <c r="J391" t="s">
        <v>83</v>
      </c>
      <c r="K391" t="s">
        <v>73</v>
      </c>
      <c r="L391">
        <v>706000</v>
      </c>
      <c r="M391" t="s">
        <v>63</v>
      </c>
      <c r="N391" t="s">
        <v>33</v>
      </c>
      <c r="O391">
        <v>140</v>
      </c>
      <c r="P391">
        <v>18.57</v>
      </c>
      <c r="Q391">
        <v>2.6</v>
      </c>
      <c r="R391" t="s">
        <v>1201</v>
      </c>
      <c r="S391" t="s">
        <v>195</v>
      </c>
    </row>
    <row r="392" spans="1:19" x14ac:dyDescent="0.3">
      <c r="A392" t="s">
        <v>200</v>
      </c>
      <c r="B392" t="s">
        <v>22</v>
      </c>
      <c r="C392">
        <v>2026</v>
      </c>
      <c r="D392">
        <v>1</v>
      </c>
      <c r="E392" s="2">
        <v>46038</v>
      </c>
      <c r="F392" t="s">
        <v>7</v>
      </c>
      <c r="G392" t="s">
        <v>8</v>
      </c>
      <c r="H392" t="s">
        <v>74</v>
      </c>
      <c r="I392" t="s">
        <v>84</v>
      </c>
      <c r="J392" t="s">
        <v>85</v>
      </c>
      <c r="K392" t="s">
        <v>73</v>
      </c>
      <c r="L392">
        <v>701000</v>
      </c>
      <c r="M392" t="s">
        <v>62</v>
      </c>
      <c r="N392" t="s">
        <v>33</v>
      </c>
      <c r="O392">
        <v>3056</v>
      </c>
      <c r="P392">
        <v>0.95</v>
      </c>
      <c r="Q392">
        <v>2.9</v>
      </c>
      <c r="R392" t="s">
        <v>1202</v>
      </c>
      <c r="S392" t="s">
        <v>195</v>
      </c>
    </row>
    <row r="393" spans="1:19" x14ac:dyDescent="0.3">
      <c r="A393" t="s">
        <v>201</v>
      </c>
      <c r="B393" t="s">
        <v>22</v>
      </c>
      <c r="C393">
        <v>2026</v>
      </c>
      <c r="D393">
        <v>1</v>
      </c>
      <c r="E393" s="2">
        <v>46038</v>
      </c>
      <c r="F393" t="s">
        <v>7</v>
      </c>
      <c r="G393" t="s">
        <v>8</v>
      </c>
      <c r="H393" t="s">
        <v>74</v>
      </c>
      <c r="I393" t="s">
        <v>84</v>
      </c>
      <c r="J393" t="s">
        <v>85</v>
      </c>
      <c r="K393" t="s">
        <v>73</v>
      </c>
      <c r="L393">
        <v>701000</v>
      </c>
      <c r="M393" t="s">
        <v>62</v>
      </c>
      <c r="N393" t="s">
        <v>33</v>
      </c>
      <c r="O393">
        <v>3415</v>
      </c>
      <c r="P393">
        <v>0.95</v>
      </c>
      <c r="Q393">
        <v>3.24</v>
      </c>
      <c r="R393" t="s">
        <v>1198</v>
      </c>
      <c r="S393" t="s">
        <v>195</v>
      </c>
    </row>
    <row r="394" spans="1:19" x14ac:dyDescent="0.3">
      <c r="A394" t="s">
        <v>202</v>
      </c>
      <c r="B394" t="s">
        <v>22</v>
      </c>
      <c r="C394">
        <v>2026</v>
      </c>
      <c r="D394">
        <v>1</v>
      </c>
      <c r="E394" s="2">
        <v>46038</v>
      </c>
      <c r="F394" t="s">
        <v>7</v>
      </c>
      <c r="G394" t="s">
        <v>8</v>
      </c>
      <c r="H394" t="s">
        <v>74</v>
      </c>
      <c r="I394" t="s">
        <v>84</v>
      </c>
      <c r="J394" t="s">
        <v>85</v>
      </c>
      <c r="K394" t="s">
        <v>73</v>
      </c>
      <c r="L394">
        <v>701000</v>
      </c>
      <c r="M394" t="s">
        <v>62</v>
      </c>
      <c r="N394" t="s">
        <v>33</v>
      </c>
      <c r="O394">
        <v>949</v>
      </c>
      <c r="P394">
        <v>0.95</v>
      </c>
      <c r="Q394">
        <v>0.9</v>
      </c>
      <c r="R394" t="s">
        <v>1197</v>
      </c>
      <c r="S394" t="s">
        <v>195</v>
      </c>
    </row>
    <row r="395" spans="1:19" x14ac:dyDescent="0.3">
      <c r="A395" t="s">
        <v>203</v>
      </c>
      <c r="B395" t="s">
        <v>22</v>
      </c>
      <c r="C395">
        <v>2026</v>
      </c>
      <c r="D395">
        <v>1</v>
      </c>
      <c r="E395" s="2">
        <v>46038</v>
      </c>
      <c r="F395" t="s">
        <v>7</v>
      </c>
      <c r="G395" t="s">
        <v>8</v>
      </c>
      <c r="H395" t="s">
        <v>74</v>
      </c>
      <c r="I395" t="s">
        <v>84</v>
      </c>
      <c r="J395" t="s">
        <v>85</v>
      </c>
      <c r="K395" t="s">
        <v>73</v>
      </c>
      <c r="L395">
        <v>701000</v>
      </c>
      <c r="M395" t="s">
        <v>62</v>
      </c>
      <c r="N395" t="s">
        <v>33</v>
      </c>
      <c r="O395">
        <v>5320</v>
      </c>
      <c r="P395">
        <v>0.95</v>
      </c>
      <c r="Q395">
        <v>5.05</v>
      </c>
      <c r="R395" t="s">
        <v>1199</v>
      </c>
      <c r="S395" t="s">
        <v>195</v>
      </c>
    </row>
    <row r="396" spans="1:19" x14ac:dyDescent="0.3">
      <c r="A396" t="s">
        <v>204</v>
      </c>
      <c r="B396" t="s">
        <v>22</v>
      </c>
      <c r="C396">
        <v>2026</v>
      </c>
      <c r="D396">
        <v>1</v>
      </c>
      <c r="E396" s="2">
        <v>46038</v>
      </c>
      <c r="F396" t="s">
        <v>7</v>
      </c>
      <c r="G396" t="s">
        <v>8</v>
      </c>
      <c r="H396" t="s">
        <v>74</v>
      </c>
      <c r="I396" t="s">
        <v>84</v>
      </c>
      <c r="J396" t="s">
        <v>85</v>
      </c>
      <c r="K396" t="s">
        <v>73</v>
      </c>
      <c r="L396">
        <v>701000</v>
      </c>
      <c r="M396" t="s">
        <v>62</v>
      </c>
      <c r="N396" t="s">
        <v>33</v>
      </c>
      <c r="O396">
        <v>5953</v>
      </c>
      <c r="P396">
        <v>0.95</v>
      </c>
      <c r="Q396">
        <v>5.67</v>
      </c>
      <c r="R396" t="s">
        <v>1203</v>
      </c>
      <c r="S396" t="s">
        <v>195</v>
      </c>
    </row>
    <row r="397" spans="1:19" x14ac:dyDescent="0.3">
      <c r="A397" t="s">
        <v>290</v>
      </c>
      <c r="B397" t="s">
        <v>22</v>
      </c>
      <c r="C397">
        <v>2026</v>
      </c>
      <c r="D397">
        <v>1</v>
      </c>
      <c r="E397" s="2">
        <v>46038</v>
      </c>
      <c r="F397" t="s">
        <v>7</v>
      </c>
      <c r="G397" t="s">
        <v>8</v>
      </c>
      <c r="H397" t="s">
        <v>74</v>
      </c>
      <c r="I397" t="s">
        <v>84</v>
      </c>
      <c r="J397" t="s">
        <v>85</v>
      </c>
      <c r="K397" t="s">
        <v>73</v>
      </c>
      <c r="L397">
        <v>701000</v>
      </c>
      <c r="M397" t="s">
        <v>62</v>
      </c>
      <c r="N397" t="s">
        <v>33</v>
      </c>
      <c r="O397">
        <v>2461</v>
      </c>
      <c r="P397">
        <v>0.95</v>
      </c>
      <c r="Q397">
        <v>2.34</v>
      </c>
      <c r="R397" t="s">
        <v>1200</v>
      </c>
      <c r="S397" t="s">
        <v>195</v>
      </c>
    </row>
    <row r="398" spans="1:19" x14ac:dyDescent="0.3">
      <c r="A398" t="s">
        <v>291</v>
      </c>
      <c r="B398" t="s">
        <v>22</v>
      </c>
      <c r="C398">
        <v>2026</v>
      </c>
      <c r="D398">
        <v>1</v>
      </c>
      <c r="E398" s="2">
        <v>46038</v>
      </c>
      <c r="F398" t="s">
        <v>7</v>
      </c>
      <c r="G398" t="s">
        <v>8</v>
      </c>
      <c r="H398" t="s">
        <v>74</v>
      </c>
      <c r="I398" t="s">
        <v>84</v>
      </c>
      <c r="J398" t="s">
        <v>85</v>
      </c>
      <c r="K398" t="s">
        <v>73</v>
      </c>
      <c r="L398">
        <v>701000</v>
      </c>
      <c r="M398" t="s">
        <v>62</v>
      </c>
      <c r="N398" t="s">
        <v>33</v>
      </c>
      <c r="O398">
        <v>5022</v>
      </c>
      <c r="P398">
        <v>0.95</v>
      </c>
      <c r="Q398">
        <v>4.7699999999999996</v>
      </c>
      <c r="R398" t="s">
        <v>1204</v>
      </c>
      <c r="S398" t="s">
        <v>195</v>
      </c>
    </row>
    <row r="399" spans="1:19" x14ac:dyDescent="0.3">
      <c r="A399" t="s">
        <v>292</v>
      </c>
      <c r="B399" t="s">
        <v>22</v>
      </c>
      <c r="C399">
        <v>2026</v>
      </c>
      <c r="D399">
        <v>1</v>
      </c>
      <c r="E399" s="2">
        <v>46038</v>
      </c>
      <c r="F399" t="s">
        <v>7</v>
      </c>
      <c r="G399" t="s">
        <v>8</v>
      </c>
      <c r="H399" t="s">
        <v>74</v>
      </c>
      <c r="I399" t="s">
        <v>84</v>
      </c>
      <c r="J399" t="s">
        <v>85</v>
      </c>
      <c r="K399" t="s">
        <v>73</v>
      </c>
      <c r="L399">
        <v>701000</v>
      </c>
      <c r="M399" t="s">
        <v>62</v>
      </c>
      <c r="N399" t="s">
        <v>33</v>
      </c>
      <c r="O399">
        <v>4692</v>
      </c>
      <c r="P399">
        <v>0.95</v>
      </c>
      <c r="Q399">
        <v>4.46</v>
      </c>
      <c r="R399" t="s">
        <v>1199</v>
      </c>
      <c r="S399" t="s">
        <v>195</v>
      </c>
    </row>
    <row r="400" spans="1:19" x14ac:dyDescent="0.3">
      <c r="A400" t="s">
        <v>293</v>
      </c>
      <c r="B400" t="s">
        <v>22</v>
      </c>
      <c r="C400">
        <v>2026</v>
      </c>
      <c r="D400">
        <v>1</v>
      </c>
      <c r="E400" s="2">
        <v>46038</v>
      </c>
      <c r="F400" t="s">
        <v>7</v>
      </c>
      <c r="G400" t="s">
        <v>8</v>
      </c>
      <c r="H400" t="s">
        <v>74</v>
      </c>
      <c r="I400" t="s">
        <v>84</v>
      </c>
      <c r="J400" t="s">
        <v>85</v>
      </c>
      <c r="K400" t="s">
        <v>73</v>
      </c>
      <c r="L400">
        <v>701000</v>
      </c>
      <c r="M400" t="s">
        <v>62</v>
      </c>
      <c r="N400" t="s">
        <v>33</v>
      </c>
      <c r="O400">
        <v>3603</v>
      </c>
      <c r="P400">
        <v>0.95</v>
      </c>
      <c r="Q400">
        <v>3.42</v>
      </c>
      <c r="R400" t="s">
        <v>1205</v>
      </c>
      <c r="S400" t="s">
        <v>195</v>
      </c>
    </row>
    <row r="401" spans="1:19" x14ac:dyDescent="0.3">
      <c r="A401" t="s">
        <v>294</v>
      </c>
      <c r="B401" t="s">
        <v>22</v>
      </c>
      <c r="C401">
        <v>2026</v>
      </c>
      <c r="D401">
        <v>1</v>
      </c>
      <c r="E401" s="2">
        <v>46038</v>
      </c>
      <c r="F401" t="s">
        <v>7</v>
      </c>
      <c r="G401" t="s">
        <v>8</v>
      </c>
      <c r="H401" t="s">
        <v>74</v>
      </c>
      <c r="I401" t="s">
        <v>84</v>
      </c>
      <c r="J401" t="s">
        <v>85</v>
      </c>
      <c r="K401" t="s">
        <v>73</v>
      </c>
      <c r="L401">
        <v>701000</v>
      </c>
      <c r="M401" t="s">
        <v>62</v>
      </c>
      <c r="N401" t="s">
        <v>33</v>
      </c>
      <c r="O401">
        <v>3685</v>
      </c>
      <c r="P401">
        <v>0.95</v>
      </c>
      <c r="Q401">
        <v>3.5</v>
      </c>
      <c r="R401" t="s">
        <v>1197</v>
      </c>
      <c r="S401" t="s">
        <v>195</v>
      </c>
    </row>
    <row r="402" spans="1:19" x14ac:dyDescent="0.3">
      <c r="A402" t="s">
        <v>385</v>
      </c>
      <c r="B402" t="s">
        <v>22</v>
      </c>
      <c r="C402">
        <v>2026</v>
      </c>
      <c r="D402">
        <v>1</v>
      </c>
      <c r="E402" s="2">
        <v>46038</v>
      </c>
      <c r="F402" t="s">
        <v>7</v>
      </c>
      <c r="G402" t="s">
        <v>8</v>
      </c>
      <c r="H402" t="s">
        <v>70</v>
      </c>
      <c r="I402" t="s">
        <v>75</v>
      </c>
      <c r="J402" t="s">
        <v>76</v>
      </c>
      <c r="K402" t="s">
        <v>73</v>
      </c>
      <c r="L402">
        <v>701000</v>
      </c>
      <c r="M402" t="s">
        <v>62</v>
      </c>
      <c r="N402" t="s">
        <v>33</v>
      </c>
      <c r="O402">
        <v>688</v>
      </c>
      <c r="P402">
        <v>1.4</v>
      </c>
      <c r="Q402">
        <v>0.96</v>
      </c>
      <c r="R402" t="s">
        <v>1198</v>
      </c>
      <c r="S402" t="s">
        <v>195</v>
      </c>
    </row>
    <row r="403" spans="1:19" x14ac:dyDescent="0.3">
      <c r="A403" t="s">
        <v>386</v>
      </c>
      <c r="B403" t="s">
        <v>22</v>
      </c>
      <c r="C403">
        <v>2026</v>
      </c>
      <c r="D403">
        <v>1</v>
      </c>
      <c r="E403" s="2">
        <v>46038</v>
      </c>
      <c r="F403" t="s">
        <v>7</v>
      </c>
      <c r="G403" t="s">
        <v>8</v>
      </c>
      <c r="H403" t="s">
        <v>70</v>
      </c>
      <c r="I403" t="s">
        <v>75</v>
      </c>
      <c r="J403" t="s">
        <v>76</v>
      </c>
      <c r="K403" t="s">
        <v>73</v>
      </c>
      <c r="L403">
        <v>701000</v>
      </c>
      <c r="M403" t="s">
        <v>62</v>
      </c>
      <c r="N403" t="s">
        <v>33</v>
      </c>
      <c r="O403">
        <v>852</v>
      </c>
      <c r="P403">
        <v>1.4</v>
      </c>
      <c r="Q403">
        <v>1.19</v>
      </c>
      <c r="R403" t="s">
        <v>1200</v>
      </c>
      <c r="S403" t="s">
        <v>195</v>
      </c>
    </row>
    <row r="404" spans="1:19" x14ac:dyDescent="0.3">
      <c r="A404" t="s">
        <v>387</v>
      </c>
      <c r="B404" t="s">
        <v>22</v>
      </c>
      <c r="C404">
        <v>2026</v>
      </c>
      <c r="D404">
        <v>1</v>
      </c>
      <c r="E404" s="2">
        <v>46038</v>
      </c>
      <c r="F404" t="s">
        <v>7</v>
      </c>
      <c r="G404" t="s">
        <v>8</v>
      </c>
      <c r="H404" t="s">
        <v>70</v>
      </c>
      <c r="I404" t="s">
        <v>75</v>
      </c>
      <c r="J404" t="s">
        <v>76</v>
      </c>
      <c r="K404" t="s">
        <v>73</v>
      </c>
      <c r="L404">
        <v>701000</v>
      </c>
      <c r="M404" t="s">
        <v>62</v>
      </c>
      <c r="N404" t="s">
        <v>33</v>
      </c>
      <c r="O404">
        <v>1032</v>
      </c>
      <c r="P404">
        <v>1.41</v>
      </c>
      <c r="Q404">
        <v>1.45</v>
      </c>
      <c r="R404" t="s">
        <v>1197</v>
      </c>
      <c r="S404" t="s">
        <v>195</v>
      </c>
    </row>
    <row r="405" spans="1:19" x14ac:dyDescent="0.3">
      <c r="A405" t="s">
        <v>388</v>
      </c>
      <c r="B405" t="s">
        <v>22</v>
      </c>
      <c r="C405">
        <v>2026</v>
      </c>
      <c r="D405">
        <v>1</v>
      </c>
      <c r="E405" s="2">
        <v>46038</v>
      </c>
      <c r="F405" t="s">
        <v>7</v>
      </c>
      <c r="G405" t="s">
        <v>8</v>
      </c>
      <c r="H405" t="s">
        <v>70</v>
      </c>
      <c r="I405" t="s">
        <v>75</v>
      </c>
      <c r="J405" t="s">
        <v>76</v>
      </c>
      <c r="K405" t="s">
        <v>73</v>
      </c>
      <c r="L405">
        <v>701000</v>
      </c>
      <c r="M405" t="s">
        <v>62</v>
      </c>
      <c r="N405" t="s">
        <v>33</v>
      </c>
      <c r="O405">
        <v>1806</v>
      </c>
      <c r="P405">
        <v>1.4</v>
      </c>
      <c r="Q405">
        <v>2.5299999999999998</v>
      </c>
      <c r="R405" t="s">
        <v>1205</v>
      </c>
      <c r="S405" t="s">
        <v>195</v>
      </c>
    </row>
    <row r="406" spans="1:19" x14ac:dyDescent="0.3">
      <c r="A406" t="s">
        <v>389</v>
      </c>
      <c r="B406" t="s">
        <v>22</v>
      </c>
      <c r="C406">
        <v>2026</v>
      </c>
      <c r="D406">
        <v>1</v>
      </c>
      <c r="E406" s="2">
        <v>46038</v>
      </c>
      <c r="F406" t="s">
        <v>7</v>
      </c>
      <c r="G406" t="s">
        <v>8</v>
      </c>
      <c r="H406" t="s">
        <v>70</v>
      </c>
      <c r="I406" t="s">
        <v>75</v>
      </c>
      <c r="J406" t="s">
        <v>76</v>
      </c>
      <c r="K406" t="s">
        <v>73</v>
      </c>
      <c r="L406">
        <v>701000</v>
      </c>
      <c r="M406" t="s">
        <v>62</v>
      </c>
      <c r="N406" t="s">
        <v>33</v>
      </c>
      <c r="O406">
        <v>2414</v>
      </c>
      <c r="P406">
        <v>1.4</v>
      </c>
      <c r="Q406">
        <v>3.38</v>
      </c>
      <c r="R406" t="s">
        <v>1202</v>
      </c>
      <c r="S406" t="s">
        <v>195</v>
      </c>
    </row>
    <row r="407" spans="1:19" x14ac:dyDescent="0.3">
      <c r="A407" t="s">
        <v>490</v>
      </c>
      <c r="B407" t="s">
        <v>22</v>
      </c>
      <c r="C407">
        <v>2026</v>
      </c>
      <c r="D407">
        <v>1</v>
      </c>
      <c r="E407" s="2">
        <v>46038</v>
      </c>
      <c r="F407" t="s">
        <v>7</v>
      </c>
      <c r="G407" t="s">
        <v>8</v>
      </c>
      <c r="H407" t="s">
        <v>74</v>
      </c>
      <c r="I407" t="s">
        <v>77</v>
      </c>
      <c r="J407" t="s">
        <v>78</v>
      </c>
      <c r="K407" t="s">
        <v>73</v>
      </c>
      <c r="L407">
        <v>701000</v>
      </c>
      <c r="M407" t="s">
        <v>62</v>
      </c>
      <c r="N407" t="s">
        <v>33</v>
      </c>
      <c r="O407">
        <v>328</v>
      </c>
      <c r="P407">
        <v>1.8</v>
      </c>
      <c r="Q407">
        <v>0.59</v>
      </c>
      <c r="R407" t="s">
        <v>1204</v>
      </c>
      <c r="S407" t="s">
        <v>195</v>
      </c>
    </row>
    <row r="408" spans="1:19" x14ac:dyDescent="0.3">
      <c r="A408" t="s">
        <v>491</v>
      </c>
      <c r="B408" t="s">
        <v>22</v>
      </c>
      <c r="C408">
        <v>2026</v>
      </c>
      <c r="D408">
        <v>1</v>
      </c>
      <c r="E408" s="2">
        <v>46038</v>
      </c>
      <c r="F408" t="s">
        <v>7</v>
      </c>
      <c r="G408" t="s">
        <v>8</v>
      </c>
      <c r="H408" t="s">
        <v>74</v>
      </c>
      <c r="I408" t="s">
        <v>77</v>
      </c>
      <c r="J408" t="s">
        <v>78</v>
      </c>
      <c r="K408" t="s">
        <v>73</v>
      </c>
      <c r="L408">
        <v>701000</v>
      </c>
      <c r="M408" t="s">
        <v>62</v>
      </c>
      <c r="N408" t="s">
        <v>33</v>
      </c>
      <c r="O408">
        <v>669</v>
      </c>
      <c r="P408">
        <v>1.79</v>
      </c>
      <c r="Q408">
        <v>1.2</v>
      </c>
      <c r="R408" t="s">
        <v>1197</v>
      </c>
      <c r="S408" t="s">
        <v>195</v>
      </c>
    </row>
    <row r="409" spans="1:19" x14ac:dyDescent="0.3">
      <c r="A409" t="s">
        <v>492</v>
      </c>
      <c r="B409" t="s">
        <v>22</v>
      </c>
      <c r="C409">
        <v>2026</v>
      </c>
      <c r="D409">
        <v>1</v>
      </c>
      <c r="E409" s="2">
        <v>46038</v>
      </c>
      <c r="F409" t="s">
        <v>7</v>
      </c>
      <c r="G409" t="s">
        <v>8</v>
      </c>
      <c r="H409" t="s">
        <v>74</v>
      </c>
      <c r="I409" t="s">
        <v>77</v>
      </c>
      <c r="J409" t="s">
        <v>78</v>
      </c>
      <c r="K409" t="s">
        <v>73</v>
      </c>
      <c r="L409">
        <v>701000</v>
      </c>
      <c r="M409" t="s">
        <v>62</v>
      </c>
      <c r="N409" t="s">
        <v>33</v>
      </c>
      <c r="O409">
        <v>1120</v>
      </c>
      <c r="P409">
        <v>1.8</v>
      </c>
      <c r="Q409">
        <v>2.02</v>
      </c>
      <c r="R409" t="s">
        <v>1203</v>
      </c>
      <c r="S409" t="s">
        <v>195</v>
      </c>
    </row>
    <row r="410" spans="1:19" x14ac:dyDescent="0.3">
      <c r="A410" t="s">
        <v>493</v>
      </c>
      <c r="B410" t="s">
        <v>22</v>
      </c>
      <c r="C410">
        <v>2026</v>
      </c>
      <c r="D410">
        <v>1</v>
      </c>
      <c r="E410" s="2">
        <v>46038</v>
      </c>
      <c r="F410" t="s">
        <v>7</v>
      </c>
      <c r="G410" t="s">
        <v>8</v>
      </c>
      <c r="H410" t="s">
        <v>74</v>
      </c>
      <c r="I410" t="s">
        <v>77</v>
      </c>
      <c r="J410" t="s">
        <v>78</v>
      </c>
      <c r="K410" t="s">
        <v>73</v>
      </c>
      <c r="L410">
        <v>701000</v>
      </c>
      <c r="M410" t="s">
        <v>62</v>
      </c>
      <c r="N410" t="s">
        <v>33</v>
      </c>
      <c r="O410">
        <v>595</v>
      </c>
      <c r="P410">
        <v>1.8</v>
      </c>
      <c r="Q410">
        <v>1.07</v>
      </c>
      <c r="R410" t="s">
        <v>1205</v>
      </c>
      <c r="S410" t="s">
        <v>195</v>
      </c>
    </row>
    <row r="411" spans="1:19" x14ac:dyDescent="0.3">
      <c r="A411" t="s">
        <v>494</v>
      </c>
      <c r="B411" t="s">
        <v>22</v>
      </c>
      <c r="C411">
        <v>2026</v>
      </c>
      <c r="D411">
        <v>1</v>
      </c>
      <c r="E411" s="2">
        <v>46038</v>
      </c>
      <c r="F411" t="s">
        <v>7</v>
      </c>
      <c r="G411" t="s">
        <v>8</v>
      </c>
      <c r="H411" t="s">
        <v>74</v>
      </c>
      <c r="I411" t="s">
        <v>77</v>
      </c>
      <c r="J411" t="s">
        <v>78</v>
      </c>
      <c r="K411" t="s">
        <v>73</v>
      </c>
      <c r="L411">
        <v>701000</v>
      </c>
      <c r="M411" t="s">
        <v>62</v>
      </c>
      <c r="N411" t="s">
        <v>33</v>
      </c>
      <c r="O411">
        <v>1476</v>
      </c>
      <c r="P411">
        <v>1.8</v>
      </c>
      <c r="Q411">
        <v>2.66</v>
      </c>
      <c r="R411" t="s">
        <v>1201</v>
      </c>
      <c r="S411" t="s">
        <v>195</v>
      </c>
    </row>
    <row r="412" spans="1:19" x14ac:dyDescent="0.3">
      <c r="A412" t="s">
        <v>740</v>
      </c>
      <c r="B412" t="s">
        <v>22</v>
      </c>
      <c r="C412">
        <v>2026</v>
      </c>
      <c r="D412">
        <v>1</v>
      </c>
      <c r="E412" s="2">
        <v>46038</v>
      </c>
      <c r="F412" t="s">
        <v>7</v>
      </c>
      <c r="G412" t="s">
        <v>8</v>
      </c>
      <c r="H412" t="s">
        <v>70</v>
      </c>
      <c r="I412" t="s">
        <v>82</v>
      </c>
      <c r="J412" t="s">
        <v>83</v>
      </c>
      <c r="K412" t="s">
        <v>73</v>
      </c>
      <c r="L412">
        <v>701000</v>
      </c>
      <c r="M412" t="s">
        <v>62</v>
      </c>
      <c r="N412" t="s">
        <v>33</v>
      </c>
      <c r="O412">
        <v>109</v>
      </c>
      <c r="P412">
        <v>18.440000000000001</v>
      </c>
      <c r="Q412">
        <v>2.0099999999999998</v>
      </c>
      <c r="R412" t="s">
        <v>1205</v>
      </c>
      <c r="S412" t="s">
        <v>195</v>
      </c>
    </row>
    <row r="413" spans="1:19" x14ac:dyDescent="0.3">
      <c r="A413" t="s">
        <v>741</v>
      </c>
      <c r="B413" t="s">
        <v>22</v>
      </c>
      <c r="C413">
        <v>2026</v>
      </c>
      <c r="D413">
        <v>1</v>
      </c>
      <c r="E413" s="2">
        <v>46038</v>
      </c>
      <c r="F413" t="s">
        <v>7</v>
      </c>
      <c r="G413" t="s">
        <v>8</v>
      </c>
      <c r="H413" t="s">
        <v>70</v>
      </c>
      <c r="I413" t="s">
        <v>82</v>
      </c>
      <c r="J413" t="s">
        <v>83</v>
      </c>
      <c r="K413" t="s">
        <v>73</v>
      </c>
      <c r="L413">
        <v>701000</v>
      </c>
      <c r="M413" t="s">
        <v>62</v>
      </c>
      <c r="N413" t="s">
        <v>33</v>
      </c>
      <c r="O413">
        <v>98</v>
      </c>
      <c r="P413">
        <v>18.47</v>
      </c>
      <c r="Q413">
        <v>1.81</v>
      </c>
      <c r="R413" t="s">
        <v>1202</v>
      </c>
      <c r="S413" t="s">
        <v>195</v>
      </c>
    </row>
    <row r="414" spans="1:19" x14ac:dyDescent="0.3">
      <c r="A414" t="s">
        <v>742</v>
      </c>
      <c r="B414" t="s">
        <v>22</v>
      </c>
      <c r="C414">
        <v>2026</v>
      </c>
      <c r="D414">
        <v>1</v>
      </c>
      <c r="E414" s="2">
        <v>46038</v>
      </c>
      <c r="F414" t="s">
        <v>7</v>
      </c>
      <c r="G414" t="s">
        <v>8</v>
      </c>
      <c r="H414" t="s">
        <v>70</v>
      </c>
      <c r="I414" t="s">
        <v>82</v>
      </c>
      <c r="J414" t="s">
        <v>83</v>
      </c>
      <c r="K414" t="s">
        <v>73</v>
      </c>
      <c r="L414">
        <v>701000</v>
      </c>
      <c r="M414" t="s">
        <v>62</v>
      </c>
      <c r="N414" t="s">
        <v>33</v>
      </c>
      <c r="O414">
        <v>197</v>
      </c>
      <c r="P414">
        <v>18.48</v>
      </c>
      <c r="Q414">
        <v>3.64</v>
      </c>
      <c r="R414" t="s">
        <v>1203</v>
      </c>
      <c r="S414" t="s">
        <v>195</v>
      </c>
    </row>
    <row r="415" spans="1:19" x14ac:dyDescent="0.3">
      <c r="A415" t="s">
        <v>743</v>
      </c>
      <c r="B415" t="s">
        <v>22</v>
      </c>
      <c r="C415">
        <v>2026</v>
      </c>
      <c r="D415">
        <v>1</v>
      </c>
      <c r="E415" s="2">
        <v>46038</v>
      </c>
      <c r="F415" t="s">
        <v>7</v>
      </c>
      <c r="G415" t="s">
        <v>8</v>
      </c>
      <c r="H415" t="s">
        <v>70</v>
      </c>
      <c r="I415" t="s">
        <v>82</v>
      </c>
      <c r="J415" t="s">
        <v>83</v>
      </c>
      <c r="K415" t="s">
        <v>73</v>
      </c>
      <c r="L415">
        <v>701000</v>
      </c>
      <c r="M415" t="s">
        <v>62</v>
      </c>
      <c r="N415" t="s">
        <v>33</v>
      </c>
      <c r="O415">
        <v>53</v>
      </c>
      <c r="P415">
        <v>18.3</v>
      </c>
      <c r="Q415">
        <v>0.97</v>
      </c>
      <c r="R415" t="s">
        <v>1197</v>
      </c>
      <c r="S415" t="s">
        <v>195</v>
      </c>
    </row>
    <row r="416" spans="1:19" x14ac:dyDescent="0.3">
      <c r="A416" t="s">
        <v>744</v>
      </c>
      <c r="B416" t="s">
        <v>22</v>
      </c>
      <c r="C416">
        <v>2026</v>
      </c>
      <c r="D416">
        <v>1</v>
      </c>
      <c r="E416" s="2">
        <v>46038</v>
      </c>
      <c r="F416" t="s">
        <v>7</v>
      </c>
      <c r="G416" t="s">
        <v>8</v>
      </c>
      <c r="H416" t="s">
        <v>70</v>
      </c>
      <c r="I416" t="s">
        <v>82</v>
      </c>
      <c r="J416" t="s">
        <v>83</v>
      </c>
      <c r="K416" t="s">
        <v>73</v>
      </c>
      <c r="L416">
        <v>701000</v>
      </c>
      <c r="M416" t="s">
        <v>62</v>
      </c>
      <c r="N416" t="s">
        <v>33</v>
      </c>
      <c r="O416">
        <v>115</v>
      </c>
      <c r="P416">
        <v>18.7</v>
      </c>
      <c r="Q416">
        <v>2.15</v>
      </c>
      <c r="R416" t="s">
        <v>1199</v>
      </c>
      <c r="S416" t="s">
        <v>195</v>
      </c>
    </row>
    <row r="417" spans="1:19" x14ac:dyDescent="0.3">
      <c r="A417" t="s">
        <v>360</v>
      </c>
      <c r="B417" t="s">
        <v>22</v>
      </c>
      <c r="C417">
        <v>2026</v>
      </c>
      <c r="D417">
        <v>1</v>
      </c>
      <c r="E417" s="2">
        <v>46039</v>
      </c>
      <c r="F417" t="s">
        <v>7</v>
      </c>
      <c r="G417" t="s">
        <v>8</v>
      </c>
      <c r="H417" t="s">
        <v>74</v>
      </c>
      <c r="I417" t="s">
        <v>71</v>
      </c>
      <c r="J417" t="s">
        <v>72</v>
      </c>
      <c r="K417" t="s">
        <v>73</v>
      </c>
      <c r="L417">
        <v>701000</v>
      </c>
      <c r="M417" t="s">
        <v>62</v>
      </c>
      <c r="N417" t="s">
        <v>33</v>
      </c>
      <c r="O417">
        <v>4970</v>
      </c>
      <c r="P417">
        <v>1.05</v>
      </c>
      <c r="Q417">
        <v>5.22</v>
      </c>
      <c r="R417" t="s">
        <v>1201</v>
      </c>
      <c r="S417" t="s">
        <v>195</v>
      </c>
    </row>
    <row r="418" spans="1:19" x14ac:dyDescent="0.3">
      <c r="A418" t="s">
        <v>361</v>
      </c>
      <c r="B418" t="s">
        <v>22</v>
      </c>
      <c r="C418">
        <v>2026</v>
      </c>
      <c r="D418">
        <v>1</v>
      </c>
      <c r="E418" s="2">
        <v>46039</v>
      </c>
      <c r="F418" t="s">
        <v>7</v>
      </c>
      <c r="G418" t="s">
        <v>8</v>
      </c>
      <c r="H418" t="s">
        <v>74</v>
      </c>
      <c r="I418" t="s">
        <v>71</v>
      </c>
      <c r="J418" t="s">
        <v>72</v>
      </c>
      <c r="K418" t="s">
        <v>73</v>
      </c>
      <c r="L418">
        <v>701000</v>
      </c>
      <c r="M418" t="s">
        <v>62</v>
      </c>
      <c r="N418" t="s">
        <v>33</v>
      </c>
      <c r="O418">
        <v>647</v>
      </c>
      <c r="P418">
        <v>1.05</v>
      </c>
      <c r="Q418">
        <v>0.68</v>
      </c>
      <c r="R418" t="s">
        <v>1205</v>
      </c>
      <c r="S418" t="s">
        <v>195</v>
      </c>
    </row>
    <row r="419" spans="1:19" x14ac:dyDescent="0.3">
      <c r="A419" t="s">
        <v>362</v>
      </c>
      <c r="B419" t="s">
        <v>22</v>
      </c>
      <c r="C419">
        <v>2026</v>
      </c>
      <c r="D419">
        <v>1</v>
      </c>
      <c r="E419" s="2">
        <v>46039</v>
      </c>
      <c r="F419" t="s">
        <v>7</v>
      </c>
      <c r="G419" t="s">
        <v>8</v>
      </c>
      <c r="H419" t="s">
        <v>74</v>
      </c>
      <c r="I419" t="s">
        <v>71</v>
      </c>
      <c r="J419" t="s">
        <v>72</v>
      </c>
      <c r="K419" t="s">
        <v>73</v>
      </c>
      <c r="L419">
        <v>701000</v>
      </c>
      <c r="M419" t="s">
        <v>62</v>
      </c>
      <c r="N419" t="s">
        <v>33</v>
      </c>
      <c r="O419">
        <v>1884</v>
      </c>
      <c r="P419">
        <v>1.05</v>
      </c>
      <c r="Q419">
        <v>1.98</v>
      </c>
      <c r="R419" t="s">
        <v>1200</v>
      </c>
      <c r="S419" t="s">
        <v>195</v>
      </c>
    </row>
    <row r="420" spans="1:19" x14ac:dyDescent="0.3">
      <c r="A420" t="s">
        <v>363</v>
      </c>
      <c r="B420" t="s">
        <v>22</v>
      </c>
      <c r="C420">
        <v>2026</v>
      </c>
      <c r="D420">
        <v>1</v>
      </c>
      <c r="E420" s="2">
        <v>46039</v>
      </c>
      <c r="F420" t="s">
        <v>7</v>
      </c>
      <c r="G420" t="s">
        <v>8</v>
      </c>
      <c r="H420" t="s">
        <v>74</v>
      </c>
      <c r="I420" t="s">
        <v>71</v>
      </c>
      <c r="J420" t="s">
        <v>72</v>
      </c>
      <c r="K420" t="s">
        <v>73</v>
      </c>
      <c r="L420">
        <v>701000</v>
      </c>
      <c r="M420" t="s">
        <v>62</v>
      </c>
      <c r="N420" t="s">
        <v>33</v>
      </c>
      <c r="O420">
        <v>5542</v>
      </c>
      <c r="P420">
        <v>1.05</v>
      </c>
      <c r="Q420">
        <v>5.82</v>
      </c>
      <c r="R420" t="s">
        <v>1199</v>
      </c>
      <c r="S420" t="s">
        <v>195</v>
      </c>
    </row>
    <row r="421" spans="1:19" x14ac:dyDescent="0.3">
      <c r="A421" t="s">
        <v>364</v>
      </c>
      <c r="B421" t="s">
        <v>22</v>
      </c>
      <c r="C421">
        <v>2026</v>
      </c>
      <c r="D421">
        <v>1</v>
      </c>
      <c r="E421" s="2">
        <v>46039</v>
      </c>
      <c r="F421" t="s">
        <v>7</v>
      </c>
      <c r="G421" t="s">
        <v>8</v>
      </c>
      <c r="H421" t="s">
        <v>74</v>
      </c>
      <c r="I421" t="s">
        <v>71</v>
      </c>
      <c r="J421" t="s">
        <v>72</v>
      </c>
      <c r="K421" t="s">
        <v>73</v>
      </c>
      <c r="L421">
        <v>701000</v>
      </c>
      <c r="M421" t="s">
        <v>62</v>
      </c>
      <c r="N421" t="s">
        <v>33</v>
      </c>
      <c r="O421">
        <v>8669</v>
      </c>
      <c r="P421">
        <v>1.05</v>
      </c>
      <c r="Q421">
        <v>9.1</v>
      </c>
      <c r="R421" t="s">
        <v>1198</v>
      </c>
      <c r="S421" t="s">
        <v>195</v>
      </c>
    </row>
    <row r="422" spans="1:19" x14ac:dyDescent="0.3">
      <c r="A422" t="s">
        <v>460</v>
      </c>
      <c r="B422" t="s">
        <v>22</v>
      </c>
      <c r="C422">
        <v>2026</v>
      </c>
      <c r="D422">
        <v>1</v>
      </c>
      <c r="E422" s="2">
        <v>46039</v>
      </c>
      <c r="F422" t="s">
        <v>7</v>
      </c>
      <c r="G422" t="s">
        <v>8</v>
      </c>
      <c r="H422" t="s">
        <v>70</v>
      </c>
      <c r="I422" t="s">
        <v>75</v>
      </c>
      <c r="J422" t="s">
        <v>76</v>
      </c>
      <c r="K422" t="s">
        <v>73</v>
      </c>
      <c r="L422">
        <v>701000</v>
      </c>
      <c r="M422" t="s">
        <v>62</v>
      </c>
      <c r="N422" t="s">
        <v>33</v>
      </c>
      <c r="O422">
        <v>4323</v>
      </c>
      <c r="P422">
        <v>1.4</v>
      </c>
      <c r="Q422">
        <v>6.06</v>
      </c>
      <c r="R422" t="s">
        <v>1198</v>
      </c>
      <c r="S422" t="s">
        <v>195</v>
      </c>
    </row>
    <row r="423" spans="1:19" x14ac:dyDescent="0.3">
      <c r="A423" t="s">
        <v>461</v>
      </c>
      <c r="B423" t="s">
        <v>22</v>
      </c>
      <c r="C423">
        <v>2026</v>
      </c>
      <c r="D423">
        <v>1</v>
      </c>
      <c r="E423" s="2">
        <v>46039</v>
      </c>
      <c r="F423" t="s">
        <v>7</v>
      </c>
      <c r="G423" t="s">
        <v>8</v>
      </c>
      <c r="H423" t="s">
        <v>70</v>
      </c>
      <c r="I423" t="s">
        <v>75</v>
      </c>
      <c r="J423" t="s">
        <v>76</v>
      </c>
      <c r="K423" t="s">
        <v>73</v>
      </c>
      <c r="L423">
        <v>701000</v>
      </c>
      <c r="M423" t="s">
        <v>62</v>
      </c>
      <c r="N423" t="s">
        <v>33</v>
      </c>
      <c r="O423">
        <v>2123</v>
      </c>
      <c r="P423">
        <v>1.4</v>
      </c>
      <c r="Q423">
        <v>2.97</v>
      </c>
      <c r="R423" t="s">
        <v>1205</v>
      </c>
      <c r="S423" t="s">
        <v>195</v>
      </c>
    </row>
    <row r="424" spans="1:19" x14ac:dyDescent="0.3">
      <c r="A424" t="s">
        <v>462</v>
      </c>
      <c r="B424" t="s">
        <v>22</v>
      </c>
      <c r="C424">
        <v>2026</v>
      </c>
      <c r="D424">
        <v>1</v>
      </c>
      <c r="E424" s="2">
        <v>46039</v>
      </c>
      <c r="F424" t="s">
        <v>7</v>
      </c>
      <c r="G424" t="s">
        <v>8</v>
      </c>
      <c r="H424" t="s">
        <v>70</v>
      </c>
      <c r="I424" t="s">
        <v>75</v>
      </c>
      <c r="J424" t="s">
        <v>76</v>
      </c>
      <c r="K424" t="s">
        <v>73</v>
      </c>
      <c r="L424">
        <v>701000</v>
      </c>
      <c r="M424" t="s">
        <v>62</v>
      </c>
      <c r="N424" t="s">
        <v>33</v>
      </c>
      <c r="O424">
        <v>616</v>
      </c>
      <c r="P424">
        <v>1.4</v>
      </c>
      <c r="Q424">
        <v>0.86</v>
      </c>
      <c r="R424" t="s">
        <v>1200</v>
      </c>
      <c r="S424" t="s">
        <v>195</v>
      </c>
    </row>
    <row r="425" spans="1:19" x14ac:dyDescent="0.3">
      <c r="A425" t="s">
        <v>463</v>
      </c>
      <c r="B425" t="s">
        <v>22</v>
      </c>
      <c r="C425">
        <v>2026</v>
      </c>
      <c r="D425">
        <v>1</v>
      </c>
      <c r="E425" s="2">
        <v>46039</v>
      </c>
      <c r="F425" t="s">
        <v>7</v>
      </c>
      <c r="G425" t="s">
        <v>8</v>
      </c>
      <c r="H425" t="s">
        <v>70</v>
      </c>
      <c r="I425" t="s">
        <v>75</v>
      </c>
      <c r="J425" t="s">
        <v>76</v>
      </c>
      <c r="K425" t="s">
        <v>73</v>
      </c>
      <c r="L425">
        <v>701000</v>
      </c>
      <c r="M425" t="s">
        <v>62</v>
      </c>
      <c r="N425" t="s">
        <v>33</v>
      </c>
      <c r="O425">
        <v>432</v>
      </c>
      <c r="P425">
        <v>1.39</v>
      </c>
      <c r="Q425">
        <v>0.6</v>
      </c>
      <c r="R425" t="s">
        <v>1203</v>
      </c>
      <c r="S425" t="s">
        <v>195</v>
      </c>
    </row>
    <row r="426" spans="1:19" x14ac:dyDescent="0.3">
      <c r="A426" t="s">
        <v>464</v>
      </c>
      <c r="B426" t="s">
        <v>22</v>
      </c>
      <c r="C426">
        <v>2026</v>
      </c>
      <c r="D426">
        <v>1</v>
      </c>
      <c r="E426" s="2">
        <v>46039</v>
      </c>
      <c r="F426" t="s">
        <v>7</v>
      </c>
      <c r="G426" t="s">
        <v>8</v>
      </c>
      <c r="H426" t="s">
        <v>70</v>
      </c>
      <c r="I426" t="s">
        <v>75</v>
      </c>
      <c r="J426" t="s">
        <v>76</v>
      </c>
      <c r="K426" t="s">
        <v>73</v>
      </c>
      <c r="L426">
        <v>701000</v>
      </c>
      <c r="M426" t="s">
        <v>62</v>
      </c>
      <c r="N426" t="s">
        <v>33</v>
      </c>
      <c r="O426">
        <v>1074</v>
      </c>
      <c r="P426">
        <v>1.41</v>
      </c>
      <c r="Q426">
        <v>1.51</v>
      </c>
      <c r="R426" t="s">
        <v>1197</v>
      </c>
      <c r="S426" t="s">
        <v>195</v>
      </c>
    </row>
    <row r="427" spans="1:19" x14ac:dyDescent="0.3">
      <c r="A427" t="s">
        <v>585</v>
      </c>
      <c r="B427" t="s">
        <v>22</v>
      </c>
      <c r="C427">
        <v>2026</v>
      </c>
      <c r="D427">
        <v>1</v>
      </c>
      <c r="E427" s="2">
        <v>46039</v>
      </c>
      <c r="F427" t="s">
        <v>7</v>
      </c>
      <c r="G427" t="s">
        <v>8</v>
      </c>
      <c r="H427" t="s">
        <v>74</v>
      </c>
      <c r="I427" t="s">
        <v>77</v>
      </c>
      <c r="J427" t="s">
        <v>78</v>
      </c>
      <c r="K427" t="s">
        <v>73</v>
      </c>
      <c r="L427">
        <v>707000</v>
      </c>
      <c r="M427" t="s">
        <v>81</v>
      </c>
      <c r="N427" t="s">
        <v>33</v>
      </c>
      <c r="O427">
        <v>202</v>
      </c>
      <c r="P427">
        <v>1.78</v>
      </c>
      <c r="Q427">
        <v>0.36</v>
      </c>
      <c r="R427" t="s">
        <v>1205</v>
      </c>
      <c r="S427" t="s">
        <v>195</v>
      </c>
    </row>
    <row r="428" spans="1:19" x14ac:dyDescent="0.3">
      <c r="A428" t="s">
        <v>586</v>
      </c>
      <c r="B428" t="s">
        <v>22</v>
      </c>
      <c r="C428">
        <v>2026</v>
      </c>
      <c r="D428">
        <v>1</v>
      </c>
      <c r="E428" s="2">
        <v>46039</v>
      </c>
      <c r="F428" t="s">
        <v>7</v>
      </c>
      <c r="G428" t="s">
        <v>8</v>
      </c>
      <c r="H428" t="s">
        <v>74</v>
      </c>
      <c r="I428" t="s">
        <v>77</v>
      </c>
      <c r="J428" t="s">
        <v>78</v>
      </c>
      <c r="K428" t="s">
        <v>73</v>
      </c>
      <c r="L428">
        <v>707000</v>
      </c>
      <c r="M428" t="s">
        <v>81</v>
      </c>
      <c r="N428" t="s">
        <v>33</v>
      </c>
      <c r="O428">
        <v>1074</v>
      </c>
      <c r="P428">
        <v>1.81</v>
      </c>
      <c r="Q428">
        <v>1.94</v>
      </c>
      <c r="R428" t="s">
        <v>1202</v>
      </c>
      <c r="S428" t="s">
        <v>195</v>
      </c>
    </row>
    <row r="429" spans="1:19" x14ac:dyDescent="0.3">
      <c r="A429" t="s">
        <v>587</v>
      </c>
      <c r="B429" t="s">
        <v>22</v>
      </c>
      <c r="C429">
        <v>2026</v>
      </c>
      <c r="D429">
        <v>1</v>
      </c>
      <c r="E429" s="2">
        <v>46039</v>
      </c>
      <c r="F429" t="s">
        <v>7</v>
      </c>
      <c r="G429" t="s">
        <v>8</v>
      </c>
      <c r="H429" t="s">
        <v>74</v>
      </c>
      <c r="I429" t="s">
        <v>77</v>
      </c>
      <c r="J429" t="s">
        <v>78</v>
      </c>
      <c r="K429" t="s">
        <v>73</v>
      </c>
      <c r="L429">
        <v>707000</v>
      </c>
      <c r="M429" t="s">
        <v>81</v>
      </c>
      <c r="N429" t="s">
        <v>33</v>
      </c>
      <c r="O429">
        <v>446</v>
      </c>
      <c r="P429">
        <v>1.79</v>
      </c>
      <c r="Q429">
        <v>0.8</v>
      </c>
      <c r="R429" t="s">
        <v>1197</v>
      </c>
      <c r="S429" t="s">
        <v>195</v>
      </c>
    </row>
    <row r="430" spans="1:19" x14ac:dyDescent="0.3">
      <c r="A430" t="s">
        <v>588</v>
      </c>
      <c r="B430" t="s">
        <v>22</v>
      </c>
      <c r="C430">
        <v>2026</v>
      </c>
      <c r="D430">
        <v>1</v>
      </c>
      <c r="E430" s="2">
        <v>46039</v>
      </c>
      <c r="F430" t="s">
        <v>7</v>
      </c>
      <c r="G430" t="s">
        <v>8</v>
      </c>
      <c r="H430" t="s">
        <v>74</v>
      </c>
      <c r="I430" t="s">
        <v>77</v>
      </c>
      <c r="J430" t="s">
        <v>78</v>
      </c>
      <c r="K430" t="s">
        <v>73</v>
      </c>
      <c r="L430">
        <v>707000</v>
      </c>
      <c r="M430" t="s">
        <v>81</v>
      </c>
      <c r="N430" t="s">
        <v>33</v>
      </c>
      <c r="O430">
        <v>606</v>
      </c>
      <c r="P430">
        <v>1.8</v>
      </c>
      <c r="Q430">
        <v>1.0900000000000001</v>
      </c>
      <c r="R430" t="s">
        <v>1199</v>
      </c>
      <c r="S430" t="s">
        <v>195</v>
      </c>
    </row>
    <row r="431" spans="1:19" x14ac:dyDescent="0.3">
      <c r="A431" t="s">
        <v>589</v>
      </c>
      <c r="B431" t="s">
        <v>22</v>
      </c>
      <c r="C431">
        <v>2026</v>
      </c>
      <c r="D431">
        <v>1</v>
      </c>
      <c r="E431" s="2">
        <v>46039</v>
      </c>
      <c r="F431" t="s">
        <v>7</v>
      </c>
      <c r="G431" t="s">
        <v>8</v>
      </c>
      <c r="H431" t="s">
        <v>74</v>
      </c>
      <c r="I431" t="s">
        <v>77</v>
      </c>
      <c r="J431" t="s">
        <v>78</v>
      </c>
      <c r="K431" t="s">
        <v>73</v>
      </c>
      <c r="L431">
        <v>707000</v>
      </c>
      <c r="M431" t="s">
        <v>81</v>
      </c>
      <c r="N431" t="s">
        <v>33</v>
      </c>
      <c r="O431">
        <v>1391</v>
      </c>
      <c r="P431">
        <v>1.8</v>
      </c>
      <c r="Q431">
        <v>2.5099999999999998</v>
      </c>
      <c r="R431" t="s">
        <v>1200</v>
      </c>
      <c r="S431" t="s">
        <v>195</v>
      </c>
    </row>
    <row r="432" spans="1:19" x14ac:dyDescent="0.3">
      <c r="A432" t="s">
        <v>605</v>
      </c>
      <c r="B432" t="s">
        <v>22</v>
      </c>
      <c r="C432">
        <v>2026</v>
      </c>
      <c r="D432">
        <v>1</v>
      </c>
      <c r="E432" s="2">
        <v>46039</v>
      </c>
      <c r="F432" t="s">
        <v>7</v>
      </c>
      <c r="G432" t="s">
        <v>8</v>
      </c>
      <c r="H432" t="s">
        <v>74</v>
      </c>
      <c r="I432" t="s">
        <v>77</v>
      </c>
      <c r="J432" t="s">
        <v>78</v>
      </c>
      <c r="K432" t="s">
        <v>73</v>
      </c>
      <c r="L432">
        <v>701000</v>
      </c>
      <c r="M432" t="s">
        <v>62</v>
      </c>
      <c r="N432" t="s">
        <v>33</v>
      </c>
      <c r="O432">
        <v>153</v>
      </c>
      <c r="P432">
        <v>1.83</v>
      </c>
      <c r="Q432">
        <v>0.28000000000000003</v>
      </c>
      <c r="R432" t="s">
        <v>1197</v>
      </c>
      <c r="S432" t="s">
        <v>195</v>
      </c>
    </row>
    <row r="433" spans="1:19" x14ac:dyDescent="0.3">
      <c r="A433" t="s">
        <v>606</v>
      </c>
      <c r="B433" t="s">
        <v>22</v>
      </c>
      <c r="C433">
        <v>2026</v>
      </c>
      <c r="D433">
        <v>1</v>
      </c>
      <c r="E433" s="2">
        <v>46039</v>
      </c>
      <c r="F433" t="s">
        <v>7</v>
      </c>
      <c r="G433" t="s">
        <v>8</v>
      </c>
      <c r="H433" t="s">
        <v>74</v>
      </c>
      <c r="I433" t="s">
        <v>77</v>
      </c>
      <c r="J433" t="s">
        <v>78</v>
      </c>
      <c r="K433" t="s">
        <v>73</v>
      </c>
      <c r="L433">
        <v>701000</v>
      </c>
      <c r="M433" t="s">
        <v>62</v>
      </c>
      <c r="N433" t="s">
        <v>33</v>
      </c>
      <c r="O433">
        <v>780</v>
      </c>
      <c r="P433">
        <v>1.79</v>
      </c>
      <c r="Q433">
        <v>1.4</v>
      </c>
      <c r="R433" t="s">
        <v>1201</v>
      </c>
      <c r="S433" t="s">
        <v>195</v>
      </c>
    </row>
    <row r="434" spans="1:19" x14ac:dyDescent="0.3">
      <c r="A434" t="s">
        <v>607</v>
      </c>
      <c r="B434" t="s">
        <v>22</v>
      </c>
      <c r="C434">
        <v>2026</v>
      </c>
      <c r="D434">
        <v>1</v>
      </c>
      <c r="E434" s="2">
        <v>46039</v>
      </c>
      <c r="F434" t="s">
        <v>7</v>
      </c>
      <c r="G434" t="s">
        <v>8</v>
      </c>
      <c r="H434" t="s">
        <v>74</v>
      </c>
      <c r="I434" t="s">
        <v>77</v>
      </c>
      <c r="J434" t="s">
        <v>78</v>
      </c>
      <c r="K434" t="s">
        <v>73</v>
      </c>
      <c r="L434">
        <v>701000</v>
      </c>
      <c r="M434" t="s">
        <v>62</v>
      </c>
      <c r="N434" t="s">
        <v>33</v>
      </c>
      <c r="O434">
        <v>1161</v>
      </c>
      <c r="P434">
        <v>1.8</v>
      </c>
      <c r="Q434">
        <v>2.09</v>
      </c>
      <c r="R434" t="s">
        <v>1202</v>
      </c>
      <c r="S434" t="s">
        <v>195</v>
      </c>
    </row>
    <row r="435" spans="1:19" x14ac:dyDescent="0.3">
      <c r="A435" t="s">
        <v>608</v>
      </c>
      <c r="B435" t="s">
        <v>22</v>
      </c>
      <c r="C435">
        <v>2026</v>
      </c>
      <c r="D435">
        <v>1</v>
      </c>
      <c r="E435" s="2">
        <v>46039</v>
      </c>
      <c r="F435" t="s">
        <v>7</v>
      </c>
      <c r="G435" t="s">
        <v>8</v>
      </c>
      <c r="H435" t="s">
        <v>74</v>
      </c>
      <c r="I435" t="s">
        <v>77</v>
      </c>
      <c r="J435" t="s">
        <v>78</v>
      </c>
      <c r="K435" t="s">
        <v>73</v>
      </c>
      <c r="L435">
        <v>701000</v>
      </c>
      <c r="M435" t="s">
        <v>62</v>
      </c>
      <c r="N435" t="s">
        <v>33</v>
      </c>
      <c r="O435">
        <v>673</v>
      </c>
      <c r="P435">
        <v>1.8</v>
      </c>
      <c r="Q435">
        <v>1.21</v>
      </c>
      <c r="R435" t="s">
        <v>1204</v>
      </c>
      <c r="S435" t="s">
        <v>195</v>
      </c>
    </row>
    <row r="436" spans="1:19" x14ac:dyDescent="0.3">
      <c r="A436" t="s">
        <v>609</v>
      </c>
      <c r="B436" t="s">
        <v>22</v>
      </c>
      <c r="C436">
        <v>2026</v>
      </c>
      <c r="D436">
        <v>1</v>
      </c>
      <c r="E436" s="2">
        <v>46039</v>
      </c>
      <c r="F436" t="s">
        <v>7</v>
      </c>
      <c r="G436" t="s">
        <v>8</v>
      </c>
      <c r="H436" t="s">
        <v>74</v>
      </c>
      <c r="I436" t="s">
        <v>77</v>
      </c>
      <c r="J436" t="s">
        <v>78</v>
      </c>
      <c r="K436" t="s">
        <v>73</v>
      </c>
      <c r="L436">
        <v>701000</v>
      </c>
      <c r="M436" t="s">
        <v>62</v>
      </c>
      <c r="N436" t="s">
        <v>33</v>
      </c>
      <c r="O436">
        <v>1084</v>
      </c>
      <c r="P436">
        <v>1.8</v>
      </c>
      <c r="Q436">
        <v>1.95</v>
      </c>
      <c r="R436" t="s">
        <v>1200</v>
      </c>
      <c r="S436" t="s">
        <v>195</v>
      </c>
    </row>
    <row r="437" spans="1:19" x14ac:dyDescent="0.3">
      <c r="A437" t="s">
        <v>350</v>
      </c>
      <c r="B437" t="s">
        <v>22</v>
      </c>
      <c r="C437">
        <v>2026</v>
      </c>
      <c r="D437">
        <v>1</v>
      </c>
      <c r="E437" s="2">
        <v>46040</v>
      </c>
      <c r="F437" t="s">
        <v>7</v>
      </c>
      <c r="G437" t="s">
        <v>8</v>
      </c>
      <c r="H437" t="s">
        <v>70</v>
      </c>
      <c r="I437" t="s">
        <v>71</v>
      </c>
      <c r="J437" t="s">
        <v>72</v>
      </c>
      <c r="K437" t="s">
        <v>73</v>
      </c>
      <c r="L437">
        <v>701000</v>
      </c>
      <c r="M437" t="s">
        <v>62</v>
      </c>
      <c r="N437" t="s">
        <v>33</v>
      </c>
      <c r="O437">
        <v>3536</v>
      </c>
      <c r="P437">
        <v>1.05</v>
      </c>
      <c r="Q437">
        <v>3.71</v>
      </c>
      <c r="R437" t="s">
        <v>1197</v>
      </c>
      <c r="S437" t="s">
        <v>195</v>
      </c>
    </row>
    <row r="438" spans="1:19" x14ac:dyDescent="0.3">
      <c r="A438" t="s">
        <v>351</v>
      </c>
      <c r="B438" t="s">
        <v>22</v>
      </c>
      <c r="C438">
        <v>2026</v>
      </c>
      <c r="D438">
        <v>1</v>
      </c>
      <c r="E438" s="2">
        <v>46040</v>
      </c>
      <c r="F438" t="s">
        <v>7</v>
      </c>
      <c r="G438" t="s">
        <v>8</v>
      </c>
      <c r="H438" t="s">
        <v>70</v>
      </c>
      <c r="I438" t="s">
        <v>71</v>
      </c>
      <c r="J438" t="s">
        <v>72</v>
      </c>
      <c r="K438" t="s">
        <v>73</v>
      </c>
      <c r="L438">
        <v>701000</v>
      </c>
      <c r="M438" t="s">
        <v>62</v>
      </c>
      <c r="N438" t="s">
        <v>33</v>
      </c>
      <c r="O438">
        <v>2887</v>
      </c>
      <c r="P438">
        <v>1.05</v>
      </c>
      <c r="Q438">
        <v>3.03</v>
      </c>
      <c r="R438" t="s">
        <v>1199</v>
      </c>
      <c r="S438" t="s">
        <v>195</v>
      </c>
    </row>
    <row r="439" spans="1:19" x14ac:dyDescent="0.3">
      <c r="A439" t="s">
        <v>352</v>
      </c>
      <c r="B439" t="s">
        <v>22</v>
      </c>
      <c r="C439">
        <v>2026</v>
      </c>
      <c r="D439">
        <v>1</v>
      </c>
      <c r="E439" s="2">
        <v>46040</v>
      </c>
      <c r="F439" t="s">
        <v>7</v>
      </c>
      <c r="G439" t="s">
        <v>8</v>
      </c>
      <c r="H439" t="s">
        <v>70</v>
      </c>
      <c r="I439" t="s">
        <v>71</v>
      </c>
      <c r="J439" t="s">
        <v>72</v>
      </c>
      <c r="K439" t="s">
        <v>73</v>
      </c>
      <c r="L439">
        <v>701000</v>
      </c>
      <c r="M439" t="s">
        <v>62</v>
      </c>
      <c r="N439" t="s">
        <v>33</v>
      </c>
      <c r="O439">
        <v>3587</v>
      </c>
      <c r="P439">
        <v>1.05</v>
      </c>
      <c r="Q439">
        <v>3.77</v>
      </c>
      <c r="R439" t="s">
        <v>1205</v>
      </c>
      <c r="S439" t="s">
        <v>195</v>
      </c>
    </row>
    <row r="440" spans="1:19" x14ac:dyDescent="0.3">
      <c r="A440" t="s">
        <v>353</v>
      </c>
      <c r="B440" t="s">
        <v>22</v>
      </c>
      <c r="C440">
        <v>2026</v>
      </c>
      <c r="D440">
        <v>1</v>
      </c>
      <c r="E440" s="2">
        <v>46040</v>
      </c>
      <c r="F440" t="s">
        <v>7</v>
      </c>
      <c r="G440" t="s">
        <v>8</v>
      </c>
      <c r="H440" t="s">
        <v>70</v>
      </c>
      <c r="I440" t="s">
        <v>71</v>
      </c>
      <c r="J440" t="s">
        <v>72</v>
      </c>
      <c r="K440" t="s">
        <v>73</v>
      </c>
      <c r="L440">
        <v>701000</v>
      </c>
      <c r="M440" t="s">
        <v>62</v>
      </c>
      <c r="N440" t="s">
        <v>33</v>
      </c>
      <c r="O440">
        <v>8010</v>
      </c>
      <c r="P440">
        <v>1.05</v>
      </c>
      <c r="Q440">
        <v>8.41</v>
      </c>
      <c r="R440" t="s">
        <v>1201</v>
      </c>
      <c r="S440" t="s">
        <v>195</v>
      </c>
    </row>
    <row r="441" spans="1:19" x14ac:dyDescent="0.3">
      <c r="A441" t="s">
        <v>354</v>
      </c>
      <c r="B441" t="s">
        <v>22</v>
      </c>
      <c r="C441">
        <v>2026</v>
      </c>
      <c r="D441">
        <v>1</v>
      </c>
      <c r="E441" s="2">
        <v>46040</v>
      </c>
      <c r="F441" t="s">
        <v>7</v>
      </c>
      <c r="G441" t="s">
        <v>8</v>
      </c>
      <c r="H441" t="s">
        <v>70</v>
      </c>
      <c r="I441" t="s">
        <v>71</v>
      </c>
      <c r="J441" t="s">
        <v>72</v>
      </c>
      <c r="K441" t="s">
        <v>73</v>
      </c>
      <c r="L441">
        <v>701000</v>
      </c>
      <c r="M441" t="s">
        <v>62</v>
      </c>
      <c r="N441" t="s">
        <v>33</v>
      </c>
      <c r="O441">
        <v>2412</v>
      </c>
      <c r="P441">
        <v>1.05</v>
      </c>
      <c r="Q441">
        <v>2.5299999999999998</v>
      </c>
      <c r="R441" t="s">
        <v>1203</v>
      </c>
      <c r="S441" t="s">
        <v>195</v>
      </c>
    </row>
    <row r="442" spans="1:19" x14ac:dyDescent="0.3">
      <c r="A442" t="s">
        <v>355</v>
      </c>
      <c r="B442" t="s">
        <v>22</v>
      </c>
      <c r="C442">
        <v>2026</v>
      </c>
      <c r="D442">
        <v>1</v>
      </c>
      <c r="E442" s="2">
        <v>46040</v>
      </c>
      <c r="F442" t="s">
        <v>7</v>
      </c>
      <c r="G442" t="s">
        <v>8</v>
      </c>
      <c r="H442" t="s">
        <v>74</v>
      </c>
      <c r="I442" t="s">
        <v>71</v>
      </c>
      <c r="J442" t="s">
        <v>72</v>
      </c>
      <c r="K442" t="s">
        <v>73</v>
      </c>
      <c r="L442">
        <v>701000</v>
      </c>
      <c r="M442" t="s">
        <v>62</v>
      </c>
      <c r="N442" t="s">
        <v>33</v>
      </c>
      <c r="O442">
        <v>3922</v>
      </c>
      <c r="P442">
        <v>1.05</v>
      </c>
      <c r="Q442">
        <v>4.12</v>
      </c>
      <c r="R442" t="s">
        <v>1205</v>
      </c>
      <c r="S442" t="s">
        <v>195</v>
      </c>
    </row>
    <row r="443" spans="1:19" x14ac:dyDescent="0.3">
      <c r="A443" t="s">
        <v>356</v>
      </c>
      <c r="B443" t="s">
        <v>22</v>
      </c>
      <c r="C443">
        <v>2026</v>
      </c>
      <c r="D443">
        <v>1</v>
      </c>
      <c r="E443" s="2">
        <v>46040</v>
      </c>
      <c r="F443" t="s">
        <v>7</v>
      </c>
      <c r="G443" t="s">
        <v>8</v>
      </c>
      <c r="H443" t="s">
        <v>74</v>
      </c>
      <c r="I443" t="s">
        <v>71</v>
      </c>
      <c r="J443" t="s">
        <v>72</v>
      </c>
      <c r="K443" t="s">
        <v>73</v>
      </c>
      <c r="L443">
        <v>701000</v>
      </c>
      <c r="M443" t="s">
        <v>62</v>
      </c>
      <c r="N443" t="s">
        <v>33</v>
      </c>
      <c r="O443">
        <v>6095</v>
      </c>
      <c r="P443">
        <v>1.05</v>
      </c>
      <c r="Q443">
        <v>6.4</v>
      </c>
      <c r="R443" t="s">
        <v>1201</v>
      </c>
      <c r="S443" t="s">
        <v>195</v>
      </c>
    </row>
    <row r="444" spans="1:19" x14ac:dyDescent="0.3">
      <c r="A444" t="s">
        <v>357</v>
      </c>
      <c r="B444" t="s">
        <v>22</v>
      </c>
      <c r="C444">
        <v>2026</v>
      </c>
      <c r="D444">
        <v>1</v>
      </c>
      <c r="E444" s="2">
        <v>46040</v>
      </c>
      <c r="F444" t="s">
        <v>7</v>
      </c>
      <c r="G444" t="s">
        <v>8</v>
      </c>
      <c r="H444" t="s">
        <v>74</v>
      </c>
      <c r="I444" t="s">
        <v>71</v>
      </c>
      <c r="J444" t="s">
        <v>72</v>
      </c>
      <c r="K444" t="s">
        <v>73</v>
      </c>
      <c r="L444">
        <v>701000</v>
      </c>
      <c r="M444" t="s">
        <v>62</v>
      </c>
      <c r="N444" t="s">
        <v>33</v>
      </c>
      <c r="O444">
        <v>3156</v>
      </c>
      <c r="P444">
        <v>1.05</v>
      </c>
      <c r="Q444">
        <v>3.31</v>
      </c>
      <c r="R444" t="s">
        <v>1197</v>
      </c>
      <c r="S444" t="s">
        <v>195</v>
      </c>
    </row>
    <row r="445" spans="1:19" x14ac:dyDescent="0.3">
      <c r="A445" t="s">
        <v>358</v>
      </c>
      <c r="B445" t="s">
        <v>22</v>
      </c>
      <c r="C445">
        <v>2026</v>
      </c>
      <c r="D445">
        <v>1</v>
      </c>
      <c r="E445" s="2">
        <v>46040</v>
      </c>
      <c r="F445" t="s">
        <v>7</v>
      </c>
      <c r="G445" t="s">
        <v>8</v>
      </c>
      <c r="H445" t="s">
        <v>74</v>
      </c>
      <c r="I445" t="s">
        <v>71</v>
      </c>
      <c r="J445" t="s">
        <v>72</v>
      </c>
      <c r="K445" t="s">
        <v>73</v>
      </c>
      <c r="L445">
        <v>701000</v>
      </c>
      <c r="M445" t="s">
        <v>62</v>
      </c>
      <c r="N445" t="s">
        <v>33</v>
      </c>
      <c r="O445">
        <v>4580</v>
      </c>
      <c r="P445">
        <v>1.05</v>
      </c>
      <c r="Q445">
        <v>4.8099999999999996</v>
      </c>
      <c r="R445" t="s">
        <v>1200</v>
      </c>
      <c r="S445" t="s">
        <v>195</v>
      </c>
    </row>
    <row r="446" spans="1:19" x14ac:dyDescent="0.3">
      <c r="A446" t="s">
        <v>359</v>
      </c>
      <c r="B446" t="s">
        <v>22</v>
      </c>
      <c r="C446">
        <v>2026</v>
      </c>
      <c r="D446">
        <v>1</v>
      </c>
      <c r="E446" s="2">
        <v>46040</v>
      </c>
      <c r="F446" t="s">
        <v>7</v>
      </c>
      <c r="G446" t="s">
        <v>8</v>
      </c>
      <c r="H446" t="s">
        <v>74</v>
      </c>
      <c r="I446" t="s">
        <v>71</v>
      </c>
      <c r="J446" t="s">
        <v>72</v>
      </c>
      <c r="K446" t="s">
        <v>73</v>
      </c>
      <c r="L446">
        <v>701000</v>
      </c>
      <c r="M446" t="s">
        <v>62</v>
      </c>
      <c r="N446" t="s">
        <v>33</v>
      </c>
      <c r="O446">
        <v>2317</v>
      </c>
      <c r="P446">
        <v>1.05</v>
      </c>
      <c r="Q446">
        <v>2.4300000000000002</v>
      </c>
      <c r="R446" t="s">
        <v>1198</v>
      </c>
      <c r="S446" t="s">
        <v>195</v>
      </c>
    </row>
    <row r="447" spans="1:19" x14ac:dyDescent="0.3">
      <c r="A447" t="s">
        <v>510</v>
      </c>
      <c r="B447" t="s">
        <v>22</v>
      </c>
      <c r="C447">
        <v>2026</v>
      </c>
      <c r="D447">
        <v>1</v>
      </c>
      <c r="E447" s="2">
        <v>46040</v>
      </c>
      <c r="F447" t="s">
        <v>7</v>
      </c>
      <c r="G447" t="s">
        <v>8</v>
      </c>
      <c r="H447" t="s">
        <v>74</v>
      </c>
      <c r="I447" t="s">
        <v>77</v>
      </c>
      <c r="J447" t="s">
        <v>78</v>
      </c>
      <c r="K447" t="s">
        <v>73</v>
      </c>
      <c r="L447">
        <v>701000</v>
      </c>
      <c r="M447" t="s">
        <v>62</v>
      </c>
      <c r="N447" t="s">
        <v>33</v>
      </c>
      <c r="O447">
        <v>803</v>
      </c>
      <c r="P447">
        <v>1.79</v>
      </c>
      <c r="Q447">
        <v>1.44</v>
      </c>
      <c r="R447" t="s">
        <v>1205</v>
      </c>
      <c r="S447" t="s">
        <v>195</v>
      </c>
    </row>
    <row r="448" spans="1:19" x14ac:dyDescent="0.3">
      <c r="A448" t="s">
        <v>511</v>
      </c>
      <c r="B448" t="s">
        <v>22</v>
      </c>
      <c r="C448">
        <v>2026</v>
      </c>
      <c r="D448">
        <v>1</v>
      </c>
      <c r="E448" s="2">
        <v>46040</v>
      </c>
      <c r="F448" t="s">
        <v>7</v>
      </c>
      <c r="G448" t="s">
        <v>8</v>
      </c>
      <c r="H448" t="s">
        <v>74</v>
      </c>
      <c r="I448" t="s">
        <v>77</v>
      </c>
      <c r="J448" t="s">
        <v>78</v>
      </c>
      <c r="K448" t="s">
        <v>73</v>
      </c>
      <c r="L448">
        <v>701000</v>
      </c>
      <c r="M448" t="s">
        <v>62</v>
      </c>
      <c r="N448" t="s">
        <v>33</v>
      </c>
      <c r="O448">
        <v>354</v>
      </c>
      <c r="P448">
        <v>1.81</v>
      </c>
      <c r="Q448">
        <v>0.64</v>
      </c>
      <c r="R448" t="s">
        <v>1198</v>
      </c>
      <c r="S448" t="s">
        <v>195</v>
      </c>
    </row>
    <row r="449" spans="1:19" x14ac:dyDescent="0.3">
      <c r="A449" t="s">
        <v>512</v>
      </c>
      <c r="B449" t="s">
        <v>22</v>
      </c>
      <c r="C449">
        <v>2026</v>
      </c>
      <c r="D449">
        <v>1</v>
      </c>
      <c r="E449" s="2">
        <v>46040</v>
      </c>
      <c r="F449" t="s">
        <v>7</v>
      </c>
      <c r="G449" t="s">
        <v>8</v>
      </c>
      <c r="H449" t="s">
        <v>74</v>
      </c>
      <c r="I449" t="s">
        <v>77</v>
      </c>
      <c r="J449" t="s">
        <v>78</v>
      </c>
      <c r="K449" t="s">
        <v>73</v>
      </c>
      <c r="L449">
        <v>701000</v>
      </c>
      <c r="M449" t="s">
        <v>62</v>
      </c>
      <c r="N449" t="s">
        <v>33</v>
      </c>
      <c r="O449">
        <v>412</v>
      </c>
      <c r="P449">
        <v>1.8</v>
      </c>
      <c r="Q449">
        <v>0.74</v>
      </c>
      <c r="R449" t="s">
        <v>1200</v>
      </c>
      <c r="S449" t="s">
        <v>195</v>
      </c>
    </row>
    <row r="450" spans="1:19" x14ac:dyDescent="0.3">
      <c r="A450" t="s">
        <v>513</v>
      </c>
      <c r="B450" t="s">
        <v>22</v>
      </c>
      <c r="C450">
        <v>2026</v>
      </c>
      <c r="D450">
        <v>1</v>
      </c>
      <c r="E450" s="2">
        <v>46040</v>
      </c>
      <c r="F450" t="s">
        <v>7</v>
      </c>
      <c r="G450" t="s">
        <v>8</v>
      </c>
      <c r="H450" t="s">
        <v>74</v>
      </c>
      <c r="I450" t="s">
        <v>77</v>
      </c>
      <c r="J450" t="s">
        <v>78</v>
      </c>
      <c r="K450" t="s">
        <v>73</v>
      </c>
      <c r="L450">
        <v>701000</v>
      </c>
      <c r="M450" t="s">
        <v>62</v>
      </c>
      <c r="N450" t="s">
        <v>33</v>
      </c>
      <c r="O450">
        <v>829</v>
      </c>
      <c r="P450">
        <v>1.8</v>
      </c>
      <c r="Q450">
        <v>1.49</v>
      </c>
      <c r="R450" t="s">
        <v>1201</v>
      </c>
      <c r="S450" t="s">
        <v>195</v>
      </c>
    </row>
    <row r="451" spans="1:19" x14ac:dyDescent="0.3">
      <c r="A451" t="s">
        <v>514</v>
      </c>
      <c r="B451" t="s">
        <v>22</v>
      </c>
      <c r="C451">
        <v>2026</v>
      </c>
      <c r="D451">
        <v>1</v>
      </c>
      <c r="E451" s="2">
        <v>46040</v>
      </c>
      <c r="F451" t="s">
        <v>7</v>
      </c>
      <c r="G451" t="s">
        <v>8</v>
      </c>
      <c r="H451" t="s">
        <v>74</v>
      </c>
      <c r="I451" t="s">
        <v>77</v>
      </c>
      <c r="J451" t="s">
        <v>78</v>
      </c>
      <c r="K451" t="s">
        <v>73</v>
      </c>
      <c r="L451">
        <v>701000</v>
      </c>
      <c r="M451" t="s">
        <v>62</v>
      </c>
      <c r="N451" t="s">
        <v>33</v>
      </c>
      <c r="O451">
        <v>1080</v>
      </c>
      <c r="P451">
        <v>1.81</v>
      </c>
      <c r="Q451">
        <v>1.95</v>
      </c>
      <c r="R451" t="s">
        <v>1197</v>
      </c>
      <c r="S451" t="s">
        <v>195</v>
      </c>
    </row>
    <row r="452" spans="1:19" x14ac:dyDescent="0.3">
      <c r="A452" t="s">
        <v>530</v>
      </c>
      <c r="B452" t="s">
        <v>22</v>
      </c>
      <c r="C452">
        <v>2026</v>
      </c>
      <c r="D452">
        <v>1</v>
      </c>
      <c r="E452" s="2">
        <v>46040</v>
      </c>
      <c r="F452" t="s">
        <v>7</v>
      </c>
      <c r="G452" t="s">
        <v>8</v>
      </c>
      <c r="H452" t="s">
        <v>74</v>
      </c>
      <c r="I452" t="s">
        <v>77</v>
      </c>
      <c r="J452" t="s">
        <v>78</v>
      </c>
      <c r="K452" t="s">
        <v>73</v>
      </c>
      <c r="L452">
        <v>701000</v>
      </c>
      <c r="M452" t="s">
        <v>62</v>
      </c>
      <c r="N452" t="s">
        <v>33</v>
      </c>
      <c r="O452">
        <v>514</v>
      </c>
      <c r="P452">
        <v>1.79</v>
      </c>
      <c r="Q452">
        <v>0.92</v>
      </c>
      <c r="R452" t="s">
        <v>1203</v>
      </c>
      <c r="S452" t="s">
        <v>195</v>
      </c>
    </row>
    <row r="453" spans="1:19" x14ac:dyDescent="0.3">
      <c r="A453" t="s">
        <v>531</v>
      </c>
      <c r="B453" t="s">
        <v>22</v>
      </c>
      <c r="C453">
        <v>2026</v>
      </c>
      <c r="D453">
        <v>1</v>
      </c>
      <c r="E453" s="2">
        <v>46040</v>
      </c>
      <c r="F453" t="s">
        <v>7</v>
      </c>
      <c r="G453" t="s">
        <v>8</v>
      </c>
      <c r="H453" t="s">
        <v>74</v>
      </c>
      <c r="I453" t="s">
        <v>77</v>
      </c>
      <c r="J453" t="s">
        <v>78</v>
      </c>
      <c r="K453" t="s">
        <v>73</v>
      </c>
      <c r="L453">
        <v>701000</v>
      </c>
      <c r="M453" t="s">
        <v>62</v>
      </c>
      <c r="N453" t="s">
        <v>33</v>
      </c>
      <c r="O453">
        <v>528</v>
      </c>
      <c r="P453">
        <v>1.8</v>
      </c>
      <c r="Q453">
        <v>0.95</v>
      </c>
      <c r="R453" t="s">
        <v>1200</v>
      </c>
      <c r="S453" t="s">
        <v>195</v>
      </c>
    </row>
    <row r="454" spans="1:19" x14ac:dyDescent="0.3">
      <c r="A454" t="s">
        <v>532</v>
      </c>
      <c r="B454" t="s">
        <v>22</v>
      </c>
      <c r="C454">
        <v>2026</v>
      </c>
      <c r="D454">
        <v>1</v>
      </c>
      <c r="E454" s="2">
        <v>46040</v>
      </c>
      <c r="F454" t="s">
        <v>7</v>
      </c>
      <c r="G454" t="s">
        <v>8</v>
      </c>
      <c r="H454" t="s">
        <v>74</v>
      </c>
      <c r="I454" t="s">
        <v>77</v>
      </c>
      <c r="J454" t="s">
        <v>78</v>
      </c>
      <c r="K454" t="s">
        <v>73</v>
      </c>
      <c r="L454">
        <v>701000</v>
      </c>
      <c r="M454" t="s">
        <v>62</v>
      </c>
      <c r="N454" t="s">
        <v>33</v>
      </c>
      <c r="O454">
        <v>1051</v>
      </c>
      <c r="P454">
        <v>1.8</v>
      </c>
      <c r="Q454">
        <v>1.89</v>
      </c>
      <c r="R454" t="s">
        <v>1202</v>
      </c>
      <c r="S454" t="s">
        <v>195</v>
      </c>
    </row>
    <row r="455" spans="1:19" x14ac:dyDescent="0.3">
      <c r="A455" t="s">
        <v>533</v>
      </c>
      <c r="B455" t="s">
        <v>22</v>
      </c>
      <c r="C455">
        <v>2026</v>
      </c>
      <c r="D455">
        <v>1</v>
      </c>
      <c r="E455" s="2">
        <v>46040</v>
      </c>
      <c r="F455" t="s">
        <v>7</v>
      </c>
      <c r="G455" t="s">
        <v>8</v>
      </c>
      <c r="H455" t="s">
        <v>74</v>
      </c>
      <c r="I455" t="s">
        <v>77</v>
      </c>
      <c r="J455" t="s">
        <v>78</v>
      </c>
      <c r="K455" t="s">
        <v>73</v>
      </c>
      <c r="L455">
        <v>701000</v>
      </c>
      <c r="M455" t="s">
        <v>62</v>
      </c>
      <c r="N455" t="s">
        <v>33</v>
      </c>
      <c r="O455">
        <v>1150</v>
      </c>
      <c r="P455">
        <v>1.8</v>
      </c>
      <c r="Q455">
        <v>2.0699999999999998</v>
      </c>
      <c r="R455" t="s">
        <v>1201</v>
      </c>
      <c r="S455" t="s">
        <v>195</v>
      </c>
    </row>
    <row r="456" spans="1:19" x14ac:dyDescent="0.3">
      <c r="A456" t="s">
        <v>534</v>
      </c>
      <c r="B456" t="s">
        <v>22</v>
      </c>
      <c r="C456">
        <v>2026</v>
      </c>
      <c r="D456">
        <v>1</v>
      </c>
      <c r="E456" s="2">
        <v>46040</v>
      </c>
      <c r="F456" t="s">
        <v>7</v>
      </c>
      <c r="G456" t="s">
        <v>8</v>
      </c>
      <c r="H456" t="s">
        <v>74</v>
      </c>
      <c r="I456" t="s">
        <v>77</v>
      </c>
      <c r="J456" t="s">
        <v>78</v>
      </c>
      <c r="K456" t="s">
        <v>73</v>
      </c>
      <c r="L456">
        <v>701000</v>
      </c>
      <c r="M456" t="s">
        <v>62</v>
      </c>
      <c r="N456" t="s">
        <v>33</v>
      </c>
      <c r="O456">
        <v>340</v>
      </c>
      <c r="P456">
        <v>1.82</v>
      </c>
      <c r="Q456">
        <v>0.62</v>
      </c>
      <c r="R456" t="s">
        <v>1199</v>
      </c>
      <c r="S456" t="s">
        <v>195</v>
      </c>
    </row>
    <row r="457" spans="1:19" x14ac:dyDescent="0.3">
      <c r="A457" t="s">
        <v>540</v>
      </c>
      <c r="B457" t="s">
        <v>22</v>
      </c>
      <c r="C457">
        <v>2026</v>
      </c>
      <c r="D457">
        <v>1</v>
      </c>
      <c r="E457" s="2">
        <v>46040</v>
      </c>
      <c r="F457" t="s">
        <v>7</v>
      </c>
      <c r="G457" t="s">
        <v>8</v>
      </c>
      <c r="H457" t="s">
        <v>74</v>
      </c>
      <c r="I457" t="s">
        <v>77</v>
      </c>
      <c r="J457" t="s">
        <v>78</v>
      </c>
      <c r="K457" t="s">
        <v>73</v>
      </c>
      <c r="L457">
        <v>701000</v>
      </c>
      <c r="M457" t="s">
        <v>62</v>
      </c>
      <c r="N457" t="s">
        <v>33</v>
      </c>
      <c r="O457">
        <v>1464</v>
      </c>
      <c r="P457">
        <v>1.8</v>
      </c>
      <c r="Q457">
        <v>2.64</v>
      </c>
      <c r="R457" t="s">
        <v>1203</v>
      </c>
      <c r="S457" t="s">
        <v>195</v>
      </c>
    </row>
    <row r="458" spans="1:19" x14ac:dyDescent="0.3">
      <c r="A458" t="s">
        <v>541</v>
      </c>
      <c r="B458" t="s">
        <v>22</v>
      </c>
      <c r="C458">
        <v>2026</v>
      </c>
      <c r="D458">
        <v>1</v>
      </c>
      <c r="E458" s="2">
        <v>46040</v>
      </c>
      <c r="F458" t="s">
        <v>7</v>
      </c>
      <c r="G458" t="s">
        <v>8</v>
      </c>
      <c r="H458" t="s">
        <v>74</v>
      </c>
      <c r="I458" t="s">
        <v>77</v>
      </c>
      <c r="J458" t="s">
        <v>78</v>
      </c>
      <c r="K458" t="s">
        <v>73</v>
      </c>
      <c r="L458">
        <v>701000</v>
      </c>
      <c r="M458" t="s">
        <v>62</v>
      </c>
      <c r="N458" t="s">
        <v>33</v>
      </c>
      <c r="O458">
        <v>453</v>
      </c>
      <c r="P458">
        <v>1.81</v>
      </c>
      <c r="Q458">
        <v>0.82</v>
      </c>
      <c r="R458" t="s">
        <v>1200</v>
      </c>
      <c r="S458" t="s">
        <v>195</v>
      </c>
    </row>
    <row r="459" spans="1:19" x14ac:dyDescent="0.3">
      <c r="A459" t="s">
        <v>542</v>
      </c>
      <c r="B459" t="s">
        <v>22</v>
      </c>
      <c r="C459">
        <v>2026</v>
      </c>
      <c r="D459">
        <v>1</v>
      </c>
      <c r="E459" s="2">
        <v>46040</v>
      </c>
      <c r="F459" t="s">
        <v>7</v>
      </c>
      <c r="G459" t="s">
        <v>8</v>
      </c>
      <c r="H459" t="s">
        <v>74</v>
      </c>
      <c r="I459" t="s">
        <v>77</v>
      </c>
      <c r="J459" t="s">
        <v>78</v>
      </c>
      <c r="K459" t="s">
        <v>73</v>
      </c>
      <c r="L459">
        <v>701000</v>
      </c>
      <c r="M459" t="s">
        <v>62</v>
      </c>
      <c r="N459" t="s">
        <v>33</v>
      </c>
      <c r="O459">
        <v>552</v>
      </c>
      <c r="P459">
        <v>1.79</v>
      </c>
      <c r="Q459">
        <v>0.99</v>
      </c>
      <c r="R459" t="s">
        <v>1204</v>
      </c>
      <c r="S459" t="s">
        <v>195</v>
      </c>
    </row>
    <row r="460" spans="1:19" x14ac:dyDescent="0.3">
      <c r="A460" t="s">
        <v>543</v>
      </c>
      <c r="B460" t="s">
        <v>22</v>
      </c>
      <c r="C460">
        <v>2026</v>
      </c>
      <c r="D460">
        <v>1</v>
      </c>
      <c r="E460" s="2">
        <v>46040</v>
      </c>
      <c r="F460" t="s">
        <v>7</v>
      </c>
      <c r="G460" t="s">
        <v>8</v>
      </c>
      <c r="H460" t="s">
        <v>74</v>
      </c>
      <c r="I460" t="s">
        <v>77</v>
      </c>
      <c r="J460" t="s">
        <v>78</v>
      </c>
      <c r="K460" t="s">
        <v>73</v>
      </c>
      <c r="L460">
        <v>701000</v>
      </c>
      <c r="M460" t="s">
        <v>62</v>
      </c>
      <c r="N460" t="s">
        <v>33</v>
      </c>
      <c r="O460">
        <v>1024</v>
      </c>
      <c r="P460">
        <v>1.81</v>
      </c>
      <c r="Q460">
        <v>1.85</v>
      </c>
      <c r="R460" t="s">
        <v>1199</v>
      </c>
      <c r="S460" t="s">
        <v>195</v>
      </c>
    </row>
    <row r="461" spans="1:19" x14ac:dyDescent="0.3">
      <c r="A461" t="s">
        <v>544</v>
      </c>
      <c r="B461" t="s">
        <v>22</v>
      </c>
      <c r="C461">
        <v>2026</v>
      </c>
      <c r="D461">
        <v>1</v>
      </c>
      <c r="E461" s="2">
        <v>46040</v>
      </c>
      <c r="F461" t="s">
        <v>7</v>
      </c>
      <c r="G461" t="s">
        <v>8</v>
      </c>
      <c r="H461" t="s">
        <v>74</v>
      </c>
      <c r="I461" t="s">
        <v>77</v>
      </c>
      <c r="J461" t="s">
        <v>78</v>
      </c>
      <c r="K461" t="s">
        <v>73</v>
      </c>
      <c r="L461">
        <v>701000</v>
      </c>
      <c r="M461" t="s">
        <v>62</v>
      </c>
      <c r="N461" t="s">
        <v>33</v>
      </c>
      <c r="O461">
        <v>299</v>
      </c>
      <c r="P461">
        <v>1.77</v>
      </c>
      <c r="Q461">
        <v>0.53</v>
      </c>
      <c r="R461" t="s">
        <v>1202</v>
      </c>
      <c r="S461" t="s">
        <v>195</v>
      </c>
    </row>
    <row r="462" spans="1:19" x14ac:dyDescent="0.3">
      <c r="A462" t="s">
        <v>710</v>
      </c>
      <c r="B462" t="s">
        <v>22</v>
      </c>
      <c r="C462">
        <v>2026</v>
      </c>
      <c r="D462">
        <v>1</v>
      </c>
      <c r="E462" s="2">
        <v>46040</v>
      </c>
      <c r="F462" t="s">
        <v>7</v>
      </c>
      <c r="G462" t="s">
        <v>8</v>
      </c>
      <c r="H462" t="s">
        <v>74</v>
      </c>
      <c r="I462" t="s">
        <v>79</v>
      </c>
      <c r="J462" t="s">
        <v>80</v>
      </c>
      <c r="K462" t="s">
        <v>73</v>
      </c>
      <c r="L462">
        <v>701000</v>
      </c>
      <c r="M462" t="s">
        <v>62</v>
      </c>
      <c r="N462" t="s">
        <v>33</v>
      </c>
      <c r="O462">
        <v>2019</v>
      </c>
      <c r="P462">
        <v>2.6</v>
      </c>
      <c r="Q462">
        <v>5.25</v>
      </c>
      <c r="R462" t="s">
        <v>1201</v>
      </c>
      <c r="S462" t="s">
        <v>195</v>
      </c>
    </row>
    <row r="463" spans="1:19" x14ac:dyDescent="0.3">
      <c r="A463" t="s">
        <v>711</v>
      </c>
      <c r="B463" t="s">
        <v>22</v>
      </c>
      <c r="C463">
        <v>2026</v>
      </c>
      <c r="D463">
        <v>1</v>
      </c>
      <c r="E463" s="2">
        <v>46040</v>
      </c>
      <c r="F463" t="s">
        <v>7</v>
      </c>
      <c r="G463" t="s">
        <v>8</v>
      </c>
      <c r="H463" t="s">
        <v>74</v>
      </c>
      <c r="I463" t="s">
        <v>79</v>
      </c>
      <c r="J463" t="s">
        <v>80</v>
      </c>
      <c r="K463" t="s">
        <v>73</v>
      </c>
      <c r="L463">
        <v>701000</v>
      </c>
      <c r="M463" t="s">
        <v>62</v>
      </c>
      <c r="N463" t="s">
        <v>33</v>
      </c>
      <c r="O463">
        <v>854</v>
      </c>
      <c r="P463">
        <v>2.6</v>
      </c>
      <c r="Q463">
        <v>2.2200000000000002</v>
      </c>
      <c r="R463" t="s">
        <v>1203</v>
      </c>
      <c r="S463" t="s">
        <v>195</v>
      </c>
    </row>
    <row r="464" spans="1:19" x14ac:dyDescent="0.3">
      <c r="A464" t="s">
        <v>712</v>
      </c>
      <c r="B464" t="s">
        <v>22</v>
      </c>
      <c r="C464">
        <v>2026</v>
      </c>
      <c r="D464">
        <v>1</v>
      </c>
      <c r="E464" s="2">
        <v>46040</v>
      </c>
      <c r="F464" t="s">
        <v>7</v>
      </c>
      <c r="G464" t="s">
        <v>8</v>
      </c>
      <c r="H464" t="s">
        <v>74</v>
      </c>
      <c r="I464" t="s">
        <v>79</v>
      </c>
      <c r="J464" t="s">
        <v>80</v>
      </c>
      <c r="K464" t="s">
        <v>73</v>
      </c>
      <c r="L464">
        <v>701000</v>
      </c>
      <c r="M464" t="s">
        <v>62</v>
      </c>
      <c r="N464" t="s">
        <v>33</v>
      </c>
      <c r="O464">
        <v>3634</v>
      </c>
      <c r="P464">
        <v>2.6</v>
      </c>
      <c r="Q464">
        <v>9.4499999999999993</v>
      </c>
      <c r="R464" t="s">
        <v>1205</v>
      </c>
      <c r="S464" t="s">
        <v>195</v>
      </c>
    </row>
    <row r="465" spans="1:19" x14ac:dyDescent="0.3">
      <c r="A465" t="s">
        <v>713</v>
      </c>
      <c r="B465" t="s">
        <v>22</v>
      </c>
      <c r="C465">
        <v>2026</v>
      </c>
      <c r="D465">
        <v>1</v>
      </c>
      <c r="E465" s="2">
        <v>46040</v>
      </c>
      <c r="F465" t="s">
        <v>7</v>
      </c>
      <c r="G465" t="s">
        <v>8</v>
      </c>
      <c r="H465" t="s">
        <v>74</v>
      </c>
      <c r="I465" t="s">
        <v>79</v>
      </c>
      <c r="J465" t="s">
        <v>80</v>
      </c>
      <c r="K465" t="s">
        <v>73</v>
      </c>
      <c r="L465">
        <v>701000</v>
      </c>
      <c r="M465" t="s">
        <v>62</v>
      </c>
      <c r="N465" t="s">
        <v>33</v>
      </c>
      <c r="O465">
        <v>1139</v>
      </c>
      <c r="P465">
        <v>2.6</v>
      </c>
      <c r="Q465">
        <v>2.96</v>
      </c>
      <c r="R465" t="s">
        <v>1204</v>
      </c>
      <c r="S465" t="s">
        <v>195</v>
      </c>
    </row>
    <row r="466" spans="1:19" x14ac:dyDescent="0.3">
      <c r="A466" t="s">
        <v>714</v>
      </c>
      <c r="B466" t="s">
        <v>22</v>
      </c>
      <c r="C466">
        <v>2026</v>
      </c>
      <c r="D466">
        <v>1</v>
      </c>
      <c r="E466" s="2">
        <v>46040</v>
      </c>
      <c r="F466" t="s">
        <v>7</v>
      </c>
      <c r="G466" t="s">
        <v>8</v>
      </c>
      <c r="H466" t="s">
        <v>74</v>
      </c>
      <c r="I466" t="s">
        <v>79</v>
      </c>
      <c r="J466" t="s">
        <v>80</v>
      </c>
      <c r="K466" t="s">
        <v>73</v>
      </c>
      <c r="L466">
        <v>701000</v>
      </c>
      <c r="M466" t="s">
        <v>62</v>
      </c>
      <c r="N466" t="s">
        <v>33</v>
      </c>
      <c r="O466">
        <v>471</v>
      </c>
      <c r="P466">
        <v>2.59</v>
      </c>
      <c r="Q466">
        <v>1.22</v>
      </c>
      <c r="R466" t="s">
        <v>1197</v>
      </c>
      <c r="S466" t="s">
        <v>195</v>
      </c>
    </row>
    <row r="467" spans="1:19" x14ac:dyDescent="0.3">
      <c r="A467" t="s">
        <v>770</v>
      </c>
      <c r="B467" t="s">
        <v>22</v>
      </c>
      <c r="C467">
        <v>2026</v>
      </c>
      <c r="D467">
        <v>1</v>
      </c>
      <c r="E467" s="2">
        <v>46040</v>
      </c>
      <c r="F467" t="s">
        <v>7</v>
      </c>
      <c r="G467" t="s">
        <v>8</v>
      </c>
      <c r="H467" t="s">
        <v>70</v>
      </c>
      <c r="I467" t="s">
        <v>82</v>
      </c>
      <c r="J467" t="s">
        <v>83</v>
      </c>
      <c r="K467" t="s">
        <v>73</v>
      </c>
      <c r="L467">
        <v>701000</v>
      </c>
      <c r="M467" t="s">
        <v>62</v>
      </c>
      <c r="N467" t="s">
        <v>33</v>
      </c>
      <c r="O467">
        <v>244</v>
      </c>
      <c r="P467">
        <v>18.48</v>
      </c>
      <c r="Q467">
        <v>4.51</v>
      </c>
      <c r="R467" t="s">
        <v>1201</v>
      </c>
      <c r="S467" t="s">
        <v>195</v>
      </c>
    </row>
    <row r="468" spans="1:19" x14ac:dyDescent="0.3">
      <c r="A468" t="s">
        <v>771</v>
      </c>
      <c r="B468" t="s">
        <v>22</v>
      </c>
      <c r="C468">
        <v>2026</v>
      </c>
      <c r="D468">
        <v>1</v>
      </c>
      <c r="E468" s="2">
        <v>46040</v>
      </c>
      <c r="F468" t="s">
        <v>7</v>
      </c>
      <c r="G468" t="s">
        <v>8</v>
      </c>
      <c r="H468" t="s">
        <v>70</v>
      </c>
      <c r="I468" t="s">
        <v>82</v>
      </c>
      <c r="J468" t="s">
        <v>83</v>
      </c>
      <c r="K468" t="s">
        <v>73</v>
      </c>
      <c r="L468">
        <v>701000</v>
      </c>
      <c r="M468" t="s">
        <v>62</v>
      </c>
      <c r="N468" t="s">
        <v>33</v>
      </c>
      <c r="O468">
        <v>74</v>
      </c>
      <c r="P468">
        <v>18.38</v>
      </c>
      <c r="Q468">
        <v>1.36</v>
      </c>
      <c r="R468" t="s">
        <v>1199</v>
      </c>
      <c r="S468" t="s">
        <v>195</v>
      </c>
    </row>
    <row r="469" spans="1:19" x14ac:dyDescent="0.3">
      <c r="A469" t="s">
        <v>772</v>
      </c>
      <c r="B469" t="s">
        <v>22</v>
      </c>
      <c r="C469">
        <v>2026</v>
      </c>
      <c r="D469">
        <v>1</v>
      </c>
      <c r="E469" s="2">
        <v>46040</v>
      </c>
      <c r="F469" t="s">
        <v>7</v>
      </c>
      <c r="G469" t="s">
        <v>8</v>
      </c>
      <c r="H469" t="s">
        <v>70</v>
      </c>
      <c r="I469" t="s">
        <v>82</v>
      </c>
      <c r="J469" t="s">
        <v>83</v>
      </c>
      <c r="K469" t="s">
        <v>73</v>
      </c>
      <c r="L469">
        <v>701000</v>
      </c>
      <c r="M469" t="s">
        <v>62</v>
      </c>
      <c r="N469" t="s">
        <v>33</v>
      </c>
      <c r="O469">
        <v>65</v>
      </c>
      <c r="P469">
        <v>18.62</v>
      </c>
      <c r="Q469">
        <v>1.21</v>
      </c>
      <c r="R469" t="s">
        <v>1203</v>
      </c>
      <c r="S469" t="s">
        <v>195</v>
      </c>
    </row>
    <row r="470" spans="1:19" x14ac:dyDescent="0.3">
      <c r="A470" t="s">
        <v>773</v>
      </c>
      <c r="B470" t="s">
        <v>22</v>
      </c>
      <c r="C470">
        <v>2026</v>
      </c>
      <c r="D470">
        <v>1</v>
      </c>
      <c r="E470" s="2">
        <v>46040</v>
      </c>
      <c r="F470" t="s">
        <v>7</v>
      </c>
      <c r="G470" t="s">
        <v>8</v>
      </c>
      <c r="H470" t="s">
        <v>70</v>
      </c>
      <c r="I470" t="s">
        <v>82</v>
      </c>
      <c r="J470" t="s">
        <v>83</v>
      </c>
      <c r="K470" t="s">
        <v>73</v>
      </c>
      <c r="L470">
        <v>701000</v>
      </c>
      <c r="M470" t="s">
        <v>62</v>
      </c>
      <c r="N470" t="s">
        <v>33</v>
      </c>
      <c r="O470">
        <v>224</v>
      </c>
      <c r="P470">
        <v>18.48</v>
      </c>
      <c r="Q470">
        <v>4.1399999999999997</v>
      </c>
      <c r="R470" t="s">
        <v>1202</v>
      </c>
      <c r="S470" t="s">
        <v>195</v>
      </c>
    </row>
    <row r="471" spans="1:19" x14ac:dyDescent="0.3">
      <c r="A471" t="s">
        <v>774</v>
      </c>
      <c r="B471" t="s">
        <v>22</v>
      </c>
      <c r="C471">
        <v>2026</v>
      </c>
      <c r="D471">
        <v>1</v>
      </c>
      <c r="E471" s="2">
        <v>46040</v>
      </c>
      <c r="F471" t="s">
        <v>7</v>
      </c>
      <c r="G471" t="s">
        <v>8</v>
      </c>
      <c r="H471" t="s">
        <v>70</v>
      </c>
      <c r="I471" t="s">
        <v>82</v>
      </c>
      <c r="J471" t="s">
        <v>83</v>
      </c>
      <c r="K471" t="s">
        <v>73</v>
      </c>
      <c r="L471">
        <v>701000</v>
      </c>
      <c r="M471" t="s">
        <v>62</v>
      </c>
      <c r="N471" t="s">
        <v>33</v>
      </c>
      <c r="O471">
        <v>53</v>
      </c>
      <c r="P471">
        <v>18.68</v>
      </c>
      <c r="Q471">
        <v>0.99</v>
      </c>
      <c r="R471" t="s">
        <v>1198</v>
      </c>
      <c r="S471" t="s">
        <v>195</v>
      </c>
    </row>
    <row r="472" spans="1:19" x14ac:dyDescent="0.3">
      <c r="A472" t="s">
        <v>245</v>
      </c>
      <c r="B472" t="s">
        <v>22</v>
      </c>
      <c r="C472">
        <v>2026</v>
      </c>
      <c r="D472">
        <v>1</v>
      </c>
      <c r="E472" s="2">
        <v>46041</v>
      </c>
      <c r="F472" t="s">
        <v>7</v>
      </c>
      <c r="G472" t="s">
        <v>8</v>
      </c>
      <c r="H472" t="s">
        <v>74</v>
      </c>
      <c r="I472" t="s">
        <v>84</v>
      </c>
      <c r="J472" t="s">
        <v>85</v>
      </c>
      <c r="K472" t="s">
        <v>73</v>
      </c>
      <c r="L472">
        <v>701000</v>
      </c>
      <c r="M472" t="s">
        <v>62</v>
      </c>
      <c r="N472" t="s">
        <v>33</v>
      </c>
      <c r="O472">
        <v>589</v>
      </c>
      <c r="P472">
        <v>0.95</v>
      </c>
      <c r="Q472">
        <v>0.56000000000000005</v>
      </c>
      <c r="R472" t="s">
        <v>1204</v>
      </c>
      <c r="S472" t="s">
        <v>195</v>
      </c>
    </row>
    <row r="473" spans="1:19" x14ac:dyDescent="0.3">
      <c r="A473" t="s">
        <v>246</v>
      </c>
      <c r="B473" t="s">
        <v>22</v>
      </c>
      <c r="C473">
        <v>2026</v>
      </c>
      <c r="D473">
        <v>1</v>
      </c>
      <c r="E473" s="2">
        <v>46041</v>
      </c>
      <c r="F473" t="s">
        <v>7</v>
      </c>
      <c r="G473" t="s">
        <v>8</v>
      </c>
      <c r="H473" t="s">
        <v>74</v>
      </c>
      <c r="I473" t="s">
        <v>84</v>
      </c>
      <c r="J473" t="s">
        <v>85</v>
      </c>
      <c r="K473" t="s">
        <v>73</v>
      </c>
      <c r="L473">
        <v>701000</v>
      </c>
      <c r="M473" t="s">
        <v>62</v>
      </c>
      <c r="N473" t="s">
        <v>33</v>
      </c>
      <c r="O473">
        <v>6997</v>
      </c>
      <c r="P473">
        <v>0.95</v>
      </c>
      <c r="Q473">
        <v>6.65</v>
      </c>
      <c r="R473" t="s">
        <v>1200</v>
      </c>
      <c r="S473" t="s">
        <v>195</v>
      </c>
    </row>
    <row r="474" spans="1:19" x14ac:dyDescent="0.3">
      <c r="A474" t="s">
        <v>247</v>
      </c>
      <c r="B474" t="s">
        <v>22</v>
      </c>
      <c r="C474">
        <v>2026</v>
      </c>
      <c r="D474">
        <v>1</v>
      </c>
      <c r="E474" s="2">
        <v>46041</v>
      </c>
      <c r="F474" t="s">
        <v>7</v>
      </c>
      <c r="G474" t="s">
        <v>8</v>
      </c>
      <c r="H474" t="s">
        <v>74</v>
      </c>
      <c r="I474" t="s">
        <v>84</v>
      </c>
      <c r="J474" t="s">
        <v>85</v>
      </c>
      <c r="K474" t="s">
        <v>73</v>
      </c>
      <c r="L474">
        <v>701000</v>
      </c>
      <c r="M474" t="s">
        <v>62</v>
      </c>
      <c r="N474" t="s">
        <v>33</v>
      </c>
      <c r="O474">
        <v>691</v>
      </c>
      <c r="P474">
        <v>0.96</v>
      </c>
      <c r="Q474">
        <v>0.66</v>
      </c>
      <c r="R474" t="s">
        <v>1203</v>
      </c>
      <c r="S474" t="s">
        <v>195</v>
      </c>
    </row>
    <row r="475" spans="1:19" x14ac:dyDescent="0.3">
      <c r="A475" t="s">
        <v>248</v>
      </c>
      <c r="B475" t="s">
        <v>22</v>
      </c>
      <c r="C475">
        <v>2026</v>
      </c>
      <c r="D475">
        <v>1</v>
      </c>
      <c r="E475" s="2">
        <v>46041</v>
      </c>
      <c r="F475" t="s">
        <v>7</v>
      </c>
      <c r="G475" t="s">
        <v>8</v>
      </c>
      <c r="H475" t="s">
        <v>74</v>
      </c>
      <c r="I475" t="s">
        <v>84</v>
      </c>
      <c r="J475" t="s">
        <v>85</v>
      </c>
      <c r="K475" t="s">
        <v>73</v>
      </c>
      <c r="L475">
        <v>701000</v>
      </c>
      <c r="M475" t="s">
        <v>62</v>
      </c>
      <c r="N475" t="s">
        <v>33</v>
      </c>
      <c r="O475">
        <v>8782</v>
      </c>
      <c r="P475">
        <v>0.95</v>
      </c>
      <c r="Q475">
        <v>8.34</v>
      </c>
      <c r="R475" t="s">
        <v>1198</v>
      </c>
      <c r="S475" t="s">
        <v>195</v>
      </c>
    </row>
    <row r="476" spans="1:19" x14ac:dyDescent="0.3">
      <c r="A476" t="s">
        <v>249</v>
      </c>
      <c r="B476" t="s">
        <v>22</v>
      </c>
      <c r="C476">
        <v>2026</v>
      </c>
      <c r="D476">
        <v>1</v>
      </c>
      <c r="E476" s="2">
        <v>46041</v>
      </c>
      <c r="F476" t="s">
        <v>7</v>
      </c>
      <c r="G476" t="s">
        <v>8</v>
      </c>
      <c r="H476" t="s">
        <v>74</v>
      </c>
      <c r="I476" t="s">
        <v>84</v>
      </c>
      <c r="J476" t="s">
        <v>85</v>
      </c>
      <c r="K476" t="s">
        <v>73</v>
      </c>
      <c r="L476">
        <v>701000</v>
      </c>
      <c r="M476" t="s">
        <v>62</v>
      </c>
      <c r="N476" t="s">
        <v>33</v>
      </c>
      <c r="O476">
        <v>1793</v>
      </c>
      <c r="P476">
        <v>0.95</v>
      </c>
      <c r="Q476">
        <v>1.7</v>
      </c>
      <c r="R476" t="s">
        <v>1197</v>
      </c>
      <c r="S476" t="s">
        <v>195</v>
      </c>
    </row>
    <row r="477" spans="1:19" x14ac:dyDescent="0.3">
      <c r="A477" t="s">
        <v>375</v>
      </c>
      <c r="B477" t="s">
        <v>22</v>
      </c>
      <c r="C477">
        <v>2026</v>
      </c>
      <c r="D477">
        <v>1</v>
      </c>
      <c r="E477" s="2">
        <v>46041</v>
      </c>
      <c r="F477" t="s">
        <v>7</v>
      </c>
      <c r="G477" t="s">
        <v>8</v>
      </c>
      <c r="H477" t="s">
        <v>74</v>
      </c>
      <c r="I477" t="s">
        <v>71</v>
      </c>
      <c r="J477" t="s">
        <v>72</v>
      </c>
      <c r="K477" t="s">
        <v>73</v>
      </c>
      <c r="L477">
        <v>701000</v>
      </c>
      <c r="M477" t="s">
        <v>62</v>
      </c>
      <c r="N477" t="s">
        <v>33</v>
      </c>
      <c r="O477">
        <v>6119</v>
      </c>
      <c r="P477">
        <v>1.05</v>
      </c>
      <c r="Q477">
        <v>6.43</v>
      </c>
      <c r="R477" t="s">
        <v>1204</v>
      </c>
      <c r="S477" t="s">
        <v>195</v>
      </c>
    </row>
    <row r="478" spans="1:19" x14ac:dyDescent="0.3">
      <c r="A478" t="s">
        <v>376</v>
      </c>
      <c r="B478" t="s">
        <v>22</v>
      </c>
      <c r="C478">
        <v>2026</v>
      </c>
      <c r="D478">
        <v>1</v>
      </c>
      <c r="E478" s="2">
        <v>46041</v>
      </c>
      <c r="F478" t="s">
        <v>7</v>
      </c>
      <c r="G478" t="s">
        <v>8</v>
      </c>
      <c r="H478" t="s">
        <v>74</v>
      </c>
      <c r="I478" t="s">
        <v>71</v>
      </c>
      <c r="J478" t="s">
        <v>72</v>
      </c>
      <c r="K478" t="s">
        <v>73</v>
      </c>
      <c r="L478">
        <v>701000</v>
      </c>
      <c r="M478" t="s">
        <v>62</v>
      </c>
      <c r="N478" t="s">
        <v>33</v>
      </c>
      <c r="O478">
        <v>5394</v>
      </c>
      <c r="P478">
        <v>1.05</v>
      </c>
      <c r="Q478">
        <v>5.66</v>
      </c>
      <c r="R478" t="s">
        <v>1198</v>
      </c>
      <c r="S478" t="s">
        <v>195</v>
      </c>
    </row>
    <row r="479" spans="1:19" x14ac:dyDescent="0.3">
      <c r="A479" t="s">
        <v>377</v>
      </c>
      <c r="B479" t="s">
        <v>22</v>
      </c>
      <c r="C479">
        <v>2026</v>
      </c>
      <c r="D479">
        <v>1</v>
      </c>
      <c r="E479" s="2">
        <v>46041</v>
      </c>
      <c r="F479" t="s">
        <v>7</v>
      </c>
      <c r="G479" t="s">
        <v>8</v>
      </c>
      <c r="H479" t="s">
        <v>74</v>
      </c>
      <c r="I479" t="s">
        <v>71</v>
      </c>
      <c r="J479" t="s">
        <v>72</v>
      </c>
      <c r="K479" t="s">
        <v>73</v>
      </c>
      <c r="L479">
        <v>701000</v>
      </c>
      <c r="M479" t="s">
        <v>62</v>
      </c>
      <c r="N479" t="s">
        <v>33</v>
      </c>
      <c r="O479">
        <v>761</v>
      </c>
      <c r="P479">
        <v>1.05</v>
      </c>
      <c r="Q479">
        <v>0.8</v>
      </c>
      <c r="R479" t="s">
        <v>1197</v>
      </c>
      <c r="S479" t="s">
        <v>195</v>
      </c>
    </row>
    <row r="480" spans="1:19" x14ac:dyDescent="0.3">
      <c r="A480" t="s">
        <v>378</v>
      </c>
      <c r="B480" t="s">
        <v>22</v>
      </c>
      <c r="C480">
        <v>2026</v>
      </c>
      <c r="D480">
        <v>1</v>
      </c>
      <c r="E480" s="2">
        <v>46041</v>
      </c>
      <c r="F480" t="s">
        <v>7</v>
      </c>
      <c r="G480" t="s">
        <v>8</v>
      </c>
      <c r="H480" t="s">
        <v>74</v>
      </c>
      <c r="I480" t="s">
        <v>71</v>
      </c>
      <c r="J480" t="s">
        <v>72</v>
      </c>
      <c r="K480" t="s">
        <v>73</v>
      </c>
      <c r="L480">
        <v>701000</v>
      </c>
      <c r="M480" t="s">
        <v>62</v>
      </c>
      <c r="N480" t="s">
        <v>33</v>
      </c>
      <c r="O480">
        <v>2616</v>
      </c>
      <c r="P480">
        <v>1.05</v>
      </c>
      <c r="Q480">
        <v>2.75</v>
      </c>
      <c r="R480" t="s">
        <v>1199</v>
      </c>
      <c r="S480" t="s">
        <v>195</v>
      </c>
    </row>
    <row r="481" spans="1:19" x14ac:dyDescent="0.3">
      <c r="A481" t="s">
        <v>379</v>
      </c>
      <c r="B481" t="s">
        <v>22</v>
      </c>
      <c r="C481">
        <v>2026</v>
      </c>
      <c r="D481">
        <v>1</v>
      </c>
      <c r="E481" s="2">
        <v>46041</v>
      </c>
      <c r="F481" t="s">
        <v>7</v>
      </c>
      <c r="G481" t="s">
        <v>8</v>
      </c>
      <c r="H481" t="s">
        <v>74</v>
      </c>
      <c r="I481" t="s">
        <v>71</v>
      </c>
      <c r="J481" t="s">
        <v>72</v>
      </c>
      <c r="K481" t="s">
        <v>73</v>
      </c>
      <c r="L481">
        <v>701000</v>
      </c>
      <c r="M481" t="s">
        <v>62</v>
      </c>
      <c r="N481" t="s">
        <v>33</v>
      </c>
      <c r="O481">
        <v>2146</v>
      </c>
      <c r="P481">
        <v>1.05</v>
      </c>
      <c r="Q481">
        <v>2.25</v>
      </c>
      <c r="R481" t="s">
        <v>1205</v>
      </c>
      <c r="S481" t="s">
        <v>195</v>
      </c>
    </row>
    <row r="482" spans="1:19" x14ac:dyDescent="0.3">
      <c r="A482" t="s">
        <v>465</v>
      </c>
      <c r="B482" t="s">
        <v>22</v>
      </c>
      <c r="C482">
        <v>2026</v>
      </c>
      <c r="D482">
        <v>1</v>
      </c>
      <c r="E482" s="2">
        <v>46041</v>
      </c>
      <c r="F482" t="s">
        <v>7</v>
      </c>
      <c r="G482" t="s">
        <v>8</v>
      </c>
      <c r="H482" t="s">
        <v>70</v>
      </c>
      <c r="I482" t="s">
        <v>75</v>
      </c>
      <c r="J482" t="s">
        <v>76</v>
      </c>
      <c r="K482" t="s">
        <v>73</v>
      </c>
      <c r="L482">
        <v>701000</v>
      </c>
      <c r="M482" t="s">
        <v>62</v>
      </c>
      <c r="N482" t="s">
        <v>33</v>
      </c>
      <c r="O482">
        <v>4512</v>
      </c>
      <c r="P482">
        <v>1.4</v>
      </c>
      <c r="Q482">
        <v>6.32</v>
      </c>
      <c r="R482" t="s">
        <v>1200</v>
      </c>
      <c r="S482" t="s">
        <v>195</v>
      </c>
    </row>
    <row r="483" spans="1:19" x14ac:dyDescent="0.3">
      <c r="A483" t="s">
        <v>466</v>
      </c>
      <c r="B483" t="s">
        <v>22</v>
      </c>
      <c r="C483">
        <v>2026</v>
      </c>
      <c r="D483">
        <v>1</v>
      </c>
      <c r="E483" s="2">
        <v>46041</v>
      </c>
      <c r="F483" t="s">
        <v>7</v>
      </c>
      <c r="G483" t="s">
        <v>8</v>
      </c>
      <c r="H483" t="s">
        <v>70</v>
      </c>
      <c r="I483" t="s">
        <v>75</v>
      </c>
      <c r="J483" t="s">
        <v>76</v>
      </c>
      <c r="K483" t="s">
        <v>73</v>
      </c>
      <c r="L483">
        <v>701000</v>
      </c>
      <c r="M483" t="s">
        <v>62</v>
      </c>
      <c r="N483" t="s">
        <v>33</v>
      </c>
      <c r="O483">
        <v>2356</v>
      </c>
      <c r="P483">
        <v>1.4</v>
      </c>
      <c r="Q483">
        <v>3.3</v>
      </c>
      <c r="R483" t="s">
        <v>1203</v>
      </c>
      <c r="S483" t="s">
        <v>195</v>
      </c>
    </row>
    <row r="484" spans="1:19" x14ac:dyDescent="0.3">
      <c r="A484" t="s">
        <v>467</v>
      </c>
      <c r="B484" t="s">
        <v>22</v>
      </c>
      <c r="C484">
        <v>2026</v>
      </c>
      <c r="D484">
        <v>1</v>
      </c>
      <c r="E484" s="2">
        <v>46041</v>
      </c>
      <c r="F484" t="s">
        <v>7</v>
      </c>
      <c r="G484" t="s">
        <v>8</v>
      </c>
      <c r="H484" t="s">
        <v>70</v>
      </c>
      <c r="I484" t="s">
        <v>75</v>
      </c>
      <c r="J484" t="s">
        <v>76</v>
      </c>
      <c r="K484" t="s">
        <v>73</v>
      </c>
      <c r="L484">
        <v>701000</v>
      </c>
      <c r="M484" t="s">
        <v>62</v>
      </c>
      <c r="N484" t="s">
        <v>33</v>
      </c>
      <c r="O484">
        <v>1013</v>
      </c>
      <c r="P484">
        <v>1.4</v>
      </c>
      <c r="Q484">
        <v>1.42</v>
      </c>
      <c r="R484" t="s">
        <v>1197</v>
      </c>
      <c r="S484" t="s">
        <v>195</v>
      </c>
    </row>
    <row r="485" spans="1:19" x14ac:dyDescent="0.3">
      <c r="A485" t="s">
        <v>468</v>
      </c>
      <c r="B485" t="s">
        <v>22</v>
      </c>
      <c r="C485">
        <v>2026</v>
      </c>
      <c r="D485">
        <v>1</v>
      </c>
      <c r="E485" s="2">
        <v>46041</v>
      </c>
      <c r="F485" t="s">
        <v>7</v>
      </c>
      <c r="G485" t="s">
        <v>8</v>
      </c>
      <c r="H485" t="s">
        <v>70</v>
      </c>
      <c r="I485" t="s">
        <v>75</v>
      </c>
      <c r="J485" t="s">
        <v>76</v>
      </c>
      <c r="K485" t="s">
        <v>73</v>
      </c>
      <c r="L485">
        <v>701000</v>
      </c>
      <c r="M485" t="s">
        <v>62</v>
      </c>
      <c r="N485" t="s">
        <v>33</v>
      </c>
      <c r="O485">
        <v>950</v>
      </c>
      <c r="P485">
        <v>1.4</v>
      </c>
      <c r="Q485">
        <v>1.33</v>
      </c>
      <c r="R485" t="s">
        <v>1202</v>
      </c>
      <c r="S485" t="s">
        <v>195</v>
      </c>
    </row>
    <row r="486" spans="1:19" x14ac:dyDescent="0.3">
      <c r="A486" t="s">
        <v>469</v>
      </c>
      <c r="B486" t="s">
        <v>22</v>
      </c>
      <c r="C486">
        <v>2026</v>
      </c>
      <c r="D486">
        <v>1</v>
      </c>
      <c r="E486" s="2">
        <v>46041</v>
      </c>
      <c r="F486" t="s">
        <v>7</v>
      </c>
      <c r="G486" t="s">
        <v>8</v>
      </c>
      <c r="H486" t="s">
        <v>70</v>
      </c>
      <c r="I486" t="s">
        <v>75</v>
      </c>
      <c r="J486" t="s">
        <v>76</v>
      </c>
      <c r="K486" t="s">
        <v>73</v>
      </c>
      <c r="L486">
        <v>701000</v>
      </c>
      <c r="M486" t="s">
        <v>62</v>
      </c>
      <c r="N486" t="s">
        <v>33</v>
      </c>
      <c r="O486">
        <v>650</v>
      </c>
      <c r="P486">
        <v>1.38</v>
      </c>
      <c r="Q486">
        <v>0.9</v>
      </c>
      <c r="R486" t="s">
        <v>1199</v>
      </c>
      <c r="S486" t="s">
        <v>195</v>
      </c>
    </row>
    <row r="487" spans="1:19" x14ac:dyDescent="0.3">
      <c r="A487" t="s">
        <v>500</v>
      </c>
      <c r="B487" t="s">
        <v>22</v>
      </c>
      <c r="C487">
        <v>2026</v>
      </c>
      <c r="D487">
        <v>1</v>
      </c>
      <c r="E487" s="2">
        <v>46041</v>
      </c>
      <c r="F487" t="s">
        <v>7</v>
      </c>
      <c r="G487" t="s">
        <v>8</v>
      </c>
      <c r="H487" t="s">
        <v>70</v>
      </c>
      <c r="I487" t="s">
        <v>77</v>
      </c>
      <c r="J487" t="s">
        <v>78</v>
      </c>
      <c r="K487" t="s">
        <v>73</v>
      </c>
      <c r="L487">
        <v>701000</v>
      </c>
      <c r="M487" t="s">
        <v>62</v>
      </c>
      <c r="N487" t="s">
        <v>33</v>
      </c>
      <c r="O487">
        <v>1711</v>
      </c>
      <c r="P487">
        <v>1.8</v>
      </c>
      <c r="Q487">
        <v>3.08</v>
      </c>
      <c r="R487" t="s">
        <v>1204</v>
      </c>
      <c r="S487" t="s">
        <v>195</v>
      </c>
    </row>
    <row r="488" spans="1:19" x14ac:dyDescent="0.3">
      <c r="A488" t="s">
        <v>501</v>
      </c>
      <c r="B488" t="s">
        <v>22</v>
      </c>
      <c r="C488">
        <v>2026</v>
      </c>
      <c r="D488">
        <v>1</v>
      </c>
      <c r="E488" s="2">
        <v>46041</v>
      </c>
      <c r="F488" t="s">
        <v>7</v>
      </c>
      <c r="G488" t="s">
        <v>8</v>
      </c>
      <c r="H488" t="s">
        <v>70</v>
      </c>
      <c r="I488" t="s">
        <v>77</v>
      </c>
      <c r="J488" t="s">
        <v>78</v>
      </c>
      <c r="K488" t="s">
        <v>73</v>
      </c>
      <c r="L488">
        <v>701000</v>
      </c>
      <c r="M488" t="s">
        <v>62</v>
      </c>
      <c r="N488" t="s">
        <v>33</v>
      </c>
      <c r="O488">
        <v>524</v>
      </c>
      <c r="P488">
        <v>1.79</v>
      </c>
      <c r="Q488">
        <v>0.94</v>
      </c>
      <c r="R488" t="s">
        <v>1203</v>
      </c>
      <c r="S488" t="s">
        <v>195</v>
      </c>
    </row>
    <row r="489" spans="1:19" x14ac:dyDescent="0.3">
      <c r="A489" t="s">
        <v>502</v>
      </c>
      <c r="B489" t="s">
        <v>22</v>
      </c>
      <c r="C489">
        <v>2026</v>
      </c>
      <c r="D489">
        <v>1</v>
      </c>
      <c r="E489" s="2">
        <v>46041</v>
      </c>
      <c r="F489" t="s">
        <v>7</v>
      </c>
      <c r="G489" t="s">
        <v>8</v>
      </c>
      <c r="H489" t="s">
        <v>70</v>
      </c>
      <c r="I489" t="s">
        <v>77</v>
      </c>
      <c r="J489" t="s">
        <v>78</v>
      </c>
      <c r="K489" t="s">
        <v>73</v>
      </c>
      <c r="L489">
        <v>701000</v>
      </c>
      <c r="M489" t="s">
        <v>62</v>
      </c>
      <c r="N489" t="s">
        <v>33</v>
      </c>
      <c r="O489">
        <v>1369</v>
      </c>
      <c r="P489">
        <v>1.8</v>
      </c>
      <c r="Q489">
        <v>2.46</v>
      </c>
      <c r="R489" t="s">
        <v>1197</v>
      </c>
      <c r="S489" t="s">
        <v>195</v>
      </c>
    </row>
    <row r="490" spans="1:19" x14ac:dyDescent="0.3">
      <c r="A490" t="s">
        <v>503</v>
      </c>
      <c r="B490" t="s">
        <v>22</v>
      </c>
      <c r="C490">
        <v>2026</v>
      </c>
      <c r="D490">
        <v>1</v>
      </c>
      <c r="E490" s="2">
        <v>46041</v>
      </c>
      <c r="F490" t="s">
        <v>7</v>
      </c>
      <c r="G490" t="s">
        <v>8</v>
      </c>
      <c r="H490" t="s">
        <v>70</v>
      </c>
      <c r="I490" t="s">
        <v>77</v>
      </c>
      <c r="J490" t="s">
        <v>78</v>
      </c>
      <c r="K490" t="s">
        <v>73</v>
      </c>
      <c r="L490">
        <v>701000</v>
      </c>
      <c r="M490" t="s">
        <v>62</v>
      </c>
      <c r="N490" t="s">
        <v>33</v>
      </c>
      <c r="O490">
        <v>469</v>
      </c>
      <c r="P490">
        <v>1.79</v>
      </c>
      <c r="Q490">
        <v>0.84</v>
      </c>
      <c r="R490" t="s">
        <v>1202</v>
      </c>
      <c r="S490" t="s">
        <v>195</v>
      </c>
    </row>
    <row r="491" spans="1:19" x14ac:dyDescent="0.3">
      <c r="A491" t="s">
        <v>504</v>
      </c>
      <c r="B491" t="s">
        <v>22</v>
      </c>
      <c r="C491">
        <v>2026</v>
      </c>
      <c r="D491">
        <v>1</v>
      </c>
      <c r="E491" s="2">
        <v>46041</v>
      </c>
      <c r="F491" t="s">
        <v>7</v>
      </c>
      <c r="G491" t="s">
        <v>8</v>
      </c>
      <c r="H491" t="s">
        <v>70</v>
      </c>
      <c r="I491" t="s">
        <v>77</v>
      </c>
      <c r="J491" t="s">
        <v>78</v>
      </c>
      <c r="K491" t="s">
        <v>73</v>
      </c>
      <c r="L491">
        <v>701000</v>
      </c>
      <c r="M491" t="s">
        <v>62</v>
      </c>
      <c r="N491" t="s">
        <v>33</v>
      </c>
      <c r="O491">
        <v>599</v>
      </c>
      <c r="P491">
        <v>1.82</v>
      </c>
      <c r="Q491">
        <v>1.0900000000000001</v>
      </c>
      <c r="R491" t="s">
        <v>1201</v>
      </c>
      <c r="S491" t="s">
        <v>195</v>
      </c>
    </row>
    <row r="492" spans="1:19" x14ac:dyDescent="0.3">
      <c r="A492" t="s">
        <v>640</v>
      </c>
      <c r="B492" t="s">
        <v>22</v>
      </c>
      <c r="C492">
        <v>2026</v>
      </c>
      <c r="D492">
        <v>1</v>
      </c>
      <c r="E492" s="2">
        <v>46041</v>
      </c>
      <c r="F492" t="s">
        <v>7</v>
      </c>
      <c r="G492" t="s">
        <v>8</v>
      </c>
      <c r="H492" t="s">
        <v>70</v>
      </c>
      <c r="I492" t="s">
        <v>77</v>
      </c>
      <c r="J492" t="s">
        <v>78</v>
      </c>
      <c r="K492" t="s">
        <v>73</v>
      </c>
      <c r="L492">
        <v>701000</v>
      </c>
      <c r="M492" t="s">
        <v>62</v>
      </c>
      <c r="N492" t="s">
        <v>33</v>
      </c>
      <c r="O492">
        <v>1993</v>
      </c>
      <c r="P492">
        <v>1.8</v>
      </c>
      <c r="Q492">
        <v>3.59</v>
      </c>
      <c r="R492" t="s">
        <v>1204</v>
      </c>
      <c r="S492" t="s">
        <v>195</v>
      </c>
    </row>
    <row r="493" spans="1:19" x14ac:dyDescent="0.3">
      <c r="A493" t="s">
        <v>641</v>
      </c>
      <c r="B493" t="s">
        <v>22</v>
      </c>
      <c r="C493">
        <v>2026</v>
      </c>
      <c r="D493">
        <v>1</v>
      </c>
      <c r="E493" s="2">
        <v>46041</v>
      </c>
      <c r="F493" t="s">
        <v>7</v>
      </c>
      <c r="G493" t="s">
        <v>8</v>
      </c>
      <c r="H493" t="s">
        <v>70</v>
      </c>
      <c r="I493" t="s">
        <v>77</v>
      </c>
      <c r="J493" t="s">
        <v>78</v>
      </c>
      <c r="K493" t="s">
        <v>73</v>
      </c>
      <c r="L493">
        <v>701000</v>
      </c>
      <c r="M493" t="s">
        <v>62</v>
      </c>
      <c r="N493" t="s">
        <v>33</v>
      </c>
      <c r="O493">
        <v>1123</v>
      </c>
      <c r="P493">
        <v>1.8</v>
      </c>
      <c r="Q493">
        <v>2.02</v>
      </c>
      <c r="R493" t="s">
        <v>1200</v>
      </c>
      <c r="S493" t="s">
        <v>195</v>
      </c>
    </row>
    <row r="494" spans="1:19" x14ac:dyDescent="0.3">
      <c r="A494" t="s">
        <v>642</v>
      </c>
      <c r="B494" t="s">
        <v>22</v>
      </c>
      <c r="C494">
        <v>2026</v>
      </c>
      <c r="D494">
        <v>1</v>
      </c>
      <c r="E494" s="2">
        <v>46041</v>
      </c>
      <c r="F494" t="s">
        <v>7</v>
      </c>
      <c r="G494" t="s">
        <v>8</v>
      </c>
      <c r="H494" t="s">
        <v>70</v>
      </c>
      <c r="I494" t="s">
        <v>77</v>
      </c>
      <c r="J494" t="s">
        <v>78</v>
      </c>
      <c r="K494" t="s">
        <v>73</v>
      </c>
      <c r="L494">
        <v>701000</v>
      </c>
      <c r="M494" t="s">
        <v>62</v>
      </c>
      <c r="N494" t="s">
        <v>33</v>
      </c>
      <c r="O494">
        <v>691</v>
      </c>
      <c r="P494">
        <v>1.79</v>
      </c>
      <c r="Q494">
        <v>1.24</v>
      </c>
      <c r="R494" t="s">
        <v>1201</v>
      </c>
      <c r="S494" t="s">
        <v>195</v>
      </c>
    </row>
    <row r="495" spans="1:19" x14ac:dyDescent="0.3">
      <c r="A495" t="s">
        <v>643</v>
      </c>
      <c r="B495" t="s">
        <v>22</v>
      </c>
      <c r="C495">
        <v>2026</v>
      </c>
      <c r="D495">
        <v>1</v>
      </c>
      <c r="E495" s="2">
        <v>46041</v>
      </c>
      <c r="F495" t="s">
        <v>7</v>
      </c>
      <c r="G495" t="s">
        <v>8</v>
      </c>
      <c r="H495" t="s">
        <v>70</v>
      </c>
      <c r="I495" t="s">
        <v>77</v>
      </c>
      <c r="J495" t="s">
        <v>78</v>
      </c>
      <c r="K495" t="s">
        <v>73</v>
      </c>
      <c r="L495">
        <v>701000</v>
      </c>
      <c r="M495" t="s">
        <v>62</v>
      </c>
      <c r="N495" t="s">
        <v>33</v>
      </c>
      <c r="O495">
        <v>670</v>
      </c>
      <c r="P495">
        <v>1.81</v>
      </c>
      <c r="Q495">
        <v>1.21</v>
      </c>
      <c r="R495" t="s">
        <v>1203</v>
      </c>
      <c r="S495" t="s">
        <v>195</v>
      </c>
    </row>
    <row r="496" spans="1:19" x14ac:dyDescent="0.3">
      <c r="A496" t="s">
        <v>644</v>
      </c>
      <c r="B496" t="s">
        <v>22</v>
      </c>
      <c r="C496">
        <v>2026</v>
      </c>
      <c r="D496">
        <v>1</v>
      </c>
      <c r="E496" s="2">
        <v>46041</v>
      </c>
      <c r="F496" t="s">
        <v>7</v>
      </c>
      <c r="G496" t="s">
        <v>8</v>
      </c>
      <c r="H496" t="s">
        <v>70</v>
      </c>
      <c r="I496" t="s">
        <v>77</v>
      </c>
      <c r="J496" t="s">
        <v>78</v>
      </c>
      <c r="K496" t="s">
        <v>73</v>
      </c>
      <c r="L496">
        <v>701000</v>
      </c>
      <c r="M496" t="s">
        <v>62</v>
      </c>
      <c r="N496" t="s">
        <v>33</v>
      </c>
      <c r="O496">
        <v>87</v>
      </c>
      <c r="P496">
        <v>1.84</v>
      </c>
      <c r="Q496">
        <v>0.16</v>
      </c>
      <c r="R496" t="s">
        <v>1202</v>
      </c>
      <c r="S496" t="s">
        <v>195</v>
      </c>
    </row>
    <row r="497" spans="1:19" x14ac:dyDescent="0.3">
      <c r="A497" t="s">
        <v>845</v>
      </c>
      <c r="B497" t="s">
        <v>22</v>
      </c>
      <c r="C497">
        <v>2026</v>
      </c>
      <c r="D497">
        <v>1</v>
      </c>
      <c r="E497" s="2">
        <v>46041</v>
      </c>
      <c r="F497" t="s">
        <v>7</v>
      </c>
      <c r="G497" t="s">
        <v>8</v>
      </c>
      <c r="H497" t="s">
        <v>74</v>
      </c>
      <c r="I497" t="s">
        <v>82</v>
      </c>
      <c r="J497" t="s">
        <v>83</v>
      </c>
      <c r="K497" t="s">
        <v>73</v>
      </c>
      <c r="L497">
        <v>707000</v>
      </c>
      <c r="M497" t="s">
        <v>81</v>
      </c>
      <c r="N497" t="s">
        <v>33</v>
      </c>
      <c r="O497">
        <v>186</v>
      </c>
      <c r="P497">
        <v>18.489999999999998</v>
      </c>
      <c r="Q497">
        <v>3.44</v>
      </c>
      <c r="R497" t="s">
        <v>1203</v>
      </c>
      <c r="S497" t="s">
        <v>195</v>
      </c>
    </row>
    <row r="498" spans="1:19" x14ac:dyDescent="0.3">
      <c r="A498" t="s">
        <v>846</v>
      </c>
      <c r="B498" t="s">
        <v>22</v>
      </c>
      <c r="C498">
        <v>2026</v>
      </c>
      <c r="D498">
        <v>1</v>
      </c>
      <c r="E498" s="2">
        <v>46041</v>
      </c>
      <c r="F498" t="s">
        <v>7</v>
      </c>
      <c r="G498" t="s">
        <v>8</v>
      </c>
      <c r="H498" t="s">
        <v>74</v>
      </c>
      <c r="I498" t="s">
        <v>82</v>
      </c>
      <c r="J498" t="s">
        <v>83</v>
      </c>
      <c r="K498" t="s">
        <v>73</v>
      </c>
      <c r="L498">
        <v>707000</v>
      </c>
      <c r="M498" t="s">
        <v>81</v>
      </c>
      <c r="N498" t="s">
        <v>33</v>
      </c>
      <c r="O498">
        <v>87</v>
      </c>
      <c r="P498">
        <v>18.39</v>
      </c>
      <c r="Q498">
        <v>1.6</v>
      </c>
      <c r="R498" t="s">
        <v>1201</v>
      </c>
      <c r="S498" t="s">
        <v>195</v>
      </c>
    </row>
    <row r="499" spans="1:19" x14ac:dyDescent="0.3">
      <c r="A499" t="s">
        <v>847</v>
      </c>
      <c r="B499" t="s">
        <v>22</v>
      </c>
      <c r="C499">
        <v>2026</v>
      </c>
      <c r="D499">
        <v>1</v>
      </c>
      <c r="E499" s="2">
        <v>46041</v>
      </c>
      <c r="F499" t="s">
        <v>7</v>
      </c>
      <c r="G499" t="s">
        <v>8</v>
      </c>
      <c r="H499" t="s">
        <v>74</v>
      </c>
      <c r="I499" t="s">
        <v>82</v>
      </c>
      <c r="J499" t="s">
        <v>83</v>
      </c>
      <c r="K499" t="s">
        <v>73</v>
      </c>
      <c r="L499">
        <v>707000</v>
      </c>
      <c r="M499" t="s">
        <v>81</v>
      </c>
      <c r="N499" t="s">
        <v>33</v>
      </c>
      <c r="O499">
        <v>58</v>
      </c>
      <c r="P499">
        <v>18.45</v>
      </c>
      <c r="Q499">
        <v>1.07</v>
      </c>
      <c r="R499" t="s">
        <v>1198</v>
      </c>
      <c r="S499" t="s">
        <v>195</v>
      </c>
    </row>
    <row r="500" spans="1:19" x14ac:dyDescent="0.3">
      <c r="A500" t="s">
        <v>848</v>
      </c>
      <c r="B500" t="s">
        <v>22</v>
      </c>
      <c r="C500">
        <v>2026</v>
      </c>
      <c r="D500">
        <v>1</v>
      </c>
      <c r="E500" s="2">
        <v>46041</v>
      </c>
      <c r="F500" t="s">
        <v>7</v>
      </c>
      <c r="G500" t="s">
        <v>8</v>
      </c>
      <c r="H500" t="s">
        <v>74</v>
      </c>
      <c r="I500" t="s">
        <v>82</v>
      </c>
      <c r="J500" t="s">
        <v>83</v>
      </c>
      <c r="K500" t="s">
        <v>73</v>
      </c>
      <c r="L500">
        <v>707000</v>
      </c>
      <c r="M500" t="s">
        <v>81</v>
      </c>
      <c r="N500" t="s">
        <v>33</v>
      </c>
      <c r="O500">
        <v>129</v>
      </c>
      <c r="P500">
        <v>18.53</v>
      </c>
      <c r="Q500">
        <v>2.39</v>
      </c>
      <c r="R500" t="s">
        <v>1200</v>
      </c>
      <c r="S500" t="s">
        <v>195</v>
      </c>
    </row>
    <row r="501" spans="1:19" x14ac:dyDescent="0.3">
      <c r="A501" t="s">
        <v>849</v>
      </c>
      <c r="B501" t="s">
        <v>22</v>
      </c>
      <c r="C501">
        <v>2026</v>
      </c>
      <c r="D501">
        <v>1</v>
      </c>
      <c r="E501" s="2">
        <v>46041</v>
      </c>
      <c r="F501" t="s">
        <v>7</v>
      </c>
      <c r="G501" t="s">
        <v>8</v>
      </c>
      <c r="H501" t="s">
        <v>74</v>
      </c>
      <c r="I501" t="s">
        <v>82</v>
      </c>
      <c r="J501" t="s">
        <v>83</v>
      </c>
      <c r="K501" t="s">
        <v>73</v>
      </c>
      <c r="L501">
        <v>707000</v>
      </c>
      <c r="M501" t="s">
        <v>81</v>
      </c>
      <c r="N501" t="s">
        <v>33</v>
      </c>
      <c r="O501">
        <v>150</v>
      </c>
      <c r="P501">
        <v>18.53</v>
      </c>
      <c r="Q501">
        <v>2.78</v>
      </c>
      <c r="R501" t="s">
        <v>1205</v>
      </c>
      <c r="S501" t="s">
        <v>195</v>
      </c>
    </row>
    <row r="502" spans="1:19" x14ac:dyDescent="0.3">
      <c r="A502" t="s">
        <v>250</v>
      </c>
      <c r="B502" t="s">
        <v>22</v>
      </c>
      <c r="C502">
        <v>2026</v>
      </c>
      <c r="D502">
        <v>1</v>
      </c>
      <c r="E502" s="2">
        <v>46042</v>
      </c>
      <c r="F502" t="s">
        <v>7</v>
      </c>
      <c r="G502" t="s">
        <v>8</v>
      </c>
      <c r="H502" t="s">
        <v>74</v>
      </c>
      <c r="I502" t="s">
        <v>84</v>
      </c>
      <c r="J502" t="s">
        <v>85</v>
      </c>
      <c r="K502" t="s">
        <v>73</v>
      </c>
      <c r="L502">
        <v>701000</v>
      </c>
      <c r="M502" t="s">
        <v>62</v>
      </c>
      <c r="N502" t="s">
        <v>33</v>
      </c>
      <c r="O502">
        <v>3181</v>
      </c>
      <c r="P502">
        <v>0.95</v>
      </c>
      <c r="Q502">
        <v>3.02</v>
      </c>
      <c r="R502" t="s">
        <v>1202</v>
      </c>
      <c r="S502" t="s">
        <v>195</v>
      </c>
    </row>
    <row r="503" spans="1:19" x14ac:dyDescent="0.3">
      <c r="A503" t="s">
        <v>251</v>
      </c>
      <c r="B503" t="s">
        <v>22</v>
      </c>
      <c r="C503">
        <v>2026</v>
      </c>
      <c r="D503">
        <v>1</v>
      </c>
      <c r="E503" s="2">
        <v>46042</v>
      </c>
      <c r="F503" t="s">
        <v>7</v>
      </c>
      <c r="G503" t="s">
        <v>8</v>
      </c>
      <c r="H503" t="s">
        <v>74</v>
      </c>
      <c r="I503" t="s">
        <v>84</v>
      </c>
      <c r="J503" t="s">
        <v>85</v>
      </c>
      <c r="K503" t="s">
        <v>73</v>
      </c>
      <c r="L503">
        <v>701000</v>
      </c>
      <c r="M503" t="s">
        <v>62</v>
      </c>
      <c r="N503" t="s">
        <v>33</v>
      </c>
      <c r="O503">
        <v>1703</v>
      </c>
      <c r="P503">
        <v>0.95</v>
      </c>
      <c r="Q503">
        <v>1.62</v>
      </c>
      <c r="R503" t="s">
        <v>1200</v>
      </c>
      <c r="S503" t="s">
        <v>195</v>
      </c>
    </row>
    <row r="504" spans="1:19" x14ac:dyDescent="0.3">
      <c r="A504" t="s">
        <v>252</v>
      </c>
      <c r="B504" t="s">
        <v>22</v>
      </c>
      <c r="C504">
        <v>2026</v>
      </c>
      <c r="D504">
        <v>1</v>
      </c>
      <c r="E504" s="2">
        <v>46042</v>
      </c>
      <c r="F504" t="s">
        <v>7</v>
      </c>
      <c r="G504" t="s">
        <v>8</v>
      </c>
      <c r="H504" t="s">
        <v>74</v>
      </c>
      <c r="I504" t="s">
        <v>84</v>
      </c>
      <c r="J504" t="s">
        <v>85</v>
      </c>
      <c r="K504" t="s">
        <v>73</v>
      </c>
      <c r="L504">
        <v>701000</v>
      </c>
      <c r="M504" t="s">
        <v>62</v>
      </c>
      <c r="N504" t="s">
        <v>33</v>
      </c>
      <c r="O504">
        <v>6089</v>
      </c>
      <c r="P504">
        <v>0.95</v>
      </c>
      <c r="Q504">
        <v>5.79</v>
      </c>
      <c r="R504" t="s">
        <v>1197</v>
      </c>
      <c r="S504" t="s">
        <v>195</v>
      </c>
    </row>
    <row r="505" spans="1:19" x14ac:dyDescent="0.3">
      <c r="A505" t="s">
        <v>253</v>
      </c>
      <c r="B505" t="s">
        <v>22</v>
      </c>
      <c r="C505">
        <v>2026</v>
      </c>
      <c r="D505">
        <v>1</v>
      </c>
      <c r="E505" s="2">
        <v>46042</v>
      </c>
      <c r="F505" t="s">
        <v>7</v>
      </c>
      <c r="G505" t="s">
        <v>8</v>
      </c>
      <c r="H505" t="s">
        <v>74</v>
      </c>
      <c r="I505" t="s">
        <v>84</v>
      </c>
      <c r="J505" t="s">
        <v>85</v>
      </c>
      <c r="K505" t="s">
        <v>73</v>
      </c>
      <c r="L505">
        <v>701000</v>
      </c>
      <c r="M505" t="s">
        <v>62</v>
      </c>
      <c r="N505" t="s">
        <v>33</v>
      </c>
      <c r="O505">
        <v>3012</v>
      </c>
      <c r="P505">
        <v>0.95</v>
      </c>
      <c r="Q505">
        <v>2.86</v>
      </c>
      <c r="R505" t="s">
        <v>1201</v>
      </c>
      <c r="S505" t="s">
        <v>195</v>
      </c>
    </row>
    <row r="506" spans="1:19" x14ac:dyDescent="0.3">
      <c r="A506" t="s">
        <v>254</v>
      </c>
      <c r="B506" t="s">
        <v>22</v>
      </c>
      <c r="C506">
        <v>2026</v>
      </c>
      <c r="D506">
        <v>1</v>
      </c>
      <c r="E506" s="2">
        <v>46042</v>
      </c>
      <c r="F506" t="s">
        <v>7</v>
      </c>
      <c r="G506" t="s">
        <v>8</v>
      </c>
      <c r="H506" t="s">
        <v>74</v>
      </c>
      <c r="I506" t="s">
        <v>84</v>
      </c>
      <c r="J506" t="s">
        <v>85</v>
      </c>
      <c r="K506" t="s">
        <v>73</v>
      </c>
      <c r="L506">
        <v>701000</v>
      </c>
      <c r="M506" t="s">
        <v>62</v>
      </c>
      <c r="N506" t="s">
        <v>33</v>
      </c>
      <c r="O506">
        <v>2684</v>
      </c>
      <c r="P506">
        <v>0.95</v>
      </c>
      <c r="Q506">
        <v>2.5499999999999998</v>
      </c>
      <c r="R506" t="s">
        <v>1203</v>
      </c>
      <c r="S506" t="s">
        <v>195</v>
      </c>
    </row>
    <row r="507" spans="1:19" x14ac:dyDescent="0.3">
      <c r="A507" t="s">
        <v>470</v>
      </c>
      <c r="B507" t="s">
        <v>22</v>
      </c>
      <c r="C507">
        <v>2026</v>
      </c>
      <c r="D507">
        <v>1</v>
      </c>
      <c r="E507" s="2">
        <v>46042</v>
      </c>
      <c r="F507" t="s">
        <v>7</v>
      </c>
      <c r="G507" t="s">
        <v>8</v>
      </c>
      <c r="H507" t="s">
        <v>70</v>
      </c>
      <c r="I507" t="s">
        <v>75</v>
      </c>
      <c r="J507" t="s">
        <v>76</v>
      </c>
      <c r="K507" t="s">
        <v>73</v>
      </c>
      <c r="L507">
        <v>701000</v>
      </c>
      <c r="M507" t="s">
        <v>62</v>
      </c>
      <c r="N507" t="s">
        <v>33</v>
      </c>
      <c r="O507">
        <v>2188</v>
      </c>
      <c r="P507">
        <v>1.4</v>
      </c>
      <c r="Q507">
        <v>3.06</v>
      </c>
      <c r="R507" t="s">
        <v>1205</v>
      </c>
      <c r="S507" t="s">
        <v>195</v>
      </c>
    </row>
    <row r="508" spans="1:19" x14ac:dyDescent="0.3">
      <c r="A508" t="s">
        <v>471</v>
      </c>
      <c r="B508" t="s">
        <v>22</v>
      </c>
      <c r="C508">
        <v>2026</v>
      </c>
      <c r="D508">
        <v>1</v>
      </c>
      <c r="E508" s="2">
        <v>46042</v>
      </c>
      <c r="F508" t="s">
        <v>7</v>
      </c>
      <c r="G508" t="s">
        <v>8</v>
      </c>
      <c r="H508" t="s">
        <v>70</v>
      </c>
      <c r="I508" t="s">
        <v>75</v>
      </c>
      <c r="J508" t="s">
        <v>76</v>
      </c>
      <c r="K508" t="s">
        <v>73</v>
      </c>
      <c r="L508">
        <v>701000</v>
      </c>
      <c r="M508" t="s">
        <v>62</v>
      </c>
      <c r="N508" t="s">
        <v>33</v>
      </c>
      <c r="O508">
        <v>1732</v>
      </c>
      <c r="P508">
        <v>1.4</v>
      </c>
      <c r="Q508">
        <v>2.4300000000000002</v>
      </c>
      <c r="R508" t="s">
        <v>1203</v>
      </c>
      <c r="S508" t="s">
        <v>195</v>
      </c>
    </row>
    <row r="509" spans="1:19" x14ac:dyDescent="0.3">
      <c r="A509" t="s">
        <v>472</v>
      </c>
      <c r="B509" t="s">
        <v>22</v>
      </c>
      <c r="C509">
        <v>2026</v>
      </c>
      <c r="D509">
        <v>1</v>
      </c>
      <c r="E509" s="2">
        <v>46042</v>
      </c>
      <c r="F509" t="s">
        <v>7</v>
      </c>
      <c r="G509" t="s">
        <v>8</v>
      </c>
      <c r="H509" t="s">
        <v>70</v>
      </c>
      <c r="I509" t="s">
        <v>75</v>
      </c>
      <c r="J509" t="s">
        <v>76</v>
      </c>
      <c r="K509" t="s">
        <v>73</v>
      </c>
      <c r="L509">
        <v>701000</v>
      </c>
      <c r="M509" t="s">
        <v>62</v>
      </c>
      <c r="N509" t="s">
        <v>33</v>
      </c>
      <c r="O509">
        <v>1048</v>
      </c>
      <c r="P509">
        <v>1.4</v>
      </c>
      <c r="Q509">
        <v>1.47</v>
      </c>
      <c r="R509" t="s">
        <v>1200</v>
      </c>
      <c r="S509" t="s">
        <v>195</v>
      </c>
    </row>
    <row r="510" spans="1:19" x14ac:dyDescent="0.3">
      <c r="A510" t="s">
        <v>473</v>
      </c>
      <c r="B510" t="s">
        <v>22</v>
      </c>
      <c r="C510">
        <v>2026</v>
      </c>
      <c r="D510">
        <v>1</v>
      </c>
      <c r="E510" s="2">
        <v>46042</v>
      </c>
      <c r="F510" t="s">
        <v>7</v>
      </c>
      <c r="G510" t="s">
        <v>8</v>
      </c>
      <c r="H510" t="s">
        <v>70</v>
      </c>
      <c r="I510" t="s">
        <v>75</v>
      </c>
      <c r="J510" t="s">
        <v>76</v>
      </c>
      <c r="K510" t="s">
        <v>73</v>
      </c>
      <c r="L510">
        <v>701000</v>
      </c>
      <c r="M510" t="s">
        <v>62</v>
      </c>
      <c r="N510" t="s">
        <v>33</v>
      </c>
      <c r="O510">
        <v>1809</v>
      </c>
      <c r="P510">
        <v>1.4</v>
      </c>
      <c r="Q510">
        <v>2.5299999999999998</v>
      </c>
      <c r="R510" t="s">
        <v>1197</v>
      </c>
      <c r="S510" t="s">
        <v>195</v>
      </c>
    </row>
    <row r="511" spans="1:19" x14ac:dyDescent="0.3">
      <c r="A511" t="s">
        <v>474</v>
      </c>
      <c r="B511" t="s">
        <v>22</v>
      </c>
      <c r="C511">
        <v>2026</v>
      </c>
      <c r="D511">
        <v>1</v>
      </c>
      <c r="E511" s="2">
        <v>46042</v>
      </c>
      <c r="F511" t="s">
        <v>7</v>
      </c>
      <c r="G511" t="s">
        <v>8</v>
      </c>
      <c r="H511" t="s">
        <v>70</v>
      </c>
      <c r="I511" t="s">
        <v>75</v>
      </c>
      <c r="J511" t="s">
        <v>76</v>
      </c>
      <c r="K511" t="s">
        <v>73</v>
      </c>
      <c r="L511">
        <v>701000</v>
      </c>
      <c r="M511" t="s">
        <v>62</v>
      </c>
      <c r="N511" t="s">
        <v>33</v>
      </c>
      <c r="O511">
        <v>1163</v>
      </c>
      <c r="P511">
        <v>1.4</v>
      </c>
      <c r="Q511">
        <v>1.63</v>
      </c>
      <c r="R511" t="s">
        <v>1202</v>
      </c>
      <c r="S511" t="s">
        <v>195</v>
      </c>
    </row>
    <row r="512" spans="1:19" x14ac:dyDescent="0.3">
      <c r="A512" t="s">
        <v>680</v>
      </c>
      <c r="B512" t="s">
        <v>22</v>
      </c>
      <c r="C512">
        <v>2026</v>
      </c>
      <c r="D512">
        <v>1</v>
      </c>
      <c r="E512" s="2">
        <v>46042</v>
      </c>
      <c r="F512" t="s">
        <v>7</v>
      </c>
      <c r="G512" t="s">
        <v>8</v>
      </c>
      <c r="H512" t="s">
        <v>70</v>
      </c>
      <c r="I512" t="s">
        <v>79</v>
      </c>
      <c r="J512" t="s">
        <v>80</v>
      </c>
      <c r="K512" t="s">
        <v>73</v>
      </c>
      <c r="L512">
        <v>701000</v>
      </c>
      <c r="M512" t="s">
        <v>62</v>
      </c>
      <c r="N512" t="s">
        <v>33</v>
      </c>
      <c r="O512">
        <v>669</v>
      </c>
      <c r="P512">
        <v>2.6</v>
      </c>
      <c r="Q512">
        <v>1.74</v>
      </c>
      <c r="R512" t="s">
        <v>1202</v>
      </c>
      <c r="S512" t="s">
        <v>195</v>
      </c>
    </row>
    <row r="513" spans="1:19" x14ac:dyDescent="0.3">
      <c r="A513" t="s">
        <v>681</v>
      </c>
      <c r="B513" t="s">
        <v>22</v>
      </c>
      <c r="C513">
        <v>2026</v>
      </c>
      <c r="D513">
        <v>1</v>
      </c>
      <c r="E513" s="2">
        <v>46042</v>
      </c>
      <c r="F513" t="s">
        <v>7</v>
      </c>
      <c r="G513" t="s">
        <v>8</v>
      </c>
      <c r="H513" t="s">
        <v>70</v>
      </c>
      <c r="I513" t="s">
        <v>79</v>
      </c>
      <c r="J513" t="s">
        <v>80</v>
      </c>
      <c r="K513" t="s">
        <v>73</v>
      </c>
      <c r="L513">
        <v>701000</v>
      </c>
      <c r="M513" t="s">
        <v>62</v>
      </c>
      <c r="N513" t="s">
        <v>33</v>
      </c>
      <c r="O513">
        <v>939</v>
      </c>
      <c r="P513">
        <v>2.6</v>
      </c>
      <c r="Q513">
        <v>2.44</v>
      </c>
      <c r="R513" t="s">
        <v>1198</v>
      </c>
      <c r="S513" t="s">
        <v>195</v>
      </c>
    </row>
    <row r="514" spans="1:19" x14ac:dyDescent="0.3">
      <c r="A514" t="s">
        <v>682</v>
      </c>
      <c r="B514" t="s">
        <v>22</v>
      </c>
      <c r="C514">
        <v>2026</v>
      </c>
      <c r="D514">
        <v>1</v>
      </c>
      <c r="E514" s="2">
        <v>46042</v>
      </c>
      <c r="F514" t="s">
        <v>7</v>
      </c>
      <c r="G514" t="s">
        <v>8</v>
      </c>
      <c r="H514" t="s">
        <v>70</v>
      </c>
      <c r="I514" t="s">
        <v>79</v>
      </c>
      <c r="J514" t="s">
        <v>80</v>
      </c>
      <c r="K514" t="s">
        <v>73</v>
      </c>
      <c r="L514">
        <v>701000</v>
      </c>
      <c r="M514" t="s">
        <v>62</v>
      </c>
      <c r="N514" t="s">
        <v>33</v>
      </c>
      <c r="O514">
        <v>1527</v>
      </c>
      <c r="P514">
        <v>2.6</v>
      </c>
      <c r="Q514">
        <v>3.97</v>
      </c>
      <c r="R514" t="s">
        <v>1205</v>
      </c>
      <c r="S514" t="s">
        <v>195</v>
      </c>
    </row>
    <row r="515" spans="1:19" x14ac:dyDescent="0.3">
      <c r="A515" t="s">
        <v>683</v>
      </c>
      <c r="B515" t="s">
        <v>22</v>
      </c>
      <c r="C515">
        <v>2026</v>
      </c>
      <c r="D515">
        <v>1</v>
      </c>
      <c r="E515" s="2">
        <v>46042</v>
      </c>
      <c r="F515" t="s">
        <v>7</v>
      </c>
      <c r="G515" t="s">
        <v>8</v>
      </c>
      <c r="H515" t="s">
        <v>70</v>
      </c>
      <c r="I515" t="s">
        <v>79</v>
      </c>
      <c r="J515" t="s">
        <v>80</v>
      </c>
      <c r="K515" t="s">
        <v>73</v>
      </c>
      <c r="L515">
        <v>701000</v>
      </c>
      <c r="M515" t="s">
        <v>62</v>
      </c>
      <c r="N515" t="s">
        <v>33</v>
      </c>
      <c r="O515">
        <v>1479</v>
      </c>
      <c r="P515">
        <v>2.6</v>
      </c>
      <c r="Q515">
        <v>3.84</v>
      </c>
      <c r="R515" t="s">
        <v>1197</v>
      </c>
      <c r="S515" t="s">
        <v>195</v>
      </c>
    </row>
    <row r="516" spans="1:19" x14ac:dyDescent="0.3">
      <c r="A516" t="s">
        <v>684</v>
      </c>
      <c r="B516" t="s">
        <v>22</v>
      </c>
      <c r="C516">
        <v>2026</v>
      </c>
      <c r="D516">
        <v>1</v>
      </c>
      <c r="E516" s="2">
        <v>46042</v>
      </c>
      <c r="F516" t="s">
        <v>7</v>
      </c>
      <c r="G516" t="s">
        <v>8</v>
      </c>
      <c r="H516" t="s">
        <v>70</v>
      </c>
      <c r="I516" t="s">
        <v>79</v>
      </c>
      <c r="J516" t="s">
        <v>80</v>
      </c>
      <c r="K516" t="s">
        <v>73</v>
      </c>
      <c r="L516">
        <v>701000</v>
      </c>
      <c r="M516" t="s">
        <v>62</v>
      </c>
      <c r="N516" t="s">
        <v>33</v>
      </c>
      <c r="O516">
        <v>2586</v>
      </c>
      <c r="P516">
        <v>2.6</v>
      </c>
      <c r="Q516">
        <v>6.73</v>
      </c>
      <c r="R516" t="s">
        <v>1203</v>
      </c>
      <c r="S516" t="s">
        <v>195</v>
      </c>
    </row>
    <row r="517" spans="1:19" x14ac:dyDescent="0.3">
      <c r="A517" t="s">
        <v>240</v>
      </c>
      <c r="B517" t="s">
        <v>22</v>
      </c>
      <c r="C517">
        <v>2026</v>
      </c>
      <c r="D517">
        <v>1</v>
      </c>
      <c r="E517" s="2">
        <v>46043</v>
      </c>
      <c r="F517" t="s">
        <v>7</v>
      </c>
      <c r="G517" t="s">
        <v>8</v>
      </c>
      <c r="H517" t="s">
        <v>70</v>
      </c>
      <c r="I517" t="s">
        <v>84</v>
      </c>
      <c r="J517" t="s">
        <v>85</v>
      </c>
      <c r="K517" t="s">
        <v>73</v>
      </c>
      <c r="L517">
        <v>706000</v>
      </c>
      <c r="M517" t="s">
        <v>63</v>
      </c>
      <c r="N517" t="s">
        <v>33</v>
      </c>
      <c r="O517">
        <v>3718</v>
      </c>
      <c r="P517">
        <v>0.95</v>
      </c>
      <c r="Q517">
        <v>3.53</v>
      </c>
      <c r="R517" t="s">
        <v>1205</v>
      </c>
      <c r="S517" t="s">
        <v>195</v>
      </c>
    </row>
    <row r="518" spans="1:19" x14ac:dyDescent="0.3">
      <c r="A518" t="s">
        <v>241</v>
      </c>
      <c r="B518" t="s">
        <v>22</v>
      </c>
      <c r="C518">
        <v>2026</v>
      </c>
      <c r="D518">
        <v>1</v>
      </c>
      <c r="E518" s="2">
        <v>46043</v>
      </c>
      <c r="F518" t="s">
        <v>7</v>
      </c>
      <c r="G518" t="s">
        <v>8</v>
      </c>
      <c r="H518" t="s">
        <v>70</v>
      </c>
      <c r="I518" t="s">
        <v>84</v>
      </c>
      <c r="J518" t="s">
        <v>85</v>
      </c>
      <c r="K518" t="s">
        <v>73</v>
      </c>
      <c r="L518">
        <v>706000</v>
      </c>
      <c r="M518" t="s">
        <v>63</v>
      </c>
      <c r="N518" t="s">
        <v>33</v>
      </c>
      <c r="O518">
        <v>3771</v>
      </c>
      <c r="P518">
        <v>0.95</v>
      </c>
      <c r="Q518">
        <v>3.58</v>
      </c>
      <c r="R518" t="s">
        <v>1201</v>
      </c>
      <c r="S518" t="s">
        <v>195</v>
      </c>
    </row>
    <row r="519" spans="1:19" x14ac:dyDescent="0.3">
      <c r="A519" t="s">
        <v>242</v>
      </c>
      <c r="B519" t="s">
        <v>22</v>
      </c>
      <c r="C519">
        <v>2026</v>
      </c>
      <c r="D519">
        <v>1</v>
      </c>
      <c r="E519" s="2">
        <v>46043</v>
      </c>
      <c r="F519" t="s">
        <v>7</v>
      </c>
      <c r="G519" t="s">
        <v>8</v>
      </c>
      <c r="H519" t="s">
        <v>70</v>
      </c>
      <c r="I519" t="s">
        <v>84</v>
      </c>
      <c r="J519" t="s">
        <v>85</v>
      </c>
      <c r="K519" t="s">
        <v>73</v>
      </c>
      <c r="L519">
        <v>706000</v>
      </c>
      <c r="M519" t="s">
        <v>63</v>
      </c>
      <c r="N519" t="s">
        <v>33</v>
      </c>
      <c r="O519">
        <v>5064</v>
      </c>
      <c r="P519">
        <v>0.95</v>
      </c>
      <c r="Q519">
        <v>4.8099999999999996</v>
      </c>
      <c r="R519" t="s">
        <v>1199</v>
      </c>
      <c r="S519" t="s">
        <v>195</v>
      </c>
    </row>
    <row r="520" spans="1:19" x14ac:dyDescent="0.3">
      <c r="A520" t="s">
        <v>243</v>
      </c>
      <c r="B520" t="s">
        <v>22</v>
      </c>
      <c r="C520">
        <v>2026</v>
      </c>
      <c r="D520">
        <v>1</v>
      </c>
      <c r="E520" s="2">
        <v>46043</v>
      </c>
      <c r="F520" t="s">
        <v>7</v>
      </c>
      <c r="G520" t="s">
        <v>8</v>
      </c>
      <c r="H520" t="s">
        <v>70</v>
      </c>
      <c r="I520" t="s">
        <v>84</v>
      </c>
      <c r="J520" t="s">
        <v>85</v>
      </c>
      <c r="K520" t="s">
        <v>73</v>
      </c>
      <c r="L520">
        <v>706000</v>
      </c>
      <c r="M520" t="s">
        <v>63</v>
      </c>
      <c r="N520" t="s">
        <v>33</v>
      </c>
      <c r="O520">
        <v>3140</v>
      </c>
      <c r="P520">
        <v>0.95</v>
      </c>
      <c r="Q520">
        <v>2.98</v>
      </c>
      <c r="R520" t="s">
        <v>1202</v>
      </c>
      <c r="S520" t="s">
        <v>195</v>
      </c>
    </row>
    <row r="521" spans="1:19" x14ac:dyDescent="0.3">
      <c r="A521" t="s">
        <v>244</v>
      </c>
      <c r="B521" t="s">
        <v>22</v>
      </c>
      <c r="C521">
        <v>2026</v>
      </c>
      <c r="D521">
        <v>1</v>
      </c>
      <c r="E521" s="2">
        <v>46043</v>
      </c>
      <c r="F521" t="s">
        <v>7</v>
      </c>
      <c r="G521" t="s">
        <v>8</v>
      </c>
      <c r="H521" t="s">
        <v>70</v>
      </c>
      <c r="I521" t="s">
        <v>84</v>
      </c>
      <c r="J521" t="s">
        <v>85</v>
      </c>
      <c r="K521" t="s">
        <v>73</v>
      </c>
      <c r="L521">
        <v>706000</v>
      </c>
      <c r="M521" t="s">
        <v>63</v>
      </c>
      <c r="N521" t="s">
        <v>33</v>
      </c>
      <c r="O521">
        <v>4311</v>
      </c>
      <c r="P521">
        <v>0.95</v>
      </c>
      <c r="Q521">
        <v>4.0999999999999996</v>
      </c>
      <c r="R521" t="s">
        <v>1204</v>
      </c>
      <c r="S521" t="s">
        <v>195</v>
      </c>
    </row>
    <row r="522" spans="1:19" x14ac:dyDescent="0.3">
      <c r="A522" t="s">
        <v>390</v>
      </c>
      <c r="B522" t="s">
        <v>22</v>
      </c>
      <c r="C522">
        <v>2026</v>
      </c>
      <c r="D522">
        <v>1</v>
      </c>
      <c r="E522" s="2">
        <v>46043</v>
      </c>
      <c r="F522" t="s">
        <v>7</v>
      </c>
      <c r="G522" t="s">
        <v>8</v>
      </c>
      <c r="H522" t="s">
        <v>74</v>
      </c>
      <c r="I522" t="s">
        <v>75</v>
      </c>
      <c r="J522" t="s">
        <v>76</v>
      </c>
      <c r="K522" t="s">
        <v>73</v>
      </c>
      <c r="L522">
        <v>701000</v>
      </c>
      <c r="M522" t="s">
        <v>62</v>
      </c>
      <c r="N522" t="s">
        <v>33</v>
      </c>
      <c r="O522">
        <v>703</v>
      </c>
      <c r="P522">
        <v>1.39</v>
      </c>
      <c r="Q522">
        <v>0.98</v>
      </c>
      <c r="R522" t="s">
        <v>1198</v>
      </c>
      <c r="S522" t="s">
        <v>195</v>
      </c>
    </row>
    <row r="523" spans="1:19" x14ac:dyDescent="0.3">
      <c r="A523" t="s">
        <v>391</v>
      </c>
      <c r="B523" t="s">
        <v>22</v>
      </c>
      <c r="C523">
        <v>2026</v>
      </c>
      <c r="D523">
        <v>1</v>
      </c>
      <c r="E523" s="2">
        <v>46043</v>
      </c>
      <c r="F523" t="s">
        <v>7</v>
      </c>
      <c r="G523" t="s">
        <v>8</v>
      </c>
      <c r="H523" t="s">
        <v>74</v>
      </c>
      <c r="I523" t="s">
        <v>75</v>
      </c>
      <c r="J523" t="s">
        <v>76</v>
      </c>
      <c r="K523" t="s">
        <v>73</v>
      </c>
      <c r="L523">
        <v>701000</v>
      </c>
      <c r="M523" t="s">
        <v>62</v>
      </c>
      <c r="N523" t="s">
        <v>33</v>
      </c>
      <c r="O523">
        <v>1987</v>
      </c>
      <c r="P523">
        <v>1.4</v>
      </c>
      <c r="Q523">
        <v>2.78</v>
      </c>
      <c r="R523" t="s">
        <v>1201</v>
      </c>
      <c r="S523" t="s">
        <v>195</v>
      </c>
    </row>
    <row r="524" spans="1:19" x14ac:dyDescent="0.3">
      <c r="A524" t="s">
        <v>392</v>
      </c>
      <c r="B524" t="s">
        <v>22</v>
      </c>
      <c r="C524">
        <v>2026</v>
      </c>
      <c r="D524">
        <v>1</v>
      </c>
      <c r="E524" s="2">
        <v>46043</v>
      </c>
      <c r="F524" t="s">
        <v>7</v>
      </c>
      <c r="G524" t="s">
        <v>8</v>
      </c>
      <c r="H524" t="s">
        <v>74</v>
      </c>
      <c r="I524" t="s">
        <v>75</v>
      </c>
      <c r="J524" t="s">
        <v>76</v>
      </c>
      <c r="K524" t="s">
        <v>73</v>
      </c>
      <c r="L524">
        <v>701000</v>
      </c>
      <c r="M524" t="s">
        <v>62</v>
      </c>
      <c r="N524" t="s">
        <v>33</v>
      </c>
      <c r="O524">
        <v>2343</v>
      </c>
      <c r="P524">
        <v>1.4</v>
      </c>
      <c r="Q524">
        <v>3.28</v>
      </c>
      <c r="R524" t="s">
        <v>1205</v>
      </c>
      <c r="S524" t="s">
        <v>195</v>
      </c>
    </row>
    <row r="525" spans="1:19" x14ac:dyDescent="0.3">
      <c r="A525" t="s">
        <v>393</v>
      </c>
      <c r="B525" t="s">
        <v>22</v>
      </c>
      <c r="C525">
        <v>2026</v>
      </c>
      <c r="D525">
        <v>1</v>
      </c>
      <c r="E525" s="2">
        <v>46043</v>
      </c>
      <c r="F525" t="s">
        <v>7</v>
      </c>
      <c r="G525" t="s">
        <v>8</v>
      </c>
      <c r="H525" t="s">
        <v>74</v>
      </c>
      <c r="I525" t="s">
        <v>75</v>
      </c>
      <c r="J525" t="s">
        <v>76</v>
      </c>
      <c r="K525" t="s">
        <v>73</v>
      </c>
      <c r="L525">
        <v>701000</v>
      </c>
      <c r="M525" t="s">
        <v>62</v>
      </c>
      <c r="N525" t="s">
        <v>33</v>
      </c>
      <c r="O525">
        <v>2877</v>
      </c>
      <c r="P525">
        <v>1.4</v>
      </c>
      <c r="Q525">
        <v>4.03</v>
      </c>
      <c r="R525" t="s">
        <v>1204</v>
      </c>
      <c r="S525" t="s">
        <v>195</v>
      </c>
    </row>
    <row r="526" spans="1:19" x14ac:dyDescent="0.3">
      <c r="A526" t="s">
        <v>394</v>
      </c>
      <c r="B526" t="s">
        <v>22</v>
      </c>
      <c r="C526">
        <v>2026</v>
      </c>
      <c r="D526">
        <v>1</v>
      </c>
      <c r="E526" s="2">
        <v>46043</v>
      </c>
      <c r="F526" t="s">
        <v>7</v>
      </c>
      <c r="G526" t="s">
        <v>8</v>
      </c>
      <c r="H526" t="s">
        <v>74</v>
      </c>
      <c r="I526" t="s">
        <v>75</v>
      </c>
      <c r="J526" t="s">
        <v>76</v>
      </c>
      <c r="K526" t="s">
        <v>73</v>
      </c>
      <c r="L526">
        <v>701000</v>
      </c>
      <c r="M526" t="s">
        <v>62</v>
      </c>
      <c r="N526" t="s">
        <v>33</v>
      </c>
      <c r="O526">
        <v>1175</v>
      </c>
      <c r="P526">
        <v>1.4</v>
      </c>
      <c r="Q526">
        <v>1.65</v>
      </c>
      <c r="R526" t="s">
        <v>1197</v>
      </c>
      <c r="S526" t="s">
        <v>195</v>
      </c>
    </row>
    <row r="527" spans="1:19" x14ac:dyDescent="0.3">
      <c r="A527" t="s">
        <v>420</v>
      </c>
      <c r="B527" t="s">
        <v>22</v>
      </c>
      <c r="C527">
        <v>2026</v>
      </c>
      <c r="D527">
        <v>1</v>
      </c>
      <c r="E527" s="2">
        <v>46043</v>
      </c>
      <c r="F527" t="s">
        <v>7</v>
      </c>
      <c r="G527" t="s">
        <v>8</v>
      </c>
      <c r="H527" t="s">
        <v>70</v>
      </c>
      <c r="I527" t="s">
        <v>75</v>
      </c>
      <c r="J527" t="s">
        <v>76</v>
      </c>
      <c r="K527" t="s">
        <v>73</v>
      </c>
      <c r="L527">
        <v>701000</v>
      </c>
      <c r="M527" t="s">
        <v>62</v>
      </c>
      <c r="N527" t="s">
        <v>33</v>
      </c>
      <c r="O527">
        <v>454</v>
      </c>
      <c r="P527">
        <v>1.41</v>
      </c>
      <c r="Q527">
        <v>0.64</v>
      </c>
      <c r="R527" t="s">
        <v>1205</v>
      </c>
      <c r="S527" t="s">
        <v>195</v>
      </c>
    </row>
    <row r="528" spans="1:19" x14ac:dyDescent="0.3">
      <c r="A528" t="s">
        <v>421</v>
      </c>
      <c r="B528" t="s">
        <v>22</v>
      </c>
      <c r="C528">
        <v>2026</v>
      </c>
      <c r="D528">
        <v>1</v>
      </c>
      <c r="E528" s="2">
        <v>46043</v>
      </c>
      <c r="F528" t="s">
        <v>7</v>
      </c>
      <c r="G528" t="s">
        <v>8</v>
      </c>
      <c r="H528" t="s">
        <v>70</v>
      </c>
      <c r="I528" t="s">
        <v>75</v>
      </c>
      <c r="J528" t="s">
        <v>76</v>
      </c>
      <c r="K528" t="s">
        <v>73</v>
      </c>
      <c r="L528">
        <v>701000</v>
      </c>
      <c r="M528" t="s">
        <v>62</v>
      </c>
      <c r="N528" t="s">
        <v>33</v>
      </c>
      <c r="O528">
        <v>2815</v>
      </c>
      <c r="P528">
        <v>1.4</v>
      </c>
      <c r="Q528">
        <v>3.94</v>
      </c>
      <c r="R528" t="s">
        <v>1199</v>
      </c>
      <c r="S528" t="s">
        <v>195</v>
      </c>
    </row>
    <row r="529" spans="1:19" x14ac:dyDescent="0.3">
      <c r="A529" t="s">
        <v>422</v>
      </c>
      <c r="B529" t="s">
        <v>22</v>
      </c>
      <c r="C529">
        <v>2026</v>
      </c>
      <c r="D529">
        <v>1</v>
      </c>
      <c r="E529" s="2">
        <v>46043</v>
      </c>
      <c r="F529" t="s">
        <v>7</v>
      </c>
      <c r="G529" t="s">
        <v>8</v>
      </c>
      <c r="H529" t="s">
        <v>70</v>
      </c>
      <c r="I529" t="s">
        <v>75</v>
      </c>
      <c r="J529" t="s">
        <v>76</v>
      </c>
      <c r="K529" t="s">
        <v>73</v>
      </c>
      <c r="L529">
        <v>701000</v>
      </c>
      <c r="M529" t="s">
        <v>62</v>
      </c>
      <c r="N529" t="s">
        <v>33</v>
      </c>
      <c r="O529">
        <v>1137</v>
      </c>
      <c r="P529">
        <v>1.4</v>
      </c>
      <c r="Q529">
        <v>1.59</v>
      </c>
      <c r="R529" t="s">
        <v>1198</v>
      </c>
      <c r="S529" t="s">
        <v>195</v>
      </c>
    </row>
    <row r="530" spans="1:19" x14ac:dyDescent="0.3">
      <c r="A530" t="s">
        <v>423</v>
      </c>
      <c r="B530" t="s">
        <v>22</v>
      </c>
      <c r="C530">
        <v>2026</v>
      </c>
      <c r="D530">
        <v>1</v>
      </c>
      <c r="E530" s="2">
        <v>46043</v>
      </c>
      <c r="F530" t="s">
        <v>7</v>
      </c>
      <c r="G530" t="s">
        <v>8</v>
      </c>
      <c r="H530" t="s">
        <v>70</v>
      </c>
      <c r="I530" t="s">
        <v>75</v>
      </c>
      <c r="J530" t="s">
        <v>76</v>
      </c>
      <c r="K530" t="s">
        <v>73</v>
      </c>
      <c r="L530">
        <v>701000</v>
      </c>
      <c r="M530" t="s">
        <v>62</v>
      </c>
      <c r="N530" t="s">
        <v>33</v>
      </c>
      <c r="O530">
        <v>1660</v>
      </c>
      <c r="P530">
        <v>1.4</v>
      </c>
      <c r="Q530">
        <v>2.3199999999999998</v>
      </c>
      <c r="R530" t="s">
        <v>1202</v>
      </c>
      <c r="S530" t="s">
        <v>195</v>
      </c>
    </row>
    <row r="531" spans="1:19" x14ac:dyDescent="0.3">
      <c r="A531" t="s">
        <v>424</v>
      </c>
      <c r="B531" t="s">
        <v>22</v>
      </c>
      <c r="C531">
        <v>2026</v>
      </c>
      <c r="D531">
        <v>1</v>
      </c>
      <c r="E531" s="2">
        <v>46043</v>
      </c>
      <c r="F531" t="s">
        <v>7</v>
      </c>
      <c r="G531" t="s">
        <v>8</v>
      </c>
      <c r="H531" t="s">
        <v>70</v>
      </c>
      <c r="I531" t="s">
        <v>75</v>
      </c>
      <c r="J531" t="s">
        <v>76</v>
      </c>
      <c r="K531" t="s">
        <v>73</v>
      </c>
      <c r="L531">
        <v>701000</v>
      </c>
      <c r="M531" t="s">
        <v>62</v>
      </c>
      <c r="N531" t="s">
        <v>33</v>
      </c>
      <c r="O531">
        <v>1849</v>
      </c>
      <c r="P531">
        <v>1.4</v>
      </c>
      <c r="Q531">
        <v>2.59</v>
      </c>
      <c r="R531" t="s">
        <v>1204</v>
      </c>
      <c r="S531" t="s">
        <v>195</v>
      </c>
    </row>
    <row r="532" spans="1:19" x14ac:dyDescent="0.3">
      <c r="A532" t="s">
        <v>445</v>
      </c>
      <c r="B532" t="s">
        <v>22</v>
      </c>
      <c r="C532">
        <v>2026</v>
      </c>
      <c r="D532">
        <v>1</v>
      </c>
      <c r="E532" s="2">
        <v>46043</v>
      </c>
      <c r="F532" t="s">
        <v>7</v>
      </c>
      <c r="G532" t="s">
        <v>8</v>
      </c>
      <c r="H532" t="s">
        <v>70</v>
      </c>
      <c r="I532" t="s">
        <v>75</v>
      </c>
      <c r="J532" t="s">
        <v>76</v>
      </c>
      <c r="K532" t="s">
        <v>73</v>
      </c>
      <c r="L532">
        <v>701000</v>
      </c>
      <c r="M532" t="s">
        <v>62</v>
      </c>
      <c r="N532" t="s">
        <v>33</v>
      </c>
      <c r="O532">
        <v>1951</v>
      </c>
      <c r="P532">
        <v>1.4</v>
      </c>
      <c r="Q532">
        <v>2.73</v>
      </c>
      <c r="R532" t="s">
        <v>1197</v>
      </c>
      <c r="S532" t="s">
        <v>195</v>
      </c>
    </row>
    <row r="533" spans="1:19" x14ac:dyDescent="0.3">
      <c r="A533" t="s">
        <v>446</v>
      </c>
      <c r="B533" t="s">
        <v>22</v>
      </c>
      <c r="C533">
        <v>2026</v>
      </c>
      <c r="D533">
        <v>1</v>
      </c>
      <c r="E533" s="2">
        <v>46043</v>
      </c>
      <c r="F533" t="s">
        <v>7</v>
      </c>
      <c r="G533" t="s">
        <v>8</v>
      </c>
      <c r="H533" t="s">
        <v>70</v>
      </c>
      <c r="I533" t="s">
        <v>75</v>
      </c>
      <c r="J533" t="s">
        <v>76</v>
      </c>
      <c r="K533" t="s">
        <v>73</v>
      </c>
      <c r="L533">
        <v>701000</v>
      </c>
      <c r="M533" t="s">
        <v>62</v>
      </c>
      <c r="N533" t="s">
        <v>33</v>
      </c>
      <c r="O533">
        <v>1684</v>
      </c>
      <c r="P533">
        <v>1.4</v>
      </c>
      <c r="Q533">
        <v>2.36</v>
      </c>
      <c r="R533" t="s">
        <v>1204</v>
      </c>
      <c r="S533" t="s">
        <v>195</v>
      </c>
    </row>
    <row r="534" spans="1:19" x14ac:dyDescent="0.3">
      <c r="A534" t="s">
        <v>447</v>
      </c>
      <c r="B534" t="s">
        <v>22</v>
      </c>
      <c r="C534">
        <v>2026</v>
      </c>
      <c r="D534">
        <v>1</v>
      </c>
      <c r="E534" s="2">
        <v>46043</v>
      </c>
      <c r="F534" t="s">
        <v>7</v>
      </c>
      <c r="G534" t="s">
        <v>8</v>
      </c>
      <c r="H534" t="s">
        <v>70</v>
      </c>
      <c r="I534" t="s">
        <v>75</v>
      </c>
      <c r="J534" t="s">
        <v>76</v>
      </c>
      <c r="K534" t="s">
        <v>73</v>
      </c>
      <c r="L534">
        <v>701000</v>
      </c>
      <c r="M534" t="s">
        <v>62</v>
      </c>
      <c r="N534" t="s">
        <v>33</v>
      </c>
      <c r="O534">
        <v>1195</v>
      </c>
      <c r="P534">
        <v>1.4</v>
      </c>
      <c r="Q534">
        <v>1.67</v>
      </c>
      <c r="R534" t="s">
        <v>1199</v>
      </c>
      <c r="S534" t="s">
        <v>195</v>
      </c>
    </row>
    <row r="535" spans="1:19" x14ac:dyDescent="0.3">
      <c r="A535" t="s">
        <v>448</v>
      </c>
      <c r="B535" t="s">
        <v>22</v>
      </c>
      <c r="C535">
        <v>2026</v>
      </c>
      <c r="D535">
        <v>1</v>
      </c>
      <c r="E535" s="2">
        <v>46043</v>
      </c>
      <c r="F535" t="s">
        <v>7</v>
      </c>
      <c r="G535" t="s">
        <v>8</v>
      </c>
      <c r="H535" t="s">
        <v>70</v>
      </c>
      <c r="I535" t="s">
        <v>75</v>
      </c>
      <c r="J535" t="s">
        <v>76</v>
      </c>
      <c r="K535" t="s">
        <v>73</v>
      </c>
      <c r="L535">
        <v>701000</v>
      </c>
      <c r="M535" t="s">
        <v>62</v>
      </c>
      <c r="N535" t="s">
        <v>33</v>
      </c>
      <c r="O535">
        <v>2995</v>
      </c>
      <c r="P535">
        <v>1.4</v>
      </c>
      <c r="Q535">
        <v>4.1900000000000004</v>
      </c>
      <c r="R535" t="s">
        <v>1205</v>
      </c>
      <c r="S535" t="s">
        <v>195</v>
      </c>
    </row>
    <row r="536" spans="1:19" x14ac:dyDescent="0.3">
      <c r="A536" t="s">
        <v>449</v>
      </c>
      <c r="B536" t="s">
        <v>22</v>
      </c>
      <c r="C536">
        <v>2026</v>
      </c>
      <c r="D536">
        <v>1</v>
      </c>
      <c r="E536" s="2">
        <v>46043</v>
      </c>
      <c r="F536" t="s">
        <v>7</v>
      </c>
      <c r="G536" t="s">
        <v>8</v>
      </c>
      <c r="H536" t="s">
        <v>70</v>
      </c>
      <c r="I536" t="s">
        <v>75</v>
      </c>
      <c r="J536" t="s">
        <v>76</v>
      </c>
      <c r="K536" t="s">
        <v>73</v>
      </c>
      <c r="L536">
        <v>701000</v>
      </c>
      <c r="M536" t="s">
        <v>62</v>
      </c>
      <c r="N536" t="s">
        <v>33</v>
      </c>
      <c r="O536">
        <v>1556</v>
      </c>
      <c r="P536">
        <v>1.4</v>
      </c>
      <c r="Q536">
        <v>2.1800000000000002</v>
      </c>
      <c r="R536" t="s">
        <v>1203</v>
      </c>
      <c r="S536" t="s">
        <v>195</v>
      </c>
    </row>
    <row r="537" spans="1:19" x14ac:dyDescent="0.3">
      <c r="A537" t="s">
        <v>550</v>
      </c>
      <c r="B537" t="s">
        <v>22</v>
      </c>
      <c r="C537">
        <v>2026</v>
      </c>
      <c r="D537">
        <v>1</v>
      </c>
      <c r="E537" s="2">
        <v>46043</v>
      </c>
      <c r="F537" t="s">
        <v>7</v>
      </c>
      <c r="G537" t="s">
        <v>8</v>
      </c>
      <c r="H537" t="s">
        <v>74</v>
      </c>
      <c r="I537" t="s">
        <v>77</v>
      </c>
      <c r="J537" t="s">
        <v>78</v>
      </c>
      <c r="K537" t="s">
        <v>73</v>
      </c>
      <c r="L537">
        <v>707000</v>
      </c>
      <c r="M537" t="s">
        <v>81</v>
      </c>
      <c r="N537" t="s">
        <v>33</v>
      </c>
      <c r="O537">
        <v>1085</v>
      </c>
      <c r="P537">
        <v>1.8</v>
      </c>
      <c r="Q537">
        <v>1.95</v>
      </c>
      <c r="R537" t="s">
        <v>1202</v>
      </c>
      <c r="S537" t="s">
        <v>195</v>
      </c>
    </row>
    <row r="538" spans="1:19" x14ac:dyDescent="0.3">
      <c r="A538" t="s">
        <v>551</v>
      </c>
      <c r="B538" t="s">
        <v>22</v>
      </c>
      <c r="C538">
        <v>2026</v>
      </c>
      <c r="D538">
        <v>1</v>
      </c>
      <c r="E538" s="2">
        <v>46043</v>
      </c>
      <c r="F538" t="s">
        <v>7</v>
      </c>
      <c r="G538" t="s">
        <v>8</v>
      </c>
      <c r="H538" t="s">
        <v>74</v>
      </c>
      <c r="I538" t="s">
        <v>77</v>
      </c>
      <c r="J538" t="s">
        <v>78</v>
      </c>
      <c r="K538" t="s">
        <v>73</v>
      </c>
      <c r="L538">
        <v>707000</v>
      </c>
      <c r="M538" t="s">
        <v>81</v>
      </c>
      <c r="N538" t="s">
        <v>33</v>
      </c>
      <c r="O538">
        <v>1244</v>
      </c>
      <c r="P538">
        <v>1.8</v>
      </c>
      <c r="Q538">
        <v>2.2400000000000002</v>
      </c>
      <c r="R538" t="s">
        <v>1198</v>
      </c>
      <c r="S538" t="s">
        <v>195</v>
      </c>
    </row>
    <row r="539" spans="1:19" x14ac:dyDescent="0.3">
      <c r="A539" t="s">
        <v>552</v>
      </c>
      <c r="B539" t="s">
        <v>22</v>
      </c>
      <c r="C539">
        <v>2026</v>
      </c>
      <c r="D539">
        <v>1</v>
      </c>
      <c r="E539" s="2">
        <v>46043</v>
      </c>
      <c r="F539" t="s">
        <v>7</v>
      </c>
      <c r="G539" t="s">
        <v>8</v>
      </c>
      <c r="H539" t="s">
        <v>74</v>
      </c>
      <c r="I539" t="s">
        <v>77</v>
      </c>
      <c r="J539" t="s">
        <v>78</v>
      </c>
      <c r="K539" t="s">
        <v>73</v>
      </c>
      <c r="L539">
        <v>707000</v>
      </c>
      <c r="M539" t="s">
        <v>81</v>
      </c>
      <c r="N539" t="s">
        <v>33</v>
      </c>
      <c r="O539">
        <v>545</v>
      </c>
      <c r="P539">
        <v>1.8</v>
      </c>
      <c r="Q539">
        <v>0.98</v>
      </c>
      <c r="R539" t="s">
        <v>1201</v>
      </c>
      <c r="S539" t="s">
        <v>195</v>
      </c>
    </row>
    <row r="540" spans="1:19" x14ac:dyDescent="0.3">
      <c r="A540" t="s">
        <v>553</v>
      </c>
      <c r="B540" t="s">
        <v>22</v>
      </c>
      <c r="C540">
        <v>2026</v>
      </c>
      <c r="D540">
        <v>1</v>
      </c>
      <c r="E540" s="2">
        <v>46043</v>
      </c>
      <c r="F540" t="s">
        <v>7</v>
      </c>
      <c r="G540" t="s">
        <v>8</v>
      </c>
      <c r="H540" t="s">
        <v>74</v>
      </c>
      <c r="I540" t="s">
        <v>77</v>
      </c>
      <c r="J540" t="s">
        <v>78</v>
      </c>
      <c r="K540" t="s">
        <v>73</v>
      </c>
      <c r="L540">
        <v>707000</v>
      </c>
      <c r="M540" t="s">
        <v>81</v>
      </c>
      <c r="N540" t="s">
        <v>33</v>
      </c>
      <c r="O540">
        <v>553</v>
      </c>
      <c r="P540">
        <v>1.79</v>
      </c>
      <c r="Q540">
        <v>0.99</v>
      </c>
      <c r="R540" t="s">
        <v>1205</v>
      </c>
      <c r="S540" t="s">
        <v>195</v>
      </c>
    </row>
    <row r="541" spans="1:19" x14ac:dyDescent="0.3">
      <c r="A541" t="s">
        <v>554</v>
      </c>
      <c r="B541" t="s">
        <v>22</v>
      </c>
      <c r="C541">
        <v>2026</v>
      </c>
      <c r="D541">
        <v>1</v>
      </c>
      <c r="E541" s="2">
        <v>46043</v>
      </c>
      <c r="F541" t="s">
        <v>7</v>
      </c>
      <c r="G541" t="s">
        <v>8</v>
      </c>
      <c r="H541" t="s">
        <v>74</v>
      </c>
      <c r="I541" t="s">
        <v>77</v>
      </c>
      <c r="J541" t="s">
        <v>78</v>
      </c>
      <c r="K541" t="s">
        <v>73</v>
      </c>
      <c r="L541">
        <v>707000</v>
      </c>
      <c r="M541" t="s">
        <v>81</v>
      </c>
      <c r="N541" t="s">
        <v>33</v>
      </c>
      <c r="O541">
        <v>1319</v>
      </c>
      <c r="P541">
        <v>1.8</v>
      </c>
      <c r="Q541">
        <v>2.38</v>
      </c>
      <c r="R541" t="s">
        <v>1199</v>
      </c>
      <c r="S541" t="s">
        <v>195</v>
      </c>
    </row>
    <row r="542" spans="1:19" x14ac:dyDescent="0.3">
      <c r="A542" t="s">
        <v>570</v>
      </c>
      <c r="B542" t="s">
        <v>22</v>
      </c>
      <c r="C542">
        <v>2026</v>
      </c>
      <c r="D542">
        <v>1</v>
      </c>
      <c r="E542" s="2">
        <v>46043</v>
      </c>
      <c r="F542" t="s">
        <v>7</v>
      </c>
      <c r="G542" t="s">
        <v>8</v>
      </c>
      <c r="H542" t="s">
        <v>70</v>
      </c>
      <c r="I542" t="s">
        <v>77</v>
      </c>
      <c r="J542" t="s">
        <v>78</v>
      </c>
      <c r="K542" t="s">
        <v>73</v>
      </c>
      <c r="L542">
        <v>701000</v>
      </c>
      <c r="M542" t="s">
        <v>62</v>
      </c>
      <c r="N542" t="s">
        <v>33</v>
      </c>
      <c r="O542">
        <v>524</v>
      </c>
      <c r="P542">
        <v>1.79</v>
      </c>
      <c r="Q542">
        <v>0.94</v>
      </c>
      <c r="R542" t="s">
        <v>1202</v>
      </c>
      <c r="S542" t="s">
        <v>195</v>
      </c>
    </row>
    <row r="543" spans="1:19" x14ac:dyDescent="0.3">
      <c r="A543" t="s">
        <v>571</v>
      </c>
      <c r="B543" t="s">
        <v>22</v>
      </c>
      <c r="C543">
        <v>2026</v>
      </c>
      <c r="D543">
        <v>1</v>
      </c>
      <c r="E543" s="2">
        <v>46043</v>
      </c>
      <c r="F543" t="s">
        <v>7</v>
      </c>
      <c r="G543" t="s">
        <v>8</v>
      </c>
      <c r="H543" t="s">
        <v>70</v>
      </c>
      <c r="I543" t="s">
        <v>77</v>
      </c>
      <c r="J543" t="s">
        <v>78</v>
      </c>
      <c r="K543" t="s">
        <v>73</v>
      </c>
      <c r="L543">
        <v>701000</v>
      </c>
      <c r="M543" t="s">
        <v>62</v>
      </c>
      <c r="N543" t="s">
        <v>33</v>
      </c>
      <c r="O543">
        <v>597</v>
      </c>
      <c r="P543">
        <v>1.79</v>
      </c>
      <c r="Q543">
        <v>1.07</v>
      </c>
      <c r="R543" t="s">
        <v>1203</v>
      </c>
      <c r="S543" t="s">
        <v>195</v>
      </c>
    </row>
    <row r="544" spans="1:19" x14ac:dyDescent="0.3">
      <c r="A544" t="s">
        <v>572</v>
      </c>
      <c r="B544" t="s">
        <v>22</v>
      </c>
      <c r="C544">
        <v>2026</v>
      </c>
      <c r="D544">
        <v>1</v>
      </c>
      <c r="E544" s="2">
        <v>46043</v>
      </c>
      <c r="F544" t="s">
        <v>7</v>
      </c>
      <c r="G544" t="s">
        <v>8</v>
      </c>
      <c r="H544" t="s">
        <v>70</v>
      </c>
      <c r="I544" t="s">
        <v>77</v>
      </c>
      <c r="J544" t="s">
        <v>78</v>
      </c>
      <c r="K544" t="s">
        <v>73</v>
      </c>
      <c r="L544">
        <v>701000</v>
      </c>
      <c r="M544" t="s">
        <v>62</v>
      </c>
      <c r="N544" t="s">
        <v>33</v>
      </c>
      <c r="O544">
        <v>778</v>
      </c>
      <c r="P544">
        <v>1.8</v>
      </c>
      <c r="Q544">
        <v>1.4</v>
      </c>
      <c r="R544" t="s">
        <v>1197</v>
      </c>
      <c r="S544" t="s">
        <v>195</v>
      </c>
    </row>
    <row r="545" spans="1:19" x14ac:dyDescent="0.3">
      <c r="A545" t="s">
        <v>573</v>
      </c>
      <c r="B545" t="s">
        <v>22</v>
      </c>
      <c r="C545">
        <v>2026</v>
      </c>
      <c r="D545">
        <v>1</v>
      </c>
      <c r="E545" s="2">
        <v>46043</v>
      </c>
      <c r="F545" t="s">
        <v>7</v>
      </c>
      <c r="G545" t="s">
        <v>8</v>
      </c>
      <c r="H545" t="s">
        <v>70</v>
      </c>
      <c r="I545" t="s">
        <v>77</v>
      </c>
      <c r="J545" t="s">
        <v>78</v>
      </c>
      <c r="K545" t="s">
        <v>73</v>
      </c>
      <c r="L545">
        <v>701000</v>
      </c>
      <c r="M545" t="s">
        <v>62</v>
      </c>
      <c r="N545" t="s">
        <v>33</v>
      </c>
      <c r="O545">
        <v>1127</v>
      </c>
      <c r="P545">
        <v>1.8</v>
      </c>
      <c r="Q545">
        <v>2.0299999999999998</v>
      </c>
      <c r="R545" t="s">
        <v>1205</v>
      </c>
      <c r="S545" t="s">
        <v>195</v>
      </c>
    </row>
    <row r="546" spans="1:19" x14ac:dyDescent="0.3">
      <c r="A546" t="s">
        <v>574</v>
      </c>
      <c r="B546" t="s">
        <v>22</v>
      </c>
      <c r="C546">
        <v>2026</v>
      </c>
      <c r="D546">
        <v>1</v>
      </c>
      <c r="E546" s="2">
        <v>46043</v>
      </c>
      <c r="F546" t="s">
        <v>7</v>
      </c>
      <c r="G546" t="s">
        <v>8</v>
      </c>
      <c r="H546" t="s">
        <v>70</v>
      </c>
      <c r="I546" t="s">
        <v>77</v>
      </c>
      <c r="J546" t="s">
        <v>78</v>
      </c>
      <c r="K546" t="s">
        <v>73</v>
      </c>
      <c r="L546">
        <v>701000</v>
      </c>
      <c r="M546" t="s">
        <v>62</v>
      </c>
      <c r="N546" t="s">
        <v>33</v>
      </c>
      <c r="O546">
        <v>588</v>
      </c>
      <c r="P546">
        <v>1.82</v>
      </c>
      <c r="Q546">
        <v>1.07</v>
      </c>
      <c r="R546" t="s">
        <v>1204</v>
      </c>
      <c r="S546" t="s">
        <v>195</v>
      </c>
    </row>
    <row r="547" spans="1:19" x14ac:dyDescent="0.3">
      <c r="A547" t="s">
        <v>610</v>
      </c>
      <c r="B547" t="s">
        <v>22</v>
      </c>
      <c r="C547">
        <v>2026</v>
      </c>
      <c r="D547">
        <v>1</v>
      </c>
      <c r="E547" s="2">
        <v>46043</v>
      </c>
      <c r="F547" t="s">
        <v>7</v>
      </c>
      <c r="G547" t="s">
        <v>8</v>
      </c>
      <c r="H547" t="s">
        <v>70</v>
      </c>
      <c r="I547" t="s">
        <v>77</v>
      </c>
      <c r="J547" t="s">
        <v>78</v>
      </c>
      <c r="K547" t="s">
        <v>73</v>
      </c>
      <c r="L547">
        <v>701000</v>
      </c>
      <c r="M547" t="s">
        <v>62</v>
      </c>
      <c r="N547" t="s">
        <v>33</v>
      </c>
      <c r="O547">
        <v>149</v>
      </c>
      <c r="P547">
        <v>1.81</v>
      </c>
      <c r="Q547">
        <v>0.27</v>
      </c>
      <c r="R547" t="s">
        <v>1201</v>
      </c>
      <c r="S547" t="s">
        <v>195</v>
      </c>
    </row>
    <row r="548" spans="1:19" x14ac:dyDescent="0.3">
      <c r="A548" t="s">
        <v>611</v>
      </c>
      <c r="B548" t="s">
        <v>22</v>
      </c>
      <c r="C548">
        <v>2026</v>
      </c>
      <c r="D548">
        <v>1</v>
      </c>
      <c r="E548" s="2">
        <v>46043</v>
      </c>
      <c r="F548" t="s">
        <v>7</v>
      </c>
      <c r="G548" t="s">
        <v>8</v>
      </c>
      <c r="H548" t="s">
        <v>70</v>
      </c>
      <c r="I548" t="s">
        <v>77</v>
      </c>
      <c r="J548" t="s">
        <v>78</v>
      </c>
      <c r="K548" t="s">
        <v>73</v>
      </c>
      <c r="L548">
        <v>701000</v>
      </c>
      <c r="M548" t="s">
        <v>62</v>
      </c>
      <c r="N548" t="s">
        <v>33</v>
      </c>
      <c r="O548">
        <v>1083</v>
      </c>
      <c r="P548">
        <v>1.8</v>
      </c>
      <c r="Q548">
        <v>1.95</v>
      </c>
      <c r="R548" t="s">
        <v>1203</v>
      </c>
      <c r="S548" t="s">
        <v>195</v>
      </c>
    </row>
    <row r="549" spans="1:19" x14ac:dyDescent="0.3">
      <c r="A549" t="s">
        <v>612</v>
      </c>
      <c r="B549" t="s">
        <v>22</v>
      </c>
      <c r="C549">
        <v>2026</v>
      </c>
      <c r="D549">
        <v>1</v>
      </c>
      <c r="E549" s="2">
        <v>46043</v>
      </c>
      <c r="F549" t="s">
        <v>7</v>
      </c>
      <c r="G549" t="s">
        <v>8</v>
      </c>
      <c r="H549" t="s">
        <v>70</v>
      </c>
      <c r="I549" t="s">
        <v>77</v>
      </c>
      <c r="J549" t="s">
        <v>78</v>
      </c>
      <c r="K549" t="s">
        <v>73</v>
      </c>
      <c r="L549">
        <v>701000</v>
      </c>
      <c r="M549" t="s">
        <v>62</v>
      </c>
      <c r="N549" t="s">
        <v>33</v>
      </c>
      <c r="O549">
        <v>1059</v>
      </c>
      <c r="P549">
        <v>1.8</v>
      </c>
      <c r="Q549">
        <v>1.91</v>
      </c>
      <c r="R549" t="s">
        <v>1197</v>
      </c>
      <c r="S549" t="s">
        <v>195</v>
      </c>
    </row>
    <row r="550" spans="1:19" x14ac:dyDescent="0.3">
      <c r="A550" t="s">
        <v>613</v>
      </c>
      <c r="B550" t="s">
        <v>22</v>
      </c>
      <c r="C550">
        <v>2026</v>
      </c>
      <c r="D550">
        <v>1</v>
      </c>
      <c r="E550" s="2">
        <v>46043</v>
      </c>
      <c r="F550" t="s">
        <v>7</v>
      </c>
      <c r="G550" t="s">
        <v>8</v>
      </c>
      <c r="H550" t="s">
        <v>70</v>
      </c>
      <c r="I550" t="s">
        <v>77</v>
      </c>
      <c r="J550" t="s">
        <v>78</v>
      </c>
      <c r="K550" t="s">
        <v>73</v>
      </c>
      <c r="L550">
        <v>701000</v>
      </c>
      <c r="M550" t="s">
        <v>62</v>
      </c>
      <c r="N550" t="s">
        <v>33</v>
      </c>
      <c r="O550">
        <v>1026</v>
      </c>
      <c r="P550">
        <v>1.8</v>
      </c>
      <c r="Q550">
        <v>1.85</v>
      </c>
      <c r="R550" t="s">
        <v>1200</v>
      </c>
      <c r="S550" t="s">
        <v>195</v>
      </c>
    </row>
    <row r="551" spans="1:19" x14ac:dyDescent="0.3">
      <c r="A551" t="s">
        <v>614</v>
      </c>
      <c r="B551" t="s">
        <v>22</v>
      </c>
      <c r="C551">
        <v>2026</v>
      </c>
      <c r="D551">
        <v>1</v>
      </c>
      <c r="E551" s="2">
        <v>46043</v>
      </c>
      <c r="F551" t="s">
        <v>7</v>
      </c>
      <c r="G551" t="s">
        <v>8</v>
      </c>
      <c r="H551" t="s">
        <v>70</v>
      </c>
      <c r="I551" t="s">
        <v>77</v>
      </c>
      <c r="J551" t="s">
        <v>78</v>
      </c>
      <c r="K551" t="s">
        <v>73</v>
      </c>
      <c r="L551">
        <v>701000</v>
      </c>
      <c r="M551" t="s">
        <v>62</v>
      </c>
      <c r="N551" t="s">
        <v>33</v>
      </c>
      <c r="O551">
        <v>979</v>
      </c>
      <c r="P551">
        <v>1.79</v>
      </c>
      <c r="Q551">
        <v>1.75</v>
      </c>
      <c r="R551" t="s">
        <v>1205</v>
      </c>
      <c r="S551" t="s">
        <v>195</v>
      </c>
    </row>
    <row r="552" spans="1:19" x14ac:dyDescent="0.3">
      <c r="A552" t="s">
        <v>255</v>
      </c>
      <c r="B552" t="s">
        <v>22</v>
      </c>
      <c r="C552">
        <v>2026</v>
      </c>
      <c r="D552">
        <v>1</v>
      </c>
      <c r="E552" s="2">
        <v>46044</v>
      </c>
      <c r="F552" t="s">
        <v>7</v>
      </c>
      <c r="G552" t="s">
        <v>8</v>
      </c>
      <c r="H552" t="s">
        <v>74</v>
      </c>
      <c r="I552" t="s">
        <v>84</v>
      </c>
      <c r="J552" t="s">
        <v>85</v>
      </c>
      <c r="K552" t="s">
        <v>73</v>
      </c>
      <c r="L552">
        <v>701000</v>
      </c>
      <c r="M552" t="s">
        <v>62</v>
      </c>
      <c r="N552" t="s">
        <v>33</v>
      </c>
      <c r="O552">
        <v>4766</v>
      </c>
      <c r="P552">
        <v>0.95</v>
      </c>
      <c r="Q552">
        <v>4.53</v>
      </c>
      <c r="R552" t="s">
        <v>1202</v>
      </c>
      <c r="S552" t="s">
        <v>195</v>
      </c>
    </row>
    <row r="553" spans="1:19" x14ac:dyDescent="0.3">
      <c r="A553" t="s">
        <v>256</v>
      </c>
      <c r="B553" t="s">
        <v>22</v>
      </c>
      <c r="C553">
        <v>2026</v>
      </c>
      <c r="D553">
        <v>1</v>
      </c>
      <c r="E553" s="2">
        <v>46044</v>
      </c>
      <c r="F553" t="s">
        <v>7</v>
      </c>
      <c r="G553" t="s">
        <v>8</v>
      </c>
      <c r="H553" t="s">
        <v>74</v>
      </c>
      <c r="I553" t="s">
        <v>84</v>
      </c>
      <c r="J553" t="s">
        <v>85</v>
      </c>
      <c r="K553" t="s">
        <v>73</v>
      </c>
      <c r="L553">
        <v>701000</v>
      </c>
      <c r="M553" t="s">
        <v>62</v>
      </c>
      <c r="N553" t="s">
        <v>33</v>
      </c>
      <c r="O553">
        <v>4584</v>
      </c>
      <c r="P553">
        <v>0.95</v>
      </c>
      <c r="Q553">
        <v>4.3499999999999996</v>
      </c>
      <c r="R553" t="s">
        <v>1201</v>
      </c>
      <c r="S553" t="s">
        <v>195</v>
      </c>
    </row>
    <row r="554" spans="1:19" x14ac:dyDescent="0.3">
      <c r="A554" t="s">
        <v>257</v>
      </c>
      <c r="B554" t="s">
        <v>22</v>
      </c>
      <c r="C554">
        <v>2026</v>
      </c>
      <c r="D554">
        <v>1</v>
      </c>
      <c r="E554" s="2">
        <v>46044</v>
      </c>
      <c r="F554" t="s">
        <v>7</v>
      </c>
      <c r="G554" t="s">
        <v>8</v>
      </c>
      <c r="H554" t="s">
        <v>74</v>
      </c>
      <c r="I554" t="s">
        <v>84</v>
      </c>
      <c r="J554" t="s">
        <v>85</v>
      </c>
      <c r="K554" t="s">
        <v>73</v>
      </c>
      <c r="L554">
        <v>701000</v>
      </c>
      <c r="M554" t="s">
        <v>62</v>
      </c>
      <c r="N554" t="s">
        <v>33</v>
      </c>
      <c r="O554">
        <v>2329</v>
      </c>
      <c r="P554">
        <v>0.95</v>
      </c>
      <c r="Q554">
        <v>2.21</v>
      </c>
      <c r="R554" t="s">
        <v>1200</v>
      </c>
      <c r="S554" t="s">
        <v>195</v>
      </c>
    </row>
    <row r="555" spans="1:19" x14ac:dyDescent="0.3">
      <c r="A555" t="s">
        <v>258</v>
      </c>
      <c r="B555" t="s">
        <v>22</v>
      </c>
      <c r="C555">
        <v>2026</v>
      </c>
      <c r="D555">
        <v>1</v>
      </c>
      <c r="E555" s="2">
        <v>46044</v>
      </c>
      <c r="F555" t="s">
        <v>7</v>
      </c>
      <c r="G555" t="s">
        <v>8</v>
      </c>
      <c r="H555" t="s">
        <v>74</v>
      </c>
      <c r="I555" t="s">
        <v>84</v>
      </c>
      <c r="J555" t="s">
        <v>85</v>
      </c>
      <c r="K555" t="s">
        <v>73</v>
      </c>
      <c r="L555">
        <v>701000</v>
      </c>
      <c r="M555" t="s">
        <v>62</v>
      </c>
      <c r="N555" t="s">
        <v>33</v>
      </c>
      <c r="O555">
        <v>3964</v>
      </c>
      <c r="P555">
        <v>0.95</v>
      </c>
      <c r="Q555">
        <v>3.77</v>
      </c>
      <c r="R555" t="s">
        <v>1205</v>
      </c>
      <c r="S555" t="s">
        <v>195</v>
      </c>
    </row>
    <row r="556" spans="1:19" x14ac:dyDescent="0.3">
      <c r="A556" t="s">
        <v>259</v>
      </c>
      <c r="B556" t="s">
        <v>22</v>
      </c>
      <c r="C556">
        <v>2026</v>
      </c>
      <c r="D556">
        <v>1</v>
      </c>
      <c r="E556" s="2">
        <v>46044</v>
      </c>
      <c r="F556" t="s">
        <v>7</v>
      </c>
      <c r="G556" t="s">
        <v>8</v>
      </c>
      <c r="H556" t="s">
        <v>74</v>
      </c>
      <c r="I556" t="s">
        <v>84</v>
      </c>
      <c r="J556" t="s">
        <v>85</v>
      </c>
      <c r="K556" t="s">
        <v>73</v>
      </c>
      <c r="L556">
        <v>701000</v>
      </c>
      <c r="M556" t="s">
        <v>62</v>
      </c>
      <c r="N556" t="s">
        <v>33</v>
      </c>
      <c r="O556">
        <v>3965</v>
      </c>
      <c r="P556">
        <v>0.95</v>
      </c>
      <c r="Q556">
        <v>3.77</v>
      </c>
      <c r="R556" t="s">
        <v>1197</v>
      </c>
      <c r="S556" t="s">
        <v>195</v>
      </c>
    </row>
    <row r="557" spans="1:19" x14ac:dyDescent="0.3">
      <c r="A557" t="s">
        <v>520</v>
      </c>
      <c r="B557" t="s">
        <v>22</v>
      </c>
      <c r="C557">
        <v>2026</v>
      </c>
      <c r="D557">
        <v>1</v>
      </c>
      <c r="E557" s="2">
        <v>46044</v>
      </c>
      <c r="F557" t="s">
        <v>7</v>
      </c>
      <c r="G557" t="s">
        <v>8</v>
      </c>
      <c r="H557" t="s">
        <v>74</v>
      </c>
      <c r="I557" t="s">
        <v>77</v>
      </c>
      <c r="J557" t="s">
        <v>78</v>
      </c>
      <c r="K557" t="s">
        <v>73</v>
      </c>
      <c r="L557">
        <v>701000</v>
      </c>
      <c r="M557" t="s">
        <v>62</v>
      </c>
      <c r="N557" t="s">
        <v>33</v>
      </c>
      <c r="O557">
        <v>412</v>
      </c>
      <c r="P557">
        <v>1.8</v>
      </c>
      <c r="Q557">
        <v>0.74</v>
      </c>
      <c r="R557" t="s">
        <v>1202</v>
      </c>
      <c r="S557" t="s">
        <v>195</v>
      </c>
    </row>
    <row r="558" spans="1:19" x14ac:dyDescent="0.3">
      <c r="A558" t="s">
        <v>521</v>
      </c>
      <c r="B558" t="s">
        <v>22</v>
      </c>
      <c r="C558">
        <v>2026</v>
      </c>
      <c r="D558">
        <v>1</v>
      </c>
      <c r="E558" s="2">
        <v>46044</v>
      </c>
      <c r="F558" t="s">
        <v>7</v>
      </c>
      <c r="G558" t="s">
        <v>8</v>
      </c>
      <c r="H558" t="s">
        <v>74</v>
      </c>
      <c r="I558" t="s">
        <v>77</v>
      </c>
      <c r="J558" t="s">
        <v>78</v>
      </c>
      <c r="K558" t="s">
        <v>73</v>
      </c>
      <c r="L558">
        <v>701000</v>
      </c>
      <c r="M558" t="s">
        <v>62</v>
      </c>
      <c r="N558" t="s">
        <v>33</v>
      </c>
      <c r="O558">
        <v>1078</v>
      </c>
      <c r="P558">
        <v>1.8</v>
      </c>
      <c r="Q558">
        <v>1.94</v>
      </c>
      <c r="R558" t="s">
        <v>1201</v>
      </c>
      <c r="S558" t="s">
        <v>195</v>
      </c>
    </row>
    <row r="559" spans="1:19" x14ac:dyDescent="0.3">
      <c r="A559" t="s">
        <v>522</v>
      </c>
      <c r="B559" t="s">
        <v>22</v>
      </c>
      <c r="C559">
        <v>2026</v>
      </c>
      <c r="D559">
        <v>1</v>
      </c>
      <c r="E559" s="2">
        <v>46044</v>
      </c>
      <c r="F559" t="s">
        <v>7</v>
      </c>
      <c r="G559" t="s">
        <v>8</v>
      </c>
      <c r="H559" t="s">
        <v>74</v>
      </c>
      <c r="I559" t="s">
        <v>77</v>
      </c>
      <c r="J559" t="s">
        <v>78</v>
      </c>
      <c r="K559" t="s">
        <v>73</v>
      </c>
      <c r="L559">
        <v>701000</v>
      </c>
      <c r="M559" t="s">
        <v>62</v>
      </c>
      <c r="N559" t="s">
        <v>33</v>
      </c>
      <c r="O559">
        <v>605</v>
      </c>
      <c r="P559">
        <v>1.8</v>
      </c>
      <c r="Q559">
        <v>1.0900000000000001</v>
      </c>
      <c r="R559" t="s">
        <v>1205</v>
      </c>
      <c r="S559" t="s">
        <v>195</v>
      </c>
    </row>
    <row r="560" spans="1:19" x14ac:dyDescent="0.3">
      <c r="A560" t="s">
        <v>523</v>
      </c>
      <c r="B560" t="s">
        <v>22</v>
      </c>
      <c r="C560">
        <v>2026</v>
      </c>
      <c r="D560">
        <v>1</v>
      </c>
      <c r="E560" s="2">
        <v>46044</v>
      </c>
      <c r="F560" t="s">
        <v>7</v>
      </c>
      <c r="G560" t="s">
        <v>8</v>
      </c>
      <c r="H560" t="s">
        <v>74</v>
      </c>
      <c r="I560" t="s">
        <v>77</v>
      </c>
      <c r="J560" t="s">
        <v>78</v>
      </c>
      <c r="K560" t="s">
        <v>73</v>
      </c>
      <c r="L560">
        <v>701000</v>
      </c>
      <c r="M560" t="s">
        <v>62</v>
      </c>
      <c r="N560" t="s">
        <v>33</v>
      </c>
      <c r="O560">
        <v>1463</v>
      </c>
      <c r="P560">
        <v>1.8</v>
      </c>
      <c r="Q560">
        <v>2.63</v>
      </c>
      <c r="R560" t="s">
        <v>1198</v>
      </c>
      <c r="S560" t="s">
        <v>195</v>
      </c>
    </row>
    <row r="561" spans="1:19" x14ac:dyDescent="0.3">
      <c r="A561" t="s">
        <v>524</v>
      </c>
      <c r="B561" t="s">
        <v>22</v>
      </c>
      <c r="C561">
        <v>2026</v>
      </c>
      <c r="D561">
        <v>1</v>
      </c>
      <c r="E561" s="2">
        <v>46044</v>
      </c>
      <c r="F561" t="s">
        <v>7</v>
      </c>
      <c r="G561" t="s">
        <v>8</v>
      </c>
      <c r="H561" t="s">
        <v>74</v>
      </c>
      <c r="I561" t="s">
        <v>77</v>
      </c>
      <c r="J561" t="s">
        <v>78</v>
      </c>
      <c r="K561" t="s">
        <v>73</v>
      </c>
      <c r="L561">
        <v>701000</v>
      </c>
      <c r="M561" t="s">
        <v>62</v>
      </c>
      <c r="N561" t="s">
        <v>33</v>
      </c>
      <c r="O561">
        <v>447</v>
      </c>
      <c r="P561">
        <v>1.81</v>
      </c>
      <c r="Q561">
        <v>0.81</v>
      </c>
      <c r="R561" t="s">
        <v>1199</v>
      </c>
      <c r="S561" t="s">
        <v>195</v>
      </c>
    </row>
    <row r="562" spans="1:19" x14ac:dyDescent="0.3">
      <c r="A562" t="s">
        <v>565</v>
      </c>
      <c r="B562" t="s">
        <v>22</v>
      </c>
      <c r="C562">
        <v>2026</v>
      </c>
      <c r="D562">
        <v>1</v>
      </c>
      <c r="E562" s="2">
        <v>46044</v>
      </c>
      <c r="F562" t="s">
        <v>7</v>
      </c>
      <c r="G562" t="s">
        <v>8</v>
      </c>
      <c r="H562" t="s">
        <v>74</v>
      </c>
      <c r="I562" t="s">
        <v>77</v>
      </c>
      <c r="J562" t="s">
        <v>78</v>
      </c>
      <c r="K562" t="s">
        <v>73</v>
      </c>
      <c r="L562">
        <v>701000</v>
      </c>
      <c r="M562" t="s">
        <v>62</v>
      </c>
      <c r="N562" t="s">
        <v>33</v>
      </c>
      <c r="O562">
        <v>1126</v>
      </c>
      <c r="P562">
        <v>1.8</v>
      </c>
      <c r="Q562">
        <v>2.0299999999999998</v>
      </c>
      <c r="R562" t="s">
        <v>1197</v>
      </c>
      <c r="S562" t="s">
        <v>195</v>
      </c>
    </row>
    <row r="563" spans="1:19" x14ac:dyDescent="0.3">
      <c r="A563" t="s">
        <v>566</v>
      </c>
      <c r="B563" t="s">
        <v>22</v>
      </c>
      <c r="C563">
        <v>2026</v>
      </c>
      <c r="D563">
        <v>1</v>
      </c>
      <c r="E563" s="2">
        <v>46044</v>
      </c>
      <c r="F563" t="s">
        <v>7</v>
      </c>
      <c r="G563" t="s">
        <v>8</v>
      </c>
      <c r="H563" t="s">
        <v>74</v>
      </c>
      <c r="I563" t="s">
        <v>77</v>
      </c>
      <c r="J563" t="s">
        <v>78</v>
      </c>
      <c r="K563" t="s">
        <v>73</v>
      </c>
      <c r="L563">
        <v>701000</v>
      </c>
      <c r="M563" t="s">
        <v>62</v>
      </c>
      <c r="N563" t="s">
        <v>33</v>
      </c>
      <c r="O563">
        <v>639</v>
      </c>
      <c r="P563">
        <v>1.8</v>
      </c>
      <c r="Q563">
        <v>1.1499999999999999</v>
      </c>
      <c r="R563" t="s">
        <v>1202</v>
      </c>
      <c r="S563" t="s">
        <v>195</v>
      </c>
    </row>
    <row r="564" spans="1:19" x14ac:dyDescent="0.3">
      <c r="A564" t="s">
        <v>567</v>
      </c>
      <c r="B564" t="s">
        <v>22</v>
      </c>
      <c r="C564">
        <v>2026</v>
      </c>
      <c r="D564">
        <v>1</v>
      </c>
      <c r="E564" s="2">
        <v>46044</v>
      </c>
      <c r="F564" t="s">
        <v>7</v>
      </c>
      <c r="G564" t="s">
        <v>8</v>
      </c>
      <c r="H564" t="s">
        <v>74</v>
      </c>
      <c r="I564" t="s">
        <v>77</v>
      </c>
      <c r="J564" t="s">
        <v>78</v>
      </c>
      <c r="K564" t="s">
        <v>73</v>
      </c>
      <c r="L564">
        <v>701000</v>
      </c>
      <c r="M564" t="s">
        <v>62</v>
      </c>
      <c r="N564" t="s">
        <v>33</v>
      </c>
      <c r="O564">
        <v>807</v>
      </c>
      <c r="P564">
        <v>1.8</v>
      </c>
      <c r="Q564">
        <v>1.45</v>
      </c>
      <c r="R564" t="s">
        <v>1199</v>
      </c>
      <c r="S564" t="s">
        <v>195</v>
      </c>
    </row>
    <row r="565" spans="1:19" x14ac:dyDescent="0.3">
      <c r="A565" t="s">
        <v>568</v>
      </c>
      <c r="B565" t="s">
        <v>22</v>
      </c>
      <c r="C565">
        <v>2026</v>
      </c>
      <c r="D565">
        <v>1</v>
      </c>
      <c r="E565" s="2">
        <v>46044</v>
      </c>
      <c r="F565" t="s">
        <v>7</v>
      </c>
      <c r="G565" t="s">
        <v>8</v>
      </c>
      <c r="H565" t="s">
        <v>74</v>
      </c>
      <c r="I565" t="s">
        <v>77</v>
      </c>
      <c r="J565" t="s">
        <v>78</v>
      </c>
      <c r="K565" t="s">
        <v>73</v>
      </c>
      <c r="L565">
        <v>701000</v>
      </c>
      <c r="M565" t="s">
        <v>62</v>
      </c>
      <c r="N565" t="s">
        <v>33</v>
      </c>
      <c r="O565">
        <v>510</v>
      </c>
      <c r="P565">
        <v>1.8</v>
      </c>
      <c r="Q565">
        <v>0.92</v>
      </c>
      <c r="R565" t="s">
        <v>1205</v>
      </c>
      <c r="S565" t="s">
        <v>195</v>
      </c>
    </row>
    <row r="566" spans="1:19" x14ac:dyDescent="0.3">
      <c r="A566" t="s">
        <v>569</v>
      </c>
      <c r="B566" t="s">
        <v>22</v>
      </c>
      <c r="C566">
        <v>2026</v>
      </c>
      <c r="D566">
        <v>1</v>
      </c>
      <c r="E566" s="2">
        <v>46044</v>
      </c>
      <c r="F566" t="s">
        <v>7</v>
      </c>
      <c r="G566" t="s">
        <v>8</v>
      </c>
      <c r="H566" t="s">
        <v>74</v>
      </c>
      <c r="I566" t="s">
        <v>77</v>
      </c>
      <c r="J566" t="s">
        <v>78</v>
      </c>
      <c r="K566" t="s">
        <v>73</v>
      </c>
      <c r="L566">
        <v>701000</v>
      </c>
      <c r="M566" t="s">
        <v>62</v>
      </c>
      <c r="N566" t="s">
        <v>33</v>
      </c>
      <c r="O566">
        <v>932</v>
      </c>
      <c r="P566">
        <v>1.79</v>
      </c>
      <c r="Q566">
        <v>1.67</v>
      </c>
      <c r="R566" t="s">
        <v>1200</v>
      </c>
      <c r="S566" t="s">
        <v>195</v>
      </c>
    </row>
    <row r="567" spans="1:19" x14ac:dyDescent="0.3">
      <c r="A567" t="s">
        <v>645</v>
      </c>
      <c r="B567" t="s">
        <v>22</v>
      </c>
      <c r="C567">
        <v>2026</v>
      </c>
      <c r="D567">
        <v>1</v>
      </c>
      <c r="E567" s="2">
        <v>46044</v>
      </c>
      <c r="F567" t="s">
        <v>7</v>
      </c>
      <c r="G567" t="s">
        <v>8</v>
      </c>
      <c r="H567" t="s">
        <v>74</v>
      </c>
      <c r="I567" t="s">
        <v>77</v>
      </c>
      <c r="J567" t="s">
        <v>78</v>
      </c>
      <c r="K567" t="s">
        <v>73</v>
      </c>
      <c r="L567">
        <v>707000</v>
      </c>
      <c r="M567" t="s">
        <v>81</v>
      </c>
      <c r="N567" t="s">
        <v>33</v>
      </c>
      <c r="O567">
        <v>698</v>
      </c>
      <c r="P567">
        <v>1.81</v>
      </c>
      <c r="Q567">
        <v>1.26</v>
      </c>
      <c r="R567" t="s">
        <v>1204</v>
      </c>
      <c r="S567" t="s">
        <v>195</v>
      </c>
    </row>
    <row r="568" spans="1:19" x14ac:dyDescent="0.3">
      <c r="A568" t="s">
        <v>646</v>
      </c>
      <c r="B568" t="s">
        <v>22</v>
      </c>
      <c r="C568">
        <v>2026</v>
      </c>
      <c r="D568">
        <v>1</v>
      </c>
      <c r="E568" s="2">
        <v>46044</v>
      </c>
      <c r="F568" t="s">
        <v>7</v>
      </c>
      <c r="G568" t="s">
        <v>8</v>
      </c>
      <c r="H568" t="s">
        <v>74</v>
      </c>
      <c r="I568" t="s">
        <v>77</v>
      </c>
      <c r="J568" t="s">
        <v>78</v>
      </c>
      <c r="K568" t="s">
        <v>73</v>
      </c>
      <c r="L568">
        <v>707000</v>
      </c>
      <c r="M568" t="s">
        <v>81</v>
      </c>
      <c r="N568" t="s">
        <v>33</v>
      </c>
      <c r="O568">
        <v>344</v>
      </c>
      <c r="P568">
        <v>1.8</v>
      </c>
      <c r="Q568">
        <v>0.62</v>
      </c>
      <c r="R568" t="s">
        <v>1205</v>
      </c>
      <c r="S568" t="s">
        <v>195</v>
      </c>
    </row>
    <row r="569" spans="1:19" x14ac:dyDescent="0.3">
      <c r="A569" t="s">
        <v>647</v>
      </c>
      <c r="B569" t="s">
        <v>22</v>
      </c>
      <c r="C569">
        <v>2026</v>
      </c>
      <c r="D569">
        <v>1</v>
      </c>
      <c r="E569" s="2">
        <v>46044</v>
      </c>
      <c r="F569" t="s">
        <v>7</v>
      </c>
      <c r="G569" t="s">
        <v>8</v>
      </c>
      <c r="H569" t="s">
        <v>74</v>
      </c>
      <c r="I569" t="s">
        <v>77</v>
      </c>
      <c r="J569" t="s">
        <v>78</v>
      </c>
      <c r="K569" t="s">
        <v>73</v>
      </c>
      <c r="L569">
        <v>707000</v>
      </c>
      <c r="M569" t="s">
        <v>81</v>
      </c>
      <c r="N569" t="s">
        <v>33</v>
      </c>
      <c r="O569">
        <v>962</v>
      </c>
      <c r="P569">
        <v>1.8</v>
      </c>
      <c r="Q569">
        <v>1.73</v>
      </c>
      <c r="R569" t="s">
        <v>1203</v>
      </c>
      <c r="S569" t="s">
        <v>195</v>
      </c>
    </row>
    <row r="570" spans="1:19" x14ac:dyDescent="0.3">
      <c r="A570" t="s">
        <v>648</v>
      </c>
      <c r="B570" t="s">
        <v>22</v>
      </c>
      <c r="C570">
        <v>2026</v>
      </c>
      <c r="D570">
        <v>1</v>
      </c>
      <c r="E570" s="2">
        <v>46044</v>
      </c>
      <c r="F570" t="s">
        <v>7</v>
      </c>
      <c r="G570" t="s">
        <v>8</v>
      </c>
      <c r="H570" t="s">
        <v>74</v>
      </c>
      <c r="I570" t="s">
        <v>77</v>
      </c>
      <c r="J570" t="s">
        <v>78</v>
      </c>
      <c r="K570" t="s">
        <v>73</v>
      </c>
      <c r="L570">
        <v>707000</v>
      </c>
      <c r="M570" t="s">
        <v>81</v>
      </c>
      <c r="N570" t="s">
        <v>33</v>
      </c>
      <c r="O570">
        <v>1879</v>
      </c>
      <c r="P570">
        <v>1.8</v>
      </c>
      <c r="Q570">
        <v>3.38</v>
      </c>
      <c r="R570" t="s">
        <v>1198</v>
      </c>
      <c r="S570" t="s">
        <v>195</v>
      </c>
    </row>
    <row r="571" spans="1:19" x14ac:dyDescent="0.3">
      <c r="A571" t="s">
        <v>649</v>
      </c>
      <c r="B571" t="s">
        <v>22</v>
      </c>
      <c r="C571">
        <v>2026</v>
      </c>
      <c r="D571">
        <v>1</v>
      </c>
      <c r="E571" s="2">
        <v>46044</v>
      </c>
      <c r="F571" t="s">
        <v>7</v>
      </c>
      <c r="G571" t="s">
        <v>8</v>
      </c>
      <c r="H571" t="s">
        <v>74</v>
      </c>
      <c r="I571" t="s">
        <v>77</v>
      </c>
      <c r="J571" t="s">
        <v>78</v>
      </c>
      <c r="K571" t="s">
        <v>73</v>
      </c>
      <c r="L571">
        <v>707000</v>
      </c>
      <c r="M571" t="s">
        <v>81</v>
      </c>
      <c r="N571" t="s">
        <v>33</v>
      </c>
      <c r="O571">
        <v>872</v>
      </c>
      <c r="P571">
        <v>1.8</v>
      </c>
      <c r="Q571">
        <v>1.57</v>
      </c>
      <c r="R571" t="s">
        <v>1197</v>
      </c>
      <c r="S571" t="s">
        <v>195</v>
      </c>
    </row>
    <row r="572" spans="1:19" x14ac:dyDescent="0.3">
      <c r="A572" t="s">
        <v>750</v>
      </c>
      <c r="B572" t="s">
        <v>22</v>
      </c>
      <c r="C572">
        <v>2026</v>
      </c>
      <c r="D572">
        <v>1</v>
      </c>
      <c r="E572" s="2">
        <v>46044</v>
      </c>
      <c r="F572" t="s">
        <v>7</v>
      </c>
      <c r="G572" t="s">
        <v>8</v>
      </c>
      <c r="H572" t="s">
        <v>70</v>
      </c>
      <c r="I572" t="s">
        <v>82</v>
      </c>
      <c r="J572" t="s">
        <v>83</v>
      </c>
      <c r="K572" t="s">
        <v>73</v>
      </c>
      <c r="L572">
        <v>701000</v>
      </c>
      <c r="M572" t="s">
        <v>62</v>
      </c>
      <c r="N572" t="s">
        <v>33</v>
      </c>
      <c r="O572">
        <v>97</v>
      </c>
      <c r="P572">
        <v>18.559999999999999</v>
      </c>
      <c r="Q572">
        <v>1.8</v>
      </c>
      <c r="R572" t="s">
        <v>1202</v>
      </c>
      <c r="S572" t="s">
        <v>195</v>
      </c>
    </row>
    <row r="573" spans="1:19" x14ac:dyDescent="0.3">
      <c r="A573" t="s">
        <v>751</v>
      </c>
      <c r="B573" t="s">
        <v>22</v>
      </c>
      <c r="C573">
        <v>2026</v>
      </c>
      <c r="D573">
        <v>1</v>
      </c>
      <c r="E573" s="2">
        <v>46044</v>
      </c>
      <c r="F573" t="s">
        <v>7</v>
      </c>
      <c r="G573" t="s">
        <v>8</v>
      </c>
      <c r="H573" t="s">
        <v>70</v>
      </c>
      <c r="I573" t="s">
        <v>82</v>
      </c>
      <c r="J573" t="s">
        <v>83</v>
      </c>
      <c r="K573" t="s">
        <v>73</v>
      </c>
      <c r="L573">
        <v>701000</v>
      </c>
      <c r="M573" t="s">
        <v>62</v>
      </c>
      <c r="N573" t="s">
        <v>33</v>
      </c>
      <c r="O573">
        <v>58</v>
      </c>
      <c r="P573">
        <v>18.45</v>
      </c>
      <c r="Q573">
        <v>1.07</v>
      </c>
      <c r="R573" t="s">
        <v>1200</v>
      </c>
      <c r="S573" t="s">
        <v>195</v>
      </c>
    </row>
    <row r="574" spans="1:19" x14ac:dyDescent="0.3">
      <c r="A574" t="s">
        <v>752</v>
      </c>
      <c r="B574" t="s">
        <v>22</v>
      </c>
      <c r="C574">
        <v>2026</v>
      </c>
      <c r="D574">
        <v>1</v>
      </c>
      <c r="E574" s="2">
        <v>46044</v>
      </c>
      <c r="F574" t="s">
        <v>7</v>
      </c>
      <c r="G574" t="s">
        <v>8</v>
      </c>
      <c r="H574" t="s">
        <v>70</v>
      </c>
      <c r="I574" t="s">
        <v>82</v>
      </c>
      <c r="J574" t="s">
        <v>83</v>
      </c>
      <c r="K574" t="s">
        <v>73</v>
      </c>
      <c r="L574">
        <v>701000</v>
      </c>
      <c r="M574" t="s">
        <v>62</v>
      </c>
      <c r="N574" t="s">
        <v>33</v>
      </c>
      <c r="O574">
        <v>13</v>
      </c>
      <c r="P574">
        <v>18.46</v>
      </c>
      <c r="Q574">
        <v>0.24</v>
      </c>
      <c r="R574" t="s">
        <v>1205</v>
      </c>
      <c r="S574" t="s">
        <v>195</v>
      </c>
    </row>
    <row r="575" spans="1:19" x14ac:dyDescent="0.3">
      <c r="A575" t="s">
        <v>753</v>
      </c>
      <c r="B575" t="s">
        <v>22</v>
      </c>
      <c r="C575">
        <v>2026</v>
      </c>
      <c r="D575">
        <v>1</v>
      </c>
      <c r="E575" s="2">
        <v>46044</v>
      </c>
      <c r="F575" t="s">
        <v>7</v>
      </c>
      <c r="G575" t="s">
        <v>8</v>
      </c>
      <c r="H575" t="s">
        <v>70</v>
      </c>
      <c r="I575" t="s">
        <v>82</v>
      </c>
      <c r="J575" t="s">
        <v>83</v>
      </c>
      <c r="K575" t="s">
        <v>73</v>
      </c>
      <c r="L575">
        <v>701000</v>
      </c>
      <c r="M575" t="s">
        <v>62</v>
      </c>
      <c r="N575" t="s">
        <v>33</v>
      </c>
      <c r="O575">
        <v>85</v>
      </c>
      <c r="P575">
        <v>18.47</v>
      </c>
      <c r="Q575">
        <v>1.57</v>
      </c>
      <c r="R575" t="s">
        <v>1197</v>
      </c>
      <c r="S575" t="s">
        <v>195</v>
      </c>
    </row>
    <row r="576" spans="1:19" x14ac:dyDescent="0.3">
      <c r="A576" t="s">
        <v>754</v>
      </c>
      <c r="B576" t="s">
        <v>22</v>
      </c>
      <c r="C576">
        <v>2026</v>
      </c>
      <c r="D576">
        <v>1</v>
      </c>
      <c r="E576" s="2">
        <v>46044</v>
      </c>
      <c r="F576" t="s">
        <v>7</v>
      </c>
      <c r="G576" t="s">
        <v>8</v>
      </c>
      <c r="H576" t="s">
        <v>70</v>
      </c>
      <c r="I576" t="s">
        <v>82</v>
      </c>
      <c r="J576" t="s">
        <v>83</v>
      </c>
      <c r="K576" t="s">
        <v>73</v>
      </c>
      <c r="L576">
        <v>701000</v>
      </c>
      <c r="M576" t="s">
        <v>62</v>
      </c>
      <c r="N576" t="s">
        <v>33</v>
      </c>
      <c r="O576">
        <v>304</v>
      </c>
      <c r="P576">
        <v>18.52</v>
      </c>
      <c r="Q576">
        <v>5.63</v>
      </c>
      <c r="R576" t="s">
        <v>1203</v>
      </c>
      <c r="S576" t="s">
        <v>195</v>
      </c>
    </row>
    <row r="577" spans="1:19" x14ac:dyDescent="0.3">
      <c r="A577" t="s">
        <v>370</v>
      </c>
      <c r="B577" t="s">
        <v>22</v>
      </c>
      <c r="C577">
        <v>2026</v>
      </c>
      <c r="D577">
        <v>1</v>
      </c>
      <c r="E577" s="2">
        <v>46045</v>
      </c>
      <c r="F577" t="s">
        <v>7</v>
      </c>
      <c r="G577" t="s">
        <v>8</v>
      </c>
      <c r="H577" t="s">
        <v>70</v>
      </c>
      <c r="I577" t="s">
        <v>71</v>
      </c>
      <c r="J577" t="s">
        <v>72</v>
      </c>
      <c r="K577" t="s">
        <v>73</v>
      </c>
      <c r="L577">
        <v>701000</v>
      </c>
      <c r="M577" t="s">
        <v>62</v>
      </c>
      <c r="N577" t="s">
        <v>33</v>
      </c>
      <c r="O577">
        <v>3678</v>
      </c>
      <c r="P577">
        <v>1.05</v>
      </c>
      <c r="Q577">
        <v>3.86</v>
      </c>
      <c r="R577" t="s">
        <v>1201</v>
      </c>
      <c r="S577" t="s">
        <v>195</v>
      </c>
    </row>
    <row r="578" spans="1:19" x14ac:dyDescent="0.3">
      <c r="A578" t="s">
        <v>371</v>
      </c>
      <c r="B578" t="s">
        <v>22</v>
      </c>
      <c r="C578">
        <v>2026</v>
      </c>
      <c r="D578">
        <v>1</v>
      </c>
      <c r="E578" s="2">
        <v>46045</v>
      </c>
      <c r="F578" t="s">
        <v>7</v>
      </c>
      <c r="G578" t="s">
        <v>8</v>
      </c>
      <c r="H578" t="s">
        <v>70</v>
      </c>
      <c r="I578" t="s">
        <v>71</v>
      </c>
      <c r="J578" t="s">
        <v>72</v>
      </c>
      <c r="K578" t="s">
        <v>73</v>
      </c>
      <c r="L578">
        <v>701000</v>
      </c>
      <c r="M578" t="s">
        <v>62</v>
      </c>
      <c r="N578" t="s">
        <v>33</v>
      </c>
      <c r="O578">
        <v>3621</v>
      </c>
      <c r="P578">
        <v>1.05</v>
      </c>
      <c r="Q578">
        <v>3.8</v>
      </c>
      <c r="R578" t="s">
        <v>1205</v>
      </c>
      <c r="S578" t="s">
        <v>195</v>
      </c>
    </row>
    <row r="579" spans="1:19" x14ac:dyDescent="0.3">
      <c r="A579" t="s">
        <v>372</v>
      </c>
      <c r="B579" t="s">
        <v>22</v>
      </c>
      <c r="C579">
        <v>2026</v>
      </c>
      <c r="D579">
        <v>1</v>
      </c>
      <c r="E579" s="2">
        <v>46045</v>
      </c>
      <c r="F579" t="s">
        <v>7</v>
      </c>
      <c r="G579" t="s">
        <v>8</v>
      </c>
      <c r="H579" t="s">
        <v>70</v>
      </c>
      <c r="I579" t="s">
        <v>71</v>
      </c>
      <c r="J579" t="s">
        <v>72</v>
      </c>
      <c r="K579" t="s">
        <v>73</v>
      </c>
      <c r="L579">
        <v>701000</v>
      </c>
      <c r="M579" t="s">
        <v>62</v>
      </c>
      <c r="N579" t="s">
        <v>33</v>
      </c>
      <c r="O579">
        <v>5768</v>
      </c>
      <c r="P579">
        <v>1.05</v>
      </c>
      <c r="Q579">
        <v>6.06</v>
      </c>
      <c r="R579" t="s">
        <v>1199</v>
      </c>
      <c r="S579" t="s">
        <v>195</v>
      </c>
    </row>
    <row r="580" spans="1:19" x14ac:dyDescent="0.3">
      <c r="A580" t="s">
        <v>373</v>
      </c>
      <c r="B580" t="s">
        <v>22</v>
      </c>
      <c r="C580">
        <v>2026</v>
      </c>
      <c r="D580">
        <v>1</v>
      </c>
      <c r="E580" s="2">
        <v>46045</v>
      </c>
      <c r="F580" t="s">
        <v>7</v>
      </c>
      <c r="G580" t="s">
        <v>8</v>
      </c>
      <c r="H580" t="s">
        <v>70</v>
      </c>
      <c r="I580" t="s">
        <v>71</v>
      </c>
      <c r="J580" t="s">
        <v>72</v>
      </c>
      <c r="K580" t="s">
        <v>73</v>
      </c>
      <c r="L580">
        <v>701000</v>
      </c>
      <c r="M580" t="s">
        <v>62</v>
      </c>
      <c r="N580" t="s">
        <v>33</v>
      </c>
      <c r="O580">
        <v>3406</v>
      </c>
      <c r="P580">
        <v>1.05</v>
      </c>
      <c r="Q580">
        <v>3.58</v>
      </c>
      <c r="R580" t="s">
        <v>1204</v>
      </c>
      <c r="S580" t="s">
        <v>195</v>
      </c>
    </row>
    <row r="581" spans="1:19" x14ac:dyDescent="0.3">
      <c r="A581" t="s">
        <v>374</v>
      </c>
      <c r="B581" t="s">
        <v>22</v>
      </c>
      <c r="C581">
        <v>2026</v>
      </c>
      <c r="D581">
        <v>1</v>
      </c>
      <c r="E581" s="2">
        <v>46045</v>
      </c>
      <c r="F581" t="s">
        <v>7</v>
      </c>
      <c r="G581" t="s">
        <v>8</v>
      </c>
      <c r="H581" t="s">
        <v>70</v>
      </c>
      <c r="I581" t="s">
        <v>71</v>
      </c>
      <c r="J581" t="s">
        <v>72</v>
      </c>
      <c r="K581" t="s">
        <v>73</v>
      </c>
      <c r="L581">
        <v>701000</v>
      </c>
      <c r="M581" t="s">
        <v>62</v>
      </c>
      <c r="N581" t="s">
        <v>33</v>
      </c>
      <c r="O581">
        <v>1109</v>
      </c>
      <c r="P581">
        <v>1.05</v>
      </c>
      <c r="Q581">
        <v>1.1599999999999999</v>
      </c>
      <c r="R581" t="s">
        <v>1202</v>
      </c>
      <c r="S581" t="s">
        <v>195</v>
      </c>
    </row>
    <row r="582" spans="1:19" x14ac:dyDescent="0.3">
      <c r="A582" t="s">
        <v>505</v>
      </c>
      <c r="B582" t="s">
        <v>22</v>
      </c>
      <c r="C582">
        <v>2026</v>
      </c>
      <c r="D582">
        <v>1</v>
      </c>
      <c r="E582" s="2">
        <v>46045</v>
      </c>
      <c r="F582" t="s">
        <v>7</v>
      </c>
      <c r="G582" t="s">
        <v>8</v>
      </c>
      <c r="H582" t="s">
        <v>74</v>
      </c>
      <c r="I582" t="s">
        <v>77</v>
      </c>
      <c r="J582" t="s">
        <v>78</v>
      </c>
      <c r="K582" t="s">
        <v>73</v>
      </c>
      <c r="L582">
        <v>701000</v>
      </c>
      <c r="M582" t="s">
        <v>62</v>
      </c>
      <c r="N582" t="s">
        <v>33</v>
      </c>
      <c r="O582">
        <v>731</v>
      </c>
      <c r="P582">
        <v>1.81</v>
      </c>
      <c r="Q582">
        <v>1.32</v>
      </c>
      <c r="R582" t="s">
        <v>1198</v>
      </c>
      <c r="S582" t="s">
        <v>195</v>
      </c>
    </row>
    <row r="583" spans="1:19" x14ac:dyDescent="0.3">
      <c r="A583" t="s">
        <v>506</v>
      </c>
      <c r="B583" t="s">
        <v>22</v>
      </c>
      <c r="C583">
        <v>2026</v>
      </c>
      <c r="D583">
        <v>1</v>
      </c>
      <c r="E583" s="2">
        <v>46045</v>
      </c>
      <c r="F583" t="s">
        <v>7</v>
      </c>
      <c r="G583" t="s">
        <v>8</v>
      </c>
      <c r="H583" t="s">
        <v>74</v>
      </c>
      <c r="I583" t="s">
        <v>77</v>
      </c>
      <c r="J583" t="s">
        <v>78</v>
      </c>
      <c r="K583" t="s">
        <v>73</v>
      </c>
      <c r="L583">
        <v>701000</v>
      </c>
      <c r="M583" t="s">
        <v>62</v>
      </c>
      <c r="N583" t="s">
        <v>33</v>
      </c>
      <c r="O583">
        <v>1222</v>
      </c>
      <c r="P583">
        <v>1.8</v>
      </c>
      <c r="Q583">
        <v>2.2000000000000002</v>
      </c>
      <c r="R583" t="s">
        <v>1199</v>
      </c>
      <c r="S583" t="s">
        <v>195</v>
      </c>
    </row>
    <row r="584" spans="1:19" x14ac:dyDescent="0.3">
      <c r="A584" t="s">
        <v>507</v>
      </c>
      <c r="B584" t="s">
        <v>22</v>
      </c>
      <c r="C584">
        <v>2026</v>
      </c>
      <c r="D584">
        <v>1</v>
      </c>
      <c r="E584" s="2">
        <v>46045</v>
      </c>
      <c r="F584" t="s">
        <v>7</v>
      </c>
      <c r="G584" t="s">
        <v>8</v>
      </c>
      <c r="H584" t="s">
        <v>74</v>
      </c>
      <c r="I584" t="s">
        <v>77</v>
      </c>
      <c r="J584" t="s">
        <v>78</v>
      </c>
      <c r="K584" t="s">
        <v>73</v>
      </c>
      <c r="L584">
        <v>701000</v>
      </c>
      <c r="M584" t="s">
        <v>62</v>
      </c>
      <c r="N584" t="s">
        <v>33</v>
      </c>
      <c r="O584">
        <v>1119</v>
      </c>
      <c r="P584">
        <v>1.81</v>
      </c>
      <c r="Q584">
        <v>2.02</v>
      </c>
      <c r="R584" t="s">
        <v>1201</v>
      </c>
      <c r="S584" t="s">
        <v>195</v>
      </c>
    </row>
    <row r="585" spans="1:19" x14ac:dyDescent="0.3">
      <c r="A585" t="s">
        <v>508</v>
      </c>
      <c r="B585" t="s">
        <v>22</v>
      </c>
      <c r="C585">
        <v>2026</v>
      </c>
      <c r="D585">
        <v>1</v>
      </c>
      <c r="E585" s="2">
        <v>46045</v>
      </c>
      <c r="F585" t="s">
        <v>7</v>
      </c>
      <c r="G585" t="s">
        <v>8</v>
      </c>
      <c r="H585" t="s">
        <v>74</v>
      </c>
      <c r="I585" t="s">
        <v>77</v>
      </c>
      <c r="J585" t="s">
        <v>78</v>
      </c>
      <c r="K585" t="s">
        <v>73</v>
      </c>
      <c r="L585">
        <v>701000</v>
      </c>
      <c r="M585" t="s">
        <v>62</v>
      </c>
      <c r="N585" t="s">
        <v>33</v>
      </c>
      <c r="O585">
        <v>192</v>
      </c>
      <c r="P585">
        <v>1.82</v>
      </c>
      <c r="Q585">
        <v>0.35</v>
      </c>
      <c r="R585" t="s">
        <v>1197</v>
      </c>
      <c r="S585" t="s">
        <v>195</v>
      </c>
    </row>
    <row r="586" spans="1:19" x14ac:dyDescent="0.3">
      <c r="A586" t="s">
        <v>509</v>
      </c>
      <c r="B586" t="s">
        <v>22</v>
      </c>
      <c r="C586">
        <v>2026</v>
      </c>
      <c r="D586">
        <v>1</v>
      </c>
      <c r="E586" s="2">
        <v>46045</v>
      </c>
      <c r="F586" t="s">
        <v>7</v>
      </c>
      <c r="G586" t="s">
        <v>8</v>
      </c>
      <c r="H586" t="s">
        <v>74</v>
      </c>
      <c r="I586" t="s">
        <v>77</v>
      </c>
      <c r="J586" t="s">
        <v>78</v>
      </c>
      <c r="K586" t="s">
        <v>73</v>
      </c>
      <c r="L586">
        <v>701000</v>
      </c>
      <c r="M586" t="s">
        <v>62</v>
      </c>
      <c r="N586" t="s">
        <v>33</v>
      </c>
      <c r="O586">
        <v>1383</v>
      </c>
      <c r="P586">
        <v>1.79</v>
      </c>
      <c r="Q586">
        <v>2.48</v>
      </c>
      <c r="R586" t="s">
        <v>1204</v>
      </c>
      <c r="S586" t="s">
        <v>195</v>
      </c>
    </row>
    <row r="587" spans="1:19" x14ac:dyDescent="0.3">
      <c r="A587" t="s">
        <v>765</v>
      </c>
      <c r="B587" t="s">
        <v>22</v>
      </c>
      <c r="C587">
        <v>2026</v>
      </c>
      <c r="D587">
        <v>1</v>
      </c>
      <c r="E587" s="2">
        <v>46045</v>
      </c>
      <c r="F587" t="s">
        <v>7</v>
      </c>
      <c r="G587" t="s">
        <v>8</v>
      </c>
      <c r="H587" t="s">
        <v>70</v>
      </c>
      <c r="I587" t="s">
        <v>82</v>
      </c>
      <c r="J587" t="s">
        <v>83</v>
      </c>
      <c r="K587" t="s">
        <v>73</v>
      </c>
      <c r="L587">
        <v>701000</v>
      </c>
      <c r="M587" t="s">
        <v>62</v>
      </c>
      <c r="N587" t="s">
        <v>33</v>
      </c>
      <c r="O587">
        <v>204</v>
      </c>
      <c r="P587">
        <v>18.48</v>
      </c>
      <c r="Q587">
        <v>3.77</v>
      </c>
      <c r="R587" t="s">
        <v>1199</v>
      </c>
      <c r="S587" t="s">
        <v>195</v>
      </c>
    </row>
    <row r="588" spans="1:19" x14ac:dyDescent="0.3">
      <c r="A588" t="s">
        <v>766</v>
      </c>
      <c r="B588" t="s">
        <v>22</v>
      </c>
      <c r="C588">
        <v>2026</v>
      </c>
      <c r="D588">
        <v>1</v>
      </c>
      <c r="E588" s="2">
        <v>46045</v>
      </c>
      <c r="F588" t="s">
        <v>7</v>
      </c>
      <c r="G588" t="s">
        <v>8</v>
      </c>
      <c r="H588" t="s">
        <v>70</v>
      </c>
      <c r="I588" t="s">
        <v>82</v>
      </c>
      <c r="J588" t="s">
        <v>83</v>
      </c>
      <c r="K588" t="s">
        <v>73</v>
      </c>
      <c r="L588">
        <v>701000</v>
      </c>
      <c r="M588" t="s">
        <v>62</v>
      </c>
      <c r="N588" t="s">
        <v>33</v>
      </c>
      <c r="O588">
        <v>225</v>
      </c>
      <c r="P588">
        <v>18.489999999999998</v>
      </c>
      <c r="Q588">
        <v>4.16</v>
      </c>
      <c r="R588" t="s">
        <v>1204</v>
      </c>
      <c r="S588" t="s">
        <v>195</v>
      </c>
    </row>
    <row r="589" spans="1:19" x14ac:dyDescent="0.3">
      <c r="A589" t="s">
        <v>767</v>
      </c>
      <c r="B589" t="s">
        <v>22</v>
      </c>
      <c r="C589">
        <v>2026</v>
      </c>
      <c r="D589">
        <v>1</v>
      </c>
      <c r="E589" s="2">
        <v>46045</v>
      </c>
      <c r="F589" t="s">
        <v>7</v>
      </c>
      <c r="G589" t="s">
        <v>8</v>
      </c>
      <c r="H589" t="s">
        <v>70</v>
      </c>
      <c r="I589" t="s">
        <v>82</v>
      </c>
      <c r="J589" t="s">
        <v>83</v>
      </c>
      <c r="K589" t="s">
        <v>73</v>
      </c>
      <c r="L589">
        <v>701000</v>
      </c>
      <c r="M589" t="s">
        <v>62</v>
      </c>
      <c r="N589" t="s">
        <v>33</v>
      </c>
      <c r="O589">
        <v>72</v>
      </c>
      <c r="P589">
        <v>18.61</v>
      </c>
      <c r="Q589">
        <v>1.34</v>
      </c>
      <c r="R589" t="s">
        <v>1203</v>
      </c>
      <c r="S589" t="s">
        <v>195</v>
      </c>
    </row>
    <row r="590" spans="1:19" x14ac:dyDescent="0.3">
      <c r="A590" t="s">
        <v>768</v>
      </c>
      <c r="B590" t="s">
        <v>22</v>
      </c>
      <c r="C590">
        <v>2026</v>
      </c>
      <c r="D590">
        <v>1</v>
      </c>
      <c r="E590" s="2">
        <v>46045</v>
      </c>
      <c r="F590" t="s">
        <v>7</v>
      </c>
      <c r="G590" t="s">
        <v>8</v>
      </c>
      <c r="H590" t="s">
        <v>70</v>
      </c>
      <c r="I590" t="s">
        <v>82</v>
      </c>
      <c r="J590" t="s">
        <v>83</v>
      </c>
      <c r="K590" t="s">
        <v>73</v>
      </c>
      <c r="L590">
        <v>701000</v>
      </c>
      <c r="M590" t="s">
        <v>62</v>
      </c>
      <c r="N590" t="s">
        <v>33</v>
      </c>
      <c r="O590">
        <v>57</v>
      </c>
      <c r="P590">
        <v>18.600000000000001</v>
      </c>
      <c r="Q590">
        <v>1.06</v>
      </c>
      <c r="R590" t="s">
        <v>1197</v>
      </c>
      <c r="S590" t="s">
        <v>195</v>
      </c>
    </row>
    <row r="591" spans="1:19" x14ac:dyDescent="0.3">
      <c r="A591" t="s">
        <v>769</v>
      </c>
      <c r="B591" t="s">
        <v>22</v>
      </c>
      <c r="C591">
        <v>2026</v>
      </c>
      <c r="D591">
        <v>1</v>
      </c>
      <c r="E591" s="2">
        <v>46045</v>
      </c>
      <c r="F591" t="s">
        <v>7</v>
      </c>
      <c r="G591" t="s">
        <v>8</v>
      </c>
      <c r="H591" t="s">
        <v>70</v>
      </c>
      <c r="I591" t="s">
        <v>82</v>
      </c>
      <c r="J591" t="s">
        <v>83</v>
      </c>
      <c r="K591" t="s">
        <v>73</v>
      </c>
      <c r="L591">
        <v>701000</v>
      </c>
      <c r="M591" t="s">
        <v>62</v>
      </c>
      <c r="N591" t="s">
        <v>33</v>
      </c>
      <c r="O591">
        <v>116</v>
      </c>
      <c r="P591">
        <v>18.53</v>
      </c>
      <c r="Q591">
        <v>2.15</v>
      </c>
      <c r="R591" t="s">
        <v>1205</v>
      </c>
      <c r="S591" t="s">
        <v>195</v>
      </c>
    </row>
    <row r="592" spans="1:19" x14ac:dyDescent="0.3">
      <c r="A592" t="s">
        <v>280</v>
      </c>
      <c r="B592" t="s">
        <v>22</v>
      </c>
      <c r="C592">
        <v>2026</v>
      </c>
      <c r="D592">
        <v>1</v>
      </c>
      <c r="E592" s="2">
        <v>46046</v>
      </c>
      <c r="F592" t="s">
        <v>7</v>
      </c>
      <c r="G592" t="s">
        <v>8</v>
      </c>
      <c r="H592" t="s">
        <v>70</v>
      </c>
      <c r="I592" t="s">
        <v>84</v>
      </c>
      <c r="J592" t="s">
        <v>85</v>
      </c>
      <c r="K592" t="s">
        <v>73</v>
      </c>
      <c r="L592">
        <v>707000</v>
      </c>
      <c r="M592" t="s">
        <v>81</v>
      </c>
      <c r="N592" t="s">
        <v>33</v>
      </c>
      <c r="O592">
        <v>5878</v>
      </c>
      <c r="P592">
        <v>0.95</v>
      </c>
      <c r="Q592">
        <v>5.58</v>
      </c>
      <c r="R592" t="s">
        <v>1198</v>
      </c>
      <c r="S592" t="s">
        <v>195</v>
      </c>
    </row>
    <row r="593" spans="1:19" x14ac:dyDescent="0.3">
      <c r="A593" t="s">
        <v>281</v>
      </c>
      <c r="B593" t="s">
        <v>22</v>
      </c>
      <c r="C593">
        <v>2026</v>
      </c>
      <c r="D593">
        <v>1</v>
      </c>
      <c r="E593" s="2">
        <v>46046</v>
      </c>
      <c r="F593" t="s">
        <v>7</v>
      </c>
      <c r="G593" t="s">
        <v>8</v>
      </c>
      <c r="H593" t="s">
        <v>70</v>
      </c>
      <c r="I593" t="s">
        <v>84</v>
      </c>
      <c r="J593" t="s">
        <v>85</v>
      </c>
      <c r="K593" t="s">
        <v>73</v>
      </c>
      <c r="L593">
        <v>707000</v>
      </c>
      <c r="M593" t="s">
        <v>81</v>
      </c>
      <c r="N593" t="s">
        <v>33</v>
      </c>
      <c r="O593">
        <v>1545</v>
      </c>
      <c r="P593">
        <v>0.95</v>
      </c>
      <c r="Q593">
        <v>1.47</v>
      </c>
      <c r="R593" t="s">
        <v>1205</v>
      </c>
      <c r="S593" t="s">
        <v>195</v>
      </c>
    </row>
    <row r="594" spans="1:19" x14ac:dyDescent="0.3">
      <c r="A594" t="s">
        <v>282</v>
      </c>
      <c r="B594" t="s">
        <v>22</v>
      </c>
      <c r="C594">
        <v>2026</v>
      </c>
      <c r="D594">
        <v>1</v>
      </c>
      <c r="E594" s="2">
        <v>46046</v>
      </c>
      <c r="F594" t="s">
        <v>7</v>
      </c>
      <c r="G594" t="s">
        <v>8</v>
      </c>
      <c r="H594" t="s">
        <v>70</v>
      </c>
      <c r="I594" t="s">
        <v>84</v>
      </c>
      <c r="J594" t="s">
        <v>85</v>
      </c>
      <c r="K594" t="s">
        <v>73</v>
      </c>
      <c r="L594">
        <v>707000</v>
      </c>
      <c r="M594" t="s">
        <v>81</v>
      </c>
      <c r="N594" t="s">
        <v>33</v>
      </c>
      <c r="O594">
        <v>3053</v>
      </c>
      <c r="P594">
        <v>0.95</v>
      </c>
      <c r="Q594">
        <v>2.9</v>
      </c>
      <c r="R594" t="s">
        <v>1203</v>
      </c>
      <c r="S594" t="s">
        <v>195</v>
      </c>
    </row>
    <row r="595" spans="1:19" x14ac:dyDescent="0.3">
      <c r="A595" t="s">
        <v>283</v>
      </c>
      <c r="B595" t="s">
        <v>22</v>
      </c>
      <c r="C595">
        <v>2026</v>
      </c>
      <c r="D595">
        <v>1</v>
      </c>
      <c r="E595" s="2">
        <v>46046</v>
      </c>
      <c r="F595" t="s">
        <v>7</v>
      </c>
      <c r="G595" t="s">
        <v>8</v>
      </c>
      <c r="H595" t="s">
        <v>70</v>
      </c>
      <c r="I595" t="s">
        <v>84</v>
      </c>
      <c r="J595" t="s">
        <v>85</v>
      </c>
      <c r="K595" t="s">
        <v>73</v>
      </c>
      <c r="L595">
        <v>707000</v>
      </c>
      <c r="M595" t="s">
        <v>81</v>
      </c>
      <c r="N595" t="s">
        <v>33</v>
      </c>
      <c r="O595">
        <v>6087</v>
      </c>
      <c r="P595">
        <v>0.95</v>
      </c>
      <c r="Q595">
        <v>5.78</v>
      </c>
      <c r="R595" t="s">
        <v>1200</v>
      </c>
      <c r="S595" t="s">
        <v>195</v>
      </c>
    </row>
    <row r="596" spans="1:19" x14ac:dyDescent="0.3">
      <c r="A596" t="s">
        <v>284</v>
      </c>
      <c r="B596" t="s">
        <v>22</v>
      </c>
      <c r="C596">
        <v>2026</v>
      </c>
      <c r="D596">
        <v>1</v>
      </c>
      <c r="E596" s="2">
        <v>46046</v>
      </c>
      <c r="F596" t="s">
        <v>7</v>
      </c>
      <c r="G596" t="s">
        <v>8</v>
      </c>
      <c r="H596" t="s">
        <v>70</v>
      </c>
      <c r="I596" t="s">
        <v>84</v>
      </c>
      <c r="J596" t="s">
        <v>85</v>
      </c>
      <c r="K596" t="s">
        <v>73</v>
      </c>
      <c r="L596">
        <v>707000</v>
      </c>
      <c r="M596" t="s">
        <v>81</v>
      </c>
      <c r="N596" t="s">
        <v>33</v>
      </c>
      <c r="O596">
        <v>3472</v>
      </c>
      <c r="P596">
        <v>0.95</v>
      </c>
      <c r="Q596">
        <v>3.3</v>
      </c>
      <c r="R596" t="s">
        <v>1204</v>
      </c>
      <c r="S596" t="s">
        <v>195</v>
      </c>
    </row>
    <row r="597" spans="1:19" x14ac:dyDescent="0.3">
      <c r="A597" t="s">
        <v>670</v>
      </c>
      <c r="B597" t="s">
        <v>22</v>
      </c>
      <c r="C597">
        <v>2026</v>
      </c>
      <c r="D597">
        <v>1</v>
      </c>
      <c r="E597" s="2">
        <v>46046</v>
      </c>
      <c r="F597" t="s">
        <v>7</v>
      </c>
      <c r="G597" t="s">
        <v>8</v>
      </c>
      <c r="H597" t="s">
        <v>70</v>
      </c>
      <c r="I597" t="s">
        <v>79</v>
      </c>
      <c r="J597" t="s">
        <v>80</v>
      </c>
      <c r="K597" t="s">
        <v>73</v>
      </c>
      <c r="L597">
        <v>707000</v>
      </c>
      <c r="M597" t="s">
        <v>81</v>
      </c>
      <c r="N597" t="s">
        <v>33</v>
      </c>
      <c r="O597">
        <v>3215</v>
      </c>
      <c r="P597">
        <v>2.6</v>
      </c>
      <c r="Q597">
        <v>8.36</v>
      </c>
      <c r="R597" t="s">
        <v>1202</v>
      </c>
      <c r="S597" t="s">
        <v>195</v>
      </c>
    </row>
    <row r="598" spans="1:19" x14ac:dyDescent="0.3">
      <c r="A598" t="s">
        <v>671</v>
      </c>
      <c r="B598" t="s">
        <v>22</v>
      </c>
      <c r="C598">
        <v>2026</v>
      </c>
      <c r="D598">
        <v>1</v>
      </c>
      <c r="E598" s="2">
        <v>46046</v>
      </c>
      <c r="F598" t="s">
        <v>7</v>
      </c>
      <c r="G598" t="s">
        <v>8</v>
      </c>
      <c r="H598" t="s">
        <v>70</v>
      </c>
      <c r="I598" t="s">
        <v>79</v>
      </c>
      <c r="J598" t="s">
        <v>80</v>
      </c>
      <c r="K598" t="s">
        <v>73</v>
      </c>
      <c r="L598">
        <v>707000</v>
      </c>
      <c r="M598" t="s">
        <v>81</v>
      </c>
      <c r="N598" t="s">
        <v>33</v>
      </c>
      <c r="O598">
        <v>1631</v>
      </c>
      <c r="P598">
        <v>2.6</v>
      </c>
      <c r="Q598">
        <v>4.24</v>
      </c>
      <c r="R598" t="s">
        <v>1199</v>
      </c>
      <c r="S598" t="s">
        <v>195</v>
      </c>
    </row>
    <row r="599" spans="1:19" x14ac:dyDescent="0.3">
      <c r="A599" t="s">
        <v>672</v>
      </c>
      <c r="B599" t="s">
        <v>22</v>
      </c>
      <c r="C599">
        <v>2026</v>
      </c>
      <c r="D599">
        <v>1</v>
      </c>
      <c r="E599" s="2">
        <v>46046</v>
      </c>
      <c r="F599" t="s">
        <v>7</v>
      </c>
      <c r="G599" t="s">
        <v>8</v>
      </c>
      <c r="H599" t="s">
        <v>70</v>
      </c>
      <c r="I599" t="s">
        <v>79</v>
      </c>
      <c r="J599" t="s">
        <v>80</v>
      </c>
      <c r="K599" t="s">
        <v>73</v>
      </c>
      <c r="L599">
        <v>707000</v>
      </c>
      <c r="M599" t="s">
        <v>81</v>
      </c>
      <c r="N599" t="s">
        <v>33</v>
      </c>
      <c r="O599">
        <v>1024</v>
      </c>
      <c r="P599">
        <v>2.6</v>
      </c>
      <c r="Q599">
        <v>2.66</v>
      </c>
      <c r="R599" t="s">
        <v>1200</v>
      </c>
      <c r="S599" t="s">
        <v>195</v>
      </c>
    </row>
    <row r="600" spans="1:19" x14ac:dyDescent="0.3">
      <c r="A600" t="s">
        <v>673</v>
      </c>
      <c r="B600" t="s">
        <v>22</v>
      </c>
      <c r="C600">
        <v>2026</v>
      </c>
      <c r="D600">
        <v>1</v>
      </c>
      <c r="E600" s="2">
        <v>46046</v>
      </c>
      <c r="F600" t="s">
        <v>7</v>
      </c>
      <c r="G600" t="s">
        <v>8</v>
      </c>
      <c r="H600" t="s">
        <v>70</v>
      </c>
      <c r="I600" t="s">
        <v>79</v>
      </c>
      <c r="J600" t="s">
        <v>80</v>
      </c>
      <c r="K600" t="s">
        <v>73</v>
      </c>
      <c r="L600">
        <v>707000</v>
      </c>
      <c r="M600" t="s">
        <v>81</v>
      </c>
      <c r="N600" t="s">
        <v>33</v>
      </c>
      <c r="O600">
        <v>3098</v>
      </c>
      <c r="P600">
        <v>2.6</v>
      </c>
      <c r="Q600">
        <v>8.0500000000000007</v>
      </c>
      <c r="R600" t="s">
        <v>1204</v>
      </c>
      <c r="S600" t="s">
        <v>195</v>
      </c>
    </row>
    <row r="601" spans="1:19" x14ac:dyDescent="0.3">
      <c r="A601" t="s">
        <v>674</v>
      </c>
      <c r="B601" t="s">
        <v>22</v>
      </c>
      <c r="C601">
        <v>2026</v>
      </c>
      <c r="D601">
        <v>1</v>
      </c>
      <c r="E601" s="2">
        <v>46046</v>
      </c>
      <c r="F601" t="s">
        <v>7</v>
      </c>
      <c r="G601" t="s">
        <v>8</v>
      </c>
      <c r="H601" t="s">
        <v>70</v>
      </c>
      <c r="I601" t="s">
        <v>79</v>
      </c>
      <c r="J601" t="s">
        <v>80</v>
      </c>
      <c r="K601" t="s">
        <v>73</v>
      </c>
      <c r="L601">
        <v>707000</v>
      </c>
      <c r="M601" t="s">
        <v>81</v>
      </c>
      <c r="N601" t="s">
        <v>33</v>
      </c>
      <c r="O601">
        <v>790</v>
      </c>
      <c r="P601">
        <v>2.61</v>
      </c>
      <c r="Q601">
        <v>2.06</v>
      </c>
      <c r="R601" t="s">
        <v>1197</v>
      </c>
      <c r="S601" t="s">
        <v>195</v>
      </c>
    </row>
    <row r="602" spans="1:19" x14ac:dyDescent="0.3">
      <c r="A602" t="s">
        <v>800</v>
      </c>
      <c r="B602" t="s">
        <v>22</v>
      </c>
      <c r="C602">
        <v>2026</v>
      </c>
      <c r="D602">
        <v>1</v>
      </c>
      <c r="E602" s="2">
        <v>46046</v>
      </c>
      <c r="F602" t="s">
        <v>7</v>
      </c>
      <c r="G602" t="s">
        <v>8</v>
      </c>
      <c r="H602" t="s">
        <v>74</v>
      </c>
      <c r="I602" t="s">
        <v>82</v>
      </c>
      <c r="J602" t="s">
        <v>83</v>
      </c>
      <c r="K602" t="s">
        <v>73</v>
      </c>
      <c r="L602">
        <v>707000</v>
      </c>
      <c r="M602" t="s">
        <v>81</v>
      </c>
      <c r="N602" t="s">
        <v>33</v>
      </c>
      <c r="O602">
        <v>49</v>
      </c>
      <c r="P602">
        <v>18.37</v>
      </c>
      <c r="Q602">
        <v>0.9</v>
      </c>
      <c r="R602" t="s">
        <v>1197</v>
      </c>
      <c r="S602" t="s">
        <v>195</v>
      </c>
    </row>
    <row r="603" spans="1:19" x14ac:dyDescent="0.3">
      <c r="A603" t="s">
        <v>801</v>
      </c>
      <c r="B603" t="s">
        <v>22</v>
      </c>
      <c r="C603">
        <v>2026</v>
      </c>
      <c r="D603">
        <v>1</v>
      </c>
      <c r="E603" s="2">
        <v>46046</v>
      </c>
      <c r="F603" t="s">
        <v>7</v>
      </c>
      <c r="G603" t="s">
        <v>8</v>
      </c>
      <c r="H603" t="s">
        <v>74</v>
      </c>
      <c r="I603" t="s">
        <v>82</v>
      </c>
      <c r="J603" t="s">
        <v>83</v>
      </c>
      <c r="K603" t="s">
        <v>73</v>
      </c>
      <c r="L603">
        <v>707000</v>
      </c>
      <c r="M603" t="s">
        <v>81</v>
      </c>
      <c r="N603" t="s">
        <v>33</v>
      </c>
      <c r="O603">
        <v>166</v>
      </c>
      <c r="P603">
        <v>18.55</v>
      </c>
      <c r="Q603">
        <v>3.08</v>
      </c>
      <c r="R603" t="s">
        <v>1204</v>
      </c>
      <c r="S603" t="s">
        <v>195</v>
      </c>
    </row>
    <row r="604" spans="1:19" x14ac:dyDescent="0.3">
      <c r="A604" t="s">
        <v>802</v>
      </c>
      <c r="B604" t="s">
        <v>22</v>
      </c>
      <c r="C604">
        <v>2026</v>
      </c>
      <c r="D604">
        <v>1</v>
      </c>
      <c r="E604" s="2">
        <v>46046</v>
      </c>
      <c r="F604" t="s">
        <v>7</v>
      </c>
      <c r="G604" t="s">
        <v>8</v>
      </c>
      <c r="H604" t="s">
        <v>74</v>
      </c>
      <c r="I604" t="s">
        <v>82</v>
      </c>
      <c r="J604" t="s">
        <v>83</v>
      </c>
      <c r="K604" t="s">
        <v>73</v>
      </c>
      <c r="L604">
        <v>707000</v>
      </c>
      <c r="M604" t="s">
        <v>81</v>
      </c>
      <c r="N604" t="s">
        <v>33</v>
      </c>
      <c r="O604">
        <v>60</v>
      </c>
      <c r="P604">
        <v>18.5</v>
      </c>
      <c r="Q604">
        <v>1.1100000000000001</v>
      </c>
      <c r="R604" t="s">
        <v>1203</v>
      </c>
      <c r="S604" t="s">
        <v>195</v>
      </c>
    </row>
    <row r="605" spans="1:19" x14ac:dyDescent="0.3">
      <c r="A605" t="s">
        <v>803</v>
      </c>
      <c r="B605" t="s">
        <v>22</v>
      </c>
      <c r="C605">
        <v>2026</v>
      </c>
      <c r="D605">
        <v>1</v>
      </c>
      <c r="E605" s="2">
        <v>46046</v>
      </c>
      <c r="F605" t="s">
        <v>7</v>
      </c>
      <c r="G605" t="s">
        <v>8</v>
      </c>
      <c r="H605" t="s">
        <v>74</v>
      </c>
      <c r="I605" t="s">
        <v>82</v>
      </c>
      <c r="J605" t="s">
        <v>83</v>
      </c>
      <c r="K605" t="s">
        <v>73</v>
      </c>
      <c r="L605">
        <v>707000</v>
      </c>
      <c r="M605" t="s">
        <v>81</v>
      </c>
      <c r="N605" t="s">
        <v>33</v>
      </c>
      <c r="O605">
        <v>91</v>
      </c>
      <c r="P605">
        <v>18.46</v>
      </c>
      <c r="Q605">
        <v>1.68</v>
      </c>
      <c r="R605" t="s">
        <v>1198</v>
      </c>
      <c r="S605" t="s">
        <v>195</v>
      </c>
    </row>
    <row r="606" spans="1:19" x14ac:dyDescent="0.3">
      <c r="A606" t="s">
        <v>804</v>
      </c>
      <c r="B606" t="s">
        <v>22</v>
      </c>
      <c r="C606">
        <v>2026</v>
      </c>
      <c r="D606">
        <v>1</v>
      </c>
      <c r="E606" s="2">
        <v>46046</v>
      </c>
      <c r="F606" t="s">
        <v>7</v>
      </c>
      <c r="G606" t="s">
        <v>8</v>
      </c>
      <c r="H606" t="s">
        <v>74</v>
      </c>
      <c r="I606" t="s">
        <v>82</v>
      </c>
      <c r="J606" t="s">
        <v>83</v>
      </c>
      <c r="K606" t="s">
        <v>73</v>
      </c>
      <c r="L606">
        <v>707000</v>
      </c>
      <c r="M606" t="s">
        <v>81</v>
      </c>
      <c r="N606" t="s">
        <v>33</v>
      </c>
      <c r="O606">
        <v>367</v>
      </c>
      <c r="P606">
        <v>18.5</v>
      </c>
      <c r="Q606">
        <v>6.79</v>
      </c>
      <c r="R606" t="s">
        <v>1200</v>
      </c>
      <c r="S606" t="s">
        <v>195</v>
      </c>
    </row>
    <row r="607" spans="1:19" x14ac:dyDescent="0.3">
      <c r="A607" t="s">
        <v>840</v>
      </c>
      <c r="B607" t="s">
        <v>22</v>
      </c>
      <c r="C607">
        <v>2026</v>
      </c>
      <c r="D607">
        <v>1</v>
      </c>
      <c r="E607" s="2">
        <v>46046</v>
      </c>
      <c r="F607" t="s">
        <v>7</v>
      </c>
      <c r="G607" t="s">
        <v>8</v>
      </c>
      <c r="H607" t="s">
        <v>74</v>
      </c>
      <c r="I607" t="s">
        <v>82</v>
      </c>
      <c r="J607" t="s">
        <v>83</v>
      </c>
      <c r="K607" t="s">
        <v>73</v>
      </c>
      <c r="L607">
        <v>707000</v>
      </c>
      <c r="M607" t="s">
        <v>81</v>
      </c>
      <c r="N607" t="s">
        <v>33</v>
      </c>
      <c r="O607">
        <v>104</v>
      </c>
      <c r="P607">
        <v>18.46</v>
      </c>
      <c r="Q607">
        <v>1.92</v>
      </c>
      <c r="R607" t="s">
        <v>1203</v>
      </c>
      <c r="S607" t="s">
        <v>195</v>
      </c>
    </row>
    <row r="608" spans="1:19" x14ac:dyDescent="0.3">
      <c r="A608" t="s">
        <v>841</v>
      </c>
      <c r="B608" t="s">
        <v>22</v>
      </c>
      <c r="C608">
        <v>2026</v>
      </c>
      <c r="D608">
        <v>1</v>
      </c>
      <c r="E608" s="2">
        <v>46046</v>
      </c>
      <c r="F608" t="s">
        <v>7</v>
      </c>
      <c r="G608" t="s">
        <v>8</v>
      </c>
      <c r="H608" t="s">
        <v>74</v>
      </c>
      <c r="I608" t="s">
        <v>82</v>
      </c>
      <c r="J608" t="s">
        <v>83</v>
      </c>
      <c r="K608" t="s">
        <v>73</v>
      </c>
      <c r="L608">
        <v>707000</v>
      </c>
      <c r="M608" t="s">
        <v>81</v>
      </c>
      <c r="N608" t="s">
        <v>33</v>
      </c>
      <c r="O608">
        <v>117</v>
      </c>
      <c r="P608">
        <v>18.46</v>
      </c>
      <c r="Q608">
        <v>2.16</v>
      </c>
      <c r="R608" t="s">
        <v>1200</v>
      </c>
      <c r="S608" t="s">
        <v>195</v>
      </c>
    </row>
    <row r="609" spans="1:19" x14ac:dyDescent="0.3">
      <c r="A609" t="s">
        <v>842</v>
      </c>
      <c r="B609" t="s">
        <v>22</v>
      </c>
      <c r="C609">
        <v>2026</v>
      </c>
      <c r="D609">
        <v>1</v>
      </c>
      <c r="E609" s="2">
        <v>46046</v>
      </c>
      <c r="F609" t="s">
        <v>7</v>
      </c>
      <c r="G609" t="s">
        <v>8</v>
      </c>
      <c r="H609" t="s">
        <v>74</v>
      </c>
      <c r="I609" t="s">
        <v>82</v>
      </c>
      <c r="J609" t="s">
        <v>83</v>
      </c>
      <c r="K609" t="s">
        <v>73</v>
      </c>
      <c r="L609">
        <v>707000</v>
      </c>
      <c r="M609" t="s">
        <v>81</v>
      </c>
      <c r="N609" t="s">
        <v>33</v>
      </c>
      <c r="O609">
        <v>187</v>
      </c>
      <c r="P609">
        <v>18.45</v>
      </c>
      <c r="Q609">
        <v>3.45</v>
      </c>
      <c r="R609" t="s">
        <v>1201</v>
      </c>
      <c r="S609" t="s">
        <v>195</v>
      </c>
    </row>
    <row r="610" spans="1:19" x14ac:dyDescent="0.3">
      <c r="A610" t="s">
        <v>843</v>
      </c>
      <c r="B610" t="s">
        <v>22</v>
      </c>
      <c r="C610">
        <v>2026</v>
      </c>
      <c r="D610">
        <v>1</v>
      </c>
      <c r="E610" s="2">
        <v>46046</v>
      </c>
      <c r="F610" t="s">
        <v>7</v>
      </c>
      <c r="G610" t="s">
        <v>8</v>
      </c>
      <c r="H610" t="s">
        <v>74</v>
      </c>
      <c r="I610" t="s">
        <v>82</v>
      </c>
      <c r="J610" t="s">
        <v>83</v>
      </c>
      <c r="K610" t="s">
        <v>73</v>
      </c>
      <c r="L610">
        <v>707000</v>
      </c>
      <c r="M610" t="s">
        <v>81</v>
      </c>
      <c r="N610" t="s">
        <v>33</v>
      </c>
      <c r="O610">
        <v>99</v>
      </c>
      <c r="P610">
        <v>18.38</v>
      </c>
      <c r="Q610">
        <v>1.82</v>
      </c>
      <c r="R610" t="s">
        <v>1204</v>
      </c>
      <c r="S610" t="s">
        <v>195</v>
      </c>
    </row>
    <row r="611" spans="1:19" x14ac:dyDescent="0.3">
      <c r="A611" t="s">
        <v>844</v>
      </c>
      <c r="B611" t="s">
        <v>22</v>
      </c>
      <c r="C611">
        <v>2026</v>
      </c>
      <c r="D611">
        <v>1</v>
      </c>
      <c r="E611" s="2">
        <v>46046</v>
      </c>
      <c r="F611" t="s">
        <v>7</v>
      </c>
      <c r="G611" t="s">
        <v>8</v>
      </c>
      <c r="H611" t="s">
        <v>74</v>
      </c>
      <c r="I611" t="s">
        <v>82</v>
      </c>
      <c r="J611" t="s">
        <v>83</v>
      </c>
      <c r="K611" t="s">
        <v>73</v>
      </c>
      <c r="L611">
        <v>707000</v>
      </c>
      <c r="M611" t="s">
        <v>81</v>
      </c>
      <c r="N611" t="s">
        <v>33</v>
      </c>
      <c r="O611">
        <v>133</v>
      </c>
      <c r="P611">
        <v>18.72</v>
      </c>
      <c r="Q611">
        <v>2.4900000000000002</v>
      </c>
      <c r="R611" t="s">
        <v>1202</v>
      </c>
      <c r="S611" t="s">
        <v>195</v>
      </c>
    </row>
    <row r="612" spans="1:19" x14ac:dyDescent="0.3">
      <c r="A612" t="s">
        <v>380</v>
      </c>
      <c r="B612" t="s">
        <v>22</v>
      </c>
      <c r="C612">
        <v>2026</v>
      </c>
      <c r="D612">
        <v>1</v>
      </c>
      <c r="E612" s="2">
        <v>46047</v>
      </c>
      <c r="F612" t="s">
        <v>7</v>
      </c>
      <c r="G612" t="s">
        <v>8</v>
      </c>
      <c r="H612" t="s">
        <v>70</v>
      </c>
      <c r="I612" t="s">
        <v>71</v>
      </c>
      <c r="J612" t="s">
        <v>72</v>
      </c>
      <c r="K612" t="s">
        <v>73</v>
      </c>
      <c r="L612">
        <v>701000</v>
      </c>
      <c r="M612" t="s">
        <v>62</v>
      </c>
      <c r="N612" t="s">
        <v>33</v>
      </c>
      <c r="O612">
        <v>1932</v>
      </c>
      <c r="P612">
        <v>1.05</v>
      </c>
      <c r="Q612">
        <v>2.0299999999999998</v>
      </c>
      <c r="R612" t="s">
        <v>1205</v>
      </c>
      <c r="S612" t="s">
        <v>195</v>
      </c>
    </row>
    <row r="613" spans="1:19" x14ac:dyDescent="0.3">
      <c r="A613" t="s">
        <v>381</v>
      </c>
      <c r="B613" t="s">
        <v>22</v>
      </c>
      <c r="C613">
        <v>2026</v>
      </c>
      <c r="D613">
        <v>1</v>
      </c>
      <c r="E613" s="2">
        <v>46047</v>
      </c>
      <c r="F613" t="s">
        <v>7</v>
      </c>
      <c r="G613" t="s">
        <v>8</v>
      </c>
      <c r="H613" t="s">
        <v>70</v>
      </c>
      <c r="I613" t="s">
        <v>71</v>
      </c>
      <c r="J613" t="s">
        <v>72</v>
      </c>
      <c r="K613" t="s">
        <v>73</v>
      </c>
      <c r="L613">
        <v>701000</v>
      </c>
      <c r="M613" t="s">
        <v>62</v>
      </c>
      <c r="N613" t="s">
        <v>33</v>
      </c>
      <c r="O613">
        <v>4688</v>
      </c>
      <c r="P613">
        <v>1.05</v>
      </c>
      <c r="Q613">
        <v>4.92</v>
      </c>
      <c r="R613" t="s">
        <v>1202</v>
      </c>
      <c r="S613" t="s">
        <v>195</v>
      </c>
    </row>
    <row r="614" spans="1:19" x14ac:dyDescent="0.3">
      <c r="A614" t="s">
        <v>382</v>
      </c>
      <c r="B614" t="s">
        <v>22</v>
      </c>
      <c r="C614">
        <v>2026</v>
      </c>
      <c r="D614">
        <v>1</v>
      </c>
      <c r="E614" s="2">
        <v>46047</v>
      </c>
      <c r="F614" t="s">
        <v>7</v>
      </c>
      <c r="G614" t="s">
        <v>8</v>
      </c>
      <c r="H614" t="s">
        <v>70</v>
      </c>
      <c r="I614" t="s">
        <v>71</v>
      </c>
      <c r="J614" t="s">
        <v>72</v>
      </c>
      <c r="K614" t="s">
        <v>73</v>
      </c>
      <c r="L614">
        <v>701000</v>
      </c>
      <c r="M614" t="s">
        <v>62</v>
      </c>
      <c r="N614" t="s">
        <v>33</v>
      </c>
      <c r="O614">
        <v>4799</v>
      </c>
      <c r="P614">
        <v>1.05</v>
      </c>
      <c r="Q614">
        <v>5.04</v>
      </c>
      <c r="R614" t="s">
        <v>1197</v>
      </c>
      <c r="S614" t="s">
        <v>195</v>
      </c>
    </row>
    <row r="615" spans="1:19" x14ac:dyDescent="0.3">
      <c r="A615" t="s">
        <v>383</v>
      </c>
      <c r="B615" t="s">
        <v>22</v>
      </c>
      <c r="C615">
        <v>2026</v>
      </c>
      <c r="D615">
        <v>1</v>
      </c>
      <c r="E615" s="2">
        <v>46047</v>
      </c>
      <c r="F615" t="s">
        <v>7</v>
      </c>
      <c r="G615" t="s">
        <v>8</v>
      </c>
      <c r="H615" t="s">
        <v>70</v>
      </c>
      <c r="I615" t="s">
        <v>71</v>
      </c>
      <c r="J615" t="s">
        <v>72</v>
      </c>
      <c r="K615" t="s">
        <v>73</v>
      </c>
      <c r="L615">
        <v>701000</v>
      </c>
      <c r="M615" t="s">
        <v>62</v>
      </c>
      <c r="N615" t="s">
        <v>33</v>
      </c>
      <c r="O615">
        <v>2941</v>
      </c>
      <c r="P615">
        <v>1.05</v>
      </c>
      <c r="Q615">
        <v>3.09</v>
      </c>
      <c r="R615" t="s">
        <v>1200</v>
      </c>
      <c r="S615" t="s">
        <v>195</v>
      </c>
    </row>
    <row r="616" spans="1:19" x14ac:dyDescent="0.3">
      <c r="A616" t="s">
        <v>384</v>
      </c>
      <c r="B616" t="s">
        <v>22</v>
      </c>
      <c r="C616">
        <v>2026</v>
      </c>
      <c r="D616">
        <v>1</v>
      </c>
      <c r="E616" s="2">
        <v>46047</v>
      </c>
      <c r="F616" t="s">
        <v>7</v>
      </c>
      <c r="G616" t="s">
        <v>8</v>
      </c>
      <c r="H616" t="s">
        <v>70</v>
      </c>
      <c r="I616" t="s">
        <v>71</v>
      </c>
      <c r="J616" t="s">
        <v>72</v>
      </c>
      <c r="K616" t="s">
        <v>73</v>
      </c>
      <c r="L616">
        <v>701000</v>
      </c>
      <c r="M616" t="s">
        <v>62</v>
      </c>
      <c r="N616" t="s">
        <v>33</v>
      </c>
      <c r="O616">
        <v>7970</v>
      </c>
      <c r="P616">
        <v>1.05</v>
      </c>
      <c r="Q616">
        <v>8.3699999999999992</v>
      </c>
      <c r="R616" t="s">
        <v>1204</v>
      </c>
      <c r="S616" t="s">
        <v>195</v>
      </c>
    </row>
    <row r="617" spans="1:19" x14ac:dyDescent="0.3">
      <c r="A617" t="s">
        <v>400</v>
      </c>
      <c r="B617" t="s">
        <v>22</v>
      </c>
      <c r="C617">
        <v>2026</v>
      </c>
      <c r="D617">
        <v>1</v>
      </c>
      <c r="E617" s="2">
        <v>46047</v>
      </c>
      <c r="F617" t="s">
        <v>7</v>
      </c>
      <c r="G617" t="s">
        <v>8</v>
      </c>
      <c r="H617" t="s">
        <v>74</v>
      </c>
      <c r="I617" t="s">
        <v>75</v>
      </c>
      <c r="J617" t="s">
        <v>76</v>
      </c>
      <c r="K617" t="s">
        <v>73</v>
      </c>
      <c r="L617">
        <v>701000</v>
      </c>
      <c r="M617" t="s">
        <v>62</v>
      </c>
      <c r="N617" t="s">
        <v>33</v>
      </c>
      <c r="O617">
        <v>243</v>
      </c>
      <c r="P617">
        <v>1.4</v>
      </c>
      <c r="Q617">
        <v>0.34</v>
      </c>
      <c r="R617" t="s">
        <v>1205</v>
      </c>
      <c r="S617" t="s">
        <v>195</v>
      </c>
    </row>
    <row r="618" spans="1:19" x14ac:dyDescent="0.3">
      <c r="A618" t="s">
        <v>401</v>
      </c>
      <c r="B618" t="s">
        <v>22</v>
      </c>
      <c r="C618">
        <v>2026</v>
      </c>
      <c r="D618">
        <v>1</v>
      </c>
      <c r="E618" s="2">
        <v>46047</v>
      </c>
      <c r="F618" t="s">
        <v>7</v>
      </c>
      <c r="G618" t="s">
        <v>8</v>
      </c>
      <c r="H618" t="s">
        <v>74</v>
      </c>
      <c r="I618" t="s">
        <v>75</v>
      </c>
      <c r="J618" t="s">
        <v>76</v>
      </c>
      <c r="K618" t="s">
        <v>73</v>
      </c>
      <c r="L618">
        <v>701000</v>
      </c>
      <c r="M618" t="s">
        <v>62</v>
      </c>
      <c r="N618" t="s">
        <v>33</v>
      </c>
      <c r="O618">
        <v>939</v>
      </c>
      <c r="P618">
        <v>1.4</v>
      </c>
      <c r="Q618">
        <v>1.31</v>
      </c>
      <c r="R618" t="s">
        <v>1204</v>
      </c>
      <c r="S618" t="s">
        <v>195</v>
      </c>
    </row>
    <row r="619" spans="1:19" x14ac:dyDescent="0.3">
      <c r="A619" t="s">
        <v>402</v>
      </c>
      <c r="B619" t="s">
        <v>22</v>
      </c>
      <c r="C619">
        <v>2026</v>
      </c>
      <c r="D619">
        <v>1</v>
      </c>
      <c r="E619" s="2">
        <v>46047</v>
      </c>
      <c r="F619" t="s">
        <v>7</v>
      </c>
      <c r="G619" t="s">
        <v>8</v>
      </c>
      <c r="H619" t="s">
        <v>74</v>
      </c>
      <c r="I619" t="s">
        <v>75</v>
      </c>
      <c r="J619" t="s">
        <v>76</v>
      </c>
      <c r="K619" t="s">
        <v>73</v>
      </c>
      <c r="L619">
        <v>701000</v>
      </c>
      <c r="M619" t="s">
        <v>62</v>
      </c>
      <c r="N619" t="s">
        <v>33</v>
      </c>
      <c r="O619">
        <v>1229</v>
      </c>
      <c r="P619">
        <v>1.4</v>
      </c>
      <c r="Q619">
        <v>1.72</v>
      </c>
      <c r="R619" t="s">
        <v>1200</v>
      </c>
      <c r="S619" t="s">
        <v>195</v>
      </c>
    </row>
    <row r="620" spans="1:19" x14ac:dyDescent="0.3">
      <c r="A620" t="s">
        <v>403</v>
      </c>
      <c r="B620" t="s">
        <v>22</v>
      </c>
      <c r="C620">
        <v>2026</v>
      </c>
      <c r="D620">
        <v>1</v>
      </c>
      <c r="E620" s="2">
        <v>46047</v>
      </c>
      <c r="F620" t="s">
        <v>7</v>
      </c>
      <c r="G620" t="s">
        <v>8</v>
      </c>
      <c r="H620" t="s">
        <v>74</v>
      </c>
      <c r="I620" t="s">
        <v>75</v>
      </c>
      <c r="J620" t="s">
        <v>76</v>
      </c>
      <c r="K620" t="s">
        <v>73</v>
      </c>
      <c r="L620">
        <v>701000</v>
      </c>
      <c r="M620" t="s">
        <v>62</v>
      </c>
      <c r="N620" t="s">
        <v>33</v>
      </c>
      <c r="O620">
        <v>1946</v>
      </c>
      <c r="P620">
        <v>1.4</v>
      </c>
      <c r="Q620">
        <v>2.73</v>
      </c>
      <c r="R620" t="s">
        <v>1198</v>
      </c>
      <c r="S620" t="s">
        <v>195</v>
      </c>
    </row>
    <row r="621" spans="1:19" x14ac:dyDescent="0.3">
      <c r="A621" t="s">
        <v>404</v>
      </c>
      <c r="B621" t="s">
        <v>22</v>
      </c>
      <c r="C621">
        <v>2026</v>
      </c>
      <c r="D621">
        <v>1</v>
      </c>
      <c r="E621" s="2">
        <v>46047</v>
      </c>
      <c r="F621" t="s">
        <v>7</v>
      </c>
      <c r="G621" t="s">
        <v>8</v>
      </c>
      <c r="H621" t="s">
        <v>74</v>
      </c>
      <c r="I621" t="s">
        <v>75</v>
      </c>
      <c r="J621" t="s">
        <v>76</v>
      </c>
      <c r="K621" t="s">
        <v>73</v>
      </c>
      <c r="L621">
        <v>701000</v>
      </c>
      <c r="M621" t="s">
        <v>62</v>
      </c>
      <c r="N621" t="s">
        <v>33</v>
      </c>
      <c r="O621">
        <v>2754</v>
      </c>
      <c r="P621">
        <v>1.4</v>
      </c>
      <c r="Q621">
        <v>3.86</v>
      </c>
      <c r="R621" t="s">
        <v>1201</v>
      </c>
      <c r="S621" t="s">
        <v>195</v>
      </c>
    </row>
    <row r="622" spans="1:19" x14ac:dyDescent="0.3">
      <c r="A622" t="s">
        <v>475</v>
      </c>
      <c r="B622" t="s">
        <v>22</v>
      </c>
      <c r="C622">
        <v>2026</v>
      </c>
      <c r="D622">
        <v>1</v>
      </c>
      <c r="E622" s="2">
        <v>46047</v>
      </c>
      <c r="F622" t="s">
        <v>7</v>
      </c>
      <c r="G622" t="s">
        <v>8</v>
      </c>
      <c r="H622" t="s">
        <v>70</v>
      </c>
      <c r="I622" t="s">
        <v>75</v>
      </c>
      <c r="J622" t="s">
        <v>76</v>
      </c>
      <c r="K622" t="s">
        <v>73</v>
      </c>
      <c r="L622">
        <v>701000</v>
      </c>
      <c r="M622" t="s">
        <v>62</v>
      </c>
      <c r="N622" t="s">
        <v>33</v>
      </c>
      <c r="O622">
        <v>699</v>
      </c>
      <c r="P622">
        <v>1.4</v>
      </c>
      <c r="Q622">
        <v>0.98</v>
      </c>
      <c r="R622" t="s">
        <v>1202</v>
      </c>
      <c r="S622" t="s">
        <v>195</v>
      </c>
    </row>
    <row r="623" spans="1:19" x14ac:dyDescent="0.3">
      <c r="A623" t="s">
        <v>476</v>
      </c>
      <c r="B623" t="s">
        <v>22</v>
      </c>
      <c r="C623">
        <v>2026</v>
      </c>
      <c r="D623">
        <v>1</v>
      </c>
      <c r="E623" s="2">
        <v>46047</v>
      </c>
      <c r="F623" t="s">
        <v>7</v>
      </c>
      <c r="G623" t="s">
        <v>8</v>
      </c>
      <c r="H623" t="s">
        <v>70</v>
      </c>
      <c r="I623" t="s">
        <v>75</v>
      </c>
      <c r="J623" t="s">
        <v>76</v>
      </c>
      <c r="K623" t="s">
        <v>73</v>
      </c>
      <c r="L623">
        <v>701000</v>
      </c>
      <c r="M623" t="s">
        <v>62</v>
      </c>
      <c r="N623" t="s">
        <v>33</v>
      </c>
      <c r="O623">
        <v>1655</v>
      </c>
      <c r="P623">
        <v>1.4</v>
      </c>
      <c r="Q623">
        <v>2.3199999999999998</v>
      </c>
      <c r="R623" t="s">
        <v>1203</v>
      </c>
      <c r="S623" t="s">
        <v>195</v>
      </c>
    </row>
    <row r="624" spans="1:19" x14ac:dyDescent="0.3">
      <c r="A624" t="s">
        <v>477</v>
      </c>
      <c r="B624" t="s">
        <v>22</v>
      </c>
      <c r="C624">
        <v>2026</v>
      </c>
      <c r="D624">
        <v>1</v>
      </c>
      <c r="E624" s="2">
        <v>46047</v>
      </c>
      <c r="F624" t="s">
        <v>7</v>
      </c>
      <c r="G624" t="s">
        <v>8</v>
      </c>
      <c r="H624" t="s">
        <v>70</v>
      </c>
      <c r="I624" t="s">
        <v>75</v>
      </c>
      <c r="J624" t="s">
        <v>76</v>
      </c>
      <c r="K624" t="s">
        <v>73</v>
      </c>
      <c r="L624">
        <v>701000</v>
      </c>
      <c r="M624" t="s">
        <v>62</v>
      </c>
      <c r="N624" t="s">
        <v>33</v>
      </c>
      <c r="O624">
        <v>2120</v>
      </c>
      <c r="P624">
        <v>1.4</v>
      </c>
      <c r="Q624">
        <v>2.97</v>
      </c>
      <c r="R624" t="s">
        <v>1197</v>
      </c>
      <c r="S624" t="s">
        <v>195</v>
      </c>
    </row>
    <row r="625" spans="1:19" x14ac:dyDescent="0.3">
      <c r="A625" t="s">
        <v>478</v>
      </c>
      <c r="B625" t="s">
        <v>22</v>
      </c>
      <c r="C625">
        <v>2026</v>
      </c>
      <c r="D625">
        <v>1</v>
      </c>
      <c r="E625" s="2">
        <v>46047</v>
      </c>
      <c r="F625" t="s">
        <v>7</v>
      </c>
      <c r="G625" t="s">
        <v>8</v>
      </c>
      <c r="H625" t="s">
        <v>70</v>
      </c>
      <c r="I625" t="s">
        <v>75</v>
      </c>
      <c r="J625" t="s">
        <v>76</v>
      </c>
      <c r="K625" t="s">
        <v>73</v>
      </c>
      <c r="L625">
        <v>701000</v>
      </c>
      <c r="M625" t="s">
        <v>62</v>
      </c>
      <c r="N625" t="s">
        <v>33</v>
      </c>
      <c r="O625">
        <v>2393</v>
      </c>
      <c r="P625">
        <v>1.4</v>
      </c>
      <c r="Q625">
        <v>3.35</v>
      </c>
      <c r="R625" t="s">
        <v>1200</v>
      </c>
      <c r="S625" t="s">
        <v>195</v>
      </c>
    </row>
    <row r="626" spans="1:19" x14ac:dyDescent="0.3">
      <c r="A626" t="s">
        <v>479</v>
      </c>
      <c r="B626" t="s">
        <v>22</v>
      </c>
      <c r="C626">
        <v>2026</v>
      </c>
      <c r="D626">
        <v>1</v>
      </c>
      <c r="E626" s="2">
        <v>46047</v>
      </c>
      <c r="F626" t="s">
        <v>7</v>
      </c>
      <c r="G626" t="s">
        <v>8</v>
      </c>
      <c r="H626" t="s">
        <v>70</v>
      </c>
      <c r="I626" t="s">
        <v>75</v>
      </c>
      <c r="J626" t="s">
        <v>76</v>
      </c>
      <c r="K626" t="s">
        <v>73</v>
      </c>
      <c r="L626">
        <v>701000</v>
      </c>
      <c r="M626" t="s">
        <v>62</v>
      </c>
      <c r="N626" t="s">
        <v>33</v>
      </c>
      <c r="O626">
        <v>1845</v>
      </c>
      <c r="P626">
        <v>1.4</v>
      </c>
      <c r="Q626">
        <v>2.58</v>
      </c>
      <c r="R626" t="s">
        <v>1198</v>
      </c>
      <c r="S626" t="s">
        <v>195</v>
      </c>
    </row>
    <row r="627" spans="1:19" x14ac:dyDescent="0.3">
      <c r="A627" t="s">
        <v>600</v>
      </c>
      <c r="B627" t="s">
        <v>22</v>
      </c>
      <c r="C627">
        <v>2026</v>
      </c>
      <c r="D627">
        <v>1</v>
      </c>
      <c r="E627" s="2">
        <v>46047</v>
      </c>
      <c r="F627" t="s">
        <v>7</v>
      </c>
      <c r="G627" t="s">
        <v>8</v>
      </c>
      <c r="H627" t="s">
        <v>70</v>
      </c>
      <c r="I627" t="s">
        <v>77</v>
      </c>
      <c r="J627" t="s">
        <v>78</v>
      </c>
      <c r="K627" t="s">
        <v>73</v>
      </c>
      <c r="L627">
        <v>701000</v>
      </c>
      <c r="M627" t="s">
        <v>62</v>
      </c>
      <c r="N627" t="s">
        <v>33</v>
      </c>
      <c r="O627">
        <v>268</v>
      </c>
      <c r="P627">
        <v>1.79</v>
      </c>
      <c r="Q627">
        <v>0.48</v>
      </c>
      <c r="R627" t="s">
        <v>1200</v>
      </c>
      <c r="S627" t="s">
        <v>195</v>
      </c>
    </row>
    <row r="628" spans="1:19" x14ac:dyDescent="0.3">
      <c r="A628" t="s">
        <v>601</v>
      </c>
      <c r="B628" t="s">
        <v>22</v>
      </c>
      <c r="C628">
        <v>2026</v>
      </c>
      <c r="D628">
        <v>1</v>
      </c>
      <c r="E628" s="2">
        <v>46047</v>
      </c>
      <c r="F628" t="s">
        <v>7</v>
      </c>
      <c r="G628" t="s">
        <v>8</v>
      </c>
      <c r="H628" t="s">
        <v>70</v>
      </c>
      <c r="I628" t="s">
        <v>77</v>
      </c>
      <c r="J628" t="s">
        <v>78</v>
      </c>
      <c r="K628" t="s">
        <v>73</v>
      </c>
      <c r="L628">
        <v>701000</v>
      </c>
      <c r="M628" t="s">
        <v>62</v>
      </c>
      <c r="N628" t="s">
        <v>33</v>
      </c>
      <c r="O628">
        <v>1731</v>
      </c>
      <c r="P628">
        <v>1.8</v>
      </c>
      <c r="Q628">
        <v>3.12</v>
      </c>
      <c r="R628" t="s">
        <v>1202</v>
      </c>
      <c r="S628" t="s">
        <v>195</v>
      </c>
    </row>
    <row r="629" spans="1:19" x14ac:dyDescent="0.3">
      <c r="A629" t="s">
        <v>602</v>
      </c>
      <c r="B629" t="s">
        <v>22</v>
      </c>
      <c r="C629">
        <v>2026</v>
      </c>
      <c r="D629">
        <v>1</v>
      </c>
      <c r="E629" s="2">
        <v>46047</v>
      </c>
      <c r="F629" t="s">
        <v>7</v>
      </c>
      <c r="G629" t="s">
        <v>8</v>
      </c>
      <c r="H629" t="s">
        <v>70</v>
      </c>
      <c r="I629" t="s">
        <v>77</v>
      </c>
      <c r="J629" t="s">
        <v>78</v>
      </c>
      <c r="K629" t="s">
        <v>73</v>
      </c>
      <c r="L629">
        <v>701000</v>
      </c>
      <c r="M629" t="s">
        <v>62</v>
      </c>
      <c r="N629" t="s">
        <v>33</v>
      </c>
      <c r="O629">
        <v>776</v>
      </c>
      <c r="P629">
        <v>1.8</v>
      </c>
      <c r="Q629">
        <v>1.4</v>
      </c>
      <c r="R629" t="s">
        <v>1198</v>
      </c>
      <c r="S629" t="s">
        <v>195</v>
      </c>
    </row>
    <row r="630" spans="1:19" x14ac:dyDescent="0.3">
      <c r="A630" t="s">
        <v>603</v>
      </c>
      <c r="B630" t="s">
        <v>22</v>
      </c>
      <c r="C630">
        <v>2026</v>
      </c>
      <c r="D630">
        <v>1</v>
      </c>
      <c r="E630" s="2">
        <v>46047</v>
      </c>
      <c r="F630" t="s">
        <v>7</v>
      </c>
      <c r="G630" t="s">
        <v>8</v>
      </c>
      <c r="H630" t="s">
        <v>70</v>
      </c>
      <c r="I630" t="s">
        <v>77</v>
      </c>
      <c r="J630" t="s">
        <v>78</v>
      </c>
      <c r="K630" t="s">
        <v>73</v>
      </c>
      <c r="L630">
        <v>701000</v>
      </c>
      <c r="M630" t="s">
        <v>62</v>
      </c>
      <c r="N630" t="s">
        <v>33</v>
      </c>
      <c r="O630">
        <v>767</v>
      </c>
      <c r="P630">
        <v>1.8</v>
      </c>
      <c r="Q630">
        <v>1.38</v>
      </c>
      <c r="R630" t="s">
        <v>1203</v>
      </c>
      <c r="S630" t="s">
        <v>195</v>
      </c>
    </row>
    <row r="631" spans="1:19" x14ac:dyDescent="0.3">
      <c r="A631" t="s">
        <v>604</v>
      </c>
      <c r="B631" t="s">
        <v>22</v>
      </c>
      <c r="C631">
        <v>2026</v>
      </c>
      <c r="D631">
        <v>1</v>
      </c>
      <c r="E631" s="2">
        <v>46047</v>
      </c>
      <c r="F631" t="s">
        <v>7</v>
      </c>
      <c r="G631" t="s">
        <v>8</v>
      </c>
      <c r="H631" t="s">
        <v>70</v>
      </c>
      <c r="I631" t="s">
        <v>77</v>
      </c>
      <c r="J631" t="s">
        <v>78</v>
      </c>
      <c r="K631" t="s">
        <v>73</v>
      </c>
      <c r="L631">
        <v>701000</v>
      </c>
      <c r="M631" t="s">
        <v>62</v>
      </c>
      <c r="N631" t="s">
        <v>33</v>
      </c>
      <c r="O631">
        <v>957</v>
      </c>
      <c r="P631">
        <v>1.8</v>
      </c>
      <c r="Q631">
        <v>1.72</v>
      </c>
      <c r="R631" t="s">
        <v>1199</v>
      </c>
      <c r="S631" t="s">
        <v>195</v>
      </c>
    </row>
    <row r="632" spans="1:19" x14ac:dyDescent="0.3">
      <c r="A632" t="s">
        <v>665</v>
      </c>
      <c r="B632" t="s">
        <v>22</v>
      </c>
      <c r="C632">
        <v>2026</v>
      </c>
      <c r="D632">
        <v>1</v>
      </c>
      <c r="E632" s="2">
        <v>46047</v>
      </c>
      <c r="F632" t="s">
        <v>7</v>
      </c>
      <c r="G632" t="s">
        <v>8</v>
      </c>
      <c r="H632" t="s">
        <v>74</v>
      </c>
      <c r="I632" t="s">
        <v>79</v>
      </c>
      <c r="J632" t="s">
        <v>80</v>
      </c>
      <c r="K632" t="s">
        <v>73</v>
      </c>
      <c r="L632">
        <v>701000</v>
      </c>
      <c r="M632" t="s">
        <v>62</v>
      </c>
      <c r="N632" t="s">
        <v>33</v>
      </c>
      <c r="O632">
        <v>1165</v>
      </c>
      <c r="P632">
        <v>2.6</v>
      </c>
      <c r="Q632">
        <v>3.03</v>
      </c>
      <c r="R632" t="s">
        <v>1199</v>
      </c>
      <c r="S632" t="s">
        <v>195</v>
      </c>
    </row>
    <row r="633" spans="1:19" x14ac:dyDescent="0.3">
      <c r="A633" t="s">
        <v>666</v>
      </c>
      <c r="B633" t="s">
        <v>22</v>
      </c>
      <c r="C633">
        <v>2026</v>
      </c>
      <c r="D633">
        <v>1</v>
      </c>
      <c r="E633" s="2">
        <v>46047</v>
      </c>
      <c r="F633" t="s">
        <v>7</v>
      </c>
      <c r="G633" t="s">
        <v>8</v>
      </c>
      <c r="H633" t="s">
        <v>74</v>
      </c>
      <c r="I633" t="s">
        <v>79</v>
      </c>
      <c r="J633" t="s">
        <v>80</v>
      </c>
      <c r="K633" t="s">
        <v>73</v>
      </c>
      <c r="L633">
        <v>701000</v>
      </c>
      <c r="M633" t="s">
        <v>62</v>
      </c>
      <c r="N633" t="s">
        <v>33</v>
      </c>
      <c r="O633">
        <v>1179</v>
      </c>
      <c r="P633">
        <v>2.6</v>
      </c>
      <c r="Q633">
        <v>3.06</v>
      </c>
      <c r="R633" t="s">
        <v>1200</v>
      </c>
      <c r="S633" t="s">
        <v>195</v>
      </c>
    </row>
    <row r="634" spans="1:19" x14ac:dyDescent="0.3">
      <c r="A634" t="s">
        <v>667</v>
      </c>
      <c r="B634" t="s">
        <v>22</v>
      </c>
      <c r="C634">
        <v>2026</v>
      </c>
      <c r="D634">
        <v>1</v>
      </c>
      <c r="E634" s="2">
        <v>46047</v>
      </c>
      <c r="F634" t="s">
        <v>7</v>
      </c>
      <c r="G634" t="s">
        <v>8</v>
      </c>
      <c r="H634" t="s">
        <v>74</v>
      </c>
      <c r="I634" t="s">
        <v>79</v>
      </c>
      <c r="J634" t="s">
        <v>80</v>
      </c>
      <c r="K634" t="s">
        <v>73</v>
      </c>
      <c r="L634">
        <v>701000</v>
      </c>
      <c r="M634" t="s">
        <v>62</v>
      </c>
      <c r="N634" t="s">
        <v>33</v>
      </c>
      <c r="O634">
        <v>3107</v>
      </c>
      <c r="P634">
        <v>2.6</v>
      </c>
      <c r="Q634">
        <v>8.08</v>
      </c>
      <c r="R634" t="s">
        <v>1204</v>
      </c>
      <c r="S634" t="s">
        <v>195</v>
      </c>
    </row>
    <row r="635" spans="1:19" x14ac:dyDescent="0.3">
      <c r="A635" t="s">
        <v>668</v>
      </c>
      <c r="B635" t="s">
        <v>22</v>
      </c>
      <c r="C635">
        <v>2026</v>
      </c>
      <c r="D635">
        <v>1</v>
      </c>
      <c r="E635" s="2">
        <v>46047</v>
      </c>
      <c r="F635" t="s">
        <v>7</v>
      </c>
      <c r="G635" t="s">
        <v>8</v>
      </c>
      <c r="H635" t="s">
        <v>74</v>
      </c>
      <c r="I635" t="s">
        <v>79</v>
      </c>
      <c r="J635" t="s">
        <v>80</v>
      </c>
      <c r="K635" t="s">
        <v>73</v>
      </c>
      <c r="L635">
        <v>701000</v>
      </c>
      <c r="M635" t="s">
        <v>62</v>
      </c>
      <c r="N635" t="s">
        <v>33</v>
      </c>
      <c r="O635">
        <v>2572</v>
      </c>
      <c r="P635">
        <v>2.6</v>
      </c>
      <c r="Q635">
        <v>6.69</v>
      </c>
      <c r="R635" t="s">
        <v>1197</v>
      </c>
      <c r="S635" t="s">
        <v>195</v>
      </c>
    </row>
    <row r="636" spans="1:19" x14ac:dyDescent="0.3">
      <c r="A636" t="s">
        <v>669</v>
      </c>
      <c r="B636" t="s">
        <v>22</v>
      </c>
      <c r="C636">
        <v>2026</v>
      </c>
      <c r="D636">
        <v>1</v>
      </c>
      <c r="E636" s="2">
        <v>46047</v>
      </c>
      <c r="F636" t="s">
        <v>7</v>
      </c>
      <c r="G636" t="s">
        <v>8</v>
      </c>
      <c r="H636" t="s">
        <v>74</v>
      </c>
      <c r="I636" t="s">
        <v>79</v>
      </c>
      <c r="J636" t="s">
        <v>80</v>
      </c>
      <c r="K636" t="s">
        <v>73</v>
      </c>
      <c r="L636">
        <v>701000</v>
      </c>
      <c r="M636" t="s">
        <v>62</v>
      </c>
      <c r="N636" t="s">
        <v>33</v>
      </c>
      <c r="O636">
        <v>1361</v>
      </c>
      <c r="P636">
        <v>2.6</v>
      </c>
      <c r="Q636">
        <v>3.54</v>
      </c>
      <c r="R636" t="s">
        <v>1205</v>
      </c>
      <c r="S636" t="s">
        <v>195</v>
      </c>
    </row>
    <row r="637" spans="1:19" x14ac:dyDescent="0.3">
      <c r="A637" t="s">
        <v>705</v>
      </c>
      <c r="B637" t="s">
        <v>22</v>
      </c>
      <c r="C637">
        <v>2026</v>
      </c>
      <c r="D637">
        <v>1</v>
      </c>
      <c r="E637" s="2">
        <v>46047</v>
      </c>
      <c r="F637" t="s">
        <v>7</v>
      </c>
      <c r="G637" t="s">
        <v>8</v>
      </c>
      <c r="H637" t="s">
        <v>74</v>
      </c>
      <c r="I637" t="s">
        <v>79</v>
      </c>
      <c r="J637" t="s">
        <v>80</v>
      </c>
      <c r="K637" t="s">
        <v>73</v>
      </c>
      <c r="L637">
        <v>701000</v>
      </c>
      <c r="M637" t="s">
        <v>62</v>
      </c>
      <c r="N637" t="s">
        <v>33</v>
      </c>
      <c r="O637">
        <v>1347</v>
      </c>
      <c r="P637">
        <v>2.6</v>
      </c>
      <c r="Q637">
        <v>3.5</v>
      </c>
      <c r="R637" t="s">
        <v>1203</v>
      </c>
      <c r="S637" t="s">
        <v>195</v>
      </c>
    </row>
    <row r="638" spans="1:19" x14ac:dyDescent="0.3">
      <c r="A638" t="s">
        <v>706</v>
      </c>
      <c r="B638" t="s">
        <v>22</v>
      </c>
      <c r="C638">
        <v>2026</v>
      </c>
      <c r="D638">
        <v>1</v>
      </c>
      <c r="E638" s="2">
        <v>46047</v>
      </c>
      <c r="F638" t="s">
        <v>7</v>
      </c>
      <c r="G638" t="s">
        <v>8</v>
      </c>
      <c r="H638" t="s">
        <v>74</v>
      </c>
      <c r="I638" t="s">
        <v>79</v>
      </c>
      <c r="J638" t="s">
        <v>80</v>
      </c>
      <c r="K638" t="s">
        <v>73</v>
      </c>
      <c r="L638">
        <v>701000</v>
      </c>
      <c r="M638" t="s">
        <v>62</v>
      </c>
      <c r="N638" t="s">
        <v>33</v>
      </c>
      <c r="O638">
        <v>681</v>
      </c>
      <c r="P638">
        <v>2.6</v>
      </c>
      <c r="Q638">
        <v>1.77</v>
      </c>
      <c r="R638" t="s">
        <v>1202</v>
      </c>
      <c r="S638" t="s">
        <v>195</v>
      </c>
    </row>
    <row r="639" spans="1:19" x14ac:dyDescent="0.3">
      <c r="A639" t="s">
        <v>707</v>
      </c>
      <c r="B639" t="s">
        <v>22</v>
      </c>
      <c r="C639">
        <v>2026</v>
      </c>
      <c r="D639">
        <v>1</v>
      </c>
      <c r="E639" s="2">
        <v>46047</v>
      </c>
      <c r="F639" t="s">
        <v>7</v>
      </c>
      <c r="G639" t="s">
        <v>8</v>
      </c>
      <c r="H639" t="s">
        <v>74</v>
      </c>
      <c r="I639" t="s">
        <v>79</v>
      </c>
      <c r="J639" t="s">
        <v>80</v>
      </c>
      <c r="K639" t="s">
        <v>73</v>
      </c>
      <c r="L639">
        <v>701000</v>
      </c>
      <c r="M639" t="s">
        <v>62</v>
      </c>
      <c r="N639" t="s">
        <v>33</v>
      </c>
      <c r="O639">
        <v>2391</v>
      </c>
      <c r="P639">
        <v>2.6</v>
      </c>
      <c r="Q639">
        <v>6.22</v>
      </c>
      <c r="R639" t="s">
        <v>1204</v>
      </c>
      <c r="S639" t="s">
        <v>195</v>
      </c>
    </row>
    <row r="640" spans="1:19" x14ac:dyDescent="0.3">
      <c r="A640" t="s">
        <v>708</v>
      </c>
      <c r="B640" t="s">
        <v>22</v>
      </c>
      <c r="C640">
        <v>2026</v>
      </c>
      <c r="D640">
        <v>1</v>
      </c>
      <c r="E640" s="2">
        <v>46047</v>
      </c>
      <c r="F640" t="s">
        <v>7</v>
      </c>
      <c r="G640" t="s">
        <v>8</v>
      </c>
      <c r="H640" t="s">
        <v>74</v>
      </c>
      <c r="I640" t="s">
        <v>79</v>
      </c>
      <c r="J640" t="s">
        <v>80</v>
      </c>
      <c r="K640" t="s">
        <v>73</v>
      </c>
      <c r="L640">
        <v>701000</v>
      </c>
      <c r="M640" t="s">
        <v>62</v>
      </c>
      <c r="N640" t="s">
        <v>33</v>
      </c>
      <c r="O640">
        <v>1958</v>
      </c>
      <c r="P640">
        <v>2.6</v>
      </c>
      <c r="Q640">
        <v>5.09</v>
      </c>
      <c r="R640" t="s">
        <v>1197</v>
      </c>
      <c r="S640" t="s">
        <v>195</v>
      </c>
    </row>
    <row r="641" spans="1:19" x14ac:dyDescent="0.3">
      <c r="A641" t="s">
        <v>709</v>
      </c>
      <c r="B641" t="s">
        <v>22</v>
      </c>
      <c r="C641">
        <v>2026</v>
      </c>
      <c r="D641">
        <v>1</v>
      </c>
      <c r="E641" s="2">
        <v>46047</v>
      </c>
      <c r="F641" t="s">
        <v>7</v>
      </c>
      <c r="G641" t="s">
        <v>8</v>
      </c>
      <c r="H641" t="s">
        <v>74</v>
      </c>
      <c r="I641" t="s">
        <v>79</v>
      </c>
      <c r="J641" t="s">
        <v>80</v>
      </c>
      <c r="K641" t="s">
        <v>73</v>
      </c>
      <c r="L641">
        <v>701000</v>
      </c>
      <c r="M641" t="s">
        <v>62</v>
      </c>
      <c r="N641" t="s">
        <v>33</v>
      </c>
      <c r="O641">
        <v>1209</v>
      </c>
      <c r="P641">
        <v>2.6</v>
      </c>
      <c r="Q641">
        <v>3.14</v>
      </c>
      <c r="R641" t="s">
        <v>1201</v>
      </c>
      <c r="S641" t="s">
        <v>195</v>
      </c>
    </row>
    <row r="642" spans="1:19" x14ac:dyDescent="0.3">
      <c r="A642" t="s">
        <v>215</v>
      </c>
      <c r="B642" t="s">
        <v>22</v>
      </c>
      <c r="C642">
        <v>2026</v>
      </c>
      <c r="D642">
        <v>1</v>
      </c>
      <c r="E642" s="2">
        <v>46048</v>
      </c>
      <c r="F642" t="s">
        <v>7</v>
      </c>
      <c r="G642" t="s">
        <v>8</v>
      </c>
      <c r="H642" t="s">
        <v>70</v>
      </c>
      <c r="I642" t="s">
        <v>84</v>
      </c>
      <c r="J642" t="s">
        <v>85</v>
      </c>
      <c r="K642" t="s">
        <v>73</v>
      </c>
      <c r="L642">
        <v>701000</v>
      </c>
      <c r="M642" t="s">
        <v>62</v>
      </c>
      <c r="N642" t="s">
        <v>33</v>
      </c>
      <c r="O642">
        <v>3983</v>
      </c>
      <c r="P642">
        <v>0.95</v>
      </c>
      <c r="Q642">
        <v>3.78</v>
      </c>
      <c r="R642" t="s">
        <v>1197</v>
      </c>
      <c r="S642" t="s">
        <v>195</v>
      </c>
    </row>
    <row r="643" spans="1:19" x14ac:dyDescent="0.3">
      <c r="A643" t="s">
        <v>216</v>
      </c>
      <c r="B643" t="s">
        <v>22</v>
      </c>
      <c r="C643">
        <v>2026</v>
      </c>
      <c r="D643">
        <v>1</v>
      </c>
      <c r="E643" s="2">
        <v>46048</v>
      </c>
      <c r="F643" t="s">
        <v>7</v>
      </c>
      <c r="G643" t="s">
        <v>8</v>
      </c>
      <c r="H643" t="s">
        <v>70</v>
      </c>
      <c r="I643" t="s">
        <v>84</v>
      </c>
      <c r="J643" t="s">
        <v>85</v>
      </c>
      <c r="K643" t="s">
        <v>73</v>
      </c>
      <c r="L643">
        <v>701000</v>
      </c>
      <c r="M643" t="s">
        <v>62</v>
      </c>
      <c r="N643" t="s">
        <v>33</v>
      </c>
      <c r="O643">
        <v>945</v>
      </c>
      <c r="P643">
        <v>0.95</v>
      </c>
      <c r="Q643">
        <v>0.9</v>
      </c>
      <c r="R643" t="s">
        <v>1202</v>
      </c>
      <c r="S643" t="s">
        <v>195</v>
      </c>
    </row>
    <row r="644" spans="1:19" x14ac:dyDescent="0.3">
      <c r="A644" t="s">
        <v>217</v>
      </c>
      <c r="B644" t="s">
        <v>22</v>
      </c>
      <c r="C644">
        <v>2026</v>
      </c>
      <c r="D644">
        <v>1</v>
      </c>
      <c r="E644" s="2">
        <v>46048</v>
      </c>
      <c r="F644" t="s">
        <v>7</v>
      </c>
      <c r="G644" t="s">
        <v>8</v>
      </c>
      <c r="H644" t="s">
        <v>70</v>
      </c>
      <c r="I644" t="s">
        <v>84</v>
      </c>
      <c r="J644" t="s">
        <v>85</v>
      </c>
      <c r="K644" t="s">
        <v>73</v>
      </c>
      <c r="L644">
        <v>701000</v>
      </c>
      <c r="M644" t="s">
        <v>62</v>
      </c>
      <c r="N644" t="s">
        <v>33</v>
      </c>
      <c r="O644">
        <v>3929</v>
      </c>
      <c r="P644">
        <v>0.95</v>
      </c>
      <c r="Q644">
        <v>3.73</v>
      </c>
      <c r="R644" t="s">
        <v>1199</v>
      </c>
      <c r="S644" t="s">
        <v>195</v>
      </c>
    </row>
    <row r="645" spans="1:19" x14ac:dyDescent="0.3">
      <c r="A645" t="s">
        <v>218</v>
      </c>
      <c r="B645" t="s">
        <v>22</v>
      </c>
      <c r="C645">
        <v>2026</v>
      </c>
      <c r="D645">
        <v>1</v>
      </c>
      <c r="E645" s="2">
        <v>46048</v>
      </c>
      <c r="F645" t="s">
        <v>7</v>
      </c>
      <c r="G645" t="s">
        <v>8</v>
      </c>
      <c r="H645" t="s">
        <v>70</v>
      </c>
      <c r="I645" t="s">
        <v>84</v>
      </c>
      <c r="J645" t="s">
        <v>85</v>
      </c>
      <c r="K645" t="s">
        <v>73</v>
      </c>
      <c r="L645">
        <v>701000</v>
      </c>
      <c r="M645" t="s">
        <v>62</v>
      </c>
      <c r="N645" t="s">
        <v>33</v>
      </c>
      <c r="O645">
        <v>9454</v>
      </c>
      <c r="P645">
        <v>0.95</v>
      </c>
      <c r="Q645">
        <v>8.98</v>
      </c>
      <c r="R645" t="s">
        <v>1204</v>
      </c>
      <c r="S645" t="s">
        <v>195</v>
      </c>
    </row>
    <row r="646" spans="1:19" x14ac:dyDescent="0.3">
      <c r="A646" t="s">
        <v>219</v>
      </c>
      <c r="B646" t="s">
        <v>22</v>
      </c>
      <c r="C646">
        <v>2026</v>
      </c>
      <c r="D646">
        <v>1</v>
      </c>
      <c r="E646" s="2">
        <v>46048</v>
      </c>
      <c r="F646" t="s">
        <v>7</v>
      </c>
      <c r="G646" t="s">
        <v>8</v>
      </c>
      <c r="H646" t="s">
        <v>70</v>
      </c>
      <c r="I646" t="s">
        <v>84</v>
      </c>
      <c r="J646" t="s">
        <v>85</v>
      </c>
      <c r="K646" t="s">
        <v>73</v>
      </c>
      <c r="L646">
        <v>701000</v>
      </c>
      <c r="M646" t="s">
        <v>62</v>
      </c>
      <c r="N646" t="s">
        <v>33</v>
      </c>
      <c r="O646">
        <v>714</v>
      </c>
      <c r="P646">
        <v>0.95</v>
      </c>
      <c r="Q646">
        <v>0.68</v>
      </c>
      <c r="R646" t="s">
        <v>1200</v>
      </c>
      <c r="S646" t="s">
        <v>195</v>
      </c>
    </row>
    <row r="647" spans="1:19" x14ac:dyDescent="0.3">
      <c r="A647" t="s">
        <v>295</v>
      </c>
      <c r="B647" t="s">
        <v>22</v>
      </c>
      <c r="C647">
        <v>2026</v>
      </c>
      <c r="D647">
        <v>1</v>
      </c>
      <c r="E647" s="2">
        <v>46048</v>
      </c>
      <c r="F647" t="s">
        <v>7</v>
      </c>
      <c r="G647" t="s">
        <v>8</v>
      </c>
      <c r="H647" t="s">
        <v>70</v>
      </c>
      <c r="I647" t="s">
        <v>84</v>
      </c>
      <c r="J647" t="s">
        <v>85</v>
      </c>
      <c r="K647" t="s">
        <v>73</v>
      </c>
      <c r="L647">
        <v>701000</v>
      </c>
      <c r="M647" t="s">
        <v>62</v>
      </c>
      <c r="N647" t="s">
        <v>33</v>
      </c>
      <c r="O647">
        <v>4404</v>
      </c>
      <c r="P647">
        <v>0.95</v>
      </c>
      <c r="Q647">
        <v>4.18</v>
      </c>
      <c r="R647" t="s">
        <v>1202</v>
      </c>
      <c r="S647" t="s">
        <v>195</v>
      </c>
    </row>
    <row r="648" spans="1:19" x14ac:dyDescent="0.3">
      <c r="A648" t="s">
        <v>296</v>
      </c>
      <c r="B648" t="s">
        <v>22</v>
      </c>
      <c r="C648">
        <v>2026</v>
      </c>
      <c r="D648">
        <v>1</v>
      </c>
      <c r="E648" s="2">
        <v>46048</v>
      </c>
      <c r="F648" t="s">
        <v>7</v>
      </c>
      <c r="G648" t="s">
        <v>8</v>
      </c>
      <c r="H648" t="s">
        <v>70</v>
      </c>
      <c r="I648" t="s">
        <v>84</v>
      </c>
      <c r="J648" t="s">
        <v>85</v>
      </c>
      <c r="K648" t="s">
        <v>73</v>
      </c>
      <c r="L648">
        <v>701000</v>
      </c>
      <c r="M648" t="s">
        <v>62</v>
      </c>
      <c r="N648" t="s">
        <v>33</v>
      </c>
      <c r="O648">
        <v>5231</v>
      </c>
      <c r="P648">
        <v>0.95</v>
      </c>
      <c r="Q648">
        <v>4.97</v>
      </c>
      <c r="R648" t="s">
        <v>1199</v>
      </c>
      <c r="S648" t="s">
        <v>195</v>
      </c>
    </row>
    <row r="649" spans="1:19" x14ac:dyDescent="0.3">
      <c r="A649" t="s">
        <v>297</v>
      </c>
      <c r="B649" t="s">
        <v>22</v>
      </c>
      <c r="C649">
        <v>2026</v>
      </c>
      <c r="D649">
        <v>1</v>
      </c>
      <c r="E649" s="2">
        <v>46048</v>
      </c>
      <c r="F649" t="s">
        <v>7</v>
      </c>
      <c r="G649" t="s">
        <v>8</v>
      </c>
      <c r="H649" t="s">
        <v>70</v>
      </c>
      <c r="I649" t="s">
        <v>84</v>
      </c>
      <c r="J649" t="s">
        <v>85</v>
      </c>
      <c r="K649" t="s">
        <v>73</v>
      </c>
      <c r="L649">
        <v>701000</v>
      </c>
      <c r="M649" t="s">
        <v>62</v>
      </c>
      <c r="N649" t="s">
        <v>33</v>
      </c>
      <c r="O649">
        <v>4039</v>
      </c>
      <c r="P649">
        <v>0.95</v>
      </c>
      <c r="Q649">
        <v>3.84</v>
      </c>
      <c r="R649" t="s">
        <v>1200</v>
      </c>
      <c r="S649" t="s">
        <v>195</v>
      </c>
    </row>
    <row r="650" spans="1:19" x14ac:dyDescent="0.3">
      <c r="A650" t="s">
        <v>298</v>
      </c>
      <c r="B650" t="s">
        <v>22</v>
      </c>
      <c r="C650">
        <v>2026</v>
      </c>
      <c r="D650">
        <v>1</v>
      </c>
      <c r="E650" s="2">
        <v>46048</v>
      </c>
      <c r="F650" t="s">
        <v>7</v>
      </c>
      <c r="G650" t="s">
        <v>8</v>
      </c>
      <c r="H650" t="s">
        <v>70</v>
      </c>
      <c r="I650" t="s">
        <v>84</v>
      </c>
      <c r="J650" t="s">
        <v>85</v>
      </c>
      <c r="K650" t="s">
        <v>73</v>
      </c>
      <c r="L650">
        <v>701000</v>
      </c>
      <c r="M650" t="s">
        <v>62</v>
      </c>
      <c r="N650" t="s">
        <v>33</v>
      </c>
      <c r="O650">
        <v>1769</v>
      </c>
      <c r="P650">
        <v>0.95</v>
      </c>
      <c r="Q650">
        <v>1.68</v>
      </c>
      <c r="R650" t="s">
        <v>1204</v>
      </c>
      <c r="S650" t="s">
        <v>195</v>
      </c>
    </row>
    <row r="651" spans="1:19" x14ac:dyDescent="0.3">
      <c r="A651" t="s">
        <v>299</v>
      </c>
      <c r="B651" t="s">
        <v>22</v>
      </c>
      <c r="C651">
        <v>2026</v>
      </c>
      <c r="D651">
        <v>1</v>
      </c>
      <c r="E651" s="2">
        <v>46048</v>
      </c>
      <c r="F651" t="s">
        <v>7</v>
      </c>
      <c r="G651" t="s">
        <v>8</v>
      </c>
      <c r="H651" t="s">
        <v>70</v>
      </c>
      <c r="I651" t="s">
        <v>84</v>
      </c>
      <c r="J651" t="s">
        <v>85</v>
      </c>
      <c r="K651" t="s">
        <v>73</v>
      </c>
      <c r="L651">
        <v>701000</v>
      </c>
      <c r="M651" t="s">
        <v>62</v>
      </c>
      <c r="N651" t="s">
        <v>33</v>
      </c>
      <c r="O651">
        <v>3027</v>
      </c>
      <c r="P651">
        <v>0.95</v>
      </c>
      <c r="Q651">
        <v>2.88</v>
      </c>
      <c r="R651" t="s">
        <v>1203</v>
      </c>
      <c r="S651" t="s">
        <v>195</v>
      </c>
    </row>
    <row r="652" spans="1:19" x14ac:dyDescent="0.3">
      <c r="A652" t="s">
        <v>405</v>
      </c>
      <c r="B652" t="s">
        <v>22</v>
      </c>
      <c r="C652">
        <v>2026</v>
      </c>
      <c r="D652">
        <v>1</v>
      </c>
      <c r="E652" s="2">
        <v>46048</v>
      </c>
      <c r="F652" t="s">
        <v>7</v>
      </c>
      <c r="G652" t="s">
        <v>8</v>
      </c>
      <c r="H652" t="s">
        <v>70</v>
      </c>
      <c r="I652" t="s">
        <v>75</v>
      </c>
      <c r="J652" t="s">
        <v>76</v>
      </c>
      <c r="K652" t="s">
        <v>73</v>
      </c>
      <c r="L652">
        <v>701000</v>
      </c>
      <c r="M652" t="s">
        <v>62</v>
      </c>
      <c r="N652" t="s">
        <v>33</v>
      </c>
      <c r="O652">
        <v>2246</v>
      </c>
      <c r="P652">
        <v>1.4</v>
      </c>
      <c r="Q652">
        <v>3.15</v>
      </c>
      <c r="R652" t="s">
        <v>1205</v>
      </c>
      <c r="S652" t="s">
        <v>195</v>
      </c>
    </row>
    <row r="653" spans="1:19" x14ac:dyDescent="0.3">
      <c r="A653" t="s">
        <v>406</v>
      </c>
      <c r="B653" t="s">
        <v>22</v>
      </c>
      <c r="C653">
        <v>2026</v>
      </c>
      <c r="D653">
        <v>1</v>
      </c>
      <c r="E653" s="2">
        <v>46048</v>
      </c>
      <c r="F653" t="s">
        <v>7</v>
      </c>
      <c r="G653" t="s">
        <v>8</v>
      </c>
      <c r="H653" t="s">
        <v>70</v>
      </c>
      <c r="I653" t="s">
        <v>75</v>
      </c>
      <c r="J653" t="s">
        <v>76</v>
      </c>
      <c r="K653" t="s">
        <v>73</v>
      </c>
      <c r="L653">
        <v>701000</v>
      </c>
      <c r="M653" t="s">
        <v>62</v>
      </c>
      <c r="N653" t="s">
        <v>33</v>
      </c>
      <c r="O653">
        <v>873</v>
      </c>
      <c r="P653">
        <v>1.4</v>
      </c>
      <c r="Q653">
        <v>1.22</v>
      </c>
      <c r="R653" t="s">
        <v>1202</v>
      </c>
      <c r="S653" t="s">
        <v>195</v>
      </c>
    </row>
    <row r="654" spans="1:19" x14ac:dyDescent="0.3">
      <c r="A654" t="s">
        <v>407</v>
      </c>
      <c r="B654" t="s">
        <v>22</v>
      </c>
      <c r="C654">
        <v>2026</v>
      </c>
      <c r="D654">
        <v>1</v>
      </c>
      <c r="E654" s="2">
        <v>46048</v>
      </c>
      <c r="F654" t="s">
        <v>7</v>
      </c>
      <c r="G654" t="s">
        <v>8</v>
      </c>
      <c r="H654" t="s">
        <v>70</v>
      </c>
      <c r="I654" t="s">
        <v>75</v>
      </c>
      <c r="J654" t="s">
        <v>76</v>
      </c>
      <c r="K654" t="s">
        <v>73</v>
      </c>
      <c r="L654">
        <v>701000</v>
      </c>
      <c r="M654" t="s">
        <v>62</v>
      </c>
      <c r="N654" t="s">
        <v>33</v>
      </c>
      <c r="O654">
        <v>1912</v>
      </c>
      <c r="P654">
        <v>1.4</v>
      </c>
      <c r="Q654">
        <v>2.68</v>
      </c>
      <c r="R654" t="s">
        <v>1204</v>
      </c>
      <c r="S654" t="s">
        <v>195</v>
      </c>
    </row>
    <row r="655" spans="1:19" x14ac:dyDescent="0.3">
      <c r="A655" t="s">
        <v>408</v>
      </c>
      <c r="B655" t="s">
        <v>22</v>
      </c>
      <c r="C655">
        <v>2026</v>
      </c>
      <c r="D655">
        <v>1</v>
      </c>
      <c r="E655" s="2">
        <v>46048</v>
      </c>
      <c r="F655" t="s">
        <v>7</v>
      </c>
      <c r="G655" t="s">
        <v>8</v>
      </c>
      <c r="H655" t="s">
        <v>70</v>
      </c>
      <c r="I655" t="s">
        <v>75</v>
      </c>
      <c r="J655" t="s">
        <v>76</v>
      </c>
      <c r="K655" t="s">
        <v>73</v>
      </c>
      <c r="L655">
        <v>701000</v>
      </c>
      <c r="M655" t="s">
        <v>62</v>
      </c>
      <c r="N655" t="s">
        <v>33</v>
      </c>
      <c r="O655">
        <v>913</v>
      </c>
      <c r="P655">
        <v>1.4</v>
      </c>
      <c r="Q655">
        <v>1.28</v>
      </c>
      <c r="R655" t="s">
        <v>1199</v>
      </c>
      <c r="S655" t="s">
        <v>195</v>
      </c>
    </row>
    <row r="656" spans="1:19" x14ac:dyDescent="0.3">
      <c r="A656" t="s">
        <v>409</v>
      </c>
      <c r="B656" t="s">
        <v>22</v>
      </c>
      <c r="C656">
        <v>2026</v>
      </c>
      <c r="D656">
        <v>1</v>
      </c>
      <c r="E656" s="2">
        <v>46048</v>
      </c>
      <c r="F656" t="s">
        <v>7</v>
      </c>
      <c r="G656" t="s">
        <v>8</v>
      </c>
      <c r="H656" t="s">
        <v>70</v>
      </c>
      <c r="I656" t="s">
        <v>75</v>
      </c>
      <c r="J656" t="s">
        <v>76</v>
      </c>
      <c r="K656" t="s">
        <v>73</v>
      </c>
      <c r="L656">
        <v>701000</v>
      </c>
      <c r="M656" t="s">
        <v>62</v>
      </c>
      <c r="N656" t="s">
        <v>33</v>
      </c>
      <c r="O656">
        <v>2795</v>
      </c>
      <c r="P656">
        <v>1.4</v>
      </c>
      <c r="Q656">
        <v>3.91</v>
      </c>
      <c r="R656" t="s">
        <v>1201</v>
      </c>
      <c r="S656" t="s">
        <v>195</v>
      </c>
    </row>
    <row r="657" spans="1:19" x14ac:dyDescent="0.3">
      <c r="A657" t="s">
        <v>775</v>
      </c>
      <c r="B657" t="s">
        <v>22</v>
      </c>
      <c r="C657">
        <v>2026</v>
      </c>
      <c r="D657">
        <v>1</v>
      </c>
      <c r="E657" s="2">
        <v>46048</v>
      </c>
      <c r="F657" t="s">
        <v>7</v>
      </c>
      <c r="G657" t="s">
        <v>8</v>
      </c>
      <c r="H657" t="s">
        <v>70</v>
      </c>
      <c r="I657" t="s">
        <v>82</v>
      </c>
      <c r="J657" t="s">
        <v>83</v>
      </c>
      <c r="K657" t="s">
        <v>73</v>
      </c>
      <c r="L657">
        <v>701000</v>
      </c>
      <c r="M657" t="s">
        <v>62</v>
      </c>
      <c r="N657" t="s">
        <v>33</v>
      </c>
      <c r="O657">
        <v>150</v>
      </c>
      <c r="P657">
        <v>18.47</v>
      </c>
      <c r="Q657">
        <v>2.77</v>
      </c>
      <c r="R657" t="s">
        <v>1198</v>
      </c>
      <c r="S657" t="s">
        <v>195</v>
      </c>
    </row>
    <row r="658" spans="1:19" x14ac:dyDescent="0.3">
      <c r="A658" t="s">
        <v>776</v>
      </c>
      <c r="B658" t="s">
        <v>22</v>
      </c>
      <c r="C658">
        <v>2026</v>
      </c>
      <c r="D658">
        <v>1</v>
      </c>
      <c r="E658" s="2">
        <v>46048</v>
      </c>
      <c r="F658" t="s">
        <v>7</v>
      </c>
      <c r="G658" t="s">
        <v>8</v>
      </c>
      <c r="H658" t="s">
        <v>70</v>
      </c>
      <c r="I658" t="s">
        <v>82</v>
      </c>
      <c r="J658" t="s">
        <v>83</v>
      </c>
      <c r="K658" t="s">
        <v>73</v>
      </c>
      <c r="L658">
        <v>701000</v>
      </c>
      <c r="M658" t="s">
        <v>62</v>
      </c>
      <c r="N658" t="s">
        <v>33</v>
      </c>
      <c r="O658">
        <v>105</v>
      </c>
      <c r="P658">
        <v>18.57</v>
      </c>
      <c r="Q658">
        <v>1.95</v>
      </c>
      <c r="R658" t="s">
        <v>1201</v>
      </c>
      <c r="S658" t="s">
        <v>195</v>
      </c>
    </row>
    <row r="659" spans="1:19" x14ac:dyDescent="0.3">
      <c r="A659" t="s">
        <v>777</v>
      </c>
      <c r="B659" t="s">
        <v>22</v>
      </c>
      <c r="C659">
        <v>2026</v>
      </c>
      <c r="D659">
        <v>1</v>
      </c>
      <c r="E659" s="2">
        <v>46048</v>
      </c>
      <c r="F659" t="s">
        <v>7</v>
      </c>
      <c r="G659" t="s">
        <v>8</v>
      </c>
      <c r="H659" t="s">
        <v>70</v>
      </c>
      <c r="I659" t="s">
        <v>82</v>
      </c>
      <c r="J659" t="s">
        <v>83</v>
      </c>
      <c r="K659" t="s">
        <v>73</v>
      </c>
      <c r="L659">
        <v>701000</v>
      </c>
      <c r="M659" t="s">
        <v>62</v>
      </c>
      <c r="N659" t="s">
        <v>33</v>
      </c>
      <c r="O659">
        <v>80</v>
      </c>
      <c r="P659">
        <v>18.5</v>
      </c>
      <c r="Q659">
        <v>1.48</v>
      </c>
      <c r="R659" t="s">
        <v>1205</v>
      </c>
      <c r="S659" t="s">
        <v>195</v>
      </c>
    </row>
    <row r="660" spans="1:19" x14ac:dyDescent="0.3">
      <c r="A660" t="s">
        <v>778</v>
      </c>
      <c r="B660" t="s">
        <v>22</v>
      </c>
      <c r="C660">
        <v>2026</v>
      </c>
      <c r="D660">
        <v>1</v>
      </c>
      <c r="E660" s="2">
        <v>46048</v>
      </c>
      <c r="F660" t="s">
        <v>7</v>
      </c>
      <c r="G660" t="s">
        <v>8</v>
      </c>
      <c r="H660" t="s">
        <v>70</v>
      </c>
      <c r="I660" t="s">
        <v>82</v>
      </c>
      <c r="J660" t="s">
        <v>83</v>
      </c>
      <c r="K660" t="s">
        <v>73</v>
      </c>
      <c r="L660">
        <v>701000</v>
      </c>
      <c r="M660" t="s">
        <v>62</v>
      </c>
      <c r="N660" t="s">
        <v>33</v>
      </c>
      <c r="O660">
        <v>114</v>
      </c>
      <c r="P660">
        <v>18.510000000000002</v>
      </c>
      <c r="Q660">
        <v>2.11</v>
      </c>
      <c r="R660" t="s">
        <v>1203</v>
      </c>
      <c r="S660" t="s">
        <v>195</v>
      </c>
    </row>
    <row r="661" spans="1:19" x14ac:dyDescent="0.3">
      <c r="A661" t="s">
        <v>779</v>
      </c>
      <c r="B661" t="s">
        <v>22</v>
      </c>
      <c r="C661">
        <v>2026</v>
      </c>
      <c r="D661">
        <v>1</v>
      </c>
      <c r="E661" s="2">
        <v>46048</v>
      </c>
      <c r="F661" t="s">
        <v>7</v>
      </c>
      <c r="G661" t="s">
        <v>8</v>
      </c>
      <c r="H661" t="s">
        <v>70</v>
      </c>
      <c r="I661" t="s">
        <v>82</v>
      </c>
      <c r="J661" t="s">
        <v>83</v>
      </c>
      <c r="K661" t="s">
        <v>73</v>
      </c>
      <c r="L661">
        <v>701000</v>
      </c>
      <c r="M661" t="s">
        <v>62</v>
      </c>
      <c r="N661" t="s">
        <v>33</v>
      </c>
      <c r="O661">
        <v>111</v>
      </c>
      <c r="P661">
        <v>18.38</v>
      </c>
      <c r="Q661">
        <v>2.04</v>
      </c>
      <c r="R661" t="s">
        <v>1202</v>
      </c>
      <c r="S661" t="s">
        <v>195</v>
      </c>
    </row>
    <row r="662" spans="1:19" x14ac:dyDescent="0.3">
      <c r="A662" t="s">
        <v>205</v>
      </c>
      <c r="B662" t="s">
        <v>22</v>
      </c>
      <c r="C662">
        <v>2026</v>
      </c>
      <c r="D662">
        <v>1</v>
      </c>
      <c r="E662" s="2">
        <v>46049</v>
      </c>
      <c r="F662" t="s">
        <v>7</v>
      </c>
      <c r="G662" t="s">
        <v>8</v>
      </c>
      <c r="H662" t="s">
        <v>70</v>
      </c>
      <c r="I662" t="s">
        <v>84</v>
      </c>
      <c r="J662" t="s">
        <v>85</v>
      </c>
      <c r="K662" t="s">
        <v>73</v>
      </c>
      <c r="L662">
        <v>701000</v>
      </c>
      <c r="M662" t="s">
        <v>62</v>
      </c>
      <c r="N662" t="s">
        <v>33</v>
      </c>
      <c r="O662">
        <v>1603</v>
      </c>
      <c r="P662">
        <v>0.95</v>
      </c>
      <c r="Q662">
        <v>1.52</v>
      </c>
      <c r="R662" t="s">
        <v>1201</v>
      </c>
      <c r="S662" t="s">
        <v>195</v>
      </c>
    </row>
    <row r="663" spans="1:19" x14ac:dyDescent="0.3">
      <c r="A663" t="s">
        <v>206</v>
      </c>
      <c r="B663" t="s">
        <v>22</v>
      </c>
      <c r="C663">
        <v>2026</v>
      </c>
      <c r="D663">
        <v>1</v>
      </c>
      <c r="E663" s="2">
        <v>46049</v>
      </c>
      <c r="F663" t="s">
        <v>7</v>
      </c>
      <c r="G663" t="s">
        <v>8</v>
      </c>
      <c r="H663" t="s">
        <v>70</v>
      </c>
      <c r="I663" t="s">
        <v>84</v>
      </c>
      <c r="J663" t="s">
        <v>85</v>
      </c>
      <c r="K663" t="s">
        <v>73</v>
      </c>
      <c r="L663">
        <v>701000</v>
      </c>
      <c r="M663" t="s">
        <v>62</v>
      </c>
      <c r="N663" t="s">
        <v>33</v>
      </c>
      <c r="O663">
        <v>2956</v>
      </c>
      <c r="P663">
        <v>0.95</v>
      </c>
      <c r="Q663">
        <v>2.81</v>
      </c>
      <c r="R663" t="s">
        <v>1204</v>
      </c>
      <c r="S663" t="s">
        <v>195</v>
      </c>
    </row>
    <row r="664" spans="1:19" x14ac:dyDescent="0.3">
      <c r="A664" t="s">
        <v>207</v>
      </c>
      <c r="B664" t="s">
        <v>22</v>
      </c>
      <c r="C664">
        <v>2026</v>
      </c>
      <c r="D664">
        <v>1</v>
      </c>
      <c r="E664" s="2">
        <v>46049</v>
      </c>
      <c r="F664" t="s">
        <v>7</v>
      </c>
      <c r="G664" t="s">
        <v>8</v>
      </c>
      <c r="H664" t="s">
        <v>70</v>
      </c>
      <c r="I664" t="s">
        <v>84</v>
      </c>
      <c r="J664" t="s">
        <v>85</v>
      </c>
      <c r="K664" t="s">
        <v>73</v>
      </c>
      <c r="L664">
        <v>701000</v>
      </c>
      <c r="M664" t="s">
        <v>62</v>
      </c>
      <c r="N664" t="s">
        <v>33</v>
      </c>
      <c r="O664">
        <v>1767</v>
      </c>
      <c r="P664">
        <v>0.95</v>
      </c>
      <c r="Q664">
        <v>1.68</v>
      </c>
      <c r="R664" t="s">
        <v>1202</v>
      </c>
      <c r="S664" t="s">
        <v>195</v>
      </c>
    </row>
    <row r="665" spans="1:19" x14ac:dyDescent="0.3">
      <c r="A665" t="s">
        <v>208</v>
      </c>
      <c r="B665" t="s">
        <v>22</v>
      </c>
      <c r="C665">
        <v>2026</v>
      </c>
      <c r="D665">
        <v>1</v>
      </c>
      <c r="E665" s="2">
        <v>46049</v>
      </c>
      <c r="F665" t="s">
        <v>7</v>
      </c>
      <c r="G665" t="s">
        <v>8</v>
      </c>
      <c r="H665" t="s">
        <v>70</v>
      </c>
      <c r="I665" t="s">
        <v>84</v>
      </c>
      <c r="J665" t="s">
        <v>85</v>
      </c>
      <c r="K665" t="s">
        <v>73</v>
      </c>
      <c r="L665">
        <v>701000</v>
      </c>
      <c r="M665" t="s">
        <v>62</v>
      </c>
      <c r="N665" t="s">
        <v>33</v>
      </c>
      <c r="O665">
        <v>8038</v>
      </c>
      <c r="P665">
        <v>0.95</v>
      </c>
      <c r="Q665">
        <v>7.63</v>
      </c>
      <c r="R665" t="s">
        <v>1199</v>
      </c>
      <c r="S665" t="s">
        <v>195</v>
      </c>
    </row>
    <row r="666" spans="1:19" x14ac:dyDescent="0.3">
      <c r="A666" t="s">
        <v>209</v>
      </c>
      <c r="B666" t="s">
        <v>22</v>
      </c>
      <c r="C666">
        <v>2026</v>
      </c>
      <c r="D666">
        <v>1</v>
      </c>
      <c r="E666" s="2">
        <v>46049</v>
      </c>
      <c r="F666" t="s">
        <v>7</v>
      </c>
      <c r="G666" t="s">
        <v>8</v>
      </c>
      <c r="H666" t="s">
        <v>70</v>
      </c>
      <c r="I666" t="s">
        <v>84</v>
      </c>
      <c r="J666" t="s">
        <v>85</v>
      </c>
      <c r="K666" t="s">
        <v>73</v>
      </c>
      <c r="L666">
        <v>701000</v>
      </c>
      <c r="M666" t="s">
        <v>62</v>
      </c>
      <c r="N666" t="s">
        <v>33</v>
      </c>
      <c r="O666">
        <v>2144</v>
      </c>
      <c r="P666">
        <v>0.95</v>
      </c>
      <c r="Q666">
        <v>2.04</v>
      </c>
      <c r="R666" t="s">
        <v>1198</v>
      </c>
      <c r="S666" t="s">
        <v>195</v>
      </c>
    </row>
    <row r="667" spans="1:19" x14ac:dyDescent="0.3">
      <c r="A667" t="s">
        <v>225</v>
      </c>
      <c r="B667" t="s">
        <v>22</v>
      </c>
      <c r="C667">
        <v>2026</v>
      </c>
      <c r="D667">
        <v>1</v>
      </c>
      <c r="E667" s="2">
        <v>46049</v>
      </c>
      <c r="F667" t="s">
        <v>7</v>
      </c>
      <c r="G667" t="s">
        <v>8</v>
      </c>
      <c r="H667" t="s">
        <v>70</v>
      </c>
      <c r="I667" t="s">
        <v>84</v>
      </c>
      <c r="J667" t="s">
        <v>85</v>
      </c>
      <c r="K667" t="s">
        <v>73</v>
      </c>
      <c r="L667">
        <v>701000</v>
      </c>
      <c r="M667" t="s">
        <v>62</v>
      </c>
      <c r="N667" t="s">
        <v>33</v>
      </c>
      <c r="O667">
        <v>2672</v>
      </c>
      <c r="P667">
        <v>0.95</v>
      </c>
      <c r="Q667">
        <v>2.54</v>
      </c>
      <c r="R667" t="s">
        <v>1199</v>
      </c>
      <c r="S667" t="s">
        <v>195</v>
      </c>
    </row>
    <row r="668" spans="1:19" x14ac:dyDescent="0.3">
      <c r="A668" t="s">
        <v>226</v>
      </c>
      <c r="B668" t="s">
        <v>22</v>
      </c>
      <c r="C668">
        <v>2026</v>
      </c>
      <c r="D668">
        <v>1</v>
      </c>
      <c r="E668" s="2">
        <v>46049</v>
      </c>
      <c r="F668" t="s">
        <v>7</v>
      </c>
      <c r="G668" t="s">
        <v>8</v>
      </c>
      <c r="H668" t="s">
        <v>70</v>
      </c>
      <c r="I668" t="s">
        <v>84</v>
      </c>
      <c r="J668" t="s">
        <v>85</v>
      </c>
      <c r="K668" t="s">
        <v>73</v>
      </c>
      <c r="L668">
        <v>701000</v>
      </c>
      <c r="M668" t="s">
        <v>62</v>
      </c>
      <c r="N668" t="s">
        <v>33</v>
      </c>
      <c r="O668">
        <v>4996</v>
      </c>
      <c r="P668">
        <v>0.95</v>
      </c>
      <c r="Q668">
        <v>4.75</v>
      </c>
      <c r="R668" t="s">
        <v>1205</v>
      </c>
      <c r="S668" t="s">
        <v>195</v>
      </c>
    </row>
    <row r="669" spans="1:19" x14ac:dyDescent="0.3">
      <c r="A669" t="s">
        <v>227</v>
      </c>
      <c r="B669" t="s">
        <v>22</v>
      </c>
      <c r="C669">
        <v>2026</v>
      </c>
      <c r="D669">
        <v>1</v>
      </c>
      <c r="E669" s="2">
        <v>46049</v>
      </c>
      <c r="F669" t="s">
        <v>7</v>
      </c>
      <c r="G669" t="s">
        <v>8</v>
      </c>
      <c r="H669" t="s">
        <v>70</v>
      </c>
      <c r="I669" t="s">
        <v>84</v>
      </c>
      <c r="J669" t="s">
        <v>85</v>
      </c>
      <c r="K669" t="s">
        <v>73</v>
      </c>
      <c r="L669">
        <v>701000</v>
      </c>
      <c r="M669" t="s">
        <v>62</v>
      </c>
      <c r="N669" t="s">
        <v>33</v>
      </c>
      <c r="O669">
        <v>4257</v>
      </c>
      <c r="P669">
        <v>0.95</v>
      </c>
      <c r="Q669">
        <v>4.05</v>
      </c>
      <c r="R669" t="s">
        <v>1201</v>
      </c>
      <c r="S669" t="s">
        <v>195</v>
      </c>
    </row>
    <row r="670" spans="1:19" x14ac:dyDescent="0.3">
      <c r="A670" t="s">
        <v>228</v>
      </c>
      <c r="B670" t="s">
        <v>22</v>
      </c>
      <c r="C670">
        <v>2026</v>
      </c>
      <c r="D670">
        <v>1</v>
      </c>
      <c r="E670" s="2">
        <v>46049</v>
      </c>
      <c r="F670" t="s">
        <v>7</v>
      </c>
      <c r="G670" t="s">
        <v>8</v>
      </c>
      <c r="H670" t="s">
        <v>70</v>
      </c>
      <c r="I670" t="s">
        <v>84</v>
      </c>
      <c r="J670" t="s">
        <v>85</v>
      </c>
      <c r="K670" t="s">
        <v>73</v>
      </c>
      <c r="L670">
        <v>701000</v>
      </c>
      <c r="M670" t="s">
        <v>62</v>
      </c>
      <c r="N670" t="s">
        <v>33</v>
      </c>
      <c r="O670">
        <v>2193</v>
      </c>
      <c r="P670">
        <v>0.95</v>
      </c>
      <c r="Q670">
        <v>2.08</v>
      </c>
      <c r="R670" t="s">
        <v>1203</v>
      </c>
      <c r="S670" t="s">
        <v>195</v>
      </c>
    </row>
    <row r="671" spans="1:19" x14ac:dyDescent="0.3">
      <c r="A671" t="s">
        <v>229</v>
      </c>
      <c r="B671" t="s">
        <v>22</v>
      </c>
      <c r="C671">
        <v>2026</v>
      </c>
      <c r="D671">
        <v>1</v>
      </c>
      <c r="E671" s="2">
        <v>46049</v>
      </c>
      <c r="F671" t="s">
        <v>7</v>
      </c>
      <c r="G671" t="s">
        <v>8</v>
      </c>
      <c r="H671" t="s">
        <v>70</v>
      </c>
      <c r="I671" t="s">
        <v>84</v>
      </c>
      <c r="J671" t="s">
        <v>85</v>
      </c>
      <c r="K671" t="s">
        <v>73</v>
      </c>
      <c r="L671">
        <v>701000</v>
      </c>
      <c r="M671" t="s">
        <v>62</v>
      </c>
      <c r="N671" t="s">
        <v>33</v>
      </c>
      <c r="O671">
        <v>2309</v>
      </c>
      <c r="P671">
        <v>0.95</v>
      </c>
      <c r="Q671">
        <v>2.19</v>
      </c>
      <c r="R671" t="s">
        <v>1198</v>
      </c>
      <c r="S671" t="s">
        <v>195</v>
      </c>
    </row>
    <row r="672" spans="1:19" x14ac:dyDescent="0.3">
      <c r="A672" t="s">
        <v>345</v>
      </c>
      <c r="B672" t="s">
        <v>22</v>
      </c>
      <c r="C672">
        <v>2026</v>
      </c>
      <c r="D672">
        <v>1</v>
      </c>
      <c r="E672" s="2">
        <v>46050</v>
      </c>
      <c r="F672" t="s">
        <v>7</v>
      </c>
      <c r="G672" t="s">
        <v>8</v>
      </c>
      <c r="H672" t="s">
        <v>74</v>
      </c>
      <c r="I672" t="s">
        <v>71</v>
      </c>
      <c r="J672" t="s">
        <v>72</v>
      </c>
      <c r="K672" t="s">
        <v>73</v>
      </c>
      <c r="L672">
        <v>701000</v>
      </c>
      <c r="M672" t="s">
        <v>62</v>
      </c>
      <c r="N672" t="s">
        <v>33</v>
      </c>
      <c r="O672">
        <v>3441</v>
      </c>
      <c r="P672">
        <v>1.05</v>
      </c>
      <c r="Q672">
        <v>3.61</v>
      </c>
      <c r="R672" t="s">
        <v>1198</v>
      </c>
      <c r="S672" t="s">
        <v>195</v>
      </c>
    </row>
    <row r="673" spans="1:19" x14ac:dyDescent="0.3">
      <c r="A673" t="s">
        <v>346</v>
      </c>
      <c r="B673" t="s">
        <v>22</v>
      </c>
      <c r="C673">
        <v>2026</v>
      </c>
      <c r="D673">
        <v>1</v>
      </c>
      <c r="E673" s="2">
        <v>46050</v>
      </c>
      <c r="F673" t="s">
        <v>7</v>
      </c>
      <c r="G673" t="s">
        <v>8</v>
      </c>
      <c r="H673" t="s">
        <v>74</v>
      </c>
      <c r="I673" t="s">
        <v>71</v>
      </c>
      <c r="J673" t="s">
        <v>72</v>
      </c>
      <c r="K673" t="s">
        <v>73</v>
      </c>
      <c r="L673">
        <v>701000</v>
      </c>
      <c r="M673" t="s">
        <v>62</v>
      </c>
      <c r="N673" t="s">
        <v>33</v>
      </c>
      <c r="O673">
        <v>2380</v>
      </c>
      <c r="P673">
        <v>1.05</v>
      </c>
      <c r="Q673">
        <v>2.5</v>
      </c>
      <c r="R673" t="s">
        <v>1199</v>
      </c>
      <c r="S673" t="s">
        <v>195</v>
      </c>
    </row>
    <row r="674" spans="1:19" x14ac:dyDescent="0.3">
      <c r="A674" t="s">
        <v>347</v>
      </c>
      <c r="B674" t="s">
        <v>22</v>
      </c>
      <c r="C674">
        <v>2026</v>
      </c>
      <c r="D674">
        <v>1</v>
      </c>
      <c r="E674" s="2">
        <v>46050</v>
      </c>
      <c r="F674" t="s">
        <v>7</v>
      </c>
      <c r="G674" t="s">
        <v>8</v>
      </c>
      <c r="H674" t="s">
        <v>74</v>
      </c>
      <c r="I674" t="s">
        <v>71</v>
      </c>
      <c r="J674" t="s">
        <v>72</v>
      </c>
      <c r="K674" t="s">
        <v>73</v>
      </c>
      <c r="L674">
        <v>701000</v>
      </c>
      <c r="M674" t="s">
        <v>62</v>
      </c>
      <c r="N674" t="s">
        <v>33</v>
      </c>
      <c r="O674">
        <v>3680</v>
      </c>
      <c r="P674">
        <v>1.05</v>
      </c>
      <c r="Q674">
        <v>3.86</v>
      </c>
      <c r="R674" t="s">
        <v>1203</v>
      </c>
      <c r="S674" t="s">
        <v>195</v>
      </c>
    </row>
    <row r="675" spans="1:19" x14ac:dyDescent="0.3">
      <c r="A675" t="s">
        <v>348</v>
      </c>
      <c r="B675" t="s">
        <v>22</v>
      </c>
      <c r="C675">
        <v>2026</v>
      </c>
      <c r="D675">
        <v>1</v>
      </c>
      <c r="E675" s="2">
        <v>46050</v>
      </c>
      <c r="F675" t="s">
        <v>7</v>
      </c>
      <c r="G675" t="s">
        <v>8</v>
      </c>
      <c r="H675" t="s">
        <v>74</v>
      </c>
      <c r="I675" t="s">
        <v>71</v>
      </c>
      <c r="J675" t="s">
        <v>72</v>
      </c>
      <c r="K675" t="s">
        <v>73</v>
      </c>
      <c r="L675">
        <v>701000</v>
      </c>
      <c r="M675" t="s">
        <v>62</v>
      </c>
      <c r="N675" t="s">
        <v>33</v>
      </c>
      <c r="O675">
        <v>4584</v>
      </c>
      <c r="P675">
        <v>1.05</v>
      </c>
      <c r="Q675">
        <v>4.8099999999999996</v>
      </c>
      <c r="R675" t="s">
        <v>1204</v>
      </c>
      <c r="S675" t="s">
        <v>195</v>
      </c>
    </row>
    <row r="676" spans="1:19" x14ac:dyDescent="0.3">
      <c r="A676" t="s">
        <v>349</v>
      </c>
      <c r="B676" t="s">
        <v>22</v>
      </c>
      <c r="C676">
        <v>2026</v>
      </c>
      <c r="D676">
        <v>1</v>
      </c>
      <c r="E676" s="2">
        <v>46050</v>
      </c>
      <c r="F676" t="s">
        <v>7</v>
      </c>
      <c r="G676" t="s">
        <v>8</v>
      </c>
      <c r="H676" t="s">
        <v>74</v>
      </c>
      <c r="I676" t="s">
        <v>71</v>
      </c>
      <c r="J676" t="s">
        <v>72</v>
      </c>
      <c r="K676" t="s">
        <v>73</v>
      </c>
      <c r="L676">
        <v>701000</v>
      </c>
      <c r="M676" t="s">
        <v>62</v>
      </c>
      <c r="N676" t="s">
        <v>33</v>
      </c>
      <c r="O676">
        <v>2167</v>
      </c>
      <c r="P676">
        <v>1.05</v>
      </c>
      <c r="Q676">
        <v>2.2799999999999998</v>
      </c>
      <c r="R676" t="s">
        <v>1197</v>
      </c>
      <c r="S676" t="s">
        <v>195</v>
      </c>
    </row>
    <row r="677" spans="1:19" x14ac:dyDescent="0.3">
      <c r="A677" t="s">
        <v>425</v>
      </c>
      <c r="B677" t="s">
        <v>22</v>
      </c>
      <c r="C677">
        <v>2026</v>
      </c>
      <c r="D677">
        <v>1</v>
      </c>
      <c r="E677" s="2">
        <v>46050</v>
      </c>
      <c r="F677" t="s">
        <v>7</v>
      </c>
      <c r="G677" t="s">
        <v>8</v>
      </c>
      <c r="H677" t="s">
        <v>70</v>
      </c>
      <c r="I677" t="s">
        <v>75</v>
      </c>
      <c r="J677" t="s">
        <v>76</v>
      </c>
      <c r="K677" t="s">
        <v>73</v>
      </c>
      <c r="L677">
        <v>707000</v>
      </c>
      <c r="M677" t="s">
        <v>81</v>
      </c>
      <c r="N677" t="s">
        <v>33</v>
      </c>
      <c r="O677">
        <v>1553</v>
      </c>
      <c r="P677">
        <v>1.4</v>
      </c>
      <c r="Q677">
        <v>2.17</v>
      </c>
      <c r="R677" t="s">
        <v>1204</v>
      </c>
      <c r="S677" t="s">
        <v>195</v>
      </c>
    </row>
    <row r="678" spans="1:19" x14ac:dyDescent="0.3">
      <c r="A678" t="s">
        <v>426</v>
      </c>
      <c r="B678" t="s">
        <v>22</v>
      </c>
      <c r="C678">
        <v>2026</v>
      </c>
      <c r="D678">
        <v>1</v>
      </c>
      <c r="E678" s="2">
        <v>46050</v>
      </c>
      <c r="F678" t="s">
        <v>7</v>
      </c>
      <c r="G678" t="s">
        <v>8</v>
      </c>
      <c r="H678" t="s">
        <v>70</v>
      </c>
      <c r="I678" t="s">
        <v>75</v>
      </c>
      <c r="J678" t="s">
        <v>76</v>
      </c>
      <c r="K678" t="s">
        <v>73</v>
      </c>
      <c r="L678">
        <v>707000</v>
      </c>
      <c r="M678" t="s">
        <v>81</v>
      </c>
      <c r="N678" t="s">
        <v>33</v>
      </c>
      <c r="O678">
        <v>1546</v>
      </c>
      <c r="P678">
        <v>1.4</v>
      </c>
      <c r="Q678">
        <v>2.17</v>
      </c>
      <c r="R678" t="s">
        <v>1205</v>
      </c>
      <c r="S678" t="s">
        <v>195</v>
      </c>
    </row>
    <row r="679" spans="1:19" x14ac:dyDescent="0.3">
      <c r="A679" t="s">
        <v>427</v>
      </c>
      <c r="B679" t="s">
        <v>22</v>
      </c>
      <c r="C679">
        <v>2026</v>
      </c>
      <c r="D679">
        <v>1</v>
      </c>
      <c r="E679" s="2">
        <v>46050</v>
      </c>
      <c r="F679" t="s">
        <v>7</v>
      </c>
      <c r="G679" t="s">
        <v>8</v>
      </c>
      <c r="H679" t="s">
        <v>70</v>
      </c>
      <c r="I679" t="s">
        <v>75</v>
      </c>
      <c r="J679" t="s">
        <v>76</v>
      </c>
      <c r="K679" t="s">
        <v>73</v>
      </c>
      <c r="L679">
        <v>707000</v>
      </c>
      <c r="M679" t="s">
        <v>81</v>
      </c>
      <c r="N679" t="s">
        <v>33</v>
      </c>
      <c r="O679">
        <v>1441</v>
      </c>
      <c r="P679">
        <v>1.4</v>
      </c>
      <c r="Q679">
        <v>2.02</v>
      </c>
      <c r="R679" t="s">
        <v>1201</v>
      </c>
      <c r="S679" t="s">
        <v>195</v>
      </c>
    </row>
    <row r="680" spans="1:19" x14ac:dyDescent="0.3">
      <c r="A680" t="s">
        <v>428</v>
      </c>
      <c r="B680" t="s">
        <v>22</v>
      </c>
      <c r="C680">
        <v>2026</v>
      </c>
      <c r="D680">
        <v>1</v>
      </c>
      <c r="E680" s="2">
        <v>46050</v>
      </c>
      <c r="F680" t="s">
        <v>7</v>
      </c>
      <c r="G680" t="s">
        <v>8</v>
      </c>
      <c r="H680" t="s">
        <v>70</v>
      </c>
      <c r="I680" t="s">
        <v>75</v>
      </c>
      <c r="J680" t="s">
        <v>76</v>
      </c>
      <c r="K680" t="s">
        <v>73</v>
      </c>
      <c r="L680">
        <v>707000</v>
      </c>
      <c r="M680" t="s">
        <v>81</v>
      </c>
      <c r="N680" t="s">
        <v>33</v>
      </c>
      <c r="O680">
        <v>3925</v>
      </c>
      <c r="P680">
        <v>1.4</v>
      </c>
      <c r="Q680">
        <v>5.5</v>
      </c>
      <c r="R680" t="s">
        <v>1202</v>
      </c>
      <c r="S680" t="s">
        <v>195</v>
      </c>
    </row>
    <row r="681" spans="1:19" x14ac:dyDescent="0.3">
      <c r="A681" t="s">
        <v>429</v>
      </c>
      <c r="B681" t="s">
        <v>22</v>
      </c>
      <c r="C681">
        <v>2026</v>
      </c>
      <c r="D681">
        <v>1</v>
      </c>
      <c r="E681" s="2">
        <v>46050</v>
      </c>
      <c r="F681" t="s">
        <v>7</v>
      </c>
      <c r="G681" t="s">
        <v>8</v>
      </c>
      <c r="H681" t="s">
        <v>70</v>
      </c>
      <c r="I681" t="s">
        <v>75</v>
      </c>
      <c r="J681" t="s">
        <v>76</v>
      </c>
      <c r="K681" t="s">
        <v>73</v>
      </c>
      <c r="L681">
        <v>707000</v>
      </c>
      <c r="M681" t="s">
        <v>81</v>
      </c>
      <c r="N681" t="s">
        <v>33</v>
      </c>
      <c r="O681">
        <v>953</v>
      </c>
      <c r="P681">
        <v>1.4</v>
      </c>
      <c r="Q681">
        <v>1.33</v>
      </c>
      <c r="R681" t="s">
        <v>1200</v>
      </c>
      <c r="S681" t="s">
        <v>195</v>
      </c>
    </row>
    <row r="682" spans="1:19" x14ac:dyDescent="0.3">
      <c r="A682" t="s">
        <v>685</v>
      </c>
      <c r="B682" t="s">
        <v>22</v>
      </c>
      <c r="C682">
        <v>2026</v>
      </c>
      <c r="D682">
        <v>1</v>
      </c>
      <c r="E682" s="2">
        <v>46050</v>
      </c>
      <c r="F682" t="s">
        <v>7</v>
      </c>
      <c r="G682" t="s">
        <v>8</v>
      </c>
      <c r="H682" t="s">
        <v>70</v>
      </c>
      <c r="I682" t="s">
        <v>79</v>
      </c>
      <c r="J682" t="s">
        <v>80</v>
      </c>
      <c r="K682" t="s">
        <v>73</v>
      </c>
      <c r="L682">
        <v>701000</v>
      </c>
      <c r="M682" t="s">
        <v>62</v>
      </c>
      <c r="N682" t="s">
        <v>33</v>
      </c>
      <c r="O682">
        <v>531</v>
      </c>
      <c r="P682">
        <v>2.6</v>
      </c>
      <c r="Q682">
        <v>1.38</v>
      </c>
      <c r="R682" t="s">
        <v>1200</v>
      </c>
      <c r="S682" t="s">
        <v>195</v>
      </c>
    </row>
    <row r="683" spans="1:19" x14ac:dyDescent="0.3">
      <c r="A683" t="s">
        <v>686</v>
      </c>
      <c r="B683" t="s">
        <v>22</v>
      </c>
      <c r="C683">
        <v>2026</v>
      </c>
      <c r="D683">
        <v>1</v>
      </c>
      <c r="E683" s="2">
        <v>46050</v>
      </c>
      <c r="F683" t="s">
        <v>7</v>
      </c>
      <c r="G683" t="s">
        <v>8</v>
      </c>
      <c r="H683" t="s">
        <v>70</v>
      </c>
      <c r="I683" t="s">
        <v>79</v>
      </c>
      <c r="J683" t="s">
        <v>80</v>
      </c>
      <c r="K683" t="s">
        <v>73</v>
      </c>
      <c r="L683">
        <v>701000</v>
      </c>
      <c r="M683" t="s">
        <v>62</v>
      </c>
      <c r="N683" t="s">
        <v>33</v>
      </c>
      <c r="O683">
        <v>2131</v>
      </c>
      <c r="P683">
        <v>2.6</v>
      </c>
      <c r="Q683">
        <v>5.54</v>
      </c>
      <c r="R683" t="s">
        <v>1197</v>
      </c>
      <c r="S683" t="s">
        <v>195</v>
      </c>
    </row>
    <row r="684" spans="1:19" x14ac:dyDescent="0.3">
      <c r="A684" t="s">
        <v>687</v>
      </c>
      <c r="B684" t="s">
        <v>22</v>
      </c>
      <c r="C684">
        <v>2026</v>
      </c>
      <c r="D684">
        <v>1</v>
      </c>
      <c r="E684" s="2">
        <v>46050</v>
      </c>
      <c r="F684" t="s">
        <v>7</v>
      </c>
      <c r="G684" t="s">
        <v>8</v>
      </c>
      <c r="H684" t="s">
        <v>70</v>
      </c>
      <c r="I684" t="s">
        <v>79</v>
      </c>
      <c r="J684" t="s">
        <v>80</v>
      </c>
      <c r="K684" t="s">
        <v>73</v>
      </c>
      <c r="L684">
        <v>701000</v>
      </c>
      <c r="M684" t="s">
        <v>62</v>
      </c>
      <c r="N684" t="s">
        <v>33</v>
      </c>
      <c r="O684">
        <v>919</v>
      </c>
      <c r="P684">
        <v>2.6</v>
      </c>
      <c r="Q684">
        <v>2.39</v>
      </c>
      <c r="R684" t="s">
        <v>1202</v>
      </c>
      <c r="S684" t="s">
        <v>195</v>
      </c>
    </row>
    <row r="685" spans="1:19" x14ac:dyDescent="0.3">
      <c r="A685" t="s">
        <v>688</v>
      </c>
      <c r="B685" t="s">
        <v>22</v>
      </c>
      <c r="C685">
        <v>2026</v>
      </c>
      <c r="D685">
        <v>1</v>
      </c>
      <c r="E685" s="2">
        <v>46050</v>
      </c>
      <c r="F685" t="s">
        <v>7</v>
      </c>
      <c r="G685" t="s">
        <v>8</v>
      </c>
      <c r="H685" t="s">
        <v>70</v>
      </c>
      <c r="I685" t="s">
        <v>79</v>
      </c>
      <c r="J685" t="s">
        <v>80</v>
      </c>
      <c r="K685" t="s">
        <v>73</v>
      </c>
      <c r="L685">
        <v>701000</v>
      </c>
      <c r="M685" t="s">
        <v>62</v>
      </c>
      <c r="N685" t="s">
        <v>33</v>
      </c>
      <c r="O685">
        <v>2562</v>
      </c>
      <c r="P685">
        <v>2.6</v>
      </c>
      <c r="Q685">
        <v>6.66</v>
      </c>
      <c r="R685" t="s">
        <v>1201</v>
      </c>
      <c r="S685" t="s">
        <v>195</v>
      </c>
    </row>
    <row r="686" spans="1:19" x14ac:dyDescent="0.3">
      <c r="A686" t="s">
        <v>689</v>
      </c>
      <c r="B686" t="s">
        <v>22</v>
      </c>
      <c r="C686">
        <v>2026</v>
      </c>
      <c r="D686">
        <v>1</v>
      </c>
      <c r="E686" s="2">
        <v>46050</v>
      </c>
      <c r="F686" t="s">
        <v>7</v>
      </c>
      <c r="G686" t="s">
        <v>8</v>
      </c>
      <c r="H686" t="s">
        <v>70</v>
      </c>
      <c r="I686" t="s">
        <v>79</v>
      </c>
      <c r="J686" t="s">
        <v>80</v>
      </c>
      <c r="K686" t="s">
        <v>73</v>
      </c>
      <c r="L686">
        <v>701000</v>
      </c>
      <c r="M686" t="s">
        <v>62</v>
      </c>
      <c r="N686" t="s">
        <v>33</v>
      </c>
      <c r="O686">
        <v>1602</v>
      </c>
      <c r="P686">
        <v>2.6</v>
      </c>
      <c r="Q686">
        <v>4.17</v>
      </c>
      <c r="R686" t="s">
        <v>1198</v>
      </c>
      <c r="S686" t="s">
        <v>195</v>
      </c>
    </row>
    <row r="687" spans="1:19" x14ac:dyDescent="0.3">
      <c r="A687" t="s">
        <v>735</v>
      </c>
      <c r="B687" t="s">
        <v>22</v>
      </c>
      <c r="C687">
        <v>2026</v>
      </c>
      <c r="D687">
        <v>1</v>
      </c>
      <c r="E687" s="2">
        <v>46050</v>
      </c>
      <c r="F687" t="s">
        <v>7</v>
      </c>
      <c r="G687" t="s">
        <v>8</v>
      </c>
      <c r="H687" t="s">
        <v>74</v>
      </c>
      <c r="I687" t="s">
        <v>79</v>
      </c>
      <c r="J687" t="s">
        <v>80</v>
      </c>
      <c r="K687" t="s">
        <v>73</v>
      </c>
      <c r="L687">
        <v>709000</v>
      </c>
      <c r="M687" t="s">
        <v>86</v>
      </c>
      <c r="N687" t="s">
        <v>33</v>
      </c>
      <c r="O687">
        <v>0</v>
      </c>
      <c r="P687">
        <v>-1400</v>
      </c>
      <c r="Q687">
        <v>-1.4</v>
      </c>
      <c r="R687" t="s">
        <v>1205</v>
      </c>
      <c r="S687" t="s">
        <v>195</v>
      </c>
    </row>
    <row r="688" spans="1:19" x14ac:dyDescent="0.3">
      <c r="A688" t="s">
        <v>736</v>
      </c>
      <c r="B688" t="s">
        <v>22</v>
      </c>
      <c r="C688">
        <v>2026</v>
      </c>
      <c r="D688">
        <v>1</v>
      </c>
      <c r="E688" s="2">
        <v>46050</v>
      </c>
      <c r="F688" t="s">
        <v>7</v>
      </c>
      <c r="G688" t="s">
        <v>8</v>
      </c>
      <c r="H688" t="s">
        <v>74</v>
      </c>
      <c r="I688" t="s">
        <v>79</v>
      </c>
      <c r="J688" t="s">
        <v>80</v>
      </c>
      <c r="K688" t="s">
        <v>73</v>
      </c>
      <c r="L688">
        <v>709000</v>
      </c>
      <c r="M688" t="s">
        <v>86</v>
      </c>
      <c r="N688" t="s">
        <v>33</v>
      </c>
      <c r="O688">
        <v>0</v>
      </c>
      <c r="P688">
        <v>-660</v>
      </c>
      <c r="Q688">
        <v>-0.66</v>
      </c>
      <c r="R688" t="s">
        <v>1198</v>
      </c>
      <c r="S688" t="s">
        <v>195</v>
      </c>
    </row>
    <row r="689" spans="1:19" x14ac:dyDescent="0.3">
      <c r="A689" t="s">
        <v>737</v>
      </c>
      <c r="B689" t="s">
        <v>22</v>
      </c>
      <c r="C689">
        <v>2026</v>
      </c>
      <c r="D689">
        <v>1</v>
      </c>
      <c r="E689" s="2">
        <v>46050</v>
      </c>
      <c r="F689" t="s">
        <v>7</v>
      </c>
      <c r="G689" t="s">
        <v>8</v>
      </c>
      <c r="H689" t="s">
        <v>74</v>
      </c>
      <c r="I689" t="s">
        <v>79</v>
      </c>
      <c r="J689" t="s">
        <v>80</v>
      </c>
      <c r="K689" t="s">
        <v>73</v>
      </c>
      <c r="L689">
        <v>709000</v>
      </c>
      <c r="M689" t="s">
        <v>86</v>
      </c>
      <c r="N689" t="s">
        <v>33</v>
      </c>
      <c r="O689">
        <v>0</v>
      </c>
      <c r="P689">
        <v>-310</v>
      </c>
      <c r="Q689">
        <v>-0.31</v>
      </c>
      <c r="R689" t="s">
        <v>1202</v>
      </c>
      <c r="S689" t="s">
        <v>195</v>
      </c>
    </row>
    <row r="690" spans="1:19" x14ac:dyDescent="0.3">
      <c r="A690" t="s">
        <v>738</v>
      </c>
      <c r="B690" t="s">
        <v>22</v>
      </c>
      <c r="C690">
        <v>2026</v>
      </c>
      <c r="D690">
        <v>1</v>
      </c>
      <c r="E690" s="2">
        <v>46050</v>
      </c>
      <c r="F690" t="s">
        <v>7</v>
      </c>
      <c r="G690" t="s">
        <v>8</v>
      </c>
      <c r="H690" t="s">
        <v>74</v>
      </c>
      <c r="I690" t="s">
        <v>79</v>
      </c>
      <c r="J690" t="s">
        <v>80</v>
      </c>
      <c r="K690" t="s">
        <v>73</v>
      </c>
      <c r="L690">
        <v>709000</v>
      </c>
      <c r="M690" t="s">
        <v>86</v>
      </c>
      <c r="N690" t="s">
        <v>33</v>
      </c>
      <c r="O690">
        <v>0</v>
      </c>
      <c r="P690">
        <v>-1110</v>
      </c>
      <c r="Q690">
        <v>-1.1100000000000001</v>
      </c>
      <c r="R690" t="s">
        <v>1201</v>
      </c>
      <c r="S690" t="s">
        <v>195</v>
      </c>
    </row>
    <row r="691" spans="1:19" x14ac:dyDescent="0.3">
      <c r="A691" t="s">
        <v>739</v>
      </c>
      <c r="B691" t="s">
        <v>22</v>
      </c>
      <c r="C691">
        <v>2026</v>
      </c>
      <c r="D691">
        <v>1</v>
      </c>
      <c r="E691" s="2">
        <v>46050</v>
      </c>
      <c r="F691" t="s">
        <v>7</v>
      </c>
      <c r="G691" t="s">
        <v>8</v>
      </c>
      <c r="H691" t="s">
        <v>74</v>
      </c>
      <c r="I691" t="s">
        <v>79</v>
      </c>
      <c r="J691" t="s">
        <v>80</v>
      </c>
      <c r="K691" t="s">
        <v>73</v>
      </c>
      <c r="L691">
        <v>709000</v>
      </c>
      <c r="M691" t="s">
        <v>86</v>
      </c>
      <c r="N691" t="s">
        <v>33</v>
      </c>
      <c r="O691">
        <v>0</v>
      </c>
      <c r="P691">
        <v>-2570</v>
      </c>
      <c r="Q691">
        <v>-2.57</v>
      </c>
      <c r="R691" t="s">
        <v>1204</v>
      </c>
      <c r="S691" t="s">
        <v>195</v>
      </c>
    </row>
    <row r="692" spans="1:19" x14ac:dyDescent="0.3">
      <c r="A692" t="s">
        <v>885</v>
      </c>
      <c r="B692" t="s">
        <v>22</v>
      </c>
      <c r="C692">
        <v>2026</v>
      </c>
      <c r="D692">
        <v>1</v>
      </c>
      <c r="E692" s="2">
        <v>46050</v>
      </c>
      <c r="F692" t="s">
        <v>7</v>
      </c>
      <c r="G692" t="s">
        <v>8</v>
      </c>
      <c r="H692" t="s">
        <v>74</v>
      </c>
      <c r="I692" t="s">
        <v>82</v>
      </c>
      <c r="J692" t="s">
        <v>83</v>
      </c>
      <c r="K692" t="s">
        <v>73</v>
      </c>
      <c r="L692">
        <v>709000</v>
      </c>
      <c r="M692" t="s">
        <v>86</v>
      </c>
      <c r="N692" t="s">
        <v>33</v>
      </c>
      <c r="O692">
        <v>0</v>
      </c>
      <c r="P692">
        <v>-1390</v>
      </c>
      <c r="Q692">
        <v>-1.39</v>
      </c>
      <c r="R692" t="s">
        <v>1198</v>
      </c>
      <c r="S692" t="s">
        <v>195</v>
      </c>
    </row>
    <row r="693" spans="1:19" x14ac:dyDescent="0.3">
      <c r="A693" t="s">
        <v>886</v>
      </c>
      <c r="B693" t="s">
        <v>22</v>
      </c>
      <c r="C693">
        <v>2026</v>
      </c>
      <c r="D693">
        <v>1</v>
      </c>
      <c r="E693" s="2">
        <v>46050</v>
      </c>
      <c r="F693" t="s">
        <v>7</v>
      </c>
      <c r="G693" t="s">
        <v>8</v>
      </c>
      <c r="H693" t="s">
        <v>74</v>
      </c>
      <c r="I693" t="s">
        <v>82</v>
      </c>
      <c r="J693" t="s">
        <v>83</v>
      </c>
      <c r="K693" t="s">
        <v>73</v>
      </c>
      <c r="L693">
        <v>709000</v>
      </c>
      <c r="M693" t="s">
        <v>86</v>
      </c>
      <c r="N693" t="s">
        <v>33</v>
      </c>
      <c r="O693">
        <v>0</v>
      </c>
      <c r="P693">
        <v>-490</v>
      </c>
      <c r="Q693">
        <v>-0.49</v>
      </c>
      <c r="R693" t="s">
        <v>1199</v>
      </c>
      <c r="S693" t="s">
        <v>195</v>
      </c>
    </row>
    <row r="694" spans="1:19" x14ac:dyDescent="0.3">
      <c r="A694" t="s">
        <v>887</v>
      </c>
      <c r="B694" t="s">
        <v>22</v>
      </c>
      <c r="C694">
        <v>2026</v>
      </c>
      <c r="D694">
        <v>1</v>
      </c>
      <c r="E694" s="2">
        <v>46050</v>
      </c>
      <c r="F694" t="s">
        <v>7</v>
      </c>
      <c r="G694" t="s">
        <v>8</v>
      </c>
      <c r="H694" t="s">
        <v>74</v>
      </c>
      <c r="I694" t="s">
        <v>82</v>
      </c>
      <c r="J694" t="s">
        <v>83</v>
      </c>
      <c r="K694" t="s">
        <v>73</v>
      </c>
      <c r="L694">
        <v>709000</v>
      </c>
      <c r="M694" t="s">
        <v>86</v>
      </c>
      <c r="N694" t="s">
        <v>33</v>
      </c>
      <c r="O694">
        <v>0</v>
      </c>
      <c r="P694">
        <v>-1630</v>
      </c>
      <c r="Q694">
        <v>-1.63</v>
      </c>
      <c r="R694" t="s">
        <v>1203</v>
      </c>
      <c r="S694" t="s">
        <v>195</v>
      </c>
    </row>
    <row r="695" spans="1:19" x14ac:dyDescent="0.3">
      <c r="A695" t="s">
        <v>888</v>
      </c>
      <c r="B695" t="s">
        <v>22</v>
      </c>
      <c r="C695">
        <v>2026</v>
      </c>
      <c r="D695">
        <v>1</v>
      </c>
      <c r="E695" s="2">
        <v>46050</v>
      </c>
      <c r="F695" t="s">
        <v>7</v>
      </c>
      <c r="G695" t="s">
        <v>8</v>
      </c>
      <c r="H695" t="s">
        <v>74</v>
      </c>
      <c r="I695" t="s">
        <v>82</v>
      </c>
      <c r="J695" t="s">
        <v>83</v>
      </c>
      <c r="K695" t="s">
        <v>73</v>
      </c>
      <c r="L695">
        <v>709000</v>
      </c>
      <c r="M695" t="s">
        <v>86</v>
      </c>
      <c r="N695" t="s">
        <v>33</v>
      </c>
      <c r="O695">
        <v>0</v>
      </c>
      <c r="P695">
        <v>-2680</v>
      </c>
      <c r="Q695">
        <v>-2.68</v>
      </c>
      <c r="R695" t="s">
        <v>1201</v>
      </c>
      <c r="S695" t="s">
        <v>195</v>
      </c>
    </row>
    <row r="696" spans="1:19" x14ac:dyDescent="0.3">
      <c r="A696" t="s">
        <v>889</v>
      </c>
      <c r="B696" t="s">
        <v>22</v>
      </c>
      <c r="C696">
        <v>2026</v>
      </c>
      <c r="D696">
        <v>1</v>
      </c>
      <c r="E696" s="2">
        <v>46050</v>
      </c>
      <c r="F696" t="s">
        <v>7</v>
      </c>
      <c r="G696" t="s">
        <v>8</v>
      </c>
      <c r="H696" t="s">
        <v>74</v>
      </c>
      <c r="I696" t="s">
        <v>82</v>
      </c>
      <c r="J696" t="s">
        <v>83</v>
      </c>
      <c r="K696" t="s">
        <v>73</v>
      </c>
      <c r="L696">
        <v>709000</v>
      </c>
      <c r="M696" t="s">
        <v>86</v>
      </c>
      <c r="N696" t="s">
        <v>33</v>
      </c>
      <c r="O696">
        <v>0</v>
      </c>
      <c r="P696">
        <v>-2040</v>
      </c>
      <c r="Q696">
        <v>-2.04</v>
      </c>
      <c r="R696" t="s">
        <v>1205</v>
      </c>
      <c r="S696" t="s">
        <v>195</v>
      </c>
    </row>
    <row r="697" spans="1:19" x14ac:dyDescent="0.3">
      <c r="A697" t="s">
        <v>1130</v>
      </c>
      <c r="B697" t="s">
        <v>22</v>
      </c>
      <c r="C697">
        <v>2026</v>
      </c>
      <c r="D697">
        <v>2</v>
      </c>
      <c r="E697" s="2">
        <v>46054</v>
      </c>
      <c r="F697" t="s">
        <v>7</v>
      </c>
      <c r="G697" t="s">
        <v>8</v>
      </c>
      <c r="H697" t="s">
        <v>74</v>
      </c>
      <c r="I697" t="s">
        <v>71</v>
      </c>
      <c r="J697" t="s">
        <v>72</v>
      </c>
      <c r="K697" t="s">
        <v>73</v>
      </c>
      <c r="L697">
        <v>701000</v>
      </c>
      <c r="M697" t="s">
        <v>62</v>
      </c>
      <c r="N697" t="s">
        <v>33</v>
      </c>
      <c r="O697">
        <v>2503</v>
      </c>
      <c r="P697">
        <v>1.05</v>
      </c>
      <c r="Q697">
        <v>2.63</v>
      </c>
      <c r="R697" t="s">
        <v>1202</v>
      </c>
      <c r="S697" t="s">
        <v>195</v>
      </c>
    </row>
    <row r="698" spans="1:19" x14ac:dyDescent="0.3">
      <c r="A698" t="s">
        <v>1131</v>
      </c>
      <c r="B698" t="s">
        <v>22</v>
      </c>
      <c r="C698">
        <v>2026</v>
      </c>
      <c r="D698">
        <v>2</v>
      </c>
      <c r="E698" s="2">
        <v>46054</v>
      </c>
      <c r="F698" t="s">
        <v>7</v>
      </c>
      <c r="G698" t="s">
        <v>8</v>
      </c>
      <c r="H698" t="s">
        <v>74</v>
      </c>
      <c r="I698" t="s">
        <v>71</v>
      </c>
      <c r="J698" t="s">
        <v>72</v>
      </c>
      <c r="K698" t="s">
        <v>73</v>
      </c>
      <c r="L698">
        <v>701000</v>
      </c>
      <c r="M698" t="s">
        <v>62</v>
      </c>
      <c r="N698" t="s">
        <v>33</v>
      </c>
      <c r="O698">
        <v>3034</v>
      </c>
      <c r="P698">
        <v>1.05</v>
      </c>
      <c r="Q698">
        <v>3.19</v>
      </c>
      <c r="R698" t="s">
        <v>1203</v>
      </c>
      <c r="S698" t="s">
        <v>195</v>
      </c>
    </row>
    <row r="699" spans="1:19" x14ac:dyDescent="0.3">
      <c r="A699" t="s">
        <v>1132</v>
      </c>
      <c r="B699" t="s">
        <v>22</v>
      </c>
      <c r="C699">
        <v>2026</v>
      </c>
      <c r="D699">
        <v>2</v>
      </c>
      <c r="E699" s="2">
        <v>46054</v>
      </c>
      <c r="F699" t="s">
        <v>7</v>
      </c>
      <c r="G699" t="s">
        <v>8</v>
      </c>
      <c r="H699" t="s">
        <v>74</v>
      </c>
      <c r="I699" t="s">
        <v>71</v>
      </c>
      <c r="J699" t="s">
        <v>72</v>
      </c>
      <c r="K699" t="s">
        <v>73</v>
      </c>
      <c r="L699">
        <v>701000</v>
      </c>
      <c r="M699" t="s">
        <v>62</v>
      </c>
      <c r="N699" t="s">
        <v>33</v>
      </c>
      <c r="O699">
        <v>1682</v>
      </c>
      <c r="P699">
        <v>1.05</v>
      </c>
      <c r="Q699">
        <v>1.77</v>
      </c>
      <c r="R699" t="s">
        <v>1199</v>
      </c>
      <c r="S699" t="s">
        <v>195</v>
      </c>
    </row>
    <row r="700" spans="1:19" x14ac:dyDescent="0.3">
      <c r="A700" t="s">
        <v>1133</v>
      </c>
      <c r="B700" t="s">
        <v>22</v>
      </c>
      <c r="C700">
        <v>2026</v>
      </c>
      <c r="D700">
        <v>2</v>
      </c>
      <c r="E700" s="2">
        <v>46054</v>
      </c>
      <c r="F700" t="s">
        <v>7</v>
      </c>
      <c r="G700" t="s">
        <v>8</v>
      </c>
      <c r="H700" t="s">
        <v>74</v>
      </c>
      <c r="I700" t="s">
        <v>71</v>
      </c>
      <c r="J700" t="s">
        <v>72</v>
      </c>
      <c r="K700" t="s">
        <v>73</v>
      </c>
      <c r="L700">
        <v>701000</v>
      </c>
      <c r="M700" t="s">
        <v>62</v>
      </c>
      <c r="N700" t="s">
        <v>33</v>
      </c>
      <c r="O700">
        <v>1164</v>
      </c>
      <c r="P700">
        <v>1.05</v>
      </c>
      <c r="Q700">
        <v>1.22</v>
      </c>
      <c r="R700" t="s">
        <v>1204</v>
      </c>
      <c r="S700" t="s">
        <v>195</v>
      </c>
    </row>
    <row r="701" spans="1:19" x14ac:dyDescent="0.3">
      <c r="A701" t="s">
        <v>1134</v>
      </c>
      <c r="B701" t="s">
        <v>22</v>
      </c>
      <c r="C701">
        <v>2026</v>
      </c>
      <c r="D701">
        <v>2</v>
      </c>
      <c r="E701" s="2">
        <v>46054</v>
      </c>
      <c r="F701" t="s">
        <v>7</v>
      </c>
      <c r="G701" t="s">
        <v>8</v>
      </c>
      <c r="H701" t="s">
        <v>74</v>
      </c>
      <c r="I701" t="s">
        <v>71</v>
      </c>
      <c r="J701" t="s">
        <v>72</v>
      </c>
      <c r="K701" t="s">
        <v>73</v>
      </c>
      <c r="L701">
        <v>701000</v>
      </c>
      <c r="M701" t="s">
        <v>62</v>
      </c>
      <c r="N701" t="s">
        <v>33</v>
      </c>
      <c r="O701">
        <v>347</v>
      </c>
      <c r="P701">
        <v>1.04</v>
      </c>
      <c r="Q701">
        <v>0.36</v>
      </c>
      <c r="R701" t="s">
        <v>1198</v>
      </c>
      <c r="S701" t="s">
        <v>195</v>
      </c>
    </row>
    <row r="702" spans="1:19" x14ac:dyDescent="0.3">
      <c r="A702" t="s">
        <v>945</v>
      </c>
      <c r="B702" t="s">
        <v>22</v>
      </c>
      <c r="C702">
        <v>2026</v>
      </c>
      <c r="D702">
        <v>2</v>
      </c>
      <c r="E702" s="2">
        <v>46055</v>
      </c>
      <c r="F702" t="s">
        <v>7</v>
      </c>
      <c r="G702" t="s">
        <v>8</v>
      </c>
      <c r="H702" t="s">
        <v>70</v>
      </c>
      <c r="I702" t="s">
        <v>84</v>
      </c>
      <c r="J702" t="s">
        <v>85</v>
      </c>
      <c r="K702" t="s">
        <v>73</v>
      </c>
      <c r="L702">
        <v>701000</v>
      </c>
      <c r="M702" t="s">
        <v>62</v>
      </c>
      <c r="N702" t="s">
        <v>33</v>
      </c>
      <c r="O702">
        <v>4551</v>
      </c>
      <c r="P702">
        <v>0.95</v>
      </c>
      <c r="Q702">
        <v>4.32</v>
      </c>
      <c r="R702" t="s">
        <v>1204</v>
      </c>
      <c r="S702" t="s">
        <v>195</v>
      </c>
    </row>
    <row r="703" spans="1:19" x14ac:dyDescent="0.3">
      <c r="A703" t="s">
        <v>946</v>
      </c>
      <c r="B703" t="s">
        <v>22</v>
      </c>
      <c r="C703">
        <v>2026</v>
      </c>
      <c r="D703">
        <v>2</v>
      </c>
      <c r="E703" s="2">
        <v>46055</v>
      </c>
      <c r="F703" t="s">
        <v>7</v>
      </c>
      <c r="G703" t="s">
        <v>8</v>
      </c>
      <c r="H703" t="s">
        <v>70</v>
      </c>
      <c r="I703" t="s">
        <v>84</v>
      </c>
      <c r="J703" t="s">
        <v>85</v>
      </c>
      <c r="K703" t="s">
        <v>73</v>
      </c>
      <c r="L703">
        <v>701000</v>
      </c>
      <c r="M703" t="s">
        <v>62</v>
      </c>
      <c r="N703" t="s">
        <v>33</v>
      </c>
      <c r="O703">
        <v>9497</v>
      </c>
      <c r="P703">
        <v>0.95</v>
      </c>
      <c r="Q703">
        <v>9.02</v>
      </c>
      <c r="R703" t="s">
        <v>1203</v>
      </c>
      <c r="S703" t="s">
        <v>195</v>
      </c>
    </row>
    <row r="704" spans="1:19" x14ac:dyDescent="0.3">
      <c r="A704" t="s">
        <v>947</v>
      </c>
      <c r="B704" t="s">
        <v>22</v>
      </c>
      <c r="C704">
        <v>2026</v>
      </c>
      <c r="D704">
        <v>2</v>
      </c>
      <c r="E704" s="2">
        <v>46055</v>
      </c>
      <c r="F704" t="s">
        <v>7</v>
      </c>
      <c r="G704" t="s">
        <v>8</v>
      </c>
      <c r="H704" t="s">
        <v>70</v>
      </c>
      <c r="I704" t="s">
        <v>84</v>
      </c>
      <c r="J704" t="s">
        <v>85</v>
      </c>
      <c r="K704" t="s">
        <v>73</v>
      </c>
      <c r="L704">
        <v>701000</v>
      </c>
      <c r="M704" t="s">
        <v>62</v>
      </c>
      <c r="N704" t="s">
        <v>33</v>
      </c>
      <c r="O704">
        <v>3308</v>
      </c>
      <c r="P704">
        <v>0.95</v>
      </c>
      <c r="Q704">
        <v>3.14</v>
      </c>
      <c r="R704" t="s">
        <v>1205</v>
      </c>
      <c r="S704" t="s">
        <v>195</v>
      </c>
    </row>
    <row r="705" spans="1:19" x14ac:dyDescent="0.3">
      <c r="A705" t="s">
        <v>948</v>
      </c>
      <c r="B705" t="s">
        <v>22</v>
      </c>
      <c r="C705">
        <v>2026</v>
      </c>
      <c r="D705">
        <v>2</v>
      </c>
      <c r="E705" s="2">
        <v>46055</v>
      </c>
      <c r="F705" t="s">
        <v>7</v>
      </c>
      <c r="G705" t="s">
        <v>8</v>
      </c>
      <c r="H705" t="s">
        <v>70</v>
      </c>
      <c r="I705" t="s">
        <v>84</v>
      </c>
      <c r="J705" t="s">
        <v>85</v>
      </c>
      <c r="K705" t="s">
        <v>73</v>
      </c>
      <c r="L705">
        <v>701000</v>
      </c>
      <c r="M705" t="s">
        <v>62</v>
      </c>
      <c r="N705" t="s">
        <v>33</v>
      </c>
      <c r="O705">
        <v>3388</v>
      </c>
      <c r="P705">
        <v>0.95</v>
      </c>
      <c r="Q705">
        <v>3.22</v>
      </c>
      <c r="R705" t="s">
        <v>1199</v>
      </c>
      <c r="S705" t="s">
        <v>195</v>
      </c>
    </row>
    <row r="706" spans="1:19" x14ac:dyDescent="0.3">
      <c r="A706" t="s">
        <v>949</v>
      </c>
      <c r="B706" t="s">
        <v>22</v>
      </c>
      <c r="C706">
        <v>2026</v>
      </c>
      <c r="D706">
        <v>2</v>
      </c>
      <c r="E706" s="2">
        <v>46055</v>
      </c>
      <c r="F706" t="s">
        <v>7</v>
      </c>
      <c r="G706" t="s">
        <v>8</v>
      </c>
      <c r="H706" t="s">
        <v>70</v>
      </c>
      <c r="I706" t="s">
        <v>84</v>
      </c>
      <c r="J706" t="s">
        <v>85</v>
      </c>
      <c r="K706" t="s">
        <v>73</v>
      </c>
      <c r="L706">
        <v>701000</v>
      </c>
      <c r="M706" t="s">
        <v>62</v>
      </c>
      <c r="N706" t="s">
        <v>33</v>
      </c>
      <c r="O706">
        <v>2536</v>
      </c>
      <c r="P706">
        <v>0.95</v>
      </c>
      <c r="Q706">
        <v>2.42</v>
      </c>
      <c r="R706" t="s">
        <v>1202</v>
      </c>
      <c r="S706" t="s">
        <v>195</v>
      </c>
    </row>
    <row r="707" spans="1:19" x14ac:dyDescent="0.3">
      <c r="A707" t="s">
        <v>1035</v>
      </c>
      <c r="B707" t="s">
        <v>22</v>
      </c>
      <c r="C707">
        <v>2026</v>
      </c>
      <c r="D707">
        <v>2</v>
      </c>
      <c r="E707" s="2">
        <v>46055</v>
      </c>
      <c r="F707" t="s">
        <v>7</v>
      </c>
      <c r="G707" t="s">
        <v>8</v>
      </c>
      <c r="H707" t="s">
        <v>74</v>
      </c>
      <c r="I707" t="s">
        <v>71</v>
      </c>
      <c r="J707" t="s">
        <v>72</v>
      </c>
      <c r="K707" t="s">
        <v>73</v>
      </c>
      <c r="L707">
        <v>701000</v>
      </c>
      <c r="M707" t="s">
        <v>62</v>
      </c>
      <c r="N707" t="s">
        <v>33</v>
      </c>
      <c r="O707">
        <v>1512</v>
      </c>
      <c r="P707">
        <v>1.05</v>
      </c>
      <c r="Q707">
        <v>1.59</v>
      </c>
      <c r="R707" t="s">
        <v>1201</v>
      </c>
      <c r="S707" t="s">
        <v>195</v>
      </c>
    </row>
    <row r="708" spans="1:19" x14ac:dyDescent="0.3">
      <c r="A708" t="s">
        <v>1036</v>
      </c>
      <c r="B708" t="s">
        <v>22</v>
      </c>
      <c r="C708">
        <v>2026</v>
      </c>
      <c r="D708">
        <v>2</v>
      </c>
      <c r="E708" s="2">
        <v>46055</v>
      </c>
      <c r="F708" t="s">
        <v>7</v>
      </c>
      <c r="G708" t="s">
        <v>8</v>
      </c>
      <c r="H708" t="s">
        <v>74</v>
      </c>
      <c r="I708" t="s">
        <v>71</v>
      </c>
      <c r="J708" t="s">
        <v>72</v>
      </c>
      <c r="K708" t="s">
        <v>73</v>
      </c>
      <c r="L708">
        <v>701000</v>
      </c>
      <c r="M708" t="s">
        <v>62</v>
      </c>
      <c r="N708" t="s">
        <v>33</v>
      </c>
      <c r="O708">
        <v>184</v>
      </c>
      <c r="P708">
        <v>1.03</v>
      </c>
      <c r="Q708">
        <v>0.19</v>
      </c>
      <c r="R708" t="s">
        <v>1202</v>
      </c>
      <c r="S708" t="s">
        <v>195</v>
      </c>
    </row>
    <row r="709" spans="1:19" x14ac:dyDescent="0.3">
      <c r="A709" t="s">
        <v>1037</v>
      </c>
      <c r="B709" t="s">
        <v>22</v>
      </c>
      <c r="C709">
        <v>2026</v>
      </c>
      <c r="D709">
        <v>2</v>
      </c>
      <c r="E709" s="2">
        <v>46055</v>
      </c>
      <c r="F709" t="s">
        <v>7</v>
      </c>
      <c r="G709" t="s">
        <v>8</v>
      </c>
      <c r="H709" t="s">
        <v>74</v>
      </c>
      <c r="I709" t="s">
        <v>71</v>
      </c>
      <c r="J709" t="s">
        <v>72</v>
      </c>
      <c r="K709" t="s">
        <v>73</v>
      </c>
      <c r="L709">
        <v>701000</v>
      </c>
      <c r="M709" t="s">
        <v>62</v>
      </c>
      <c r="N709" t="s">
        <v>33</v>
      </c>
      <c r="O709">
        <v>2593</v>
      </c>
      <c r="P709">
        <v>1.05</v>
      </c>
      <c r="Q709">
        <v>2.72</v>
      </c>
      <c r="R709" t="s">
        <v>1204</v>
      </c>
      <c r="S709" t="s">
        <v>195</v>
      </c>
    </row>
    <row r="710" spans="1:19" x14ac:dyDescent="0.3">
      <c r="A710" t="s">
        <v>1038</v>
      </c>
      <c r="B710" t="s">
        <v>22</v>
      </c>
      <c r="C710">
        <v>2026</v>
      </c>
      <c r="D710">
        <v>2</v>
      </c>
      <c r="E710" s="2">
        <v>46055</v>
      </c>
      <c r="F710" t="s">
        <v>7</v>
      </c>
      <c r="G710" t="s">
        <v>8</v>
      </c>
      <c r="H710" t="s">
        <v>74</v>
      </c>
      <c r="I710" t="s">
        <v>71</v>
      </c>
      <c r="J710" t="s">
        <v>72</v>
      </c>
      <c r="K710" t="s">
        <v>73</v>
      </c>
      <c r="L710">
        <v>701000</v>
      </c>
      <c r="M710" t="s">
        <v>62</v>
      </c>
      <c r="N710" t="s">
        <v>33</v>
      </c>
      <c r="O710">
        <v>1094</v>
      </c>
      <c r="P710">
        <v>1.05</v>
      </c>
      <c r="Q710">
        <v>1.1499999999999999</v>
      </c>
      <c r="R710" t="s">
        <v>1205</v>
      </c>
      <c r="S710" t="s">
        <v>195</v>
      </c>
    </row>
    <row r="711" spans="1:19" x14ac:dyDescent="0.3">
      <c r="A711" t="s">
        <v>1039</v>
      </c>
      <c r="B711" t="s">
        <v>22</v>
      </c>
      <c r="C711">
        <v>2026</v>
      </c>
      <c r="D711">
        <v>2</v>
      </c>
      <c r="E711" s="2">
        <v>46055</v>
      </c>
      <c r="F711" t="s">
        <v>7</v>
      </c>
      <c r="G711" t="s">
        <v>8</v>
      </c>
      <c r="H711" t="s">
        <v>74</v>
      </c>
      <c r="I711" t="s">
        <v>71</v>
      </c>
      <c r="J711" t="s">
        <v>72</v>
      </c>
      <c r="K711" t="s">
        <v>73</v>
      </c>
      <c r="L711">
        <v>701000</v>
      </c>
      <c r="M711" t="s">
        <v>62</v>
      </c>
      <c r="N711" t="s">
        <v>33</v>
      </c>
      <c r="O711">
        <v>2269</v>
      </c>
      <c r="P711">
        <v>1.05</v>
      </c>
      <c r="Q711">
        <v>2.38</v>
      </c>
      <c r="R711" t="s">
        <v>1197</v>
      </c>
      <c r="S711" t="s">
        <v>195</v>
      </c>
    </row>
    <row r="712" spans="1:19" x14ac:dyDescent="0.3">
      <c r="A712" t="s">
        <v>1025</v>
      </c>
      <c r="B712" t="s">
        <v>22</v>
      </c>
      <c r="C712">
        <v>2026</v>
      </c>
      <c r="D712">
        <v>2</v>
      </c>
      <c r="E712" s="2">
        <v>46056</v>
      </c>
      <c r="F712" t="s">
        <v>7</v>
      </c>
      <c r="G712" t="s">
        <v>8</v>
      </c>
      <c r="H712" t="s">
        <v>74</v>
      </c>
      <c r="I712" t="s">
        <v>71</v>
      </c>
      <c r="J712" t="s">
        <v>72</v>
      </c>
      <c r="K712" t="s">
        <v>73</v>
      </c>
      <c r="L712">
        <v>701000</v>
      </c>
      <c r="M712" t="s">
        <v>62</v>
      </c>
      <c r="N712" t="s">
        <v>33</v>
      </c>
      <c r="O712">
        <v>1474</v>
      </c>
      <c r="P712">
        <v>1.05</v>
      </c>
      <c r="Q712">
        <v>1.55</v>
      </c>
      <c r="R712" t="s">
        <v>1204</v>
      </c>
      <c r="S712" t="s">
        <v>195</v>
      </c>
    </row>
    <row r="713" spans="1:19" x14ac:dyDescent="0.3">
      <c r="A713" t="s">
        <v>1026</v>
      </c>
      <c r="B713" t="s">
        <v>22</v>
      </c>
      <c r="C713">
        <v>2026</v>
      </c>
      <c r="D713">
        <v>2</v>
      </c>
      <c r="E713" s="2">
        <v>46056</v>
      </c>
      <c r="F713" t="s">
        <v>7</v>
      </c>
      <c r="G713" t="s">
        <v>8</v>
      </c>
      <c r="H713" t="s">
        <v>74</v>
      </c>
      <c r="I713" t="s">
        <v>71</v>
      </c>
      <c r="J713" t="s">
        <v>72</v>
      </c>
      <c r="K713" t="s">
        <v>73</v>
      </c>
      <c r="L713">
        <v>701000</v>
      </c>
      <c r="M713" t="s">
        <v>62</v>
      </c>
      <c r="N713" t="s">
        <v>33</v>
      </c>
      <c r="O713">
        <v>1525</v>
      </c>
      <c r="P713">
        <v>1.05</v>
      </c>
      <c r="Q713">
        <v>1.6</v>
      </c>
      <c r="R713" t="s">
        <v>1199</v>
      </c>
      <c r="S713" t="s">
        <v>195</v>
      </c>
    </row>
    <row r="714" spans="1:19" x14ac:dyDescent="0.3">
      <c r="A714" t="s">
        <v>1027</v>
      </c>
      <c r="B714" t="s">
        <v>22</v>
      </c>
      <c r="C714">
        <v>2026</v>
      </c>
      <c r="D714">
        <v>2</v>
      </c>
      <c r="E714" s="2">
        <v>46056</v>
      </c>
      <c r="F714" t="s">
        <v>7</v>
      </c>
      <c r="G714" t="s">
        <v>8</v>
      </c>
      <c r="H714" t="s">
        <v>74</v>
      </c>
      <c r="I714" t="s">
        <v>71</v>
      </c>
      <c r="J714" t="s">
        <v>72</v>
      </c>
      <c r="K714" t="s">
        <v>73</v>
      </c>
      <c r="L714">
        <v>701000</v>
      </c>
      <c r="M714" t="s">
        <v>62</v>
      </c>
      <c r="N714" t="s">
        <v>33</v>
      </c>
      <c r="O714">
        <v>1296</v>
      </c>
      <c r="P714">
        <v>1.05</v>
      </c>
      <c r="Q714">
        <v>1.36</v>
      </c>
      <c r="R714" t="s">
        <v>1201</v>
      </c>
      <c r="S714" t="s">
        <v>195</v>
      </c>
    </row>
    <row r="715" spans="1:19" x14ac:dyDescent="0.3">
      <c r="A715" t="s">
        <v>1028</v>
      </c>
      <c r="B715" t="s">
        <v>22</v>
      </c>
      <c r="C715">
        <v>2026</v>
      </c>
      <c r="D715">
        <v>2</v>
      </c>
      <c r="E715" s="2">
        <v>46056</v>
      </c>
      <c r="F715" t="s">
        <v>7</v>
      </c>
      <c r="G715" t="s">
        <v>8</v>
      </c>
      <c r="H715" t="s">
        <v>74</v>
      </c>
      <c r="I715" t="s">
        <v>71</v>
      </c>
      <c r="J715" t="s">
        <v>72</v>
      </c>
      <c r="K715" t="s">
        <v>73</v>
      </c>
      <c r="L715">
        <v>701000</v>
      </c>
      <c r="M715" t="s">
        <v>62</v>
      </c>
      <c r="N715" t="s">
        <v>33</v>
      </c>
      <c r="O715">
        <v>1454</v>
      </c>
      <c r="P715">
        <v>1.05</v>
      </c>
      <c r="Q715">
        <v>1.53</v>
      </c>
      <c r="R715" t="s">
        <v>1203</v>
      </c>
      <c r="S715" t="s">
        <v>195</v>
      </c>
    </row>
    <row r="716" spans="1:19" x14ac:dyDescent="0.3">
      <c r="A716" t="s">
        <v>1029</v>
      </c>
      <c r="B716" t="s">
        <v>22</v>
      </c>
      <c r="C716">
        <v>2026</v>
      </c>
      <c r="D716">
        <v>2</v>
      </c>
      <c r="E716" s="2">
        <v>46056</v>
      </c>
      <c r="F716" t="s">
        <v>7</v>
      </c>
      <c r="G716" t="s">
        <v>8</v>
      </c>
      <c r="H716" t="s">
        <v>74</v>
      </c>
      <c r="I716" t="s">
        <v>71</v>
      </c>
      <c r="J716" t="s">
        <v>72</v>
      </c>
      <c r="K716" t="s">
        <v>73</v>
      </c>
      <c r="L716">
        <v>701000</v>
      </c>
      <c r="M716" t="s">
        <v>62</v>
      </c>
      <c r="N716" t="s">
        <v>33</v>
      </c>
      <c r="O716">
        <v>1246</v>
      </c>
      <c r="P716">
        <v>1.04</v>
      </c>
      <c r="Q716">
        <v>1.3</v>
      </c>
      <c r="R716" t="s">
        <v>1197</v>
      </c>
      <c r="S716" t="s">
        <v>195</v>
      </c>
    </row>
    <row r="717" spans="1:19" x14ac:dyDescent="0.3">
      <c r="A717" t="s">
        <v>1080</v>
      </c>
      <c r="B717" t="s">
        <v>22</v>
      </c>
      <c r="C717">
        <v>2026</v>
      </c>
      <c r="D717">
        <v>2</v>
      </c>
      <c r="E717" s="2">
        <v>46057</v>
      </c>
      <c r="F717" t="s">
        <v>7</v>
      </c>
      <c r="G717" t="s">
        <v>8</v>
      </c>
      <c r="H717" t="s">
        <v>74</v>
      </c>
      <c r="I717" t="s">
        <v>71</v>
      </c>
      <c r="J717" t="s">
        <v>72</v>
      </c>
      <c r="K717" t="s">
        <v>73</v>
      </c>
      <c r="L717">
        <v>701000</v>
      </c>
      <c r="M717" t="s">
        <v>62</v>
      </c>
      <c r="N717" t="s">
        <v>33</v>
      </c>
      <c r="O717">
        <v>2246</v>
      </c>
      <c r="P717">
        <v>1.05</v>
      </c>
      <c r="Q717">
        <v>2.36</v>
      </c>
      <c r="R717" t="s">
        <v>1199</v>
      </c>
      <c r="S717" t="s">
        <v>195</v>
      </c>
    </row>
    <row r="718" spans="1:19" x14ac:dyDescent="0.3">
      <c r="A718" t="s">
        <v>1081</v>
      </c>
      <c r="B718" t="s">
        <v>22</v>
      </c>
      <c r="C718">
        <v>2026</v>
      </c>
      <c r="D718">
        <v>2</v>
      </c>
      <c r="E718" s="2">
        <v>46057</v>
      </c>
      <c r="F718" t="s">
        <v>7</v>
      </c>
      <c r="G718" t="s">
        <v>8</v>
      </c>
      <c r="H718" t="s">
        <v>74</v>
      </c>
      <c r="I718" t="s">
        <v>71</v>
      </c>
      <c r="J718" t="s">
        <v>72</v>
      </c>
      <c r="K718" t="s">
        <v>73</v>
      </c>
      <c r="L718">
        <v>701000</v>
      </c>
      <c r="M718" t="s">
        <v>62</v>
      </c>
      <c r="N718" t="s">
        <v>33</v>
      </c>
      <c r="O718">
        <v>2400</v>
      </c>
      <c r="P718">
        <v>1.05</v>
      </c>
      <c r="Q718">
        <v>2.52</v>
      </c>
      <c r="R718" t="s">
        <v>1198</v>
      </c>
      <c r="S718" t="s">
        <v>195</v>
      </c>
    </row>
    <row r="719" spans="1:19" x14ac:dyDescent="0.3">
      <c r="A719" t="s">
        <v>1082</v>
      </c>
      <c r="B719" t="s">
        <v>22</v>
      </c>
      <c r="C719">
        <v>2026</v>
      </c>
      <c r="D719">
        <v>2</v>
      </c>
      <c r="E719" s="2">
        <v>46057</v>
      </c>
      <c r="F719" t="s">
        <v>7</v>
      </c>
      <c r="G719" t="s">
        <v>8</v>
      </c>
      <c r="H719" t="s">
        <v>74</v>
      </c>
      <c r="I719" t="s">
        <v>71</v>
      </c>
      <c r="J719" t="s">
        <v>72</v>
      </c>
      <c r="K719" t="s">
        <v>73</v>
      </c>
      <c r="L719">
        <v>701000</v>
      </c>
      <c r="M719" t="s">
        <v>62</v>
      </c>
      <c r="N719" t="s">
        <v>33</v>
      </c>
      <c r="O719">
        <v>1753</v>
      </c>
      <c r="P719">
        <v>1.05</v>
      </c>
      <c r="Q719">
        <v>1.84</v>
      </c>
      <c r="R719" t="s">
        <v>1200</v>
      </c>
      <c r="S719" t="s">
        <v>195</v>
      </c>
    </row>
    <row r="720" spans="1:19" x14ac:dyDescent="0.3">
      <c r="A720" t="s">
        <v>1083</v>
      </c>
      <c r="B720" t="s">
        <v>22</v>
      </c>
      <c r="C720">
        <v>2026</v>
      </c>
      <c r="D720">
        <v>2</v>
      </c>
      <c r="E720" s="2">
        <v>46057</v>
      </c>
      <c r="F720" t="s">
        <v>7</v>
      </c>
      <c r="G720" t="s">
        <v>8</v>
      </c>
      <c r="H720" t="s">
        <v>74</v>
      </c>
      <c r="I720" t="s">
        <v>71</v>
      </c>
      <c r="J720" t="s">
        <v>72</v>
      </c>
      <c r="K720" t="s">
        <v>73</v>
      </c>
      <c r="L720">
        <v>701000</v>
      </c>
      <c r="M720" t="s">
        <v>62</v>
      </c>
      <c r="N720" t="s">
        <v>33</v>
      </c>
      <c r="O720">
        <v>1401</v>
      </c>
      <c r="P720">
        <v>1.05</v>
      </c>
      <c r="Q720">
        <v>1.47</v>
      </c>
      <c r="R720" t="s">
        <v>1203</v>
      </c>
      <c r="S720" t="s">
        <v>195</v>
      </c>
    </row>
    <row r="721" spans="1:19" x14ac:dyDescent="0.3">
      <c r="A721" t="s">
        <v>1084</v>
      </c>
      <c r="B721" t="s">
        <v>22</v>
      </c>
      <c r="C721">
        <v>2026</v>
      </c>
      <c r="D721">
        <v>2</v>
      </c>
      <c r="E721" s="2">
        <v>46057</v>
      </c>
      <c r="F721" t="s">
        <v>7</v>
      </c>
      <c r="G721" t="s">
        <v>8</v>
      </c>
      <c r="H721" t="s">
        <v>74</v>
      </c>
      <c r="I721" t="s">
        <v>71</v>
      </c>
      <c r="J721" t="s">
        <v>72</v>
      </c>
      <c r="K721" t="s">
        <v>73</v>
      </c>
      <c r="L721">
        <v>701000</v>
      </c>
      <c r="M721" t="s">
        <v>62</v>
      </c>
      <c r="N721" t="s">
        <v>33</v>
      </c>
      <c r="O721">
        <v>1217</v>
      </c>
      <c r="P721">
        <v>1.05</v>
      </c>
      <c r="Q721">
        <v>1.28</v>
      </c>
      <c r="R721" t="s">
        <v>1201</v>
      </c>
      <c r="S721" t="s">
        <v>195</v>
      </c>
    </row>
    <row r="722" spans="1:19" x14ac:dyDescent="0.3">
      <c r="A722" t="s">
        <v>1165</v>
      </c>
      <c r="B722" t="s">
        <v>22</v>
      </c>
      <c r="C722">
        <v>2026</v>
      </c>
      <c r="D722">
        <v>2</v>
      </c>
      <c r="E722" s="2">
        <v>46057</v>
      </c>
      <c r="F722" t="s">
        <v>7</v>
      </c>
      <c r="G722" t="s">
        <v>8</v>
      </c>
      <c r="H722" t="s">
        <v>74</v>
      </c>
      <c r="I722" t="s">
        <v>71</v>
      </c>
      <c r="J722" t="s">
        <v>72</v>
      </c>
      <c r="K722" t="s">
        <v>73</v>
      </c>
      <c r="L722">
        <v>701000</v>
      </c>
      <c r="M722" t="s">
        <v>62</v>
      </c>
      <c r="N722" t="s">
        <v>33</v>
      </c>
      <c r="O722">
        <v>2633</v>
      </c>
      <c r="P722">
        <v>1.05</v>
      </c>
      <c r="Q722">
        <v>2.76</v>
      </c>
      <c r="R722" t="s">
        <v>1197</v>
      </c>
      <c r="S722" t="s">
        <v>195</v>
      </c>
    </row>
    <row r="723" spans="1:19" x14ac:dyDescent="0.3">
      <c r="A723" t="s">
        <v>1166</v>
      </c>
      <c r="B723" t="s">
        <v>22</v>
      </c>
      <c r="C723">
        <v>2026</v>
      </c>
      <c r="D723">
        <v>2</v>
      </c>
      <c r="E723" s="2">
        <v>46057</v>
      </c>
      <c r="F723" t="s">
        <v>7</v>
      </c>
      <c r="G723" t="s">
        <v>8</v>
      </c>
      <c r="H723" t="s">
        <v>74</v>
      </c>
      <c r="I723" t="s">
        <v>71</v>
      </c>
      <c r="J723" t="s">
        <v>72</v>
      </c>
      <c r="K723" t="s">
        <v>73</v>
      </c>
      <c r="L723">
        <v>701000</v>
      </c>
      <c r="M723" t="s">
        <v>62</v>
      </c>
      <c r="N723" t="s">
        <v>33</v>
      </c>
      <c r="O723">
        <v>2145</v>
      </c>
      <c r="P723">
        <v>1.05</v>
      </c>
      <c r="Q723">
        <v>2.25</v>
      </c>
      <c r="R723" t="s">
        <v>1200</v>
      </c>
      <c r="S723" t="s">
        <v>195</v>
      </c>
    </row>
    <row r="724" spans="1:19" x14ac:dyDescent="0.3">
      <c r="A724" t="s">
        <v>1167</v>
      </c>
      <c r="B724" t="s">
        <v>22</v>
      </c>
      <c r="C724">
        <v>2026</v>
      </c>
      <c r="D724">
        <v>2</v>
      </c>
      <c r="E724" s="2">
        <v>46057</v>
      </c>
      <c r="F724" t="s">
        <v>7</v>
      </c>
      <c r="G724" t="s">
        <v>8</v>
      </c>
      <c r="H724" t="s">
        <v>74</v>
      </c>
      <c r="I724" t="s">
        <v>71</v>
      </c>
      <c r="J724" t="s">
        <v>72</v>
      </c>
      <c r="K724" t="s">
        <v>73</v>
      </c>
      <c r="L724">
        <v>701000</v>
      </c>
      <c r="M724" t="s">
        <v>62</v>
      </c>
      <c r="N724" t="s">
        <v>33</v>
      </c>
      <c r="O724">
        <v>3244</v>
      </c>
      <c r="P724">
        <v>1.05</v>
      </c>
      <c r="Q724">
        <v>3.41</v>
      </c>
      <c r="R724" t="s">
        <v>1201</v>
      </c>
      <c r="S724" t="s">
        <v>195</v>
      </c>
    </row>
    <row r="725" spans="1:19" x14ac:dyDescent="0.3">
      <c r="A725" t="s">
        <v>1168</v>
      </c>
      <c r="B725" t="s">
        <v>22</v>
      </c>
      <c r="C725">
        <v>2026</v>
      </c>
      <c r="D725">
        <v>2</v>
      </c>
      <c r="E725" s="2">
        <v>46057</v>
      </c>
      <c r="F725" t="s">
        <v>7</v>
      </c>
      <c r="G725" t="s">
        <v>8</v>
      </c>
      <c r="H725" t="s">
        <v>74</v>
      </c>
      <c r="I725" t="s">
        <v>71</v>
      </c>
      <c r="J725" t="s">
        <v>72</v>
      </c>
      <c r="K725" t="s">
        <v>73</v>
      </c>
      <c r="L725">
        <v>701000</v>
      </c>
      <c r="M725" t="s">
        <v>62</v>
      </c>
      <c r="N725" t="s">
        <v>33</v>
      </c>
      <c r="O725">
        <v>1073</v>
      </c>
      <c r="P725">
        <v>1.05</v>
      </c>
      <c r="Q725">
        <v>1.1299999999999999</v>
      </c>
      <c r="R725" t="s">
        <v>1198</v>
      </c>
      <c r="S725" t="s">
        <v>195</v>
      </c>
    </row>
    <row r="726" spans="1:19" x14ac:dyDescent="0.3">
      <c r="A726" t="s">
        <v>1169</v>
      </c>
      <c r="B726" t="s">
        <v>22</v>
      </c>
      <c r="C726">
        <v>2026</v>
      </c>
      <c r="D726">
        <v>2</v>
      </c>
      <c r="E726" s="2">
        <v>46057</v>
      </c>
      <c r="F726" t="s">
        <v>7</v>
      </c>
      <c r="G726" t="s">
        <v>8</v>
      </c>
      <c r="H726" t="s">
        <v>74</v>
      </c>
      <c r="I726" t="s">
        <v>71</v>
      </c>
      <c r="J726" t="s">
        <v>72</v>
      </c>
      <c r="K726" t="s">
        <v>73</v>
      </c>
      <c r="L726">
        <v>701000</v>
      </c>
      <c r="M726" t="s">
        <v>62</v>
      </c>
      <c r="N726" t="s">
        <v>33</v>
      </c>
      <c r="O726">
        <v>364</v>
      </c>
      <c r="P726">
        <v>1.04</v>
      </c>
      <c r="Q726">
        <v>0.38</v>
      </c>
      <c r="R726" t="s">
        <v>1203</v>
      </c>
      <c r="S726" t="s">
        <v>195</v>
      </c>
    </row>
    <row r="727" spans="1:19" x14ac:dyDescent="0.3">
      <c r="A727" t="s">
        <v>1045</v>
      </c>
      <c r="B727" t="s">
        <v>22</v>
      </c>
      <c r="C727">
        <v>2026</v>
      </c>
      <c r="D727">
        <v>2</v>
      </c>
      <c r="E727" s="2">
        <v>46058</v>
      </c>
      <c r="F727" t="s">
        <v>7</v>
      </c>
      <c r="G727" t="s">
        <v>8</v>
      </c>
      <c r="H727" t="s">
        <v>74</v>
      </c>
      <c r="I727" t="s">
        <v>71</v>
      </c>
      <c r="J727" t="s">
        <v>72</v>
      </c>
      <c r="K727" t="s">
        <v>73</v>
      </c>
      <c r="L727">
        <v>701000</v>
      </c>
      <c r="M727" t="s">
        <v>62</v>
      </c>
      <c r="N727" t="s">
        <v>33</v>
      </c>
      <c r="O727">
        <v>1410</v>
      </c>
      <c r="P727">
        <v>1.05</v>
      </c>
      <c r="Q727">
        <v>1.48</v>
      </c>
      <c r="R727" t="s">
        <v>1198</v>
      </c>
      <c r="S727" t="s">
        <v>195</v>
      </c>
    </row>
    <row r="728" spans="1:19" x14ac:dyDescent="0.3">
      <c r="A728" t="s">
        <v>1046</v>
      </c>
      <c r="B728" t="s">
        <v>22</v>
      </c>
      <c r="C728">
        <v>2026</v>
      </c>
      <c r="D728">
        <v>2</v>
      </c>
      <c r="E728" s="2">
        <v>46058</v>
      </c>
      <c r="F728" t="s">
        <v>7</v>
      </c>
      <c r="G728" t="s">
        <v>8</v>
      </c>
      <c r="H728" t="s">
        <v>74</v>
      </c>
      <c r="I728" t="s">
        <v>71</v>
      </c>
      <c r="J728" t="s">
        <v>72</v>
      </c>
      <c r="K728" t="s">
        <v>73</v>
      </c>
      <c r="L728">
        <v>701000</v>
      </c>
      <c r="M728" t="s">
        <v>62</v>
      </c>
      <c r="N728" t="s">
        <v>33</v>
      </c>
      <c r="O728">
        <v>2857</v>
      </c>
      <c r="P728">
        <v>1.05</v>
      </c>
      <c r="Q728">
        <v>3</v>
      </c>
      <c r="R728" t="s">
        <v>1197</v>
      </c>
      <c r="S728" t="s">
        <v>195</v>
      </c>
    </row>
    <row r="729" spans="1:19" x14ac:dyDescent="0.3">
      <c r="A729" t="s">
        <v>1047</v>
      </c>
      <c r="B729" t="s">
        <v>22</v>
      </c>
      <c r="C729">
        <v>2026</v>
      </c>
      <c r="D729">
        <v>2</v>
      </c>
      <c r="E729" s="2">
        <v>46058</v>
      </c>
      <c r="F729" t="s">
        <v>7</v>
      </c>
      <c r="G729" t="s">
        <v>8</v>
      </c>
      <c r="H729" t="s">
        <v>74</v>
      </c>
      <c r="I729" t="s">
        <v>71</v>
      </c>
      <c r="J729" t="s">
        <v>72</v>
      </c>
      <c r="K729" t="s">
        <v>73</v>
      </c>
      <c r="L729">
        <v>701000</v>
      </c>
      <c r="M729" t="s">
        <v>62</v>
      </c>
      <c r="N729" t="s">
        <v>33</v>
      </c>
      <c r="O729">
        <v>1759</v>
      </c>
      <c r="P729">
        <v>1.05</v>
      </c>
      <c r="Q729">
        <v>1.85</v>
      </c>
      <c r="R729" t="s">
        <v>1204</v>
      </c>
      <c r="S729" t="s">
        <v>195</v>
      </c>
    </row>
    <row r="730" spans="1:19" x14ac:dyDescent="0.3">
      <c r="A730" t="s">
        <v>1048</v>
      </c>
      <c r="B730" t="s">
        <v>22</v>
      </c>
      <c r="C730">
        <v>2026</v>
      </c>
      <c r="D730">
        <v>2</v>
      </c>
      <c r="E730" s="2">
        <v>46058</v>
      </c>
      <c r="F730" t="s">
        <v>7</v>
      </c>
      <c r="G730" t="s">
        <v>8</v>
      </c>
      <c r="H730" t="s">
        <v>74</v>
      </c>
      <c r="I730" t="s">
        <v>71</v>
      </c>
      <c r="J730" t="s">
        <v>72</v>
      </c>
      <c r="K730" t="s">
        <v>73</v>
      </c>
      <c r="L730">
        <v>701000</v>
      </c>
      <c r="M730" t="s">
        <v>62</v>
      </c>
      <c r="N730" t="s">
        <v>33</v>
      </c>
      <c r="O730">
        <v>2172</v>
      </c>
      <c r="P730">
        <v>1.05</v>
      </c>
      <c r="Q730">
        <v>2.2799999999999998</v>
      </c>
      <c r="R730" t="s">
        <v>1201</v>
      </c>
      <c r="S730" t="s">
        <v>195</v>
      </c>
    </row>
    <row r="731" spans="1:19" x14ac:dyDescent="0.3">
      <c r="A731" t="s">
        <v>1049</v>
      </c>
      <c r="B731" t="s">
        <v>22</v>
      </c>
      <c r="C731">
        <v>2026</v>
      </c>
      <c r="D731">
        <v>2</v>
      </c>
      <c r="E731" s="2">
        <v>46058</v>
      </c>
      <c r="F731" t="s">
        <v>7</v>
      </c>
      <c r="G731" t="s">
        <v>8</v>
      </c>
      <c r="H731" t="s">
        <v>74</v>
      </c>
      <c r="I731" t="s">
        <v>71</v>
      </c>
      <c r="J731" t="s">
        <v>72</v>
      </c>
      <c r="K731" t="s">
        <v>73</v>
      </c>
      <c r="L731">
        <v>701000</v>
      </c>
      <c r="M731" t="s">
        <v>62</v>
      </c>
      <c r="N731" t="s">
        <v>33</v>
      </c>
      <c r="O731">
        <v>1228</v>
      </c>
      <c r="P731">
        <v>1.05</v>
      </c>
      <c r="Q731">
        <v>1.29</v>
      </c>
      <c r="R731" t="s">
        <v>1200</v>
      </c>
      <c r="S731" t="s">
        <v>195</v>
      </c>
    </row>
    <row r="732" spans="1:19" x14ac:dyDescent="0.3">
      <c r="A732" t="s">
        <v>1140</v>
      </c>
      <c r="B732" t="s">
        <v>22</v>
      </c>
      <c r="C732">
        <v>2026</v>
      </c>
      <c r="D732">
        <v>2</v>
      </c>
      <c r="E732" s="2">
        <v>46058</v>
      </c>
      <c r="F732" t="s">
        <v>7</v>
      </c>
      <c r="G732" t="s">
        <v>8</v>
      </c>
      <c r="H732" t="s">
        <v>74</v>
      </c>
      <c r="I732" t="s">
        <v>71</v>
      </c>
      <c r="J732" t="s">
        <v>72</v>
      </c>
      <c r="K732" t="s">
        <v>73</v>
      </c>
      <c r="L732">
        <v>701000</v>
      </c>
      <c r="M732" t="s">
        <v>62</v>
      </c>
      <c r="N732" t="s">
        <v>33</v>
      </c>
      <c r="O732">
        <v>719</v>
      </c>
      <c r="P732">
        <v>1.06</v>
      </c>
      <c r="Q732">
        <v>0.76</v>
      </c>
      <c r="R732" t="s">
        <v>1199</v>
      </c>
      <c r="S732" t="s">
        <v>195</v>
      </c>
    </row>
    <row r="733" spans="1:19" x14ac:dyDescent="0.3">
      <c r="A733" t="s">
        <v>1141</v>
      </c>
      <c r="B733" t="s">
        <v>22</v>
      </c>
      <c r="C733">
        <v>2026</v>
      </c>
      <c r="D733">
        <v>2</v>
      </c>
      <c r="E733" s="2">
        <v>46058</v>
      </c>
      <c r="F733" t="s">
        <v>7</v>
      </c>
      <c r="G733" t="s">
        <v>8</v>
      </c>
      <c r="H733" t="s">
        <v>74</v>
      </c>
      <c r="I733" t="s">
        <v>71</v>
      </c>
      <c r="J733" t="s">
        <v>72</v>
      </c>
      <c r="K733" t="s">
        <v>73</v>
      </c>
      <c r="L733">
        <v>701000</v>
      </c>
      <c r="M733" t="s">
        <v>62</v>
      </c>
      <c r="N733" t="s">
        <v>33</v>
      </c>
      <c r="O733">
        <v>2135</v>
      </c>
      <c r="P733">
        <v>1.05</v>
      </c>
      <c r="Q733">
        <v>2.2400000000000002</v>
      </c>
      <c r="R733" t="s">
        <v>1197</v>
      </c>
      <c r="S733" t="s">
        <v>195</v>
      </c>
    </row>
    <row r="734" spans="1:19" x14ac:dyDescent="0.3">
      <c r="A734" t="s">
        <v>1142</v>
      </c>
      <c r="B734" t="s">
        <v>22</v>
      </c>
      <c r="C734">
        <v>2026</v>
      </c>
      <c r="D734">
        <v>2</v>
      </c>
      <c r="E734" s="2">
        <v>46058</v>
      </c>
      <c r="F734" t="s">
        <v>7</v>
      </c>
      <c r="G734" t="s">
        <v>8</v>
      </c>
      <c r="H734" t="s">
        <v>74</v>
      </c>
      <c r="I734" t="s">
        <v>71</v>
      </c>
      <c r="J734" t="s">
        <v>72</v>
      </c>
      <c r="K734" t="s">
        <v>73</v>
      </c>
      <c r="L734">
        <v>701000</v>
      </c>
      <c r="M734" t="s">
        <v>62</v>
      </c>
      <c r="N734" t="s">
        <v>33</v>
      </c>
      <c r="O734">
        <v>2580</v>
      </c>
      <c r="P734">
        <v>1.05</v>
      </c>
      <c r="Q734">
        <v>2.71</v>
      </c>
      <c r="R734" t="s">
        <v>1202</v>
      </c>
      <c r="S734" t="s">
        <v>195</v>
      </c>
    </row>
    <row r="735" spans="1:19" x14ac:dyDescent="0.3">
      <c r="A735" t="s">
        <v>1143</v>
      </c>
      <c r="B735" t="s">
        <v>22</v>
      </c>
      <c r="C735">
        <v>2026</v>
      </c>
      <c r="D735">
        <v>2</v>
      </c>
      <c r="E735" s="2">
        <v>46058</v>
      </c>
      <c r="F735" t="s">
        <v>7</v>
      </c>
      <c r="G735" t="s">
        <v>8</v>
      </c>
      <c r="H735" t="s">
        <v>74</v>
      </c>
      <c r="I735" t="s">
        <v>71</v>
      </c>
      <c r="J735" t="s">
        <v>72</v>
      </c>
      <c r="K735" t="s">
        <v>73</v>
      </c>
      <c r="L735">
        <v>701000</v>
      </c>
      <c r="M735" t="s">
        <v>62</v>
      </c>
      <c r="N735" t="s">
        <v>33</v>
      </c>
      <c r="O735">
        <v>816</v>
      </c>
      <c r="P735">
        <v>1.05</v>
      </c>
      <c r="Q735">
        <v>0.86</v>
      </c>
      <c r="R735" t="s">
        <v>1200</v>
      </c>
      <c r="S735" t="s">
        <v>195</v>
      </c>
    </row>
    <row r="736" spans="1:19" x14ac:dyDescent="0.3">
      <c r="A736" t="s">
        <v>1144</v>
      </c>
      <c r="B736" t="s">
        <v>22</v>
      </c>
      <c r="C736">
        <v>2026</v>
      </c>
      <c r="D736">
        <v>2</v>
      </c>
      <c r="E736" s="2">
        <v>46058</v>
      </c>
      <c r="F736" t="s">
        <v>7</v>
      </c>
      <c r="G736" t="s">
        <v>8</v>
      </c>
      <c r="H736" t="s">
        <v>74</v>
      </c>
      <c r="I736" t="s">
        <v>71</v>
      </c>
      <c r="J736" t="s">
        <v>72</v>
      </c>
      <c r="K736" t="s">
        <v>73</v>
      </c>
      <c r="L736">
        <v>701000</v>
      </c>
      <c r="M736" t="s">
        <v>62</v>
      </c>
      <c r="N736" t="s">
        <v>33</v>
      </c>
      <c r="O736">
        <v>784</v>
      </c>
      <c r="P736">
        <v>1.05</v>
      </c>
      <c r="Q736">
        <v>0.82</v>
      </c>
      <c r="R736" t="s">
        <v>1201</v>
      </c>
      <c r="S736" t="s">
        <v>195</v>
      </c>
    </row>
    <row r="737" spans="1:19" x14ac:dyDescent="0.3">
      <c r="A737" t="s">
        <v>990</v>
      </c>
      <c r="B737" t="s">
        <v>22</v>
      </c>
      <c r="C737">
        <v>2026</v>
      </c>
      <c r="D737">
        <v>2</v>
      </c>
      <c r="E737" s="2">
        <v>46059</v>
      </c>
      <c r="F737" t="s">
        <v>7</v>
      </c>
      <c r="G737" t="s">
        <v>8</v>
      </c>
      <c r="H737" t="s">
        <v>74</v>
      </c>
      <c r="I737" t="s">
        <v>84</v>
      </c>
      <c r="J737" t="s">
        <v>85</v>
      </c>
      <c r="K737" t="s">
        <v>73</v>
      </c>
      <c r="L737">
        <v>701000</v>
      </c>
      <c r="M737" t="s">
        <v>62</v>
      </c>
      <c r="N737" t="s">
        <v>33</v>
      </c>
      <c r="O737">
        <v>6977</v>
      </c>
      <c r="P737">
        <v>0.95</v>
      </c>
      <c r="Q737">
        <v>6.63</v>
      </c>
      <c r="R737" t="s">
        <v>1199</v>
      </c>
      <c r="S737" t="s">
        <v>195</v>
      </c>
    </row>
    <row r="738" spans="1:19" x14ac:dyDescent="0.3">
      <c r="A738" t="s">
        <v>991</v>
      </c>
      <c r="B738" t="s">
        <v>22</v>
      </c>
      <c r="C738">
        <v>2026</v>
      </c>
      <c r="D738">
        <v>2</v>
      </c>
      <c r="E738" s="2">
        <v>46059</v>
      </c>
      <c r="F738" t="s">
        <v>7</v>
      </c>
      <c r="G738" t="s">
        <v>8</v>
      </c>
      <c r="H738" t="s">
        <v>74</v>
      </c>
      <c r="I738" t="s">
        <v>84</v>
      </c>
      <c r="J738" t="s">
        <v>85</v>
      </c>
      <c r="K738" t="s">
        <v>73</v>
      </c>
      <c r="L738">
        <v>701000</v>
      </c>
      <c r="M738" t="s">
        <v>62</v>
      </c>
      <c r="N738" t="s">
        <v>33</v>
      </c>
      <c r="O738">
        <v>757</v>
      </c>
      <c r="P738">
        <v>0.95</v>
      </c>
      <c r="Q738">
        <v>0.72</v>
      </c>
      <c r="R738" t="s">
        <v>1201</v>
      </c>
      <c r="S738" t="s">
        <v>195</v>
      </c>
    </row>
    <row r="739" spans="1:19" x14ac:dyDescent="0.3">
      <c r="A739" t="s">
        <v>992</v>
      </c>
      <c r="B739" t="s">
        <v>22</v>
      </c>
      <c r="C739">
        <v>2026</v>
      </c>
      <c r="D739">
        <v>2</v>
      </c>
      <c r="E739" s="2">
        <v>46059</v>
      </c>
      <c r="F739" t="s">
        <v>7</v>
      </c>
      <c r="G739" t="s">
        <v>8</v>
      </c>
      <c r="H739" t="s">
        <v>74</v>
      </c>
      <c r="I739" t="s">
        <v>84</v>
      </c>
      <c r="J739" t="s">
        <v>85</v>
      </c>
      <c r="K739" t="s">
        <v>73</v>
      </c>
      <c r="L739">
        <v>701000</v>
      </c>
      <c r="M739" t="s">
        <v>62</v>
      </c>
      <c r="N739" t="s">
        <v>33</v>
      </c>
      <c r="O739">
        <v>2961</v>
      </c>
      <c r="P739">
        <v>0.95</v>
      </c>
      <c r="Q739">
        <v>2.81</v>
      </c>
      <c r="R739" t="s">
        <v>1203</v>
      </c>
      <c r="S739" t="s">
        <v>195</v>
      </c>
    </row>
    <row r="740" spans="1:19" x14ac:dyDescent="0.3">
      <c r="A740" t="s">
        <v>993</v>
      </c>
      <c r="B740" t="s">
        <v>22</v>
      </c>
      <c r="C740">
        <v>2026</v>
      </c>
      <c r="D740">
        <v>2</v>
      </c>
      <c r="E740" s="2">
        <v>46059</v>
      </c>
      <c r="F740" t="s">
        <v>7</v>
      </c>
      <c r="G740" t="s">
        <v>8</v>
      </c>
      <c r="H740" t="s">
        <v>74</v>
      </c>
      <c r="I740" t="s">
        <v>84</v>
      </c>
      <c r="J740" t="s">
        <v>85</v>
      </c>
      <c r="K740" t="s">
        <v>73</v>
      </c>
      <c r="L740">
        <v>701000</v>
      </c>
      <c r="M740" t="s">
        <v>62</v>
      </c>
      <c r="N740" t="s">
        <v>33</v>
      </c>
      <c r="O740">
        <v>2947</v>
      </c>
      <c r="P740">
        <v>0.95</v>
      </c>
      <c r="Q740">
        <v>2.8</v>
      </c>
      <c r="R740" t="s">
        <v>1198</v>
      </c>
      <c r="S740" t="s">
        <v>195</v>
      </c>
    </row>
    <row r="741" spans="1:19" x14ac:dyDescent="0.3">
      <c r="A741" t="s">
        <v>994</v>
      </c>
      <c r="B741" t="s">
        <v>22</v>
      </c>
      <c r="C741">
        <v>2026</v>
      </c>
      <c r="D741">
        <v>2</v>
      </c>
      <c r="E741" s="2">
        <v>46059</v>
      </c>
      <c r="F741" t="s">
        <v>7</v>
      </c>
      <c r="G741" t="s">
        <v>8</v>
      </c>
      <c r="H741" t="s">
        <v>74</v>
      </c>
      <c r="I741" t="s">
        <v>84</v>
      </c>
      <c r="J741" t="s">
        <v>85</v>
      </c>
      <c r="K741" t="s">
        <v>73</v>
      </c>
      <c r="L741">
        <v>701000</v>
      </c>
      <c r="M741" t="s">
        <v>62</v>
      </c>
      <c r="N741" t="s">
        <v>33</v>
      </c>
      <c r="O741">
        <v>6233</v>
      </c>
      <c r="P741">
        <v>0.95</v>
      </c>
      <c r="Q741">
        <v>5.92</v>
      </c>
      <c r="R741" t="s">
        <v>1202</v>
      </c>
      <c r="S741" t="s">
        <v>195</v>
      </c>
    </row>
    <row r="742" spans="1:19" x14ac:dyDescent="0.3">
      <c r="A742" t="s">
        <v>1125</v>
      </c>
      <c r="B742" t="s">
        <v>22</v>
      </c>
      <c r="C742">
        <v>2026</v>
      </c>
      <c r="D742">
        <v>2</v>
      </c>
      <c r="E742" s="2">
        <v>46059</v>
      </c>
      <c r="F742" t="s">
        <v>7</v>
      </c>
      <c r="G742" t="s">
        <v>8</v>
      </c>
      <c r="H742" t="s">
        <v>70</v>
      </c>
      <c r="I742" t="s">
        <v>71</v>
      </c>
      <c r="J742" t="s">
        <v>72</v>
      </c>
      <c r="K742" t="s">
        <v>73</v>
      </c>
      <c r="L742">
        <v>701000</v>
      </c>
      <c r="M742" t="s">
        <v>62</v>
      </c>
      <c r="N742" t="s">
        <v>33</v>
      </c>
      <c r="O742">
        <v>2254</v>
      </c>
      <c r="P742">
        <v>1.05</v>
      </c>
      <c r="Q742">
        <v>2.37</v>
      </c>
      <c r="R742" t="s">
        <v>1205</v>
      </c>
      <c r="S742" t="s">
        <v>195</v>
      </c>
    </row>
    <row r="743" spans="1:19" x14ac:dyDescent="0.3">
      <c r="A743" t="s">
        <v>1126</v>
      </c>
      <c r="B743" t="s">
        <v>22</v>
      </c>
      <c r="C743">
        <v>2026</v>
      </c>
      <c r="D743">
        <v>2</v>
      </c>
      <c r="E743" s="2">
        <v>46059</v>
      </c>
      <c r="F743" t="s">
        <v>7</v>
      </c>
      <c r="G743" t="s">
        <v>8</v>
      </c>
      <c r="H743" t="s">
        <v>70</v>
      </c>
      <c r="I743" t="s">
        <v>71</v>
      </c>
      <c r="J743" t="s">
        <v>72</v>
      </c>
      <c r="K743" t="s">
        <v>73</v>
      </c>
      <c r="L743">
        <v>701000</v>
      </c>
      <c r="M743" t="s">
        <v>62</v>
      </c>
      <c r="N743" t="s">
        <v>33</v>
      </c>
      <c r="O743">
        <v>1025</v>
      </c>
      <c r="P743">
        <v>1.05</v>
      </c>
      <c r="Q743">
        <v>1.08</v>
      </c>
      <c r="R743" t="s">
        <v>1199</v>
      </c>
      <c r="S743" t="s">
        <v>195</v>
      </c>
    </row>
    <row r="744" spans="1:19" x14ac:dyDescent="0.3">
      <c r="A744" t="s">
        <v>1127</v>
      </c>
      <c r="B744" t="s">
        <v>22</v>
      </c>
      <c r="C744">
        <v>2026</v>
      </c>
      <c r="D744">
        <v>2</v>
      </c>
      <c r="E744" s="2">
        <v>46059</v>
      </c>
      <c r="F744" t="s">
        <v>7</v>
      </c>
      <c r="G744" t="s">
        <v>8</v>
      </c>
      <c r="H744" t="s">
        <v>70</v>
      </c>
      <c r="I744" t="s">
        <v>71</v>
      </c>
      <c r="J744" t="s">
        <v>72</v>
      </c>
      <c r="K744" t="s">
        <v>73</v>
      </c>
      <c r="L744">
        <v>701000</v>
      </c>
      <c r="M744" t="s">
        <v>62</v>
      </c>
      <c r="N744" t="s">
        <v>33</v>
      </c>
      <c r="O744">
        <v>982</v>
      </c>
      <c r="P744">
        <v>1.05</v>
      </c>
      <c r="Q744">
        <v>1.03</v>
      </c>
      <c r="R744" t="s">
        <v>1202</v>
      </c>
      <c r="S744" t="s">
        <v>195</v>
      </c>
    </row>
    <row r="745" spans="1:19" x14ac:dyDescent="0.3">
      <c r="A745" t="s">
        <v>1128</v>
      </c>
      <c r="B745" t="s">
        <v>22</v>
      </c>
      <c r="C745">
        <v>2026</v>
      </c>
      <c r="D745">
        <v>2</v>
      </c>
      <c r="E745" s="2">
        <v>46059</v>
      </c>
      <c r="F745" t="s">
        <v>7</v>
      </c>
      <c r="G745" t="s">
        <v>8</v>
      </c>
      <c r="H745" t="s">
        <v>70</v>
      </c>
      <c r="I745" t="s">
        <v>71</v>
      </c>
      <c r="J745" t="s">
        <v>72</v>
      </c>
      <c r="K745" t="s">
        <v>73</v>
      </c>
      <c r="L745">
        <v>701000</v>
      </c>
      <c r="M745" t="s">
        <v>62</v>
      </c>
      <c r="N745" t="s">
        <v>33</v>
      </c>
      <c r="O745">
        <v>1946</v>
      </c>
      <c r="P745">
        <v>1.05</v>
      </c>
      <c r="Q745">
        <v>2.04</v>
      </c>
      <c r="R745" t="s">
        <v>1197</v>
      </c>
      <c r="S745" t="s">
        <v>195</v>
      </c>
    </row>
    <row r="746" spans="1:19" x14ac:dyDescent="0.3">
      <c r="A746" t="s">
        <v>1129</v>
      </c>
      <c r="B746" t="s">
        <v>22</v>
      </c>
      <c r="C746">
        <v>2026</v>
      </c>
      <c r="D746">
        <v>2</v>
      </c>
      <c r="E746" s="2">
        <v>46059</v>
      </c>
      <c r="F746" t="s">
        <v>7</v>
      </c>
      <c r="G746" t="s">
        <v>8</v>
      </c>
      <c r="H746" t="s">
        <v>70</v>
      </c>
      <c r="I746" t="s">
        <v>71</v>
      </c>
      <c r="J746" t="s">
        <v>72</v>
      </c>
      <c r="K746" t="s">
        <v>73</v>
      </c>
      <c r="L746">
        <v>701000</v>
      </c>
      <c r="M746" t="s">
        <v>62</v>
      </c>
      <c r="N746" t="s">
        <v>33</v>
      </c>
      <c r="O746">
        <v>1183</v>
      </c>
      <c r="P746">
        <v>1.05</v>
      </c>
      <c r="Q746">
        <v>1.24</v>
      </c>
      <c r="R746" t="s">
        <v>1201</v>
      </c>
      <c r="S746" t="s">
        <v>195</v>
      </c>
    </row>
    <row r="747" spans="1:19" x14ac:dyDescent="0.3">
      <c r="A747" t="s">
        <v>1010</v>
      </c>
      <c r="B747" t="s">
        <v>22</v>
      </c>
      <c r="C747">
        <v>2026</v>
      </c>
      <c r="D747">
        <v>2</v>
      </c>
      <c r="E747" s="2">
        <v>46060</v>
      </c>
      <c r="F747" t="s">
        <v>7</v>
      </c>
      <c r="G747" t="s">
        <v>8</v>
      </c>
      <c r="H747" t="s">
        <v>70</v>
      </c>
      <c r="I747" t="s">
        <v>71</v>
      </c>
      <c r="J747" t="s">
        <v>72</v>
      </c>
      <c r="K747" t="s">
        <v>73</v>
      </c>
      <c r="L747">
        <v>701000</v>
      </c>
      <c r="M747" t="s">
        <v>62</v>
      </c>
      <c r="N747" t="s">
        <v>33</v>
      </c>
      <c r="O747">
        <v>791</v>
      </c>
      <c r="P747">
        <v>1.05</v>
      </c>
      <c r="Q747">
        <v>0.83</v>
      </c>
      <c r="R747" t="s">
        <v>1203</v>
      </c>
      <c r="S747" t="s">
        <v>195</v>
      </c>
    </row>
    <row r="748" spans="1:19" x14ac:dyDescent="0.3">
      <c r="A748" t="s">
        <v>1011</v>
      </c>
      <c r="B748" t="s">
        <v>22</v>
      </c>
      <c r="C748">
        <v>2026</v>
      </c>
      <c r="D748">
        <v>2</v>
      </c>
      <c r="E748" s="2">
        <v>46060</v>
      </c>
      <c r="F748" t="s">
        <v>7</v>
      </c>
      <c r="G748" t="s">
        <v>8</v>
      </c>
      <c r="H748" t="s">
        <v>70</v>
      </c>
      <c r="I748" t="s">
        <v>71</v>
      </c>
      <c r="J748" t="s">
        <v>72</v>
      </c>
      <c r="K748" t="s">
        <v>73</v>
      </c>
      <c r="L748">
        <v>701000</v>
      </c>
      <c r="M748" t="s">
        <v>62</v>
      </c>
      <c r="N748" t="s">
        <v>33</v>
      </c>
      <c r="O748">
        <v>399</v>
      </c>
      <c r="P748">
        <v>1.05</v>
      </c>
      <c r="Q748">
        <v>0.42</v>
      </c>
      <c r="R748" t="s">
        <v>1197</v>
      </c>
      <c r="S748" t="s">
        <v>195</v>
      </c>
    </row>
    <row r="749" spans="1:19" x14ac:dyDescent="0.3">
      <c r="A749" t="s">
        <v>1012</v>
      </c>
      <c r="B749" t="s">
        <v>22</v>
      </c>
      <c r="C749">
        <v>2026</v>
      </c>
      <c r="D749">
        <v>2</v>
      </c>
      <c r="E749" s="2">
        <v>46060</v>
      </c>
      <c r="F749" t="s">
        <v>7</v>
      </c>
      <c r="G749" t="s">
        <v>8</v>
      </c>
      <c r="H749" t="s">
        <v>70</v>
      </c>
      <c r="I749" t="s">
        <v>71</v>
      </c>
      <c r="J749" t="s">
        <v>72</v>
      </c>
      <c r="K749" t="s">
        <v>73</v>
      </c>
      <c r="L749">
        <v>701000</v>
      </c>
      <c r="M749" t="s">
        <v>62</v>
      </c>
      <c r="N749" t="s">
        <v>33</v>
      </c>
      <c r="O749">
        <v>3292</v>
      </c>
      <c r="P749">
        <v>1.05</v>
      </c>
      <c r="Q749">
        <v>3.46</v>
      </c>
      <c r="R749" t="s">
        <v>1200</v>
      </c>
      <c r="S749" t="s">
        <v>195</v>
      </c>
    </row>
    <row r="750" spans="1:19" x14ac:dyDescent="0.3">
      <c r="A750" t="s">
        <v>1013</v>
      </c>
      <c r="B750" t="s">
        <v>22</v>
      </c>
      <c r="C750">
        <v>2026</v>
      </c>
      <c r="D750">
        <v>2</v>
      </c>
      <c r="E750" s="2">
        <v>46060</v>
      </c>
      <c r="F750" t="s">
        <v>7</v>
      </c>
      <c r="G750" t="s">
        <v>8</v>
      </c>
      <c r="H750" t="s">
        <v>70</v>
      </c>
      <c r="I750" t="s">
        <v>71</v>
      </c>
      <c r="J750" t="s">
        <v>72</v>
      </c>
      <c r="K750" t="s">
        <v>73</v>
      </c>
      <c r="L750">
        <v>701000</v>
      </c>
      <c r="M750" t="s">
        <v>62</v>
      </c>
      <c r="N750" t="s">
        <v>33</v>
      </c>
      <c r="O750">
        <v>2554</v>
      </c>
      <c r="P750">
        <v>1.05</v>
      </c>
      <c r="Q750">
        <v>2.68</v>
      </c>
      <c r="R750" t="s">
        <v>1201</v>
      </c>
      <c r="S750" t="s">
        <v>195</v>
      </c>
    </row>
    <row r="751" spans="1:19" x14ac:dyDescent="0.3">
      <c r="A751" t="s">
        <v>1014</v>
      </c>
      <c r="B751" t="s">
        <v>22</v>
      </c>
      <c r="C751">
        <v>2026</v>
      </c>
      <c r="D751">
        <v>2</v>
      </c>
      <c r="E751" s="2">
        <v>46060</v>
      </c>
      <c r="F751" t="s">
        <v>7</v>
      </c>
      <c r="G751" t="s">
        <v>8</v>
      </c>
      <c r="H751" t="s">
        <v>70</v>
      </c>
      <c r="I751" t="s">
        <v>71</v>
      </c>
      <c r="J751" t="s">
        <v>72</v>
      </c>
      <c r="K751" t="s">
        <v>73</v>
      </c>
      <c r="L751">
        <v>701000</v>
      </c>
      <c r="M751" t="s">
        <v>62</v>
      </c>
      <c r="N751" t="s">
        <v>33</v>
      </c>
      <c r="O751">
        <v>687</v>
      </c>
      <c r="P751">
        <v>1.05</v>
      </c>
      <c r="Q751">
        <v>0.72</v>
      </c>
      <c r="R751" t="s">
        <v>1204</v>
      </c>
      <c r="S751" t="s">
        <v>195</v>
      </c>
    </row>
    <row r="752" spans="1:19" x14ac:dyDescent="0.3">
      <c r="A752" t="s">
        <v>1065</v>
      </c>
      <c r="B752" t="s">
        <v>22</v>
      </c>
      <c r="C752">
        <v>2026</v>
      </c>
      <c r="D752">
        <v>2</v>
      </c>
      <c r="E752" s="2">
        <v>46060</v>
      </c>
      <c r="F752" t="s">
        <v>7</v>
      </c>
      <c r="G752" t="s">
        <v>8</v>
      </c>
      <c r="H752" t="s">
        <v>74</v>
      </c>
      <c r="I752" t="s">
        <v>71</v>
      </c>
      <c r="J752" t="s">
        <v>72</v>
      </c>
      <c r="K752" t="s">
        <v>73</v>
      </c>
      <c r="L752">
        <v>701000</v>
      </c>
      <c r="M752" t="s">
        <v>62</v>
      </c>
      <c r="N752" t="s">
        <v>33</v>
      </c>
      <c r="O752">
        <v>3574</v>
      </c>
      <c r="P752">
        <v>1.05</v>
      </c>
      <c r="Q752">
        <v>3.75</v>
      </c>
      <c r="R752" t="s">
        <v>1202</v>
      </c>
      <c r="S752" t="s">
        <v>195</v>
      </c>
    </row>
    <row r="753" spans="1:19" x14ac:dyDescent="0.3">
      <c r="A753" t="s">
        <v>1066</v>
      </c>
      <c r="B753" t="s">
        <v>22</v>
      </c>
      <c r="C753">
        <v>2026</v>
      </c>
      <c r="D753">
        <v>2</v>
      </c>
      <c r="E753" s="2">
        <v>46060</v>
      </c>
      <c r="F753" t="s">
        <v>7</v>
      </c>
      <c r="G753" t="s">
        <v>8</v>
      </c>
      <c r="H753" t="s">
        <v>74</v>
      </c>
      <c r="I753" t="s">
        <v>71</v>
      </c>
      <c r="J753" t="s">
        <v>72</v>
      </c>
      <c r="K753" t="s">
        <v>73</v>
      </c>
      <c r="L753">
        <v>701000</v>
      </c>
      <c r="M753" t="s">
        <v>62</v>
      </c>
      <c r="N753" t="s">
        <v>33</v>
      </c>
      <c r="O753">
        <v>1922</v>
      </c>
      <c r="P753">
        <v>1.05</v>
      </c>
      <c r="Q753">
        <v>2.02</v>
      </c>
      <c r="R753" t="s">
        <v>1198</v>
      </c>
      <c r="S753" t="s">
        <v>195</v>
      </c>
    </row>
    <row r="754" spans="1:19" x14ac:dyDescent="0.3">
      <c r="A754" t="s">
        <v>1067</v>
      </c>
      <c r="B754" t="s">
        <v>22</v>
      </c>
      <c r="C754">
        <v>2026</v>
      </c>
      <c r="D754">
        <v>2</v>
      </c>
      <c r="E754" s="2">
        <v>46060</v>
      </c>
      <c r="F754" t="s">
        <v>7</v>
      </c>
      <c r="G754" t="s">
        <v>8</v>
      </c>
      <c r="H754" t="s">
        <v>74</v>
      </c>
      <c r="I754" t="s">
        <v>71</v>
      </c>
      <c r="J754" t="s">
        <v>72</v>
      </c>
      <c r="K754" t="s">
        <v>73</v>
      </c>
      <c r="L754">
        <v>701000</v>
      </c>
      <c r="M754" t="s">
        <v>62</v>
      </c>
      <c r="N754" t="s">
        <v>33</v>
      </c>
      <c r="O754">
        <v>781</v>
      </c>
      <c r="P754">
        <v>1.05</v>
      </c>
      <c r="Q754">
        <v>0.82</v>
      </c>
      <c r="R754" t="s">
        <v>1204</v>
      </c>
      <c r="S754" t="s">
        <v>195</v>
      </c>
    </row>
    <row r="755" spans="1:19" x14ac:dyDescent="0.3">
      <c r="A755" t="s">
        <v>1068</v>
      </c>
      <c r="B755" t="s">
        <v>22</v>
      </c>
      <c r="C755">
        <v>2026</v>
      </c>
      <c r="D755">
        <v>2</v>
      </c>
      <c r="E755" s="2">
        <v>46060</v>
      </c>
      <c r="F755" t="s">
        <v>7</v>
      </c>
      <c r="G755" t="s">
        <v>8</v>
      </c>
      <c r="H755" t="s">
        <v>74</v>
      </c>
      <c r="I755" t="s">
        <v>71</v>
      </c>
      <c r="J755" t="s">
        <v>72</v>
      </c>
      <c r="K755" t="s">
        <v>73</v>
      </c>
      <c r="L755">
        <v>701000</v>
      </c>
      <c r="M755" t="s">
        <v>62</v>
      </c>
      <c r="N755" t="s">
        <v>33</v>
      </c>
      <c r="O755">
        <v>403</v>
      </c>
      <c r="P755">
        <v>1.04</v>
      </c>
      <c r="Q755">
        <v>0.42</v>
      </c>
      <c r="R755" t="s">
        <v>1201</v>
      </c>
      <c r="S755" t="s">
        <v>195</v>
      </c>
    </row>
    <row r="756" spans="1:19" x14ac:dyDescent="0.3">
      <c r="A756" t="s">
        <v>1069</v>
      </c>
      <c r="B756" t="s">
        <v>22</v>
      </c>
      <c r="C756">
        <v>2026</v>
      </c>
      <c r="D756">
        <v>2</v>
      </c>
      <c r="E756" s="2">
        <v>46060</v>
      </c>
      <c r="F756" t="s">
        <v>7</v>
      </c>
      <c r="G756" t="s">
        <v>8</v>
      </c>
      <c r="H756" t="s">
        <v>74</v>
      </c>
      <c r="I756" t="s">
        <v>71</v>
      </c>
      <c r="J756" t="s">
        <v>72</v>
      </c>
      <c r="K756" t="s">
        <v>73</v>
      </c>
      <c r="L756">
        <v>701000</v>
      </c>
      <c r="M756" t="s">
        <v>62</v>
      </c>
      <c r="N756" t="s">
        <v>33</v>
      </c>
      <c r="O756">
        <v>331</v>
      </c>
      <c r="P756">
        <v>1.06</v>
      </c>
      <c r="Q756">
        <v>0.35</v>
      </c>
      <c r="R756" t="s">
        <v>1199</v>
      </c>
      <c r="S756" t="s">
        <v>195</v>
      </c>
    </row>
    <row r="757" spans="1:19" x14ac:dyDescent="0.3">
      <c r="A757" t="s">
        <v>1075</v>
      </c>
      <c r="B757" t="s">
        <v>22</v>
      </c>
      <c r="C757">
        <v>2026</v>
      </c>
      <c r="D757">
        <v>2</v>
      </c>
      <c r="E757" s="2">
        <v>46060</v>
      </c>
      <c r="F757" t="s">
        <v>7</v>
      </c>
      <c r="G757" t="s">
        <v>8</v>
      </c>
      <c r="H757" t="s">
        <v>70</v>
      </c>
      <c r="I757" t="s">
        <v>71</v>
      </c>
      <c r="J757" t="s">
        <v>72</v>
      </c>
      <c r="K757" t="s">
        <v>73</v>
      </c>
      <c r="L757">
        <v>706000</v>
      </c>
      <c r="M757" t="s">
        <v>63</v>
      </c>
      <c r="N757" t="s">
        <v>33</v>
      </c>
      <c r="O757">
        <v>3239</v>
      </c>
      <c r="P757">
        <v>1.05</v>
      </c>
      <c r="Q757">
        <v>3.4</v>
      </c>
      <c r="R757" t="s">
        <v>1204</v>
      </c>
      <c r="S757" t="s">
        <v>195</v>
      </c>
    </row>
    <row r="758" spans="1:19" x14ac:dyDescent="0.3">
      <c r="A758" t="s">
        <v>1076</v>
      </c>
      <c r="B758" t="s">
        <v>22</v>
      </c>
      <c r="C758">
        <v>2026</v>
      </c>
      <c r="D758">
        <v>2</v>
      </c>
      <c r="E758" s="2">
        <v>46060</v>
      </c>
      <c r="F758" t="s">
        <v>7</v>
      </c>
      <c r="G758" t="s">
        <v>8</v>
      </c>
      <c r="H758" t="s">
        <v>70</v>
      </c>
      <c r="I758" t="s">
        <v>71</v>
      </c>
      <c r="J758" t="s">
        <v>72</v>
      </c>
      <c r="K758" t="s">
        <v>73</v>
      </c>
      <c r="L758">
        <v>706000</v>
      </c>
      <c r="M758" t="s">
        <v>63</v>
      </c>
      <c r="N758" t="s">
        <v>33</v>
      </c>
      <c r="O758">
        <v>2330</v>
      </c>
      <c r="P758">
        <v>1.05</v>
      </c>
      <c r="Q758">
        <v>2.44</v>
      </c>
      <c r="R758" t="s">
        <v>1202</v>
      </c>
      <c r="S758" t="s">
        <v>195</v>
      </c>
    </row>
    <row r="759" spans="1:19" x14ac:dyDescent="0.3">
      <c r="A759" t="s">
        <v>1077</v>
      </c>
      <c r="B759" t="s">
        <v>22</v>
      </c>
      <c r="C759">
        <v>2026</v>
      </c>
      <c r="D759">
        <v>2</v>
      </c>
      <c r="E759" s="2">
        <v>46060</v>
      </c>
      <c r="F759" t="s">
        <v>7</v>
      </c>
      <c r="G759" t="s">
        <v>8</v>
      </c>
      <c r="H759" t="s">
        <v>70</v>
      </c>
      <c r="I759" t="s">
        <v>71</v>
      </c>
      <c r="J759" t="s">
        <v>72</v>
      </c>
      <c r="K759" t="s">
        <v>73</v>
      </c>
      <c r="L759">
        <v>706000</v>
      </c>
      <c r="M759" t="s">
        <v>63</v>
      </c>
      <c r="N759" t="s">
        <v>33</v>
      </c>
      <c r="O759">
        <v>347</v>
      </c>
      <c r="P759">
        <v>1.04</v>
      </c>
      <c r="Q759">
        <v>0.36</v>
      </c>
      <c r="R759" t="s">
        <v>1201</v>
      </c>
      <c r="S759" t="s">
        <v>195</v>
      </c>
    </row>
    <row r="760" spans="1:19" x14ac:dyDescent="0.3">
      <c r="A760" t="s">
        <v>1078</v>
      </c>
      <c r="B760" t="s">
        <v>22</v>
      </c>
      <c r="C760">
        <v>2026</v>
      </c>
      <c r="D760">
        <v>2</v>
      </c>
      <c r="E760" s="2">
        <v>46060</v>
      </c>
      <c r="F760" t="s">
        <v>7</v>
      </c>
      <c r="G760" t="s">
        <v>8</v>
      </c>
      <c r="H760" t="s">
        <v>70</v>
      </c>
      <c r="I760" t="s">
        <v>71</v>
      </c>
      <c r="J760" t="s">
        <v>72</v>
      </c>
      <c r="K760" t="s">
        <v>73</v>
      </c>
      <c r="L760">
        <v>706000</v>
      </c>
      <c r="M760" t="s">
        <v>63</v>
      </c>
      <c r="N760" t="s">
        <v>33</v>
      </c>
      <c r="O760">
        <v>986</v>
      </c>
      <c r="P760">
        <v>1.04</v>
      </c>
      <c r="Q760">
        <v>1.03</v>
      </c>
      <c r="R760" t="s">
        <v>1199</v>
      </c>
      <c r="S760" t="s">
        <v>195</v>
      </c>
    </row>
    <row r="761" spans="1:19" x14ac:dyDescent="0.3">
      <c r="A761" t="s">
        <v>1079</v>
      </c>
      <c r="B761" t="s">
        <v>22</v>
      </c>
      <c r="C761">
        <v>2026</v>
      </c>
      <c r="D761">
        <v>2</v>
      </c>
      <c r="E761" s="2">
        <v>46060</v>
      </c>
      <c r="F761" t="s">
        <v>7</v>
      </c>
      <c r="G761" t="s">
        <v>8</v>
      </c>
      <c r="H761" t="s">
        <v>70</v>
      </c>
      <c r="I761" t="s">
        <v>71</v>
      </c>
      <c r="J761" t="s">
        <v>72</v>
      </c>
      <c r="K761" t="s">
        <v>73</v>
      </c>
      <c r="L761">
        <v>706000</v>
      </c>
      <c r="M761" t="s">
        <v>63</v>
      </c>
      <c r="N761" t="s">
        <v>33</v>
      </c>
      <c r="O761">
        <v>1255</v>
      </c>
      <c r="P761">
        <v>1.06</v>
      </c>
      <c r="Q761">
        <v>1.33</v>
      </c>
      <c r="R761" t="s">
        <v>1197</v>
      </c>
      <c r="S761" t="s">
        <v>195</v>
      </c>
    </row>
    <row r="762" spans="1:19" x14ac:dyDescent="0.3">
      <c r="A762" t="s">
        <v>1180</v>
      </c>
      <c r="B762" t="s">
        <v>22</v>
      </c>
      <c r="C762">
        <v>2026</v>
      </c>
      <c r="D762">
        <v>2</v>
      </c>
      <c r="E762" s="2">
        <v>46060</v>
      </c>
      <c r="F762" t="s">
        <v>7</v>
      </c>
      <c r="G762" t="s">
        <v>8</v>
      </c>
      <c r="H762" t="s">
        <v>74</v>
      </c>
      <c r="I762" t="s">
        <v>75</v>
      </c>
      <c r="J762" t="s">
        <v>76</v>
      </c>
      <c r="K762" t="s">
        <v>73</v>
      </c>
      <c r="L762">
        <v>701000</v>
      </c>
      <c r="M762" t="s">
        <v>62</v>
      </c>
      <c r="N762" t="s">
        <v>33</v>
      </c>
      <c r="O762">
        <v>1453</v>
      </c>
      <c r="P762">
        <v>1.4</v>
      </c>
      <c r="Q762">
        <v>2.0299999999999998</v>
      </c>
      <c r="R762" t="s">
        <v>1203</v>
      </c>
      <c r="S762" t="s">
        <v>195</v>
      </c>
    </row>
    <row r="763" spans="1:19" x14ac:dyDescent="0.3">
      <c r="A763" t="s">
        <v>1181</v>
      </c>
      <c r="B763" t="s">
        <v>22</v>
      </c>
      <c r="C763">
        <v>2026</v>
      </c>
      <c r="D763">
        <v>2</v>
      </c>
      <c r="E763" s="2">
        <v>46060</v>
      </c>
      <c r="F763" t="s">
        <v>7</v>
      </c>
      <c r="G763" t="s">
        <v>8</v>
      </c>
      <c r="H763" t="s">
        <v>74</v>
      </c>
      <c r="I763" t="s">
        <v>75</v>
      </c>
      <c r="J763" t="s">
        <v>76</v>
      </c>
      <c r="K763" t="s">
        <v>73</v>
      </c>
      <c r="L763">
        <v>701000</v>
      </c>
      <c r="M763" t="s">
        <v>62</v>
      </c>
      <c r="N763" t="s">
        <v>33</v>
      </c>
      <c r="O763">
        <v>2461</v>
      </c>
      <c r="P763">
        <v>1.4</v>
      </c>
      <c r="Q763">
        <v>3.45</v>
      </c>
      <c r="R763" t="s">
        <v>1198</v>
      </c>
      <c r="S763" t="s">
        <v>195</v>
      </c>
    </row>
    <row r="764" spans="1:19" x14ac:dyDescent="0.3">
      <c r="A764" t="s">
        <v>1182</v>
      </c>
      <c r="B764" t="s">
        <v>22</v>
      </c>
      <c r="C764">
        <v>2026</v>
      </c>
      <c r="D764">
        <v>2</v>
      </c>
      <c r="E764" s="2">
        <v>46060</v>
      </c>
      <c r="F764" t="s">
        <v>7</v>
      </c>
      <c r="G764" t="s">
        <v>8</v>
      </c>
      <c r="H764" t="s">
        <v>74</v>
      </c>
      <c r="I764" t="s">
        <v>75</v>
      </c>
      <c r="J764" t="s">
        <v>76</v>
      </c>
      <c r="K764" t="s">
        <v>73</v>
      </c>
      <c r="L764">
        <v>701000</v>
      </c>
      <c r="M764" t="s">
        <v>62</v>
      </c>
      <c r="N764" t="s">
        <v>33</v>
      </c>
      <c r="O764">
        <v>3395</v>
      </c>
      <c r="P764">
        <v>1.4</v>
      </c>
      <c r="Q764">
        <v>4.75</v>
      </c>
      <c r="R764" t="s">
        <v>1205</v>
      </c>
      <c r="S764" t="s">
        <v>195</v>
      </c>
    </row>
    <row r="765" spans="1:19" x14ac:dyDescent="0.3">
      <c r="A765" t="s">
        <v>1183</v>
      </c>
      <c r="B765" t="s">
        <v>22</v>
      </c>
      <c r="C765">
        <v>2026</v>
      </c>
      <c r="D765">
        <v>2</v>
      </c>
      <c r="E765" s="2">
        <v>46060</v>
      </c>
      <c r="F765" t="s">
        <v>7</v>
      </c>
      <c r="G765" t="s">
        <v>8</v>
      </c>
      <c r="H765" t="s">
        <v>74</v>
      </c>
      <c r="I765" t="s">
        <v>75</v>
      </c>
      <c r="J765" t="s">
        <v>76</v>
      </c>
      <c r="K765" t="s">
        <v>73</v>
      </c>
      <c r="L765">
        <v>701000</v>
      </c>
      <c r="M765" t="s">
        <v>62</v>
      </c>
      <c r="N765" t="s">
        <v>33</v>
      </c>
      <c r="O765">
        <v>1805</v>
      </c>
      <c r="P765">
        <v>1.4</v>
      </c>
      <c r="Q765">
        <v>2.5299999999999998</v>
      </c>
      <c r="R765" t="s">
        <v>1199</v>
      </c>
      <c r="S765" t="s">
        <v>195</v>
      </c>
    </row>
    <row r="766" spans="1:19" x14ac:dyDescent="0.3">
      <c r="A766" t="s">
        <v>1184</v>
      </c>
      <c r="B766" t="s">
        <v>22</v>
      </c>
      <c r="C766">
        <v>2026</v>
      </c>
      <c r="D766">
        <v>2</v>
      </c>
      <c r="E766" s="2">
        <v>46060</v>
      </c>
      <c r="F766" t="s">
        <v>7</v>
      </c>
      <c r="G766" t="s">
        <v>8</v>
      </c>
      <c r="H766" t="s">
        <v>74</v>
      </c>
      <c r="I766" t="s">
        <v>75</v>
      </c>
      <c r="J766" t="s">
        <v>76</v>
      </c>
      <c r="K766" t="s">
        <v>73</v>
      </c>
      <c r="L766">
        <v>701000</v>
      </c>
      <c r="M766" t="s">
        <v>62</v>
      </c>
      <c r="N766" t="s">
        <v>33</v>
      </c>
      <c r="O766">
        <v>3894</v>
      </c>
      <c r="P766">
        <v>1.4</v>
      </c>
      <c r="Q766">
        <v>5.45</v>
      </c>
      <c r="R766" t="s">
        <v>1201</v>
      </c>
      <c r="S766" t="s">
        <v>195</v>
      </c>
    </row>
    <row r="767" spans="1:19" x14ac:dyDescent="0.3">
      <c r="A767" t="s">
        <v>980</v>
      </c>
      <c r="B767" t="s">
        <v>22</v>
      </c>
      <c r="C767">
        <v>2026</v>
      </c>
      <c r="D767">
        <v>2</v>
      </c>
      <c r="E767" s="2">
        <v>46061</v>
      </c>
      <c r="F767" t="s">
        <v>7</v>
      </c>
      <c r="G767" t="s">
        <v>8</v>
      </c>
      <c r="H767" t="s">
        <v>70</v>
      </c>
      <c r="I767" t="s">
        <v>84</v>
      </c>
      <c r="J767" t="s">
        <v>85</v>
      </c>
      <c r="K767" t="s">
        <v>73</v>
      </c>
      <c r="L767">
        <v>701000</v>
      </c>
      <c r="M767" t="s">
        <v>62</v>
      </c>
      <c r="N767" t="s">
        <v>33</v>
      </c>
      <c r="O767">
        <v>2351</v>
      </c>
      <c r="P767">
        <v>0.95</v>
      </c>
      <c r="Q767">
        <v>2.23</v>
      </c>
      <c r="R767" t="s">
        <v>1201</v>
      </c>
      <c r="S767" t="s">
        <v>195</v>
      </c>
    </row>
    <row r="768" spans="1:19" x14ac:dyDescent="0.3">
      <c r="A768" t="s">
        <v>981</v>
      </c>
      <c r="B768" t="s">
        <v>22</v>
      </c>
      <c r="C768">
        <v>2026</v>
      </c>
      <c r="D768">
        <v>2</v>
      </c>
      <c r="E768" s="2">
        <v>46061</v>
      </c>
      <c r="F768" t="s">
        <v>7</v>
      </c>
      <c r="G768" t="s">
        <v>8</v>
      </c>
      <c r="H768" t="s">
        <v>70</v>
      </c>
      <c r="I768" t="s">
        <v>84</v>
      </c>
      <c r="J768" t="s">
        <v>85</v>
      </c>
      <c r="K768" t="s">
        <v>73</v>
      </c>
      <c r="L768">
        <v>701000</v>
      </c>
      <c r="M768" t="s">
        <v>62</v>
      </c>
      <c r="N768" t="s">
        <v>33</v>
      </c>
      <c r="O768">
        <v>4062</v>
      </c>
      <c r="P768">
        <v>0.95</v>
      </c>
      <c r="Q768">
        <v>3.86</v>
      </c>
      <c r="R768" t="s">
        <v>1200</v>
      </c>
      <c r="S768" t="s">
        <v>195</v>
      </c>
    </row>
    <row r="769" spans="1:19" x14ac:dyDescent="0.3">
      <c r="A769" t="s">
        <v>982</v>
      </c>
      <c r="B769" t="s">
        <v>22</v>
      </c>
      <c r="C769">
        <v>2026</v>
      </c>
      <c r="D769">
        <v>2</v>
      </c>
      <c r="E769" s="2">
        <v>46061</v>
      </c>
      <c r="F769" t="s">
        <v>7</v>
      </c>
      <c r="G769" t="s">
        <v>8</v>
      </c>
      <c r="H769" t="s">
        <v>70</v>
      </c>
      <c r="I769" t="s">
        <v>84</v>
      </c>
      <c r="J769" t="s">
        <v>85</v>
      </c>
      <c r="K769" t="s">
        <v>73</v>
      </c>
      <c r="L769">
        <v>701000</v>
      </c>
      <c r="M769" t="s">
        <v>62</v>
      </c>
      <c r="N769" t="s">
        <v>33</v>
      </c>
      <c r="O769">
        <v>2718</v>
      </c>
      <c r="P769">
        <v>0.95</v>
      </c>
      <c r="Q769">
        <v>2.58</v>
      </c>
      <c r="R769" t="s">
        <v>1199</v>
      </c>
      <c r="S769" t="s">
        <v>195</v>
      </c>
    </row>
    <row r="770" spans="1:19" x14ac:dyDescent="0.3">
      <c r="A770" t="s">
        <v>983</v>
      </c>
      <c r="B770" t="s">
        <v>22</v>
      </c>
      <c r="C770">
        <v>2026</v>
      </c>
      <c r="D770">
        <v>2</v>
      </c>
      <c r="E770" s="2">
        <v>46061</v>
      </c>
      <c r="F770" t="s">
        <v>7</v>
      </c>
      <c r="G770" t="s">
        <v>8</v>
      </c>
      <c r="H770" t="s">
        <v>70</v>
      </c>
      <c r="I770" t="s">
        <v>84</v>
      </c>
      <c r="J770" t="s">
        <v>85</v>
      </c>
      <c r="K770" t="s">
        <v>73</v>
      </c>
      <c r="L770">
        <v>701000</v>
      </c>
      <c r="M770" t="s">
        <v>62</v>
      </c>
      <c r="N770" t="s">
        <v>33</v>
      </c>
      <c r="O770">
        <v>4559</v>
      </c>
      <c r="P770">
        <v>0.95</v>
      </c>
      <c r="Q770">
        <v>4.33</v>
      </c>
      <c r="R770" t="s">
        <v>1203</v>
      </c>
      <c r="S770" t="s">
        <v>195</v>
      </c>
    </row>
    <row r="771" spans="1:19" x14ac:dyDescent="0.3">
      <c r="A771" t="s">
        <v>984</v>
      </c>
      <c r="B771" t="s">
        <v>22</v>
      </c>
      <c r="C771">
        <v>2026</v>
      </c>
      <c r="D771">
        <v>2</v>
      </c>
      <c r="E771" s="2">
        <v>46061</v>
      </c>
      <c r="F771" t="s">
        <v>7</v>
      </c>
      <c r="G771" t="s">
        <v>8</v>
      </c>
      <c r="H771" t="s">
        <v>70</v>
      </c>
      <c r="I771" t="s">
        <v>84</v>
      </c>
      <c r="J771" t="s">
        <v>85</v>
      </c>
      <c r="K771" t="s">
        <v>73</v>
      </c>
      <c r="L771">
        <v>701000</v>
      </c>
      <c r="M771" t="s">
        <v>62</v>
      </c>
      <c r="N771" t="s">
        <v>33</v>
      </c>
      <c r="O771">
        <v>6685</v>
      </c>
      <c r="P771">
        <v>0.95</v>
      </c>
      <c r="Q771">
        <v>6.36</v>
      </c>
      <c r="R771" t="s">
        <v>1198</v>
      </c>
      <c r="S771" t="s">
        <v>195</v>
      </c>
    </row>
    <row r="772" spans="1:19" x14ac:dyDescent="0.3">
      <c r="A772" t="s">
        <v>1030</v>
      </c>
      <c r="B772" t="s">
        <v>22</v>
      </c>
      <c r="C772">
        <v>2026</v>
      </c>
      <c r="D772">
        <v>2</v>
      </c>
      <c r="E772" s="2">
        <v>46061</v>
      </c>
      <c r="F772" t="s">
        <v>7</v>
      </c>
      <c r="G772" t="s">
        <v>8</v>
      </c>
      <c r="H772" t="s">
        <v>74</v>
      </c>
      <c r="I772" t="s">
        <v>71</v>
      </c>
      <c r="J772" t="s">
        <v>72</v>
      </c>
      <c r="K772" t="s">
        <v>73</v>
      </c>
      <c r="L772">
        <v>701000</v>
      </c>
      <c r="M772" t="s">
        <v>62</v>
      </c>
      <c r="N772" t="s">
        <v>33</v>
      </c>
      <c r="O772">
        <v>4242</v>
      </c>
      <c r="P772">
        <v>1.05</v>
      </c>
      <c r="Q772">
        <v>4.45</v>
      </c>
      <c r="R772" t="s">
        <v>1200</v>
      </c>
      <c r="S772" t="s">
        <v>195</v>
      </c>
    </row>
    <row r="773" spans="1:19" x14ac:dyDescent="0.3">
      <c r="A773" t="s">
        <v>1031</v>
      </c>
      <c r="B773" t="s">
        <v>22</v>
      </c>
      <c r="C773">
        <v>2026</v>
      </c>
      <c r="D773">
        <v>2</v>
      </c>
      <c r="E773" s="2">
        <v>46061</v>
      </c>
      <c r="F773" t="s">
        <v>7</v>
      </c>
      <c r="G773" t="s">
        <v>8</v>
      </c>
      <c r="H773" t="s">
        <v>74</v>
      </c>
      <c r="I773" t="s">
        <v>71</v>
      </c>
      <c r="J773" t="s">
        <v>72</v>
      </c>
      <c r="K773" t="s">
        <v>73</v>
      </c>
      <c r="L773">
        <v>701000</v>
      </c>
      <c r="M773" t="s">
        <v>62</v>
      </c>
      <c r="N773" t="s">
        <v>33</v>
      </c>
      <c r="O773">
        <v>1572</v>
      </c>
      <c r="P773">
        <v>1.05</v>
      </c>
      <c r="Q773">
        <v>1.65</v>
      </c>
      <c r="R773" t="s">
        <v>1202</v>
      </c>
      <c r="S773" t="s">
        <v>195</v>
      </c>
    </row>
    <row r="774" spans="1:19" x14ac:dyDescent="0.3">
      <c r="A774" t="s">
        <v>1032</v>
      </c>
      <c r="B774" t="s">
        <v>22</v>
      </c>
      <c r="C774">
        <v>2026</v>
      </c>
      <c r="D774">
        <v>2</v>
      </c>
      <c r="E774" s="2">
        <v>46061</v>
      </c>
      <c r="F774" t="s">
        <v>7</v>
      </c>
      <c r="G774" t="s">
        <v>8</v>
      </c>
      <c r="H774" t="s">
        <v>74</v>
      </c>
      <c r="I774" t="s">
        <v>71</v>
      </c>
      <c r="J774" t="s">
        <v>72</v>
      </c>
      <c r="K774" t="s">
        <v>73</v>
      </c>
      <c r="L774">
        <v>701000</v>
      </c>
      <c r="M774" t="s">
        <v>62</v>
      </c>
      <c r="N774" t="s">
        <v>33</v>
      </c>
      <c r="O774">
        <v>592</v>
      </c>
      <c r="P774">
        <v>1.05</v>
      </c>
      <c r="Q774">
        <v>0.62</v>
      </c>
      <c r="R774" t="s">
        <v>1205</v>
      </c>
      <c r="S774" t="s">
        <v>195</v>
      </c>
    </row>
    <row r="775" spans="1:19" x14ac:dyDescent="0.3">
      <c r="A775" t="s">
        <v>1033</v>
      </c>
      <c r="B775" t="s">
        <v>22</v>
      </c>
      <c r="C775">
        <v>2026</v>
      </c>
      <c r="D775">
        <v>2</v>
      </c>
      <c r="E775" s="2">
        <v>46061</v>
      </c>
      <c r="F775" t="s">
        <v>7</v>
      </c>
      <c r="G775" t="s">
        <v>8</v>
      </c>
      <c r="H775" t="s">
        <v>74</v>
      </c>
      <c r="I775" t="s">
        <v>71</v>
      </c>
      <c r="J775" t="s">
        <v>72</v>
      </c>
      <c r="K775" t="s">
        <v>73</v>
      </c>
      <c r="L775">
        <v>701000</v>
      </c>
      <c r="M775" t="s">
        <v>62</v>
      </c>
      <c r="N775" t="s">
        <v>33</v>
      </c>
      <c r="O775">
        <v>492</v>
      </c>
      <c r="P775">
        <v>1.06</v>
      </c>
      <c r="Q775">
        <v>0.52</v>
      </c>
      <c r="R775" t="s">
        <v>1199</v>
      </c>
      <c r="S775" t="s">
        <v>195</v>
      </c>
    </row>
    <row r="776" spans="1:19" x14ac:dyDescent="0.3">
      <c r="A776" t="s">
        <v>1034</v>
      </c>
      <c r="B776" t="s">
        <v>22</v>
      </c>
      <c r="C776">
        <v>2026</v>
      </c>
      <c r="D776">
        <v>2</v>
      </c>
      <c r="E776" s="2">
        <v>46061</v>
      </c>
      <c r="F776" t="s">
        <v>7</v>
      </c>
      <c r="G776" t="s">
        <v>8</v>
      </c>
      <c r="H776" t="s">
        <v>74</v>
      </c>
      <c r="I776" t="s">
        <v>71</v>
      </c>
      <c r="J776" t="s">
        <v>72</v>
      </c>
      <c r="K776" t="s">
        <v>73</v>
      </c>
      <c r="L776">
        <v>701000</v>
      </c>
      <c r="M776" t="s">
        <v>62</v>
      </c>
      <c r="N776" t="s">
        <v>33</v>
      </c>
      <c r="O776">
        <v>1492</v>
      </c>
      <c r="P776">
        <v>1.05</v>
      </c>
      <c r="Q776">
        <v>1.57</v>
      </c>
      <c r="R776" t="s">
        <v>1201</v>
      </c>
      <c r="S776" t="s">
        <v>195</v>
      </c>
    </row>
    <row r="777" spans="1:19" x14ac:dyDescent="0.3">
      <c r="A777" t="s">
        <v>1115</v>
      </c>
      <c r="B777" t="s">
        <v>22</v>
      </c>
      <c r="C777">
        <v>2026</v>
      </c>
      <c r="D777">
        <v>2</v>
      </c>
      <c r="E777" s="2">
        <v>46061</v>
      </c>
      <c r="F777" t="s">
        <v>7</v>
      </c>
      <c r="G777" t="s">
        <v>8</v>
      </c>
      <c r="H777" t="s">
        <v>74</v>
      </c>
      <c r="I777" t="s">
        <v>71</v>
      </c>
      <c r="J777" t="s">
        <v>72</v>
      </c>
      <c r="K777" t="s">
        <v>73</v>
      </c>
      <c r="L777">
        <v>701000</v>
      </c>
      <c r="M777" t="s">
        <v>62</v>
      </c>
      <c r="N777" t="s">
        <v>33</v>
      </c>
      <c r="O777">
        <v>3034</v>
      </c>
      <c r="P777">
        <v>1.05</v>
      </c>
      <c r="Q777">
        <v>3.19</v>
      </c>
      <c r="R777" t="s">
        <v>1202</v>
      </c>
      <c r="S777" t="s">
        <v>195</v>
      </c>
    </row>
    <row r="778" spans="1:19" x14ac:dyDescent="0.3">
      <c r="A778" t="s">
        <v>1116</v>
      </c>
      <c r="B778" t="s">
        <v>22</v>
      </c>
      <c r="C778">
        <v>2026</v>
      </c>
      <c r="D778">
        <v>2</v>
      </c>
      <c r="E778" s="2">
        <v>46061</v>
      </c>
      <c r="F778" t="s">
        <v>7</v>
      </c>
      <c r="G778" t="s">
        <v>8</v>
      </c>
      <c r="H778" t="s">
        <v>74</v>
      </c>
      <c r="I778" t="s">
        <v>71</v>
      </c>
      <c r="J778" t="s">
        <v>72</v>
      </c>
      <c r="K778" t="s">
        <v>73</v>
      </c>
      <c r="L778">
        <v>701000</v>
      </c>
      <c r="M778" t="s">
        <v>62</v>
      </c>
      <c r="N778" t="s">
        <v>33</v>
      </c>
      <c r="O778">
        <v>977</v>
      </c>
      <c r="P778">
        <v>1.05</v>
      </c>
      <c r="Q778">
        <v>1.03</v>
      </c>
      <c r="R778" t="s">
        <v>1205</v>
      </c>
      <c r="S778" t="s">
        <v>195</v>
      </c>
    </row>
    <row r="779" spans="1:19" x14ac:dyDescent="0.3">
      <c r="A779" t="s">
        <v>1117</v>
      </c>
      <c r="B779" t="s">
        <v>22</v>
      </c>
      <c r="C779">
        <v>2026</v>
      </c>
      <c r="D779">
        <v>2</v>
      </c>
      <c r="E779" s="2">
        <v>46061</v>
      </c>
      <c r="F779" t="s">
        <v>7</v>
      </c>
      <c r="G779" t="s">
        <v>8</v>
      </c>
      <c r="H779" t="s">
        <v>74</v>
      </c>
      <c r="I779" t="s">
        <v>71</v>
      </c>
      <c r="J779" t="s">
        <v>72</v>
      </c>
      <c r="K779" t="s">
        <v>73</v>
      </c>
      <c r="L779">
        <v>701000</v>
      </c>
      <c r="M779" t="s">
        <v>62</v>
      </c>
      <c r="N779" t="s">
        <v>33</v>
      </c>
      <c r="O779">
        <v>2382</v>
      </c>
      <c r="P779">
        <v>1.05</v>
      </c>
      <c r="Q779">
        <v>2.5</v>
      </c>
      <c r="R779" t="s">
        <v>1201</v>
      </c>
      <c r="S779" t="s">
        <v>195</v>
      </c>
    </row>
    <row r="780" spans="1:19" x14ac:dyDescent="0.3">
      <c r="A780" t="s">
        <v>1118</v>
      </c>
      <c r="B780" t="s">
        <v>22</v>
      </c>
      <c r="C780">
        <v>2026</v>
      </c>
      <c r="D780">
        <v>2</v>
      </c>
      <c r="E780" s="2">
        <v>46061</v>
      </c>
      <c r="F780" t="s">
        <v>7</v>
      </c>
      <c r="G780" t="s">
        <v>8</v>
      </c>
      <c r="H780" t="s">
        <v>74</v>
      </c>
      <c r="I780" t="s">
        <v>71</v>
      </c>
      <c r="J780" t="s">
        <v>72</v>
      </c>
      <c r="K780" t="s">
        <v>73</v>
      </c>
      <c r="L780">
        <v>701000</v>
      </c>
      <c r="M780" t="s">
        <v>62</v>
      </c>
      <c r="N780" t="s">
        <v>33</v>
      </c>
      <c r="O780">
        <v>1585</v>
      </c>
      <c r="P780">
        <v>1.05</v>
      </c>
      <c r="Q780">
        <v>1.66</v>
      </c>
      <c r="R780" t="s">
        <v>1203</v>
      </c>
      <c r="S780" t="s">
        <v>195</v>
      </c>
    </row>
    <row r="781" spans="1:19" x14ac:dyDescent="0.3">
      <c r="A781" t="s">
        <v>1119</v>
      </c>
      <c r="B781" t="s">
        <v>22</v>
      </c>
      <c r="C781">
        <v>2026</v>
      </c>
      <c r="D781">
        <v>2</v>
      </c>
      <c r="E781" s="2">
        <v>46061</v>
      </c>
      <c r="F781" t="s">
        <v>7</v>
      </c>
      <c r="G781" t="s">
        <v>8</v>
      </c>
      <c r="H781" t="s">
        <v>74</v>
      </c>
      <c r="I781" t="s">
        <v>71</v>
      </c>
      <c r="J781" t="s">
        <v>72</v>
      </c>
      <c r="K781" t="s">
        <v>73</v>
      </c>
      <c r="L781">
        <v>701000</v>
      </c>
      <c r="M781" t="s">
        <v>62</v>
      </c>
      <c r="N781" t="s">
        <v>33</v>
      </c>
      <c r="O781">
        <v>896</v>
      </c>
      <c r="P781">
        <v>1.05</v>
      </c>
      <c r="Q781">
        <v>0.94</v>
      </c>
      <c r="R781" t="s">
        <v>1198</v>
      </c>
      <c r="S781" t="s">
        <v>195</v>
      </c>
    </row>
    <row r="782" spans="1:19" x14ac:dyDescent="0.3">
      <c r="A782" t="s">
        <v>1055</v>
      </c>
      <c r="B782" t="s">
        <v>22</v>
      </c>
      <c r="C782">
        <v>2026</v>
      </c>
      <c r="D782">
        <v>2</v>
      </c>
      <c r="E782" s="2">
        <v>46062</v>
      </c>
      <c r="F782" t="s">
        <v>7</v>
      </c>
      <c r="G782" t="s">
        <v>8</v>
      </c>
      <c r="H782" t="s">
        <v>74</v>
      </c>
      <c r="I782" t="s">
        <v>71</v>
      </c>
      <c r="J782" t="s">
        <v>72</v>
      </c>
      <c r="K782" t="s">
        <v>73</v>
      </c>
      <c r="L782">
        <v>701000</v>
      </c>
      <c r="M782" t="s">
        <v>62</v>
      </c>
      <c r="N782" t="s">
        <v>33</v>
      </c>
      <c r="O782">
        <v>1223</v>
      </c>
      <c r="P782">
        <v>1.05</v>
      </c>
      <c r="Q782">
        <v>1.28</v>
      </c>
      <c r="R782" t="s">
        <v>1200</v>
      </c>
      <c r="S782" t="s">
        <v>195</v>
      </c>
    </row>
    <row r="783" spans="1:19" x14ac:dyDescent="0.3">
      <c r="A783" t="s">
        <v>1056</v>
      </c>
      <c r="B783" t="s">
        <v>22</v>
      </c>
      <c r="C783">
        <v>2026</v>
      </c>
      <c r="D783">
        <v>2</v>
      </c>
      <c r="E783" s="2">
        <v>46062</v>
      </c>
      <c r="F783" t="s">
        <v>7</v>
      </c>
      <c r="G783" t="s">
        <v>8</v>
      </c>
      <c r="H783" t="s">
        <v>74</v>
      </c>
      <c r="I783" t="s">
        <v>71</v>
      </c>
      <c r="J783" t="s">
        <v>72</v>
      </c>
      <c r="K783" t="s">
        <v>73</v>
      </c>
      <c r="L783">
        <v>701000</v>
      </c>
      <c r="M783" t="s">
        <v>62</v>
      </c>
      <c r="N783" t="s">
        <v>33</v>
      </c>
      <c r="O783">
        <v>2052</v>
      </c>
      <c r="P783">
        <v>1.05</v>
      </c>
      <c r="Q783">
        <v>2.15</v>
      </c>
      <c r="R783" t="s">
        <v>1203</v>
      </c>
      <c r="S783" t="s">
        <v>195</v>
      </c>
    </row>
    <row r="784" spans="1:19" x14ac:dyDescent="0.3">
      <c r="A784" t="s">
        <v>1057</v>
      </c>
      <c r="B784" t="s">
        <v>22</v>
      </c>
      <c r="C784">
        <v>2026</v>
      </c>
      <c r="D784">
        <v>2</v>
      </c>
      <c r="E784" s="2">
        <v>46062</v>
      </c>
      <c r="F784" t="s">
        <v>7</v>
      </c>
      <c r="G784" t="s">
        <v>8</v>
      </c>
      <c r="H784" t="s">
        <v>74</v>
      </c>
      <c r="I784" t="s">
        <v>71</v>
      </c>
      <c r="J784" t="s">
        <v>72</v>
      </c>
      <c r="K784" t="s">
        <v>73</v>
      </c>
      <c r="L784">
        <v>701000</v>
      </c>
      <c r="M784" t="s">
        <v>62</v>
      </c>
      <c r="N784" t="s">
        <v>33</v>
      </c>
      <c r="O784">
        <v>2090</v>
      </c>
      <c r="P784">
        <v>1.05</v>
      </c>
      <c r="Q784">
        <v>2.19</v>
      </c>
      <c r="R784" t="s">
        <v>1197</v>
      </c>
      <c r="S784" t="s">
        <v>195</v>
      </c>
    </row>
    <row r="785" spans="1:19" x14ac:dyDescent="0.3">
      <c r="A785" t="s">
        <v>1058</v>
      </c>
      <c r="B785" t="s">
        <v>22</v>
      </c>
      <c r="C785">
        <v>2026</v>
      </c>
      <c r="D785">
        <v>2</v>
      </c>
      <c r="E785" s="2">
        <v>46062</v>
      </c>
      <c r="F785" t="s">
        <v>7</v>
      </c>
      <c r="G785" t="s">
        <v>8</v>
      </c>
      <c r="H785" t="s">
        <v>74</v>
      </c>
      <c r="I785" t="s">
        <v>71</v>
      </c>
      <c r="J785" t="s">
        <v>72</v>
      </c>
      <c r="K785" t="s">
        <v>73</v>
      </c>
      <c r="L785">
        <v>701000</v>
      </c>
      <c r="M785" t="s">
        <v>62</v>
      </c>
      <c r="N785" t="s">
        <v>33</v>
      </c>
      <c r="O785">
        <v>1265</v>
      </c>
      <c r="P785">
        <v>1.05</v>
      </c>
      <c r="Q785">
        <v>1.33</v>
      </c>
      <c r="R785" t="s">
        <v>1201</v>
      </c>
      <c r="S785" t="s">
        <v>195</v>
      </c>
    </row>
    <row r="786" spans="1:19" x14ac:dyDescent="0.3">
      <c r="A786" t="s">
        <v>1059</v>
      </c>
      <c r="B786" t="s">
        <v>22</v>
      </c>
      <c r="C786">
        <v>2026</v>
      </c>
      <c r="D786">
        <v>2</v>
      </c>
      <c r="E786" s="2">
        <v>46062</v>
      </c>
      <c r="F786" t="s">
        <v>7</v>
      </c>
      <c r="G786" t="s">
        <v>8</v>
      </c>
      <c r="H786" t="s">
        <v>74</v>
      </c>
      <c r="I786" t="s">
        <v>71</v>
      </c>
      <c r="J786" t="s">
        <v>72</v>
      </c>
      <c r="K786" t="s">
        <v>73</v>
      </c>
      <c r="L786">
        <v>701000</v>
      </c>
      <c r="M786" t="s">
        <v>62</v>
      </c>
      <c r="N786" t="s">
        <v>33</v>
      </c>
      <c r="O786">
        <v>553</v>
      </c>
      <c r="P786">
        <v>1.07</v>
      </c>
      <c r="Q786">
        <v>0.59</v>
      </c>
      <c r="R786" t="s">
        <v>1204</v>
      </c>
      <c r="S786" t="s">
        <v>195</v>
      </c>
    </row>
    <row r="787" spans="1:19" x14ac:dyDescent="0.3">
      <c r="A787" t="s">
        <v>1120</v>
      </c>
      <c r="B787" t="s">
        <v>22</v>
      </c>
      <c r="C787">
        <v>2026</v>
      </c>
      <c r="D787">
        <v>2</v>
      </c>
      <c r="E787" s="2">
        <v>46062</v>
      </c>
      <c r="F787" t="s">
        <v>7</v>
      </c>
      <c r="G787" t="s">
        <v>8</v>
      </c>
      <c r="H787" t="s">
        <v>74</v>
      </c>
      <c r="I787" t="s">
        <v>71</v>
      </c>
      <c r="J787" t="s">
        <v>72</v>
      </c>
      <c r="K787" t="s">
        <v>73</v>
      </c>
      <c r="L787">
        <v>701000</v>
      </c>
      <c r="M787" t="s">
        <v>62</v>
      </c>
      <c r="N787" t="s">
        <v>33</v>
      </c>
      <c r="O787">
        <v>2934</v>
      </c>
      <c r="P787">
        <v>1.05</v>
      </c>
      <c r="Q787">
        <v>3.08</v>
      </c>
      <c r="R787" t="s">
        <v>1201</v>
      </c>
      <c r="S787" t="s">
        <v>195</v>
      </c>
    </row>
    <row r="788" spans="1:19" x14ac:dyDescent="0.3">
      <c r="A788" t="s">
        <v>1121</v>
      </c>
      <c r="B788" t="s">
        <v>22</v>
      </c>
      <c r="C788">
        <v>2026</v>
      </c>
      <c r="D788">
        <v>2</v>
      </c>
      <c r="E788" s="2">
        <v>46062</v>
      </c>
      <c r="F788" t="s">
        <v>7</v>
      </c>
      <c r="G788" t="s">
        <v>8</v>
      </c>
      <c r="H788" t="s">
        <v>74</v>
      </c>
      <c r="I788" t="s">
        <v>71</v>
      </c>
      <c r="J788" t="s">
        <v>72</v>
      </c>
      <c r="K788" t="s">
        <v>73</v>
      </c>
      <c r="L788">
        <v>701000</v>
      </c>
      <c r="M788" t="s">
        <v>62</v>
      </c>
      <c r="N788" t="s">
        <v>33</v>
      </c>
      <c r="O788">
        <v>1828</v>
      </c>
      <c r="P788">
        <v>1.05</v>
      </c>
      <c r="Q788">
        <v>1.92</v>
      </c>
      <c r="R788" t="s">
        <v>1202</v>
      </c>
      <c r="S788" t="s">
        <v>195</v>
      </c>
    </row>
    <row r="789" spans="1:19" x14ac:dyDescent="0.3">
      <c r="A789" t="s">
        <v>1122</v>
      </c>
      <c r="B789" t="s">
        <v>22</v>
      </c>
      <c r="C789">
        <v>2026</v>
      </c>
      <c r="D789">
        <v>2</v>
      </c>
      <c r="E789" s="2">
        <v>46062</v>
      </c>
      <c r="F789" t="s">
        <v>7</v>
      </c>
      <c r="G789" t="s">
        <v>8</v>
      </c>
      <c r="H789" t="s">
        <v>74</v>
      </c>
      <c r="I789" t="s">
        <v>71</v>
      </c>
      <c r="J789" t="s">
        <v>72</v>
      </c>
      <c r="K789" t="s">
        <v>73</v>
      </c>
      <c r="L789">
        <v>701000</v>
      </c>
      <c r="M789" t="s">
        <v>62</v>
      </c>
      <c r="N789" t="s">
        <v>33</v>
      </c>
      <c r="O789">
        <v>2001</v>
      </c>
      <c r="P789">
        <v>1.05</v>
      </c>
      <c r="Q789">
        <v>2.1</v>
      </c>
      <c r="R789" t="s">
        <v>1198</v>
      </c>
      <c r="S789" t="s">
        <v>195</v>
      </c>
    </row>
    <row r="790" spans="1:19" x14ac:dyDescent="0.3">
      <c r="A790" t="s">
        <v>1123</v>
      </c>
      <c r="B790" t="s">
        <v>22</v>
      </c>
      <c r="C790">
        <v>2026</v>
      </c>
      <c r="D790">
        <v>2</v>
      </c>
      <c r="E790" s="2">
        <v>46062</v>
      </c>
      <c r="F790" t="s">
        <v>7</v>
      </c>
      <c r="G790" t="s">
        <v>8</v>
      </c>
      <c r="H790" t="s">
        <v>74</v>
      </c>
      <c r="I790" t="s">
        <v>71</v>
      </c>
      <c r="J790" t="s">
        <v>72</v>
      </c>
      <c r="K790" t="s">
        <v>73</v>
      </c>
      <c r="L790">
        <v>701000</v>
      </c>
      <c r="M790" t="s">
        <v>62</v>
      </c>
      <c r="N790" t="s">
        <v>33</v>
      </c>
      <c r="O790">
        <v>1160</v>
      </c>
      <c r="P790">
        <v>1.05</v>
      </c>
      <c r="Q790">
        <v>1.22</v>
      </c>
      <c r="R790" t="s">
        <v>1204</v>
      </c>
      <c r="S790" t="s">
        <v>195</v>
      </c>
    </row>
    <row r="791" spans="1:19" x14ac:dyDescent="0.3">
      <c r="A791" t="s">
        <v>1124</v>
      </c>
      <c r="B791" t="s">
        <v>22</v>
      </c>
      <c r="C791">
        <v>2026</v>
      </c>
      <c r="D791">
        <v>2</v>
      </c>
      <c r="E791" s="2">
        <v>46062</v>
      </c>
      <c r="F791" t="s">
        <v>7</v>
      </c>
      <c r="G791" t="s">
        <v>8</v>
      </c>
      <c r="H791" t="s">
        <v>74</v>
      </c>
      <c r="I791" t="s">
        <v>71</v>
      </c>
      <c r="J791" t="s">
        <v>72</v>
      </c>
      <c r="K791" t="s">
        <v>73</v>
      </c>
      <c r="L791">
        <v>701000</v>
      </c>
      <c r="M791" t="s">
        <v>62</v>
      </c>
      <c r="N791" t="s">
        <v>33</v>
      </c>
      <c r="O791">
        <v>1261</v>
      </c>
      <c r="P791">
        <v>1.05</v>
      </c>
      <c r="Q791">
        <v>1.32</v>
      </c>
      <c r="R791" t="s">
        <v>1199</v>
      </c>
      <c r="S791" t="s">
        <v>195</v>
      </c>
    </row>
    <row r="792" spans="1:19" x14ac:dyDescent="0.3">
      <c r="A792" t="s">
        <v>1175</v>
      </c>
      <c r="B792" t="s">
        <v>22</v>
      </c>
      <c r="C792">
        <v>2026</v>
      </c>
      <c r="D792">
        <v>2</v>
      </c>
      <c r="E792" s="2">
        <v>46062</v>
      </c>
      <c r="F792" t="s">
        <v>7</v>
      </c>
      <c r="G792" t="s">
        <v>8</v>
      </c>
      <c r="H792" t="s">
        <v>70</v>
      </c>
      <c r="I792" t="s">
        <v>75</v>
      </c>
      <c r="J792" t="s">
        <v>76</v>
      </c>
      <c r="K792" t="s">
        <v>73</v>
      </c>
      <c r="L792">
        <v>701000</v>
      </c>
      <c r="M792" t="s">
        <v>62</v>
      </c>
      <c r="N792" t="s">
        <v>33</v>
      </c>
      <c r="O792">
        <v>5108</v>
      </c>
      <c r="P792">
        <v>1.4</v>
      </c>
      <c r="Q792">
        <v>7.15</v>
      </c>
      <c r="R792" t="s">
        <v>1200</v>
      </c>
      <c r="S792" t="s">
        <v>195</v>
      </c>
    </row>
    <row r="793" spans="1:19" x14ac:dyDescent="0.3">
      <c r="A793" t="s">
        <v>1176</v>
      </c>
      <c r="B793" t="s">
        <v>22</v>
      </c>
      <c r="C793">
        <v>2026</v>
      </c>
      <c r="D793">
        <v>2</v>
      </c>
      <c r="E793" s="2">
        <v>46062</v>
      </c>
      <c r="F793" t="s">
        <v>7</v>
      </c>
      <c r="G793" t="s">
        <v>8</v>
      </c>
      <c r="H793" t="s">
        <v>70</v>
      </c>
      <c r="I793" t="s">
        <v>75</v>
      </c>
      <c r="J793" t="s">
        <v>76</v>
      </c>
      <c r="K793" t="s">
        <v>73</v>
      </c>
      <c r="L793">
        <v>701000</v>
      </c>
      <c r="M793" t="s">
        <v>62</v>
      </c>
      <c r="N793" t="s">
        <v>33</v>
      </c>
      <c r="O793">
        <v>715</v>
      </c>
      <c r="P793">
        <v>1.4</v>
      </c>
      <c r="Q793">
        <v>1</v>
      </c>
      <c r="R793" t="s">
        <v>1202</v>
      </c>
      <c r="S793" t="s">
        <v>195</v>
      </c>
    </row>
    <row r="794" spans="1:19" x14ac:dyDescent="0.3">
      <c r="A794" t="s">
        <v>1177</v>
      </c>
      <c r="B794" t="s">
        <v>22</v>
      </c>
      <c r="C794">
        <v>2026</v>
      </c>
      <c r="D794">
        <v>2</v>
      </c>
      <c r="E794" s="2">
        <v>46062</v>
      </c>
      <c r="F794" t="s">
        <v>7</v>
      </c>
      <c r="G794" t="s">
        <v>8</v>
      </c>
      <c r="H794" t="s">
        <v>70</v>
      </c>
      <c r="I794" t="s">
        <v>75</v>
      </c>
      <c r="J794" t="s">
        <v>76</v>
      </c>
      <c r="K794" t="s">
        <v>73</v>
      </c>
      <c r="L794">
        <v>701000</v>
      </c>
      <c r="M794" t="s">
        <v>62</v>
      </c>
      <c r="N794" t="s">
        <v>33</v>
      </c>
      <c r="O794">
        <v>2705</v>
      </c>
      <c r="P794">
        <v>1.4</v>
      </c>
      <c r="Q794">
        <v>3.79</v>
      </c>
      <c r="R794" t="s">
        <v>1199</v>
      </c>
      <c r="S794" t="s">
        <v>195</v>
      </c>
    </row>
    <row r="795" spans="1:19" x14ac:dyDescent="0.3">
      <c r="A795" t="s">
        <v>1178</v>
      </c>
      <c r="B795" t="s">
        <v>22</v>
      </c>
      <c r="C795">
        <v>2026</v>
      </c>
      <c r="D795">
        <v>2</v>
      </c>
      <c r="E795" s="2">
        <v>46062</v>
      </c>
      <c r="F795" t="s">
        <v>7</v>
      </c>
      <c r="G795" t="s">
        <v>8</v>
      </c>
      <c r="H795" t="s">
        <v>70</v>
      </c>
      <c r="I795" t="s">
        <v>75</v>
      </c>
      <c r="J795" t="s">
        <v>76</v>
      </c>
      <c r="K795" t="s">
        <v>73</v>
      </c>
      <c r="L795">
        <v>701000</v>
      </c>
      <c r="M795" t="s">
        <v>62</v>
      </c>
      <c r="N795" t="s">
        <v>33</v>
      </c>
      <c r="O795">
        <v>2031</v>
      </c>
      <c r="P795">
        <v>1.4</v>
      </c>
      <c r="Q795">
        <v>2.84</v>
      </c>
      <c r="R795" t="s">
        <v>1198</v>
      </c>
      <c r="S795" t="s">
        <v>195</v>
      </c>
    </row>
    <row r="796" spans="1:19" x14ac:dyDescent="0.3">
      <c r="A796" t="s">
        <v>1179</v>
      </c>
      <c r="B796" t="s">
        <v>22</v>
      </c>
      <c r="C796">
        <v>2026</v>
      </c>
      <c r="D796">
        <v>2</v>
      </c>
      <c r="E796" s="2">
        <v>46062</v>
      </c>
      <c r="F796" t="s">
        <v>7</v>
      </c>
      <c r="G796" t="s">
        <v>8</v>
      </c>
      <c r="H796" t="s">
        <v>70</v>
      </c>
      <c r="I796" t="s">
        <v>75</v>
      </c>
      <c r="J796" t="s">
        <v>76</v>
      </c>
      <c r="K796" t="s">
        <v>73</v>
      </c>
      <c r="L796">
        <v>701000</v>
      </c>
      <c r="M796" t="s">
        <v>62</v>
      </c>
      <c r="N796" t="s">
        <v>33</v>
      </c>
      <c r="O796">
        <v>1702</v>
      </c>
      <c r="P796">
        <v>1.4</v>
      </c>
      <c r="Q796">
        <v>2.39</v>
      </c>
      <c r="R796" t="s">
        <v>1197</v>
      </c>
      <c r="S796" t="s">
        <v>195</v>
      </c>
    </row>
    <row r="797" spans="1:19" x14ac:dyDescent="0.3">
      <c r="A797" t="s">
        <v>935</v>
      </c>
      <c r="B797" t="s">
        <v>22</v>
      </c>
      <c r="C797">
        <v>2026</v>
      </c>
      <c r="D797">
        <v>2</v>
      </c>
      <c r="E797" s="2">
        <v>46063</v>
      </c>
      <c r="F797" t="s">
        <v>7</v>
      </c>
      <c r="G797" t="s">
        <v>8</v>
      </c>
      <c r="H797" t="s">
        <v>74</v>
      </c>
      <c r="I797" t="s">
        <v>84</v>
      </c>
      <c r="J797" t="s">
        <v>85</v>
      </c>
      <c r="K797" t="s">
        <v>73</v>
      </c>
      <c r="L797">
        <v>701000</v>
      </c>
      <c r="M797" t="s">
        <v>62</v>
      </c>
      <c r="N797" t="s">
        <v>33</v>
      </c>
      <c r="O797">
        <v>953</v>
      </c>
      <c r="P797">
        <v>0.94</v>
      </c>
      <c r="Q797">
        <v>0.9</v>
      </c>
      <c r="R797" t="s">
        <v>1203</v>
      </c>
      <c r="S797" t="s">
        <v>195</v>
      </c>
    </row>
    <row r="798" spans="1:19" x14ac:dyDescent="0.3">
      <c r="A798" t="s">
        <v>936</v>
      </c>
      <c r="B798" t="s">
        <v>22</v>
      </c>
      <c r="C798">
        <v>2026</v>
      </c>
      <c r="D798">
        <v>2</v>
      </c>
      <c r="E798" s="2">
        <v>46063</v>
      </c>
      <c r="F798" t="s">
        <v>7</v>
      </c>
      <c r="G798" t="s">
        <v>8</v>
      </c>
      <c r="H798" t="s">
        <v>74</v>
      </c>
      <c r="I798" t="s">
        <v>84</v>
      </c>
      <c r="J798" t="s">
        <v>85</v>
      </c>
      <c r="K798" t="s">
        <v>73</v>
      </c>
      <c r="L798">
        <v>701000</v>
      </c>
      <c r="M798" t="s">
        <v>62</v>
      </c>
      <c r="N798" t="s">
        <v>33</v>
      </c>
      <c r="O798">
        <v>3644</v>
      </c>
      <c r="P798">
        <v>0.95</v>
      </c>
      <c r="Q798">
        <v>3.46</v>
      </c>
      <c r="R798" t="s">
        <v>1197</v>
      </c>
      <c r="S798" t="s">
        <v>195</v>
      </c>
    </row>
    <row r="799" spans="1:19" x14ac:dyDescent="0.3">
      <c r="A799" t="s">
        <v>937</v>
      </c>
      <c r="B799" t="s">
        <v>22</v>
      </c>
      <c r="C799">
        <v>2026</v>
      </c>
      <c r="D799">
        <v>2</v>
      </c>
      <c r="E799" s="2">
        <v>46063</v>
      </c>
      <c r="F799" t="s">
        <v>7</v>
      </c>
      <c r="G799" t="s">
        <v>8</v>
      </c>
      <c r="H799" t="s">
        <v>74</v>
      </c>
      <c r="I799" t="s">
        <v>84</v>
      </c>
      <c r="J799" t="s">
        <v>85</v>
      </c>
      <c r="K799" t="s">
        <v>73</v>
      </c>
      <c r="L799">
        <v>701000</v>
      </c>
      <c r="M799" t="s">
        <v>62</v>
      </c>
      <c r="N799" t="s">
        <v>33</v>
      </c>
      <c r="O799">
        <v>6011</v>
      </c>
      <c r="P799">
        <v>0.95</v>
      </c>
      <c r="Q799">
        <v>5.71</v>
      </c>
      <c r="R799" t="s">
        <v>1199</v>
      </c>
      <c r="S799" t="s">
        <v>195</v>
      </c>
    </row>
    <row r="800" spans="1:19" x14ac:dyDescent="0.3">
      <c r="A800" t="s">
        <v>938</v>
      </c>
      <c r="B800" t="s">
        <v>22</v>
      </c>
      <c r="C800">
        <v>2026</v>
      </c>
      <c r="D800">
        <v>2</v>
      </c>
      <c r="E800" s="2">
        <v>46063</v>
      </c>
      <c r="F800" t="s">
        <v>7</v>
      </c>
      <c r="G800" t="s">
        <v>8</v>
      </c>
      <c r="H800" t="s">
        <v>74</v>
      </c>
      <c r="I800" t="s">
        <v>84</v>
      </c>
      <c r="J800" t="s">
        <v>85</v>
      </c>
      <c r="K800" t="s">
        <v>73</v>
      </c>
      <c r="L800">
        <v>701000</v>
      </c>
      <c r="M800" t="s">
        <v>62</v>
      </c>
      <c r="N800" t="s">
        <v>33</v>
      </c>
      <c r="O800">
        <v>4071</v>
      </c>
      <c r="P800">
        <v>0.95</v>
      </c>
      <c r="Q800">
        <v>3.87</v>
      </c>
      <c r="R800" t="s">
        <v>1200</v>
      </c>
      <c r="S800" t="s">
        <v>195</v>
      </c>
    </row>
    <row r="801" spans="1:19" x14ac:dyDescent="0.3">
      <c r="A801" t="s">
        <v>939</v>
      </c>
      <c r="B801" t="s">
        <v>22</v>
      </c>
      <c r="C801">
        <v>2026</v>
      </c>
      <c r="D801">
        <v>2</v>
      </c>
      <c r="E801" s="2">
        <v>46063</v>
      </c>
      <c r="F801" t="s">
        <v>7</v>
      </c>
      <c r="G801" t="s">
        <v>8</v>
      </c>
      <c r="H801" t="s">
        <v>74</v>
      </c>
      <c r="I801" t="s">
        <v>84</v>
      </c>
      <c r="J801" t="s">
        <v>85</v>
      </c>
      <c r="K801" t="s">
        <v>73</v>
      </c>
      <c r="L801">
        <v>701000</v>
      </c>
      <c r="M801" t="s">
        <v>62</v>
      </c>
      <c r="N801" t="s">
        <v>33</v>
      </c>
      <c r="O801">
        <v>2397</v>
      </c>
      <c r="P801">
        <v>0.95</v>
      </c>
      <c r="Q801">
        <v>2.2799999999999998</v>
      </c>
      <c r="R801" t="s">
        <v>1204</v>
      </c>
      <c r="S801" t="s">
        <v>195</v>
      </c>
    </row>
    <row r="802" spans="1:19" x14ac:dyDescent="0.3">
      <c r="A802" t="s">
        <v>1095</v>
      </c>
      <c r="B802" t="s">
        <v>22</v>
      </c>
      <c r="C802">
        <v>2026</v>
      </c>
      <c r="D802">
        <v>2</v>
      </c>
      <c r="E802" s="2">
        <v>46065</v>
      </c>
      <c r="F802" t="s">
        <v>7</v>
      </c>
      <c r="G802" t="s">
        <v>8</v>
      </c>
      <c r="H802" t="s">
        <v>70</v>
      </c>
      <c r="I802" t="s">
        <v>71</v>
      </c>
      <c r="J802" t="s">
        <v>72</v>
      </c>
      <c r="K802" t="s">
        <v>73</v>
      </c>
      <c r="L802">
        <v>701000</v>
      </c>
      <c r="M802" t="s">
        <v>62</v>
      </c>
      <c r="N802" t="s">
        <v>33</v>
      </c>
      <c r="O802">
        <v>1141</v>
      </c>
      <c r="P802">
        <v>1.05</v>
      </c>
      <c r="Q802">
        <v>1.2</v>
      </c>
      <c r="R802" t="s">
        <v>1202</v>
      </c>
      <c r="S802" t="s">
        <v>195</v>
      </c>
    </row>
    <row r="803" spans="1:19" x14ac:dyDescent="0.3">
      <c r="A803" t="s">
        <v>1096</v>
      </c>
      <c r="B803" t="s">
        <v>22</v>
      </c>
      <c r="C803">
        <v>2026</v>
      </c>
      <c r="D803">
        <v>2</v>
      </c>
      <c r="E803" s="2">
        <v>46065</v>
      </c>
      <c r="F803" t="s">
        <v>7</v>
      </c>
      <c r="G803" t="s">
        <v>8</v>
      </c>
      <c r="H803" t="s">
        <v>70</v>
      </c>
      <c r="I803" t="s">
        <v>71</v>
      </c>
      <c r="J803" t="s">
        <v>72</v>
      </c>
      <c r="K803" t="s">
        <v>73</v>
      </c>
      <c r="L803">
        <v>701000</v>
      </c>
      <c r="M803" t="s">
        <v>62</v>
      </c>
      <c r="N803" t="s">
        <v>33</v>
      </c>
      <c r="O803">
        <v>1764</v>
      </c>
      <c r="P803">
        <v>1.05</v>
      </c>
      <c r="Q803">
        <v>1.85</v>
      </c>
      <c r="R803" t="s">
        <v>1204</v>
      </c>
      <c r="S803" t="s">
        <v>195</v>
      </c>
    </row>
    <row r="804" spans="1:19" x14ac:dyDescent="0.3">
      <c r="A804" t="s">
        <v>1097</v>
      </c>
      <c r="B804" t="s">
        <v>22</v>
      </c>
      <c r="C804">
        <v>2026</v>
      </c>
      <c r="D804">
        <v>2</v>
      </c>
      <c r="E804" s="2">
        <v>46065</v>
      </c>
      <c r="F804" t="s">
        <v>7</v>
      </c>
      <c r="G804" t="s">
        <v>8</v>
      </c>
      <c r="H804" t="s">
        <v>70</v>
      </c>
      <c r="I804" t="s">
        <v>71</v>
      </c>
      <c r="J804" t="s">
        <v>72</v>
      </c>
      <c r="K804" t="s">
        <v>73</v>
      </c>
      <c r="L804">
        <v>701000</v>
      </c>
      <c r="M804" t="s">
        <v>62</v>
      </c>
      <c r="N804" t="s">
        <v>33</v>
      </c>
      <c r="O804">
        <v>1071</v>
      </c>
      <c r="P804">
        <v>1.05</v>
      </c>
      <c r="Q804">
        <v>1.1200000000000001</v>
      </c>
      <c r="R804" t="s">
        <v>1199</v>
      </c>
      <c r="S804" t="s">
        <v>195</v>
      </c>
    </row>
    <row r="805" spans="1:19" x14ac:dyDescent="0.3">
      <c r="A805" t="s">
        <v>1098</v>
      </c>
      <c r="B805" t="s">
        <v>22</v>
      </c>
      <c r="C805">
        <v>2026</v>
      </c>
      <c r="D805">
        <v>2</v>
      </c>
      <c r="E805" s="2">
        <v>46065</v>
      </c>
      <c r="F805" t="s">
        <v>7</v>
      </c>
      <c r="G805" t="s">
        <v>8</v>
      </c>
      <c r="H805" t="s">
        <v>70</v>
      </c>
      <c r="I805" t="s">
        <v>71</v>
      </c>
      <c r="J805" t="s">
        <v>72</v>
      </c>
      <c r="K805" t="s">
        <v>73</v>
      </c>
      <c r="L805">
        <v>701000</v>
      </c>
      <c r="M805" t="s">
        <v>62</v>
      </c>
      <c r="N805" t="s">
        <v>33</v>
      </c>
      <c r="O805">
        <v>2490</v>
      </c>
      <c r="P805">
        <v>1.05</v>
      </c>
      <c r="Q805">
        <v>2.62</v>
      </c>
      <c r="R805" t="s">
        <v>1197</v>
      </c>
      <c r="S805" t="s">
        <v>195</v>
      </c>
    </row>
    <row r="806" spans="1:19" x14ac:dyDescent="0.3">
      <c r="A806" t="s">
        <v>1099</v>
      </c>
      <c r="B806" t="s">
        <v>22</v>
      </c>
      <c r="C806">
        <v>2026</v>
      </c>
      <c r="D806">
        <v>2</v>
      </c>
      <c r="E806" s="2">
        <v>46065</v>
      </c>
      <c r="F806" t="s">
        <v>7</v>
      </c>
      <c r="G806" t="s">
        <v>8</v>
      </c>
      <c r="H806" t="s">
        <v>70</v>
      </c>
      <c r="I806" t="s">
        <v>71</v>
      </c>
      <c r="J806" t="s">
        <v>72</v>
      </c>
      <c r="K806" t="s">
        <v>73</v>
      </c>
      <c r="L806">
        <v>701000</v>
      </c>
      <c r="M806" t="s">
        <v>62</v>
      </c>
      <c r="N806" t="s">
        <v>33</v>
      </c>
      <c r="O806">
        <v>265</v>
      </c>
      <c r="P806">
        <v>1.06</v>
      </c>
      <c r="Q806">
        <v>0.28000000000000003</v>
      </c>
      <c r="R806" t="s">
        <v>1200</v>
      </c>
      <c r="S806" t="s">
        <v>195</v>
      </c>
    </row>
    <row r="807" spans="1:19" x14ac:dyDescent="0.3">
      <c r="A807" t="s">
        <v>1135</v>
      </c>
      <c r="B807" t="s">
        <v>22</v>
      </c>
      <c r="C807">
        <v>2026</v>
      </c>
      <c r="D807">
        <v>2</v>
      </c>
      <c r="E807" s="2">
        <v>46065</v>
      </c>
      <c r="F807" t="s">
        <v>7</v>
      </c>
      <c r="G807" t="s">
        <v>8</v>
      </c>
      <c r="H807" t="s">
        <v>74</v>
      </c>
      <c r="I807" t="s">
        <v>71</v>
      </c>
      <c r="J807" t="s">
        <v>72</v>
      </c>
      <c r="K807" t="s">
        <v>73</v>
      </c>
      <c r="L807">
        <v>701000</v>
      </c>
      <c r="M807" t="s">
        <v>62</v>
      </c>
      <c r="N807" t="s">
        <v>33</v>
      </c>
      <c r="O807">
        <v>1616</v>
      </c>
      <c r="P807">
        <v>1.05</v>
      </c>
      <c r="Q807">
        <v>1.7</v>
      </c>
      <c r="R807" t="s">
        <v>1199</v>
      </c>
      <c r="S807" t="s">
        <v>195</v>
      </c>
    </row>
    <row r="808" spans="1:19" x14ac:dyDescent="0.3">
      <c r="A808" t="s">
        <v>1136</v>
      </c>
      <c r="B808" t="s">
        <v>22</v>
      </c>
      <c r="C808">
        <v>2026</v>
      </c>
      <c r="D808">
        <v>2</v>
      </c>
      <c r="E808" s="2">
        <v>46065</v>
      </c>
      <c r="F808" t="s">
        <v>7</v>
      </c>
      <c r="G808" t="s">
        <v>8</v>
      </c>
      <c r="H808" t="s">
        <v>74</v>
      </c>
      <c r="I808" t="s">
        <v>71</v>
      </c>
      <c r="J808" t="s">
        <v>72</v>
      </c>
      <c r="K808" t="s">
        <v>73</v>
      </c>
      <c r="L808">
        <v>701000</v>
      </c>
      <c r="M808" t="s">
        <v>62</v>
      </c>
      <c r="N808" t="s">
        <v>33</v>
      </c>
      <c r="O808">
        <v>1023</v>
      </c>
      <c r="P808">
        <v>1.05</v>
      </c>
      <c r="Q808">
        <v>1.07</v>
      </c>
      <c r="R808" t="s">
        <v>1201</v>
      </c>
      <c r="S808" t="s">
        <v>195</v>
      </c>
    </row>
    <row r="809" spans="1:19" x14ac:dyDescent="0.3">
      <c r="A809" t="s">
        <v>1137</v>
      </c>
      <c r="B809" t="s">
        <v>22</v>
      </c>
      <c r="C809">
        <v>2026</v>
      </c>
      <c r="D809">
        <v>2</v>
      </c>
      <c r="E809" s="2">
        <v>46065</v>
      </c>
      <c r="F809" t="s">
        <v>7</v>
      </c>
      <c r="G809" t="s">
        <v>8</v>
      </c>
      <c r="H809" t="s">
        <v>74</v>
      </c>
      <c r="I809" t="s">
        <v>71</v>
      </c>
      <c r="J809" t="s">
        <v>72</v>
      </c>
      <c r="K809" t="s">
        <v>73</v>
      </c>
      <c r="L809">
        <v>701000</v>
      </c>
      <c r="M809" t="s">
        <v>62</v>
      </c>
      <c r="N809" t="s">
        <v>33</v>
      </c>
      <c r="O809">
        <v>2963</v>
      </c>
      <c r="P809">
        <v>1.05</v>
      </c>
      <c r="Q809">
        <v>3.11</v>
      </c>
      <c r="R809" t="s">
        <v>1198</v>
      </c>
      <c r="S809" t="s">
        <v>195</v>
      </c>
    </row>
    <row r="810" spans="1:19" x14ac:dyDescent="0.3">
      <c r="A810" t="s">
        <v>1138</v>
      </c>
      <c r="B810" t="s">
        <v>22</v>
      </c>
      <c r="C810">
        <v>2026</v>
      </c>
      <c r="D810">
        <v>2</v>
      </c>
      <c r="E810" s="2">
        <v>46065</v>
      </c>
      <c r="F810" t="s">
        <v>7</v>
      </c>
      <c r="G810" t="s">
        <v>8</v>
      </c>
      <c r="H810" t="s">
        <v>74</v>
      </c>
      <c r="I810" t="s">
        <v>71</v>
      </c>
      <c r="J810" t="s">
        <v>72</v>
      </c>
      <c r="K810" t="s">
        <v>73</v>
      </c>
      <c r="L810">
        <v>701000</v>
      </c>
      <c r="M810" t="s">
        <v>62</v>
      </c>
      <c r="N810" t="s">
        <v>33</v>
      </c>
      <c r="O810">
        <v>1467</v>
      </c>
      <c r="P810">
        <v>1.05</v>
      </c>
      <c r="Q810">
        <v>1.54</v>
      </c>
      <c r="R810" t="s">
        <v>1202</v>
      </c>
      <c r="S810" t="s">
        <v>195</v>
      </c>
    </row>
    <row r="811" spans="1:19" x14ac:dyDescent="0.3">
      <c r="A811" t="s">
        <v>1139</v>
      </c>
      <c r="B811" t="s">
        <v>22</v>
      </c>
      <c r="C811">
        <v>2026</v>
      </c>
      <c r="D811">
        <v>2</v>
      </c>
      <c r="E811" s="2">
        <v>46065</v>
      </c>
      <c r="F811" t="s">
        <v>7</v>
      </c>
      <c r="G811" t="s">
        <v>8</v>
      </c>
      <c r="H811" t="s">
        <v>74</v>
      </c>
      <c r="I811" t="s">
        <v>71</v>
      </c>
      <c r="J811" t="s">
        <v>72</v>
      </c>
      <c r="K811" t="s">
        <v>73</v>
      </c>
      <c r="L811">
        <v>701000</v>
      </c>
      <c r="M811" t="s">
        <v>62</v>
      </c>
      <c r="N811" t="s">
        <v>33</v>
      </c>
      <c r="O811">
        <v>969</v>
      </c>
      <c r="P811">
        <v>1.05</v>
      </c>
      <c r="Q811">
        <v>1.02</v>
      </c>
      <c r="R811" t="s">
        <v>1205</v>
      </c>
      <c r="S811" t="s">
        <v>195</v>
      </c>
    </row>
    <row r="812" spans="1:19" x14ac:dyDescent="0.3">
      <c r="A812" t="s">
        <v>1160</v>
      </c>
      <c r="B812" t="s">
        <v>22</v>
      </c>
      <c r="C812">
        <v>2026</v>
      </c>
      <c r="D812">
        <v>2</v>
      </c>
      <c r="E812" s="2">
        <v>46065</v>
      </c>
      <c r="F812" t="s">
        <v>7</v>
      </c>
      <c r="G812" t="s">
        <v>8</v>
      </c>
      <c r="H812" t="s">
        <v>74</v>
      </c>
      <c r="I812" t="s">
        <v>71</v>
      </c>
      <c r="J812" t="s">
        <v>72</v>
      </c>
      <c r="K812" t="s">
        <v>73</v>
      </c>
      <c r="L812">
        <v>701000</v>
      </c>
      <c r="M812" t="s">
        <v>62</v>
      </c>
      <c r="N812" t="s">
        <v>33</v>
      </c>
      <c r="O812">
        <v>3817</v>
      </c>
      <c r="P812">
        <v>1.05</v>
      </c>
      <c r="Q812">
        <v>4.01</v>
      </c>
      <c r="R812" t="s">
        <v>1197</v>
      </c>
      <c r="S812" t="s">
        <v>195</v>
      </c>
    </row>
    <row r="813" spans="1:19" x14ac:dyDescent="0.3">
      <c r="A813" t="s">
        <v>1161</v>
      </c>
      <c r="B813" t="s">
        <v>22</v>
      </c>
      <c r="C813">
        <v>2026</v>
      </c>
      <c r="D813">
        <v>2</v>
      </c>
      <c r="E813" s="2">
        <v>46065</v>
      </c>
      <c r="F813" t="s">
        <v>7</v>
      </c>
      <c r="G813" t="s">
        <v>8</v>
      </c>
      <c r="H813" t="s">
        <v>74</v>
      </c>
      <c r="I813" t="s">
        <v>71</v>
      </c>
      <c r="J813" t="s">
        <v>72</v>
      </c>
      <c r="K813" t="s">
        <v>73</v>
      </c>
      <c r="L813">
        <v>701000</v>
      </c>
      <c r="M813" t="s">
        <v>62</v>
      </c>
      <c r="N813" t="s">
        <v>33</v>
      </c>
      <c r="O813">
        <v>300</v>
      </c>
      <c r="P813">
        <v>1.03</v>
      </c>
      <c r="Q813">
        <v>0.31</v>
      </c>
      <c r="R813" t="s">
        <v>1200</v>
      </c>
      <c r="S813" t="s">
        <v>195</v>
      </c>
    </row>
    <row r="814" spans="1:19" x14ac:dyDescent="0.3">
      <c r="A814" t="s">
        <v>1162</v>
      </c>
      <c r="B814" t="s">
        <v>22</v>
      </c>
      <c r="C814">
        <v>2026</v>
      </c>
      <c r="D814">
        <v>2</v>
      </c>
      <c r="E814" s="2">
        <v>46065</v>
      </c>
      <c r="F814" t="s">
        <v>7</v>
      </c>
      <c r="G814" t="s">
        <v>8</v>
      </c>
      <c r="H814" t="s">
        <v>74</v>
      </c>
      <c r="I814" t="s">
        <v>71</v>
      </c>
      <c r="J814" t="s">
        <v>72</v>
      </c>
      <c r="K814" t="s">
        <v>73</v>
      </c>
      <c r="L814">
        <v>701000</v>
      </c>
      <c r="M814" t="s">
        <v>62</v>
      </c>
      <c r="N814" t="s">
        <v>33</v>
      </c>
      <c r="O814">
        <v>838</v>
      </c>
      <c r="P814">
        <v>1.05</v>
      </c>
      <c r="Q814">
        <v>0.88</v>
      </c>
      <c r="R814" t="s">
        <v>1202</v>
      </c>
      <c r="S814" t="s">
        <v>195</v>
      </c>
    </row>
    <row r="815" spans="1:19" x14ac:dyDescent="0.3">
      <c r="A815" t="s">
        <v>1163</v>
      </c>
      <c r="B815" t="s">
        <v>22</v>
      </c>
      <c r="C815">
        <v>2026</v>
      </c>
      <c r="D815">
        <v>2</v>
      </c>
      <c r="E815" s="2">
        <v>46065</v>
      </c>
      <c r="F815" t="s">
        <v>7</v>
      </c>
      <c r="G815" t="s">
        <v>8</v>
      </c>
      <c r="H815" t="s">
        <v>74</v>
      </c>
      <c r="I815" t="s">
        <v>71</v>
      </c>
      <c r="J815" t="s">
        <v>72</v>
      </c>
      <c r="K815" t="s">
        <v>73</v>
      </c>
      <c r="L815">
        <v>701000</v>
      </c>
      <c r="M815" t="s">
        <v>62</v>
      </c>
      <c r="N815" t="s">
        <v>33</v>
      </c>
      <c r="O815">
        <v>366</v>
      </c>
      <c r="P815">
        <v>1.04</v>
      </c>
      <c r="Q815">
        <v>0.38</v>
      </c>
      <c r="R815" t="s">
        <v>1205</v>
      </c>
      <c r="S815" t="s">
        <v>195</v>
      </c>
    </row>
    <row r="816" spans="1:19" x14ac:dyDescent="0.3">
      <c r="A816" t="s">
        <v>1164</v>
      </c>
      <c r="B816" t="s">
        <v>22</v>
      </c>
      <c r="C816">
        <v>2026</v>
      </c>
      <c r="D816">
        <v>2</v>
      </c>
      <c r="E816" s="2">
        <v>46065</v>
      </c>
      <c r="F816" t="s">
        <v>7</v>
      </c>
      <c r="G816" t="s">
        <v>8</v>
      </c>
      <c r="H816" t="s">
        <v>74</v>
      </c>
      <c r="I816" t="s">
        <v>71</v>
      </c>
      <c r="J816" t="s">
        <v>72</v>
      </c>
      <c r="K816" t="s">
        <v>73</v>
      </c>
      <c r="L816">
        <v>701000</v>
      </c>
      <c r="M816" t="s">
        <v>62</v>
      </c>
      <c r="N816" t="s">
        <v>33</v>
      </c>
      <c r="O816">
        <v>3649</v>
      </c>
      <c r="P816">
        <v>1.05</v>
      </c>
      <c r="Q816">
        <v>3.84</v>
      </c>
      <c r="R816" t="s">
        <v>1203</v>
      </c>
      <c r="S816" t="s">
        <v>195</v>
      </c>
    </row>
    <row r="817" spans="1:19" x14ac:dyDescent="0.3">
      <c r="A817" t="s">
        <v>1190</v>
      </c>
      <c r="B817" t="s">
        <v>22</v>
      </c>
      <c r="C817">
        <v>2026</v>
      </c>
      <c r="D817">
        <v>2</v>
      </c>
      <c r="E817" s="2">
        <v>46065</v>
      </c>
      <c r="F817" t="s">
        <v>7</v>
      </c>
      <c r="G817" t="s">
        <v>8</v>
      </c>
      <c r="H817" t="s">
        <v>74</v>
      </c>
      <c r="I817" t="s">
        <v>75</v>
      </c>
      <c r="J817" t="s">
        <v>76</v>
      </c>
      <c r="K817" t="s">
        <v>73</v>
      </c>
      <c r="L817">
        <v>701000</v>
      </c>
      <c r="M817" t="s">
        <v>62</v>
      </c>
      <c r="N817" t="s">
        <v>33</v>
      </c>
      <c r="O817">
        <v>4446</v>
      </c>
      <c r="P817">
        <v>1.4</v>
      </c>
      <c r="Q817">
        <v>6.22</v>
      </c>
      <c r="R817" t="s">
        <v>1204</v>
      </c>
      <c r="S817" t="s">
        <v>195</v>
      </c>
    </row>
    <row r="818" spans="1:19" x14ac:dyDescent="0.3">
      <c r="A818" t="s">
        <v>1191</v>
      </c>
      <c r="B818" t="s">
        <v>22</v>
      </c>
      <c r="C818">
        <v>2026</v>
      </c>
      <c r="D818">
        <v>2</v>
      </c>
      <c r="E818" s="2">
        <v>46065</v>
      </c>
      <c r="F818" t="s">
        <v>7</v>
      </c>
      <c r="G818" t="s">
        <v>8</v>
      </c>
      <c r="H818" t="s">
        <v>74</v>
      </c>
      <c r="I818" t="s">
        <v>75</v>
      </c>
      <c r="J818" t="s">
        <v>76</v>
      </c>
      <c r="K818" t="s">
        <v>73</v>
      </c>
      <c r="L818">
        <v>701000</v>
      </c>
      <c r="M818" t="s">
        <v>62</v>
      </c>
      <c r="N818" t="s">
        <v>33</v>
      </c>
      <c r="O818">
        <v>2008</v>
      </c>
      <c r="P818">
        <v>1.4</v>
      </c>
      <c r="Q818">
        <v>2.81</v>
      </c>
      <c r="R818" t="s">
        <v>1201</v>
      </c>
      <c r="S818" t="s">
        <v>195</v>
      </c>
    </row>
    <row r="819" spans="1:19" x14ac:dyDescent="0.3">
      <c r="A819" t="s">
        <v>1192</v>
      </c>
      <c r="B819" t="s">
        <v>22</v>
      </c>
      <c r="C819">
        <v>2026</v>
      </c>
      <c r="D819">
        <v>2</v>
      </c>
      <c r="E819" s="2">
        <v>46065</v>
      </c>
      <c r="F819" t="s">
        <v>7</v>
      </c>
      <c r="G819" t="s">
        <v>8</v>
      </c>
      <c r="H819" t="s">
        <v>74</v>
      </c>
      <c r="I819" t="s">
        <v>75</v>
      </c>
      <c r="J819" t="s">
        <v>76</v>
      </c>
      <c r="K819" t="s">
        <v>73</v>
      </c>
      <c r="L819">
        <v>701000</v>
      </c>
      <c r="M819" t="s">
        <v>62</v>
      </c>
      <c r="N819" t="s">
        <v>33</v>
      </c>
      <c r="O819">
        <v>1764</v>
      </c>
      <c r="P819">
        <v>1.4</v>
      </c>
      <c r="Q819">
        <v>2.4700000000000002</v>
      </c>
      <c r="R819" t="s">
        <v>1203</v>
      </c>
      <c r="S819" t="s">
        <v>195</v>
      </c>
    </row>
    <row r="820" spans="1:19" x14ac:dyDescent="0.3">
      <c r="A820" t="s">
        <v>1193</v>
      </c>
      <c r="B820" t="s">
        <v>22</v>
      </c>
      <c r="C820">
        <v>2026</v>
      </c>
      <c r="D820">
        <v>2</v>
      </c>
      <c r="E820" s="2">
        <v>46065</v>
      </c>
      <c r="F820" t="s">
        <v>7</v>
      </c>
      <c r="G820" t="s">
        <v>8</v>
      </c>
      <c r="H820" t="s">
        <v>74</v>
      </c>
      <c r="I820" t="s">
        <v>75</v>
      </c>
      <c r="J820" t="s">
        <v>76</v>
      </c>
      <c r="K820" t="s">
        <v>73</v>
      </c>
      <c r="L820">
        <v>701000</v>
      </c>
      <c r="M820" t="s">
        <v>62</v>
      </c>
      <c r="N820" t="s">
        <v>33</v>
      </c>
      <c r="O820">
        <v>1705</v>
      </c>
      <c r="P820">
        <v>1.4</v>
      </c>
      <c r="Q820">
        <v>2.39</v>
      </c>
      <c r="R820" t="s">
        <v>1197</v>
      </c>
      <c r="S820" t="s">
        <v>195</v>
      </c>
    </row>
    <row r="821" spans="1:19" x14ac:dyDescent="0.3">
      <c r="A821" t="s">
        <v>1194</v>
      </c>
      <c r="B821" t="s">
        <v>22</v>
      </c>
      <c r="C821">
        <v>2026</v>
      </c>
      <c r="D821">
        <v>2</v>
      </c>
      <c r="E821" s="2">
        <v>46065</v>
      </c>
      <c r="F821" t="s">
        <v>7</v>
      </c>
      <c r="G821" t="s">
        <v>8</v>
      </c>
      <c r="H821" t="s">
        <v>74</v>
      </c>
      <c r="I821" t="s">
        <v>75</v>
      </c>
      <c r="J821" t="s">
        <v>76</v>
      </c>
      <c r="K821" t="s">
        <v>73</v>
      </c>
      <c r="L821">
        <v>701000</v>
      </c>
      <c r="M821" t="s">
        <v>62</v>
      </c>
      <c r="N821" t="s">
        <v>33</v>
      </c>
      <c r="O821">
        <v>2014</v>
      </c>
      <c r="P821">
        <v>1.4</v>
      </c>
      <c r="Q821">
        <v>2.82</v>
      </c>
      <c r="R821" t="s">
        <v>1199</v>
      </c>
      <c r="S821" t="s">
        <v>195</v>
      </c>
    </row>
    <row r="822" spans="1:19" x14ac:dyDescent="0.3">
      <c r="A822" t="s">
        <v>920</v>
      </c>
      <c r="B822" t="s">
        <v>22</v>
      </c>
      <c r="C822">
        <v>2026</v>
      </c>
      <c r="D822">
        <v>2</v>
      </c>
      <c r="E822" s="2">
        <v>46066</v>
      </c>
      <c r="F822" t="s">
        <v>7</v>
      </c>
      <c r="G822" t="s">
        <v>8</v>
      </c>
      <c r="H822" t="s">
        <v>70</v>
      </c>
      <c r="I822" t="s">
        <v>84</v>
      </c>
      <c r="J822" t="s">
        <v>85</v>
      </c>
      <c r="K822" t="s">
        <v>73</v>
      </c>
      <c r="L822">
        <v>701000</v>
      </c>
      <c r="M822" t="s">
        <v>62</v>
      </c>
      <c r="N822" t="s">
        <v>33</v>
      </c>
      <c r="O822">
        <v>2545</v>
      </c>
      <c r="P822">
        <v>0.95</v>
      </c>
      <c r="Q822">
        <v>2.42</v>
      </c>
      <c r="R822" t="s">
        <v>1198</v>
      </c>
      <c r="S822" t="s">
        <v>195</v>
      </c>
    </row>
    <row r="823" spans="1:19" x14ac:dyDescent="0.3">
      <c r="A823" t="s">
        <v>921</v>
      </c>
      <c r="B823" t="s">
        <v>22</v>
      </c>
      <c r="C823">
        <v>2026</v>
      </c>
      <c r="D823">
        <v>2</v>
      </c>
      <c r="E823" s="2">
        <v>46066</v>
      </c>
      <c r="F823" t="s">
        <v>7</v>
      </c>
      <c r="G823" t="s">
        <v>8</v>
      </c>
      <c r="H823" t="s">
        <v>70</v>
      </c>
      <c r="I823" t="s">
        <v>84</v>
      </c>
      <c r="J823" t="s">
        <v>85</v>
      </c>
      <c r="K823" t="s">
        <v>73</v>
      </c>
      <c r="L823">
        <v>701000</v>
      </c>
      <c r="M823" t="s">
        <v>62</v>
      </c>
      <c r="N823" t="s">
        <v>33</v>
      </c>
      <c r="O823">
        <v>5264</v>
      </c>
      <c r="P823">
        <v>0.95</v>
      </c>
      <c r="Q823">
        <v>5</v>
      </c>
      <c r="R823" t="s">
        <v>1201</v>
      </c>
      <c r="S823" t="s">
        <v>195</v>
      </c>
    </row>
    <row r="824" spans="1:19" x14ac:dyDescent="0.3">
      <c r="A824" t="s">
        <v>922</v>
      </c>
      <c r="B824" t="s">
        <v>22</v>
      </c>
      <c r="C824">
        <v>2026</v>
      </c>
      <c r="D824">
        <v>2</v>
      </c>
      <c r="E824" s="2">
        <v>46066</v>
      </c>
      <c r="F824" t="s">
        <v>7</v>
      </c>
      <c r="G824" t="s">
        <v>8</v>
      </c>
      <c r="H824" t="s">
        <v>70</v>
      </c>
      <c r="I824" t="s">
        <v>84</v>
      </c>
      <c r="J824" t="s">
        <v>85</v>
      </c>
      <c r="K824" t="s">
        <v>73</v>
      </c>
      <c r="L824">
        <v>701000</v>
      </c>
      <c r="M824" t="s">
        <v>62</v>
      </c>
      <c r="N824" t="s">
        <v>33</v>
      </c>
      <c r="O824">
        <v>3341</v>
      </c>
      <c r="P824">
        <v>0.95</v>
      </c>
      <c r="Q824">
        <v>3.17</v>
      </c>
      <c r="R824" t="s">
        <v>1203</v>
      </c>
      <c r="S824" t="s">
        <v>195</v>
      </c>
    </row>
    <row r="825" spans="1:19" x14ac:dyDescent="0.3">
      <c r="A825" t="s">
        <v>923</v>
      </c>
      <c r="B825" t="s">
        <v>22</v>
      </c>
      <c r="C825">
        <v>2026</v>
      </c>
      <c r="D825">
        <v>2</v>
      </c>
      <c r="E825" s="2">
        <v>46066</v>
      </c>
      <c r="F825" t="s">
        <v>7</v>
      </c>
      <c r="G825" t="s">
        <v>8</v>
      </c>
      <c r="H825" t="s">
        <v>70</v>
      </c>
      <c r="I825" t="s">
        <v>84</v>
      </c>
      <c r="J825" t="s">
        <v>85</v>
      </c>
      <c r="K825" t="s">
        <v>73</v>
      </c>
      <c r="L825">
        <v>701000</v>
      </c>
      <c r="M825" t="s">
        <v>62</v>
      </c>
      <c r="N825" t="s">
        <v>33</v>
      </c>
      <c r="O825">
        <v>3118</v>
      </c>
      <c r="P825">
        <v>0.95</v>
      </c>
      <c r="Q825">
        <v>2.96</v>
      </c>
      <c r="R825" t="s">
        <v>1202</v>
      </c>
      <c r="S825" t="s">
        <v>195</v>
      </c>
    </row>
    <row r="826" spans="1:19" x14ac:dyDescent="0.3">
      <c r="A826" t="s">
        <v>924</v>
      </c>
      <c r="B826" t="s">
        <v>22</v>
      </c>
      <c r="C826">
        <v>2026</v>
      </c>
      <c r="D826">
        <v>2</v>
      </c>
      <c r="E826" s="2">
        <v>46066</v>
      </c>
      <c r="F826" t="s">
        <v>7</v>
      </c>
      <c r="G826" t="s">
        <v>8</v>
      </c>
      <c r="H826" t="s">
        <v>70</v>
      </c>
      <c r="I826" t="s">
        <v>84</v>
      </c>
      <c r="J826" t="s">
        <v>85</v>
      </c>
      <c r="K826" t="s">
        <v>73</v>
      </c>
      <c r="L826">
        <v>701000</v>
      </c>
      <c r="M826" t="s">
        <v>62</v>
      </c>
      <c r="N826" t="s">
        <v>33</v>
      </c>
      <c r="O826">
        <v>2413</v>
      </c>
      <c r="P826">
        <v>0.95</v>
      </c>
      <c r="Q826">
        <v>2.2999999999999998</v>
      </c>
      <c r="R826" t="s">
        <v>1205</v>
      </c>
      <c r="S826" t="s">
        <v>195</v>
      </c>
    </row>
    <row r="827" spans="1:19" x14ac:dyDescent="0.3">
      <c r="A827" t="s">
        <v>960</v>
      </c>
      <c r="B827" t="s">
        <v>22</v>
      </c>
      <c r="C827">
        <v>2026</v>
      </c>
      <c r="D827">
        <v>2</v>
      </c>
      <c r="E827" s="2">
        <v>46066</v>
      </c>
      <c r="F827" t="s">
        <v>7</v>
      </c>
      <c r="G827" t="s">
        <v>8</v>
      </c>
      <c r="H827" t="s">
        <v>70</v>
      </c>
      <c r="I827" t="s">
        <v>84</v>
      </c>
      <c r="J827" t="s">
        <v>85</v>
      </c>
      <c r="K827" t="s">
        <v>73</v>
      </c>
      <c r="L827">
        <v>701000</v>
      </c>
      <c r="M827" t="s">
        <v>62</v>
      </c>
      <c r="N827" t="s">
        <v>33</v>
      </c>
      <c r="O827">
        <v>3938</v>
      </c>
      <c r="P827">
        <v>0.95</v>
      </c>
      <c r="Q827">
        <v>3.74</v>
      </c>
      <c r="R827" t="s">
        <v>1201</v>
      </c>
      <c r="S827" t="s">
        <v>195</v>
      </c>
    </row>
    <row r="828" spans="1:19" x14ac:dyDescent="0.3">
      <c r="A828" t="s">
        <v>961</v>
      </c>
      <c r="B828" t="s">
        <v>22</v>
      </c>
      <c r="C828">
        <v>2026</v>
      </c>
      <c r="D828">
        <v>2</v>
      </c>
      <c r="E828" s="2">
        <v>46066</v>
      </c>
      <c r="F828" t="s">
        <v>7</v>
      </c>
      <c r="G828" t="s">
        <v>8</v>
      </c>
      <c r="H828" t="s">
        <v>70</v>
      </c>
      <c r="I828" t="s">
        <v>84</v>
      </c>
      <c r="J828" t="s">
        <v>85</v>
      </c>
      <c r="K828" t="s">
        <v>73</v>
      </c>
      <c r="L828">
        <v>701000</v>
      </c>
      <c r="M828" t="s">
        <v>62</v>
      </c>
      <c r="N828" t="s">
        <v>33</v>
      </c>
      <c r="O828">
        <v>2261</v>
      </c>
      <c r="P828">
        <v>0.95</v>
      </c>
      <c r="Q828">
        <v>2.15</v>
      </c>
      <c r="R828" t="s">
        <v>1197</v>
      </c>
      <c r="S828" t="s">
        <v>195</v>
      </c>
    </row>
    <row r="829" spans="1:19" x14ac:dyDescent="0.3">
      <c r="A829" t="s">
        <v>962</v>
      </c>
      <c r="B829" t="s">
        <v>22</v>
      </c>
      <c r="C829">
        <v>2026</v>
      </c>
      <c r="D829">
        <v>2</v>
      </c>
      <c r="E829" s="2">
        <v>46066</v>
      </c>
      <c r="F829" t="s">
        <v>7</v>
      </c>
      <c r="G829" t="s">
        <v>8</v>
      </c>
      <c r="H829" t="s">
        <v>70</v>
      </c>
      <c r="I829" t="s">
        <v>84</v>
      </c>
      <c r="J829" t="s">
        <v>85</v>
      </c>
      <c r="K829" t="s">
        <v>73</v>
      </c>
      <c r="L829">
        <v>701000</v>
      </c>
      <c r="M829" t="s">
        <v>62</v>
      </c>
      <c r="N829" t="s">
        <v>33</v>
      </c>
      <c r="O829">
        <v>6121</v>
      </c>
      <c r="P829">
        <v>0.95</v>
      </c>
      <c r="Q829">
        <v>5.81</v>
      </c>
      <c r="R829" t="s">
        <v>1204</v>
      </c>
      <c r="S829" t="s">
        <v>195</v>
      </c>
    </row>
    <row r="830" spans="1:19" x14ac:dyDescent="0.3">
      <c r="A830" t="s">
        <v>963</v>
      </c>
      <c r="B830" t="s">
        <v>22</v>
      </c>
      <c r="C830">
        <v>2026</v>
      </c>
      <c r="D830">
        <v>2</v>
      </c>
      <c r="E830" s="2">
        <v>46066</v>
      </c>
      <c r="F830" t="s">
        <v>7</v>
      </c>
      <c r="G830" t="s">
        <v>8</v>
      </c>
      <c r="H830" t="s">
        <v>70</v>
      </c>
      <c r="I830" t="s">
        <v>84</v>
      </c>
      <c r="J830" t="s">
        <v>85</v>
      </c>
      <c r="K830" t="s">
        <v>73</v>
      </c>
      <c r="L830">
        <v>701000</v>
      </c>
      <c r="M830" t="s">
        <v>62</v>
      </c>
      <c r="N830" t="s">
        <v>33</v>
      </c>
      <c r="O830">
        <v>3085</v>
      </c>
      <c r="P830">
        <v>0.95</v>
      </c>
      <c r="Q830">
        <v>2.93</v>
      </c>
      <c r="R830" t="s">
        <v>1202</v>
      </c>
      <c r="S830" t="s">
        <v>195</v>
      </c>
    </row>
    <row r="831" spans="1:19" x14ac:dyDescent="0.3">
      <c r="A831" t="s">
        <v>964</v>
      </c>
      <c r="B831" t="s">
        <v>22</v>
      </c>
      <c r="C831">
        <v>2026</v>
      </c>
      <c r="D831">
        <v>2</v>
      </c>
      <c r="E831" s="2">
        <v>46066</v>
      </c>
      <c r="F831" t="s">
        <v>7</v>
      </c>
      <c r="G831" t="s">
        <v>8</v>
      </c>
      <c r="H831" t="s">
        <v>70</v>
      </c>
      <c r="I831" t="s">
        <v>84</v>
      </c>
      <c r="J831" t="s">
        <v>85</v>
      </c>
      <c r="K831" t="s">
        <v>73</v>
      </c>
      <c r="L831">
        <v>701000</v>
      </c>
      <c r="M831" t="s">
        <v>62</v>
      </c>
      <c r="N831" t="s">
        <v>33</v>
      </c>
      <c r="O831">
        <v>2458</v>
      </c>
      <c r="P831">
        <v>0.95</v>
      </c>
      <c r="Q831">
        <v>2.34</v>
      </c>
      <c r="R831" t="s">
        <v>1199</v>
      </c>
      <c r="S831" t="s">
        <v>195</v>
      </c>
    </row>
    <row r="832" spans="1:19" x14ac:dyDescent="0.3">
      <c r="A832" t="s">
        <v>995</v>
      </c>
      <c r="B832" t="s">
        <v>22</v>
      </c>
      <c r="C832">
        <v>2026</v>
      </c>
      <c r="D832">
        <v>2</v>
      </c>
      <c r="E832" s="2">
        <v>46066</v>
      </c>
      <c r="F832" t="s">
        <v>7</v>
      </c>
      <c r="G832" t="s">
        <v>8</v>
      </c>
      <c r="H832" t="s">
        <v>74</v>
      </c>
      <c r="I832" t="s">
        <v>84</v>
      </c>
      <c r="J832" t="s">
        <v>85</v>
      </c>
      <c r="K832" t="s">
        <v>73</v>
      </c>
      <c r="L832">
        <v>701000</v>
      </c>
      <c r="M832" t="s">
        <v>62</v>
      </c>
      <c r="N832" t="s">
        <v>33</v>
      </c>
      <c r="O832">
        <v>5527</v>
      </c>
      <c r="P832">
        <v>0.95</v>
      </c>
      <c r="Q832">
        <v>5.25</v>
      </c>
      <c r="R832" t="s">
        <v>1202</v>
      </c>
      <c r="S832" t="s">
        <v>195</v>
      </c>
    </row>
    <row r="833" spans="1:19" x14ac:dyDescent="0.3">
      <c r="A833" t="s">
        <v>996</v>
      </c>
      <c r="B833" t="s">
        <v>22</v>
      </c>
      <c r="C833">
        <v>2026</v>
      </c>
      <c r="D833">
        <v>2</v>
      </c>
      <c r="E833" s="2">
        <v>46066</v>
      </c>
      <c r="F833" t="s">
        <v>7</v>
      </c>
      <c r="G833" t="s">
        <v>8</v>
      </c>
      <c r="H833" t="s">
        <v>74</v>
      </c>
      <c r="I833" t="s">
        <v>84</v>
      </c>
      <c r="J833" t="s">
        <v>85</v>
      </c>
      <c r="K833" t="s">
        <v>73</v>
      </c>
      <c r="L833">
        <v>701000</v>
      </c>
      <c r="M833" t="s">
        <v>62</v>
      </c>
      <c r="N833" t="s">
        <v>33</v>
      </c>
      <c r="O833">
        <v>7149</v>
      </c>
      <c r="P833">
        <v>0.95</v>
      </c>
      <c r="Q833">
        <v>6.79</v>
      </c>
      <c r="R833" t="s">
        <v>1198</v>
      </c>
      <c r="S833" t="s">
        <v>195</v>
      </c>
    </row>
    <row r="834" spans="1:19" x14ac:dyDescent="0.3">
      <c r="A834" t="s">
        <v>997</v>
      </c>
      <c r="B834" t="s">
        <v>22</v>
      </c>
      <c r="C834">
        <v>2026</v>
      </c>
      <c r="D834">
        <v>2</v>
      </c>
      <c r="E834" s="2">
        <v>46066</v>
      </c>
      <c r="F834" t="s">
        <v>7</v>
      </c>
      <c r="G834" t="s">
        <v>8</v>
      </c>
      <c r="H834" t="s">
        <v>74</v>
      </c>
      <c r="I834" t="s">
        <v>84</v>
      </c>
      <c r="J834" t="s">
        <v>85</v>
      </c>
      <c r="K834" t="s">
        <v>73</v>
      </c>
      <c r="L834">
        <v>701000</v>
      </c>
      <c r="M834" t="s">
        <v>62</v>
      </c>
      <c r="N834" t="s">
        <v>33</v>
      </c>
      <c r="O834">
        <v>1633</v>
      </c>
      <c r="P834">
        <v>0.95</v>
      </c>
      <c r="Q834">
        <v>1.55</v>
      </c>
      <c r="R834" t="s">
        <v>1201</v>
      </c>
      <c r="S834" t="s">
        <v>195</v>
      </c>
    </row>
    <row r="835" spans="1:19" x14ac:dyDescent="0.3">
      <c r="A835" t="s">
        <v>998</v>
      </c>
      <c r="B835" t="s">
        <v>22</v>
      </c>
      <c r="C835">
        <v>2026</v>
      </c>
      <c r="D835">
        <v>2</v>
      </c>
      <c r="E835" s="2">
        <v>46066</v>
      </c>
      <c r="F835" t="s">
        <v>7</v>
      </c>
      <c r="G835" t="s">
        <v>8</v>
      </c>
      <c r="H835" t="s">
        <v>74</v>
      </c>
      <c r="I835" t="s">
        <v>84</v>
      </c>
      <c r="J835" t="s">
        <v>85</v>
      </c>
      <c r="K835" t="s">
        <v>73</v>
      </c>
      <c r="L835">
        <v>701000</v>
      </c>
      <c r="M835" t="s">
        <v>62</v>
      </c>
      <c r="N835" t="s">
        <v>33</v>
      </c>
      <c r="O835">
        <v>4058</v>
      </c>
      <c r="P835">
        <v>0.95</v>
      </c>
      <c r="Q835">
        <v>3.86</v>
      </c>
      <c r="R835" t="s">
        <v>1205</v>
      </c>
      <c r="S835" t="s">
        <v>195</v>
      </c>
    </row>
    <row r="836" spans="1:19" x14ac:dyDescent="0.3">
      <c r="A836" t="s">
        <v>999</v>
      </c>
      <c r="B836" t="s">
        <v>22</v>
      </c>
      <c r="C836">
        <v>2026</v>
      </c>
      <c r="D836">
        <v>2</v>
      </c>
      <c r="E836" s="2">
        <v>46066</v>
      </c>
      <c r="F836" t="s">
        <v>7</v>
      </c>
      <c r="G836" t="s">
        <v>8</v>
      </c>
      <c r="H836" t="s">
        <v>74</v>
      </c>
      <c r="I836" t="s">
        <v>84</v>
      </c>
      <c r="J836" t="s">
        <v>85</v>
      </c>
      <c r="K836" t="s">
        <v>73</v>
      </c>
      <c r="L836">
        <v>701000</v>
      </c>
      <c r="M836" t="s">
        <v>62</v>
      </c>
      <c r="N836" t="s">
        <v>33</v>
      </c>
      <c r="O836">
        <v>812</v>
      </c>
      <c r="P836">
        <v>0.95</v>
      </c>
      <c r="Q836">
        <v>0.77</v>
      </c>
      <c r="R836" t="s">
        <v>1197</v>
      </c>
      <c r="S836" t="s">
        <v>195</v>
      </c>
    </row>
    <row r="837" spans="1:19" x14ac:dyDescent="0.3">
      <c r="A837" t="s">
        <v>955</v>
      </c>
      <c r="B837" t="s">
        <v>22</v>
      </c>
      <c r="C837">
        <v>2026</v>
      </c>
      <c r="D837">
        <v>2</v>
      </c>
      <c r="E837" s="2">
        <v>46067</v>
      </c>
      <c r="F837" t="s">
        <v>7</v>
      </c>
      <c r="G837" t="s">
        <v>8</v>
      </c>
      <c r="H837" t="s">
        <v>74</v>
      </c>
      <c r="I837" t="s">
        <v>84</v>
      </c>
      <c r="J837" t="s">
        <v>85</v>
      </c>
      <c r="K837" t="s">
        <v>73</v>
      </c>
      <c r="L837">
        <v>701000</v>
      </c>
      <c r="M837" t="s">
        <v>62</v>
      </c>
      <c r="N837" t="s">
        <v>33</v>
      </c>
      <c r="O837">
        <v>5798</v>
      </c>
      <c r="P837">
        <v>0.95</v>
      </c>
      <c r="Q837">
        <v>5.51</v>
      </c>
      <c r="R837" t="s">
        <v>1200</v>
      </c>
      <c r="S837" t="s">
        <v>195</v>
      </c>
    </row>
    <row r="838" spans="1:19" x14ac:dyDescent="0.3">
      <c r="A838" t="s">
        <v>956</v>
      </c>
      <c r="B838" t="s">
        <v>22</v>
      </c>
      <c r="C838">
        <v>2026</v>
      </c>
      <c r="D838">
        <v>2</v>
      </c>
      <c r="E838" s="2">
        <v>46067</v>
      </c>
      <c r="F838" t="s">
        <v>7</v>
      </c>
      <c r="G838" t="s">
        <v>8</v>
      </c>
      <c r="H838" t="s">
        <v>74</v>
      </c>
      <c r="I838" t="s">
        <v>84</v>
      </c>
      <c r="J838" t="s">
        <v>85</v>
      </c>
      <c r="K838" t="s">
        <v>73</v>
      </c>
      <c r="L838">
        <v>701000</v>
      </c>
      <c r="M838" t="s">
        <v>62</v>
      </c>
      <c r="N838" t="s">
        <v>33</v>
      </c>
      <c r="O838">
        <v>3008</v>
      </c>
      <c r="P838">
        <v>0.95</v>
      </c>
      <c r="Q838">
        <v>2.86</v>
      </c>
      <c r="R838" t="s">
        <v>1201</v>
      </c>
      <c r="S838" t="s">
        <v>195</v>
      </c>
    </row>
    <row r="839" spans="1:19" x14ac:dyDescent="0.3">
      <c r="A839" t="s">
        <v>957</v>
      </c>
      <c r="B839" t="s">
        <v>22</v>
      </c>
      <c r="C839">
        <v>2026</v>
      </c>
      <c r="D839">
        <v>2</v>
      </c>
      <c r="E839" s="2">
        <v>46067</v>
      </c>
      <c r="F839" t="s">
        <v>7</v>
      </c>
      <c r="G839" t="s">
        <v>8</v>
      </c>
      <c r="H839" t="s">
        <v>74</v>
      </c>
      <c r="I839" t="s">
        <v>84</v>
      </c>
      <c r="J839" t="s">
        <v>85</v>
      </c>
      <c r="K839" t="s">
        <v>73</v>
      </c>
      <c r="L839">
        <v>701000</v>
      </c>
      <c r="M839" t="s">
        <v>62</v>
      </c>
      <c r="N839" t="s">
        <v>33</v>
      </c>
      <c r="O839">
        <v>2434</v>
      </c>
      <c r="P839">
        <v>0.95</v>
      </c>
      <c r="Q839">
        <v>2.31</v>
      </c>
      <c r="R839" t="s">
        <v>1202</v>
      </c>
      <c r="S839" t="s">
        <v>195</v>
      </c>
    </row>
    <row r="840" spans="1:19" x14ac:dyDescent="0.3">
      <c r="A840" t="s">
        <v>958</v>
      </c>
      <c r="B840" t="s">
        <v>22</v>
      </c>
      <c r="C840">
        <v>2026</v>
      </c>
      <c r="D840">
        <v>2</v>
      </c>
      <c r="E840" s="2">
        <v>46067</v>
      </c>
      <c r="F840" t="s">
        <v>7</v>
      </c>
      <c r="G840" t="s">
        <v>8</v>
      </c>
      <c r="H840" t="s">
        <v>74</v>
      </c>
      <c r="I840" t="s">
        <v>84</v>
      </c>
      <c r="J840" t="s">
        <v>85</v>
      </c>
      <c r="K840" t="s">
        <v>73</v>
      </c>
      <c r="L840">
        <v>701000</v>
      </c>
      <c r="M840" t="s">
        <v>62</v>
      </c>
      <c r="N840" t="s">
        <v>33</v>
      </c>
      <c r="O840">
        <v>9030</v>
      </c>
      <c r="P840">
        <v>0.95</v>
      </c>
      <c r="Q840">
        <v>8.58</v>
      </c>
      <c r="R840" t="s">
        <v>1197</v>
      </c>
      <c r="S840" t="s">
        <v>195</v>
      </c>
    </row>
    <row r="841" spans="1:19" x14ac:dyDescent="0.3">
      <c r="A841" t="s">
        <v>959</v>
      </c>
      <c r="B841" t="s">
        <v>22</v>
      </c>
      <c r="C841">
        <v>2026</v>
      </c>
      <c r="D841">
        <v>2</v>
      </c>
      <c r="E841" s="2">
        <v>46067</v>
      </c>
      <c r="F841" t="s">
        <v>7</v>
      </c>
      <c r="G841" t="s">
        <v>8</v>
      </c>
      <c r="H841" t="s">
        <v>74</v>
      </c>
      <c r="I841" t="s">
        <v>84</v>
      </c>
      <c r="J841" t="s">
        <v>85</v>
      </c>
      <c r="K841" t="s">
        <v>73</v>
      </c>
      <c r="L841">
        <v>701000</v>
      </c>
      <c r="M841" t="s">
        <v>62</v>
      </c>
      <c r="N841" t="s">
        <v>33</v>
      </c>
      <c r="O841">
        <v>2415</v>
      </c>
      <c r="P841">
        <v>0.95</v>
      </c>
      <c r="Q841">
        <v>2.29</v>
      </c>
      <c r="R841" t="s">
        <v>1204</v>
      </c>
      <c r="S841" t="s">
        <v>195</v>
      </c>
    </row>
    <row r="842" spans="1:19" x14ac:dyDescent="0.3">
      <c r="A842" t="s">
        <v>1105</v>
      </c>
      <c r="B842" t="s">
        <v>22</v>
      </c>
      <c r="C842">
        <v>2026</v>
      </c>
      <c r="D842">
        <v>2</v>
      </c>
      <c r="E842" s="2">
        <v>46068</v>
      </c>
      <c r="F842" t="s">
        <v>7</v>
      </c>
      <c r="G842" t="s">
        <v>8</v>
      </c>
      <c r="H842" t="s">
        <v>74</v>
      </c>
      <c r="I842" t="s">
        <v>71</v>
      </c>
      <c r="J842" t="s">
        <v>72</v>
      </c>
      <c r="K842" t="s">
        <v>73</v>
      </c>
      <c r="L842">
        <v>701000</v>
      </c>
      <c r="M842" t="s">
        <v>62</v>
      </c>
      <c r="N842" t="s">
        <v>33</v>
      </c>
      <c r="O842">
        <v>1037</v>
      </c>
      <c r="P842">
        <v>1.05</v>
      </c>
      <c r="Q842">
        <v>1.0900000000000001</v>
      </c>
      <c r="R842" t="s">
        <v>1197</v>
      </c>
      <c r="S842" t="s">
        <v>195</v>
      </c>
    </row>
    <row r="843" spans="1:19" x14ac:dyDescent="0.3">
      <c r="A843" t="s">
        <v>1106</v>
      </c>
      <c r="B843" t="s">
        <v>22</v>
      </c>
      <c r="C843">
        <v>2026</v>
      </c>
      <c r="D843">
        <v>2</v>
      </c>
      <c r="E843" s="2">
        <v>46068</v>
      </c>
      <c r="F843" t="s">
        <v>7</v>
      </c>
      <c r="G843" t="s">
        <v>8</v>
      </c>
      <c r="H843" t="s">
        <v>74</v>
      </c>
      <c r="I843" t="s">
        <v>71</v>
      </c>
      <c r="J843" t="s">
        <v>72</v>
      </c>
      <c r="K843" t="s">
        <v>73</v>
      </c>
      <c r="L843">
        <v>701000</v>
      </c>
      <c r="M843" t="s">
        <v>62</v>
      </c>
      <c r="N843" t="s">
        <v>33</v>
      </c>
      <c r="O843">
        <v>2759</v>
      </c>
      <c r="P843">
        <v>1.05</v>
      </c>
      <c r="Q843">
        <v>2.9</v>
      </c>
      <c r="R843" t="s">
        <v>1204</v>
      </c>
      <c r="S843" t="s">
        <v>195</v>
      </c>
    </row>
    <row r="844" spans="1:19" x14ac:dyDescent="0.3">
      <c r="A844" t="s">
        <v>1107</v>
      </c>
      <c r="B844" t="s">
        <v>22</v>
      </c>
      <c r="C844">
        <v>2026</v>
      </c>
      <c r="D844">
        <v>2</v>
      </c>
      <c r="E844" s="2">
        <v>46068</v>
      </c>
      <c r="F844" t="s">
        <v>7</v>
      </c>
      <c r="G844" t="s">
        <v>8</v>
      </c>
      <c r="H844" t="s">
        <v>74</v>
      </c>
      <c r="I844" t="s">
        <v>71</v>
      </c>
      <c r="J844" t="s">
        <v>72</v>
      </c>
      <c r="K844" t="s">
        <v>73</v>
      </c>
      <c r="L844">
        <v>701000</v>
      </c>
      <c r="M844" t="s">
        <v>62</v>
      </c>
      <c r="N844" t="s">
        <v>33</v>
      </c>
      <c r="O844">
        <v>2271</v>
      </c>
      <c r="P844">
        <v>1.05</v>
      </c>
      <c r="Q844">
        <v>2.38</v>
      </c>
      <c r="R844" t="s">
        <v>1199</v>
      </c>
      <c r="S844" t="s">
        <v>195</v>
      </c>
    </row>
    <row r="845" spans="1:19" x14ac:dyDescent="0.3">
      <c r="A845" t="s">
        <v>1108</v>
      </c>
      <c r="B845" t="s">
        <v>22</v>
      </c>
      <c r="C845">
        <v>2026</v>
      </c>
      <c r="D845">
        <v>2</v>
      </c>
      <c r="E845" s="2">
        <v>46068</v>
      </c>
      <c r="F845" t="s">
        <v>7</v>
      </c>
      <c r="G845" t="s">
        <v>8</v>
      </c>
      <c r="H845" t="s">
        <v>74</v>
      </c>
      <c r="I845" t="s">
        <v>71</v>
      </c>
      <c r="J845" t="s">
        <v>72</v>
      </c>
      <c r="K845" t="s">
        <v>73</v>
      </c>
      <c r="L845">
        <v>701000</v>
      </c>
      <c r="M845" t="s">
        <v>62</v>
      </c>
      <c r="N845" t="s">
        <v>33</v>
      </c>
      <c r="O845">
        <v>470</v>
      </c>
      <c r="P845">
        <v>1.04</v>
      </c>
      <c r="Q845">
        <v>0.49</v>
      </c>
      <c r="R845" t="s">
        <v>1205</v>
      </c>
      <c r="S845" t="s">
        <v>195</v>
      </c>
    </row>
    <row r="846" spans="1:19" x14ac:dyDescent="0.3">
      <c r="A846" t="s">
        <v>1109</v>
      </c>
      <c r="B846" t="s">
        <v>22</v>
      </c>
      <c r="C846">
        <v>2026</v>
      </c>
      <c r="D846">
        <v>2</v>
      </c>
      <c r="E846" s="2">
        <v>46068</v>
      </c>
      <c r="F846" t="s">
        <v>7</v>
      </c>
      <c r="G846" t="s">
        <v>8</v>
      </c>
      <c r="H846" t="s">
        <v>74</v>
      </c>
      <c r="I846" t="s">
        <v>71</v>
      </c>
      <c r="J846" t="s">
        <v>72</v>
      </c>
      <c r="K846" t="s">
        <v>73</v>
      </c>
      <c r="L846">
        <v>701000</v>
      </c>
      <c r="M846" t="s">
        <v>62</v>
      </c>
      <c r="N846" t="s">
        <v>33</v>
      </c>
      <c r="O846">
        <v>2653</v>
      </c>
      <c r="P846">
        <v>1.05</v>
      </c>
      <c r="Q846">
        <v>2.79</v>
      </c>
      <c r="R846" t="s">
        <v>1198</v>
      </c>
      <c r="S846" t="s">
        <v>195</v>
      </c>
    </row>
    <row r="847" spans="1:19" x14ac:dyDescent="0.3">
      <c r="A847" t="s">
        <v>895</v>
      </c>
      <c r="B847" t="s">
        <v>22</v>
      </c>
      <c r="C847">
        <v>2026</v>
      </c>
      <c r="D847">
        <v>2</v>
      </c>
      <c r="E847" s="2">
        <v>46069</v>
      </c>
      <c r="F847" t="s">
        <v>7</v>
      </c>
      <c r="G847" t="s">
        <v>8</v>
      </c>
      <c r="H847" t="s">
        <v>70</v>
      </c>
      <c r="I847" t="s">
        <v>84</v>
      </c>
      <c r="J847" t="s">
        <v>85</v>
      </c>
      <c r="K847" t="s">
        <v>73</v>
      </c>
      <c r="L847">
        <v>706000</v>
      </c>
      <c r="M847" t="s">
        <v>63</v>
      </c>
      <c r="N847" t="s">
        <v>33</v>
      </c>
      <c r="O847">
        <v>1929</v>
      </c>
      <c r="P847">
        <v>0.95</v>
      </c>
      <c r="Q847">
        <v>1.83</v>
      </c>
      <c r="R847" t="s">
        <v>1199</v>
      </c>
      <c r="S847" t="s">
        <v>195</v>
      </c>
    </row>
    <row r="848" spans="1:19" x14ac:dyDescent="0.3">
      <c r="A848" t="s">
        <v>896</v>
      </c>
      <c r="B848" t="s">
        <v>22</v>
      </c>
      <c r="C848">
        <v>2026</v>
      </c>
      <c r="D848">
        <v>2</v>
      </c>
      <c r="E848" s="2">
        <v>46069</v>
      </c>
      <c r="F848" t="s">
        <v>7</v>
      </c>
      <c r="G848" t="s">
        <v>8</v>
      </c>
      <c r="H848" t="s">
        <v>70</v>
      </c>
      <c r="I848" t="s">
        <v>84</v>
      </c>
      <c r="J848" t="s">
        <v>85</v>
      </c>
      <c r="K848" t="s">
        <v>73</v>
      </c>
      <c r="L848">
        <v>706000</v>
      </c>
      <c r="M848" t="s">
        <v>63</v>
      </c>
      <c r="N848" t="s">
        <v>33</v>
      </c>
      <c r="O848">
        <v>1083</v>
      </c>
      <c r="P848">
        <v>0.95</v>
      </c>
      <c r="Q848">
        <v>1.03</v>
      </c>
      <c r="R848" t="s">
        <v>1198</v>
      </c>
      <c r="S848" t="s">
        <v>195</v>
      </c>
    </row>
    <row r="849" spans="1:19" x14ac:dyDescent="0.3">
      <c r="A849" t="s">
        <v>897</v>
      </c>
      <c r="B849" t="s">
        <v>22</v>
      </c>
      <c r="C849">
        <v>2026</v>
      </c>
      <c r="D849">
        <v>2</v>
      </c>
      <c r="E849" s="2">
        <v>46069</v>
      </c>
      <c r="F849" t="s">
        <v>7</v>
      </c>
      <c r="G849" t="s">
        <v>8</v>
      </c>
      <c r="H849" t="s">
        <v>70</v>
      </c>
      <c r="I849" t="s">
        <v>84</v>
      </c>
      <c r="J849" t="s">
        <v>85</v>
      </c>
      <c r="K849" t="s">
        <v>73</v>
      </c>
      <c r="L849">
        <v>706000</v>
      </c>
      <c r="M849" t="s">
        <v>63</v>
      </c>
      <c r="N849" t="s">
        <v>33</v>
      </c>
      <c r="O849">
        <v>3579</v>
      </c>
      <c r="P849">
        <v>0.95</v>
      </c>
      <c r="Q849">
        <v>3.4</v>
      </c>
      <c r="R849" t="s">
        <v>1200</v>
      </c>
      <c r="S849" t="s">
        <v>195</v>
      </c>
    </row>
    <row r="850" spans="1:19" x14ac:dyDescent="0.3">
      <c r="A850" t="s">
        <v>898</v>
      </c>
      <c r="B850" t="s">
        <v>22</v>
      </c>
      <c r="C850">
        <v>2026</v>
      </c>
      <c r="D850">
        <v>2</v>
      </c>
      <c r="E850" s="2">
        <v>46069</v>
      </c>
      <c r="F850" t="s">
        <v>7</v>
      </c>
      <c r="G850" t="s">
        <v>8</v>
      </c>
      <c r="H850" t="s">
        <v>70</v>
      </c>
      <c r="I850" t="s">
        <v>84</v>
      </c>
      <c r="J850" t="s">
        <v>85</v>
      </c>
      <c r="K850" t="s">
        <v>73</v>
      </c>
      <c r="L850">
        <v>706000</v>
      </c>
      <c r="M850" t="s">
        <v>63</v>
      </c>
      <c r="N850" t="s">
        <v>33</v>
      </c>
      <c r="O850">
        <v>1558</v>
      </c>
      <c r="P850">
        <v>0.95</v>
      </c>
      <c r="Q850">
        <v>1.48</v>
      </c>
      <c r="R850" t="s">
        <v>1205</v>
      </c>
      <c r="S850" t="s">
        <v>195</v>
      </c>
    </row>
    <row r="851" spans="1:19" x14ac:dyDescent="0.3">
      <c r="A851" t="s">
        <v>899</v>
      </c>
      <c r="B851" t="s">
        <v>22</v>
      </c>
      <c r="C851">
        <v>2026</v>
      </c>
      <c r="D851">
        <v>2</v>
      </c>
      <c r="E851" s="2">
        <v>46069</v>
      </c>
      <c r="F851" t="s">
        <v>7</v>
      </c>
      <c r="G851" t="s">
        <v>8</v>
      </c>
      <c r="H851" t="s">
        <v>70</v>
      </c>
      <c r="I851" t="s">
        <v>84</v>
      </c>
      <c r="J851" t="s">
        <v>85</v>
      </c>
      <c r="K851" t="s">
        <v>73</v>
      </c>
      <c r="L851">
        <v>706000</v>
      </c>
      <c r="M851" t="s">
        <v>63</v>
      </c>
      <c r="N851" t="s">
        <v>33</v>
      </c>
      <c r="O851">
        <v>10501</v>
      </c>
      <c r="P851">
        <v>0.95</v>
      </c>
      <c r="Q851">
        <v>9.98</v>
      </c>
      <c r="R851" t="s">
        <v>1197</v>
      </c>
      <c r="S851" t="s">
        <v>195</v>
      </c>
    </row>
    <row r="852" spans="1:19" x14ac:dyDescent="0.3">
      <c r="A852" t="s">
        <v>905</v>
      </c>
      <c r="B852" t="s">
        <v>22</v>
      </c>
      <c r="C852">
        <v>2026</v>
      </c>
      <c r="D852">
        <v>2</v>
      </c>
      <c r="E852" s="2">
        <v>46069</v>
      </c>
      <c r="F852" t="s">
        <v>7</v>
      </c>
      <c r="G852" t="s">
        <v>8</v>
      </c>
      <c r="H852" t="s">
        <v>74</v>
      </c>
      <c r="I852" t="s">
        <v>84</v>
      </c>
      <c r="J852" t="s">
        <v>85</v>
      </c>
      <c r="K852" t="s">
        <v>73</v>
      </c>
      <c r="L852">
        <v>701000</v>
      </c>
      <c r="M852" t="s">
        <v>62</v>
      </c>
      <c r="N852" t="s">
        <v>33</v>
      </c>
      <c r="O852">
        <v>10058</v>
      </c>
      <c r="P852">
        <v>0.95</v>
      </c>
      <c r="Q852">
        <v>9.5500000000000007</v>
      </c>
      <c r="R852" t="s">
        <v>1198</v>
      </c>
      <c r="S852" t="s">
        <v>195</v>
      </c>
    </row>
    <row r="853" spans="1:19" x14ac:dyDescent="0.3">
      <c r="A853" t="s">
        <v>906</v>
      </c>
      <c r="B853" t="s">
        <v>22</v>
      </c>
      <c r="C853">
        <v>2026</v>
      </c>
      <c r="D853">
        <v>2</v>
      </c>
      <c r="E853" s="2">
        <v>46069</v>
      </c>
      <c r="F853" t="s">
        <v>7</v>
      </c>
      <c r="G853" t="s">
        <v>8</v>
      </c>
      <c r="H853" t="s">
        <v>74</v>
      </c>
      <c r="I853" t="s">
        <v>84</v>
      </c>
      <c r="J853" t="s">
        <v>85</v>
      </c>
      <c r="K853" t="s">
        <v>73</v>
      </c>
      <c r="L853">
        <v>701000</v>
      </c>
      <c r="M853" t="s">
        <v>62</v>
      </c>
      <c r="N853" t="s">
        <v>33</v>
      </c>
      <c r="O853">
        <v>2154</v>
      </c>
      <c r="P853">
        <v>0.95</v>
      </c>
      <c r="Q853">
        <v>2.0499999999999998</v>
      </c>
      <c r="R853" t="s">
        <v>1204</v>
      </c>
      <c r="S853" t="s">
        <v>195</v>
      </c>
    </row>
    <row r="854" spans="1:19" x14ac:dyDescent="0.3">
      <c r="A854" t="s">
        <v>907</v>
      </c>
      <c r="B854" t="s">
        <v>22</v>
      </c>
      <c r="C854">
        <v>2026</v>
      </c>
      <c r="D854">
        <v>2</v>
      </c>
      <c r="E854" s="2">
        <v>46069</v>
      </c>
      <c r="F854" t="s">
        <v>7</v>
      </c>
      <c r="G854" t="s">
        <v>8</v>
      </c>
      <c r="H854" t="s">
        <v>74</v>
      </c>
      <c r="I854" t="s">
        <v>84</v>
      </c>
      <c r="J854" t="s">
        <v>85</v>
      </c>
      <c r="K854" t="s">
        <v>73</v>
      </c>
      <c r="L854">
        <v>701000</v>
      </c>
      <c r="M854" t="s">
        <v>62</v>
      </c>
      <c r="N854" t="s">
        <v>33</v>
      </c>
      <c r="O854">
        <v>2095</v>
      </c>
      <c r="P854">
        <v>0.95</v>
      </c>
      <c r="Q854">
        <v>1.99</v>
      </c>
      <c r="R854" t="s">
        <v>1200</v>
      </c>
      <c r="S854" t="s">
        <v>195</v>
      </c>
    </row>
    <row r="855" spans="1:19" x14ac:dyDescent="0.3">
      <c r="A855" t="s">
        <v>908</v>
      </c>
      <c r="B855" t="s">
        <v>22</v>
      </c>
      <c r="C855">
        <v>2026</v>
      </c>
      <c r="D855">
        <v>2</v>
      </c>
      <c r="E855" s="2">
        <v>46069</v>
      </c>
      <c r="F855" t="s">
        <v>7</v>
      </c>
      <c r="G855" t="s">
        <v>8</v>
      </c>
      <c r="H855" t="s">
        <v>74</v>
      </c>
      <c r="I855" t="s">
        <v>84</v>
      </c>
      <c r="J855" t="s">
        <v>85</v>
      </c>
      <c r="K855" t="s">
        <v>73</v>
      </c>
      <c r="L855">
        <v>701000</v>
      </c>
      <c r="M855" t="s">
        <v>62</v>
      </c>
      <c r="N855" t="s">
        <v>33</v>
      </c>
      <c r="O855">
        <v>2893</v>
      </c>
      <c r="P855">
        <v>0.95</v>
      </c>
      <c r="Q855">
        <v>2.75</v>
      </c>
      <c r="R855" t="s">
        <v>1197</v>
      </c>
      <c r="S855" t="s">
        <v>195</v>
      </c>
    </row>
    <row r="856" spans="1:19" x14ac:dyDescent="0.3">
      <c r="A856" t="s">
        <v>909</v>
      </c>
      <c r="B856" t="s">
        <v>22</v>
      </c>
      <c r="C856">
        <v>2026</v>
      </c>
      <c r="D856">
        <v>2</v>
      </c>
      <c r="E856" s="2">
        <v>46069</v>
      </c>
      <c r="F856" t="s">
        <v>7</v>
      </c>
      <c r="G856" t="s">
        <v>8</v>
      </c>
      <c r="H856" t="s">
        <v>74</v>
      </c>
      <c r="I856" t="s">
        <v>84</v>
      </c>
      <c r="J856" t="s">
        <v>85</v>
      </c>
      <c r="K856" t="s">
        <v>73</v>
      </c>
      <c r="L856">
        <v>701000</v>
      </c>
      <c r="M856" t="s">
        <v>62</v>
      </c>
      <c r="N856" t="s">
        <v>33</v>
      </c>
      <c r="O856">
        <v>3337</v>
      </c>
      <c r="P856">
        <v>0.95</v>
      </c>
      <c r="Q856">
        <v>3.17</v>
      </c>
      <c r="R856" t="s">
        <v>1202</v>
      </c>
      <c r="S856" t="s">
        <v>195</v>
      </c>
    </row>
    <row r="857" spans="1:19" x14ac:dyDescent="0.3">
      <c r="A857" t="s">
        <v>925</v>
      </c>
      <c r="B857" t="s">
        <v>22</v>
      </c>
      <c r="C857">
        <v>2026</v>
      </c>
      <c r="D857">
        <v>2</v>
      </c>
      <c r="E857" s="2">
        <v>46069</v>
      </c>
      <c r="F857" t="s">
        <v>7</v>
      </c>
      <c r="G857" t="s">
        <v>8</v>
      </c>
      <c r="H857" t="s">
        <v>70</v>
      </c>
      <c r="I857" t="s">
        <v>84</v>
      </c>
      <c r="J857" t="s">
        <v>85</v>
      </c>
      <c r="K857" t="s">
        <v>73</v>
      </c>
      <c r="L857">
        <v>707000</v>
      </c>
      <c r="M857" t="s">
        <v>81</v>
      </c>
      <c r="N857" t="s">
        <v>33</v>
      </c>
      <c r="O857">
        <v>8651</v>
      </c>
      <c r="P857">
        <v>0.95</v>
      </c>
      <c r="Q857">
        <v>8.2200000000000006</v>
      </c>
      <c r="R857" t="s">
        <v>1198</v>
      </c>
      <c r="S857" t="s">
        <v>195</v>
      </c>
    </row>
    <row r="858" spans="1:19" x14ac:dyDescent="0.3">
      <c r="A858" t="s">
        <v>926</v>
      </c>
      <c r="B858" t="s">
        <v>22</v>
      </c>
      <c r="C858">
        <v>2026</v>
      </c>
      <c r="D858">
        <v>2</v>
      </c>
      <c r="E858" s="2">
        <v>46069</v>
      </c>
      <c r="F858" t="s">
        <v>7</v>
      </c>
      <c r="G858" t="s">
        <v>8</v>
      </c>
      <c r="H858" t="s">
        <v>70</v>
      </c>
      <c r="I858" t="s">
        <v>84</v>
      </c>
      <c r="J858" t="s">
        <v>85</v>
      </c>
      <c r="K858" t="s">
        <v>73</v>
      </c>
      <c r="L858">
        <v>707000</v>
      </c>
      <c r="M858" t="s">
        <v>81</v>
      </c>
      <c r="N858" t="s">
        <v>33</v>
      </c>
      <c r="O858">
        <v>2191</v>
      </c>
      <c r="P858">
        <v>0.95</v>
      </c>
      <c r="Q858">
        <v>2.08</v>
      </c>
      <c r="R858" t="s">
        <v>1199</v>
      </c>
      <c r="S858" t="s">
        <v>195</v>
      </c>
    </row>
    <row r="859" spans="1:19" x14ac:dyDescent="0.3">
      <c r="A859" t="s">
        <v>927</v>
      </c>
      <c r="B859" t="s">
        <v>22</v>
      </c>
      <c r="C859">
        <v>2026</v>
      </c>
      <c r="D859">
        <v>2</v>
      </c>
      <c r="E859" s="2">
        <v>46069</v>
      </c>
      <c r="F859" t="s">
        <v>7</v>
      </c>
      <c r="G859" t="s">
        <v>8</v>
      </c>
      <c r="H859" t="s">
        <v>70</v>
      </c>
      <c r="I859" t="s">
        <v>84</v>
      </c>
      <c r="J859" t="s">
        <v>85</v>
      </c>
      <c r="K859" t="s">
        <v>73</v>
      </c>
      <c r="L859">
        <v>707000</v>
      </c>
      <c r="M859" t="s">
        <v>81</v>
      </c>
      <c r="N859" t="s">
        <v>33</v>
      </c>
      <c r="O859">
        <v>5139</v>
      </c>
      <c r="P859">
        <v>0.95</v>
      </c>
      <c r="Q859">
        <v>4.88</v>
      </c>
      <c r="R859" t="s">
        <v>1203</v>
      </c>
      <c r="S859" t="s">
        <v>195</v>
      </c>
    </row>
    <row r="860" spans="1:19" x14ac:dyDescent="0.3">
      <c r="A860" t="s">
        <v>928</v>
      </c>
      <c r="B860" t="s">
        <v>22</v>
      </c>
      <c r="C860">
        <v>2026</v>
      </c>
      <c r="D860">
        <v>2</v>
      </c>
      <c r="E860" s="2">
        <v>46069</v>
      </c>
      <c r="F860" t="s">
        <v>7</v>
      </c>
      <c r="G860" t="s">
        <v>8</v>
      </c>
      <c r="H860" t="s">
        <v>70</v>
      </c>
      <c r="I860" t="s">
        <v>84</v>
      </c>
      <c r="J860" t="s">
        <v>85</v>
      </c>
      <c r="K860" t="s">
        <v>73</v>
      </c>
      <c r="L860">
        <v>707000</v>
      </c>
      <c r="M860" t="s">
        <v>81</v>
      </c>
      <c r="N860" t="s">
        <v>33</v>
      </c>
      <c r="O860">
        <v>3395</v>
      </c>
      <c r="P860">
        <v>0.95</v>
      </c>
      <c r="Q860">
        <v>3.23</v>
      </c>
      <c r="R860" t="s">
        <v>1197</v>
      </c>
      <c r="S860" t="s">
        <v>195</v>
      </c>
    </row>
    <row r="861" spans="1:19" x14ac:dyDescent="0.3">
      <c r="A861" t="s">
        <v>929</v>
      </c>
      <c r="B861" t="s">
        <v>22</v>
      </c>
      <c r="C861">
        <v>2026</v>
      </c>
      <c r="D861">
        <v>2</v>
      </c>
      <c r="E861" s="2">
        <v>46069</v>
      </c>
      <c r="F861" t="s">
        <v>7</v>
      </c>
      <c r="G861" t="s">
        <v>8</v>
      </c>
      <c r="H861" t="s">
        <v>70</v>
      </c>
      <c r="I861" t="s">
        <v>84</v>
      </c>
      <c r="J861" t="s">
        <v>85</v>
      </c>
      <c r="K861" t="s">
        <v>73</v>
      </c>
      <c r="L861">
        <v>707000</v>
      </c>
      <c r="M861" t="s">
        <v>81</v>
      </c>
      <c r="N861" t="s">
        <v>33</v>
      </c>
      <c r="O861">
        <v>2472</v>
      </c>
      <c r="P861">
        <v>0.95</v>
      </c>
      <c r="Q861">
        <v>2.35</v>
      </c>
      <c r="R861" t="s">
        <v>1200</v>
      </c>
      <c r="S861" t="s">
        <v>195</v>
      </c>
    </row>
    <row r="862" spans="1:19" x14ac:dyDescent="0.3">
      <c r="A862" t="s">
        <v>890</v>
      </c>
      <c r="B862" t="s">
        <v>22</v>
      </c>
      <c r="C862">
        <v>2026</v>
      </c>
      <c r="D862">
        <v>2</v>
      </c>
      <c r="E862" s="2">
        <v>46070</v>
      </c>
      <c r="F862" t="s">
        <v>7</v>
      </c>
      <c r="G862" t="s">
        <v>8</v>
      </c>
      <c r="H862" t="s">
        <v>70</v>
      </c>
      <c r="I862" t="s">
        <v>84</v>
      </c>
      <c r="J862" t="s">
        <v>85</v>
      </c>
      <c r="K862" t="s">
        <v>73</v>
      </c>
      <c r="L862">
        <v>701000</v>
      </c>
      <c r="M862" t="s">
        <v>62</v>
      </c>
      <c r="N862" t="s">
        <v>33</v>
      </c>
      <c r="O862">
        <v>2129</v>
      </c>
      <c r="P862">
        <v>0.95</v>
      </c>
      <c r="Q862">
        <v>2.02</v>
      </c>
      <c r="R862" t="s">
        <v>1203</v>
      </c>
      <c r="S862" t="s">
        <v>195</v>
      </c>
    </row>
    <row r="863" spans="1:19" x14ac:dyDescent="0.3">
      <c r="A863" t="s">
        <v>891</v>
      </c>
      <c r="B863" t="s">
        <v>22</v>
      </c>
      <c r="C863">
        <v>2026</v>
      </c>
      <c r="D863">
        <v>2</v>
      </c>
      <c r="E863" s="2">
        <v>46070</v>
      </c>
      <c r="F863" t="s">
        <v>7</v>
      </c>
      <c r="G863" t="s">
        <v>8</v>
      </c>
      <c r="H863" t="s">
        <v>70</v>
      </c>
      <c r="I863" t="s">
        <v>84</v>
      </c>
      <c r="J863" t="s">
        <v>85</v>
      </c>
      <c r="K863" t="s">
        <v>73</v>
      </c>
      <c r="L863">
        <v>701000</v>
      </c>
      <c r="M863" t="s">
        <v>62</v>
      </c>
      <c r="N863" t="s">
        <v>33</v>
      </c>
      <c r="O863">
        <v>6318</v>
      </c>
      <c r="P863">
        <v>0.95</v>
      </c>
      <c r="Q863">
        <v>6</v>
      </c>
      <c r="R863" t="s">
        <v>1202</v>
      </c>
      <c r="S863" t="s">
        <v>195</v>
      </c>
    </row>
    <row r="864" spans="1:19" x14ac:dyDescent="0.3">
      <c r="A864" t="s">
        <v>892</v>
      </c>
      <c r="B864" t="s">
        <v>22</v>
      </c>
      <c r="C864">
        <v>2026</v>
      </c>
      <c r="D864">
        <v>2</v>
      </c>
      <c r="E864" s="2">
        <v>46070</v>
      </c>
      <c r="F864" t="s">
        <v>7</v>
      </c>
      <c r="G864" t="s">
        <v>8</v>
      </c>
      <c r="H864" t="s">
        <v>70</v>
      </c>
      <c r="I864" t="s">
        <v>84</v>
      </c>
      <c r="J864" t="s">
        <v>85</v>
      </c>
      <c r="K864" t="s">
        <v>73</v>
      </c>
      <c r="L864">
        <v>701000</v>
      </c>
      <c r="M864" t="s">
        <v>62</v>
      </c>
      <c r="N864" t="s">
        <v>33</v>
      </c>
      <c r="O864">
        <v>2709</v>
      </c>
      <c r="P864">
        <v>0.95</v>
      </c>
      <c r="Q864">
        <v>2.57</v>
      </c>
      <c r="R864" t="s">
        <v>1205</v>
      </c>
      <c r="S864" t="s">
        <v>195</v>
      </c>
    </row>
    <row r="865" spans="1:19" x14ac:dyDescent="0.3">
      <c r="A865" t="s">
        <v>893</v>
      </c>
      <c r="B865" t="s">
        <v>22</v>
      </c>
      <c r="C865">
        <v>2026</v>
      </c>
      <c r="D865">
        <v>2</v>
      </c>
      <c r="E865" s="2">
        <v>46070</v>
      </c>
      <c r="F865" t="s">
        <v>7</v>
      </c>
      <c r="G865" t="s">
        <v>8</v>
      </c>
      <c r="H865" t="s">
        <v>70</v>
      </c>
      <c r="I865" t="s">
        <v>84</v>
      </c>
      <c r="J865" t="s">
        <v>85</v>
      </c>
      <c r="K865" t="s">
        <v>73</v>
      </c>
      <c r="L865">
        <v>701000</v>
      </c>
      <c r="M865" t="s">
        <v>62</v>
      </c>
      <c r="N865" t="s">
        <v>33</v>
      </c>
      <c r="O865">
        <v>4933</v>
      </c>
      <c r="P865">
        <v>0.95</v>
      </c>
      <c r="Q865">
        <v>4.6900000000000004</v>
      </c>
      <c r="R865" t="s">
        <v>1198</v>
      </c>
      <c r="S865" t="s">
        <v>195</v>
      </c>
    </row>
    <row r="866" spans="1:19" x14ac:dyDescent="0.3">
      <c r="A866" t="s">
        <v>894</v>
      </c>
      <c r="B866" t="s">
        <v>22</v>
      </c>
      <c r="C866">
        <v>2026</v>
      </c>
      <c r="D866">
        <v>2</v>
      </c>
      <c r="E866" s="2">
        <v>46070</v>
      </c>
      <c r="F866" t="s">
        <v>7</v>
      </c>
      <c r="G866" t="s">
        <v>8</v>
      </c>
      <c r="H866" t="s">
        <v>70</v>
      </c>
      <c r="I866" t="s">
        <v>84</v>
      </c>
      <c r="J866" t="s">
        <v>85</v>
      </c>
      <c r="K866" t="s">
        <v>73</v>
      </c>
      <c r="L866">
        <v>701000</v>
      </c>
      <c r="M866" t="s">
        <v>62</v>
      </c>
      <c r="N866" t="s">
        <v>33</v>
      </c>
      <c r="O866">
        <v>1569</v>
      </c>
      <c r="P866">
        <v>0.96</v>
      </c>
      <c r="Q866">
        <v>1.5</v>
      </c>
      <c r="R866" t="s">
        <v>1199</v>
      </c>
      <c r="S866" t="s">
        <v>195</v>
      </c>
    </row>
    <row r="867" spans="1:19" x14ac:dyDescent="0.3">
      <c r="A867" t="s">
        <v>1020</v>
      </c>
      <c r="B867" t="s">
        <v>22</v>
      </c>
      <c r="C867">
        <v>2026</v>
      </c>
      <c r="D867">
        <v>2</v>
      </c>
      <c r="E867" s="2">
        <v>46070</v>
      </c>
      <c r="F867" t="s">
        <v>7</v>
      </c>
      <c r="G867" t="s">
        <v>8</v>
      </c>
      <c r="H867" t="s">
        <v>74</v>
      </c>
      <c r="I867" t="s">
        <v>71</v>
      </c>
      <c r="J867" t="s">
        <v>72</v>
      </c>
      <c r="K867" t="s">
        <v>73</v>
      </c>
      <c r="L867">
        <v>701000</v>
      </c>
      <c r="M867" t="s">
        <v>62</v>
      </c>
      <c r="N867" t="s">
        <v>33</v>
      </c>
      <c r="O867">
        <v>368</v>
      </c>
      <c r="P867">
        <v>1.06</v>
      </c>
      <c r="Q867">
        <v>0.39</v>
      </c>
      <c r="R867" t="s">
        <v>1204</v>
      </c>
      <c r="S867" t="s">
        <v>195</v>
      </c>
    </row>
    <row r="868" spans="1:19" x14ac:dyDescent="0.3">
      <c r="A868" t="s">
        <v>1021</v>
      </c>
      <c r="B868" t="s">
        <v>22</v>
      </c>
      <c r="C868">
        <v>2026</v>
      </c>
      <c r="D868">
        <v>2</v>
      </c>
      <c r="E868" s="2">
        <v>46070</v>
      </c>
      <c r="F868" t="s">
        <v>7</v>
      </c>
      <c r="G868" t="s">
        <v>8</v>
      </c>
      <c r="H868" t="s">
        <v>74</v>
      </c>
      <c r="I868" t="s">
        <v>71</v>
      </c>
      <c r="J868" t="s">
        <v>72</v>
      </c>
      <c r="K868" t="s">
        <v>73</v>
      </c>
      <c r="L868">
        <v>701000</v>
      </c>
      <c r="M868" t="s">
        <v>62</v>
      </c>
      <c r="N868" t="s">
        <v>33</v>
      </c>
      <c r="O868">
        <v>1861</v>
      </c>
      <c r="P868">
        <v>1.05</v>
      </c>
      <c r="Q868">
        <v>1.96</v>
      </c>
      <c r="R868" t="s">
        <v>1203</v>
      </c>
      <c r="S868" t="s">
        <v>195</v>
      </c>
    </row>
    <row r="869" spans="1:19" x14ac:dyDescent="0.3">
      <c r="A869" t="s">
        <v>1022</v>
      </c>
      <c r="B869" t="s">
        <v>22</v>
      </c>
      <c r="C869">
        <v>2026</v>
      </c>
      <c r="D869">
        <v>2</v>
      </c>
      <c r="E869" s="2">
        <v>46070</v>
      </c>
      <c r="F869" t="s">
        <v>7</v>
      </c>
      <c r="G869" t="s">
        <v>8</v>
      </c>
      <c r="H869" t="s">
        <v>74</v>
      </c>
      <c r="I869" t="s">
        <v>71</v>
      </c>
      <c r="J869" t="s">
        <v>72</v>
      </c>
      <c r="K869" t="s">
        <v>73</v>
      </c>
      <c r="L869">
        <v>701000</v>
      </c>
      <c r="M869" t="s">
        <v>62</v>
      </c>
      <c r="N869" t="s">
        <v>33</v>
      </c>
      <c r="O869">
        <v>1760</v>
      </c>
      <c r="P869">
        <v>1.05</v>
      </c>
      <c r="Q869">
        <v>1.85</v>
      </c>
      <c r="R869" t="s">
        <v>1198</v>
      </c>
      <c r="S869" t="s">
        <v>195</v>
      </c>
    </row>
    <row r="870" spans="1:19" x14ac:dyDescent="0.3">
      <c r="A870" t="s">
        <v>1023</v>
      </c>
      <c r="B870" t="s">
        <v>22</v>
      </c>
      <c r="C870">
        <v>2026</v>
      </c>
      <c r="D870">
        <v>2</v>
      </c>
      <c r="E870" s="2">
        <v>46070</v>
      </c>
      <c r="F870" t="s">
        <v>7</v>
      </c>
      <c r="G870" t="s">
        <v>8</v>
      </c>
      <c r="H870" t="s">
        <v>74</v>
      </c>
      <c r="I870" t="s">
        <v>71</v>
      </c>
      <c r="J870" t="s">
        <v>72</v>
      </c>
      <c r="K870" t="s">
        <v>73</v>
      </c>
      <c r="L870">
        <v>701000</v>
      </c>
      <c r="M870" t="s">
        <v>62</v>
      </c>
      <c r="N870" t="s">
        <v>33</v>
      </c>
      <c r="O870">
        <v>1428</v>
      </c>
      <c r="P870">
        <v>1.05</v>
      </c>
      <c r="Q870">
        <v>1.5</v>
      </c>
      <c r="R870" t="s">
        <v>1200</v>
      </c>
      <c r="S870" t="s">
        <v>195</v>
      </c>
    </row>
    <row r="871" spans="1:19" x14ac:dyDescent="0.3">
      <c r="A871" t="s">
        <v>1024</v>
      </c>
      <c r="B871" t="s">
        <v>22</v>
      </c>
      <c r="C871">
        <v>2026</v>
      </c>
      <c r="D871">
        <v>2</v>
      </c>
      <c r="E871" s="2">
        <v>46070</v>
      </c>
      <c r="F871" t="s">
        <v>7</v>
      </c>
      <c r="G871" t="s">
        <v>8</v>
      </c>
      <c r="H871" t="s">
        <v>74</v>
      </c>
      <c r="I871" t="s">
        <v>71</v>
      </c>
      <c r="J871" t="s">
        <v>72</v>
      </c>
      <c r="K871" t="s">
        <v>73</v>
      </c>
      <c r="L871">
        <v>701000</v>
      </c>
      <c r="M871" t="s">
        <v>62</v>
      </c>
      <c r="N871" t="s">
        <v>33</v>
      </c>
      <c r="O871">
        <v>1407</v>
      </c>
      <c r="P871">
        <v>1.04</v>
      </c>
      <c r="Q871">
        <v>1.47</v>
      </c>
      <c r="R871" t="s">
        <v>1197</v>
      </c>
      <c r="S871" t="s">
        <v>195</v>
      </c>
    </row>
    <row r="872" spans="1:19" x14ac:dyDescent="0.3">
      <c r="A872" t="s">
        <v>1070</v>
      </c>
      <c r="B872" t="s">
        <v>22</v>
      </c>
      <c r="C872">
        <v>2026</v>
      </c>
      <c r="D872">
        <v>2</v>
      </c>
      <c r="E872" s="2">
        <v>46070</v>
      </c>
      <c r="F872" t="s">
        <v>7</v>
      </c>
      <c r="G872" t="s">
        <v>8</v>
      </c>
      <c r="H872" t="s">
        <v>70</v>
      </c>
      <c r="I872" t="s">
        <v>71</v>
      </c>
      <c r="J872" t="s">
        <v>72</v>
      </c>
      <c r="K872" t="s">
        <v>73</v>
      </c>
      <c r="L872">
        <v>701000</v>
      </c>
      <c r="M872" t="s">
        <v>62</v>
      </c>
      <c r="N872" t="s">
        <v>33</v>
      </c>
      <c r="O872">
        <v>1316</v>
      </c>
      <c r="P872">
        <v>1.05</v>
      </c>
      <c r="Q872">
        <v>1.38</v>
      </c>
      <c r="R872" t="s">
        <v>1202</v>
      </c>
      <c r="S872" t="s">
        <v>195</v>
      </c>
    </row>
    <row r="873" spans="1:19" x14ac:dyDescent="0.3">
      <c r="A873" t="s">
        <v>1071</v>
      </c>
      <c r="B873" t="s">
        <v>22</v>
      </c>
      <c r="C873">
        <v>2026</v>
      </c>
      <c r="D873">
        <v>2</v>
      </c>
      <c r="E873" s="2">
        <v>46070</v>
      </c>
      <c r="F873" t="s">
        <v>7</v>
      </c>
      <c r="G873" t="s">
        <v>8</v>
      </c>
      <c r="H873" t="s">
        <v>70</v>
      </c>
      <c r="I873" t="s">
        <v>71</v>
      </c>
      <c r="J873" t="s">
        <v>72</v>
      </c>
      <c r="K873" t="s">
        <v>73</v>
      </c>
      <c r="L873">
        <v>701000</v>
      </c>
      <c r="M873" t="s">
        <v>62</v>
      </c>
      <c r="N873" t="s">
        <v>33</v>
      </c>
      <c r="O873">
        <v>2067</v>
      </c>
      <c r="P873">
        <v>1.05</v>
      </c>
      <c r="Q873">
        <v>2.17</v>
      </c>
      <c r="R873" t="s">
        <v>1200</v>
      </c>
      <c r="S873" t="s">
        <v>195</v>
      </c>
    </row>
    <row r="874" spans="1:19" x14ac:dyDescent="0.3">
      <c r="A874" t="s">
        <v>1072</v>
      </c>
      <c r="B874" t="s">
        <v>22</v>
      </c>
      <c r="C874">
        <v>2026</v>
      </c>
      <c r="D874">
        <v>2</v>
      </c>
      <c r="E874" s="2">
        <v>46070</v>
      </c>
      <c r="F874" t="s">
        <v>7</v>
      </c>
      <c r="G874" t="s">
        <v>8</v>
      </c>
      <c r="H874" t="s">
        <v>70</v>
      </c>
      <c r="I874" t="s">
        <v>71</v>
      </c>
      <c r="J874" t="s">
        <v>72</v>
      </c>
      <c r="K874" t="s">
        <v>73</v>
      </c>
      <c r="L874">
        <v>701000</v>
      </c>
      <c r="M874" t="s">
        <v>62</v>
      </c>
      <c r="N874" t="s">
        <v>33</v>
      </c>
      <c r="O874">
        <v>1984</v>
      </c>
      <c r="P874">
        <v>1.05</v>
      </c>
      <c r="Q874">
        <v>2.08</v>
      </c>
      <c r="R874" t="s">
        <v>1198</v>
      </c>
      <c r="S874" t="s">
        <v>195</v>
      </c>
    </row>
    <row r="875" spans="1:19" x14ac:dyDescent="0.3">
      <c r="A875" t="s">
        <v>1073</v>
      </c>
      <c r="B875" t="s">
        <v>22</v>
      </c>
      <c r="C875">
        <v>2026</v>
      </c>
      <c r="D875">
        <v>2</v>
      </c>
      <c r="E875" s="2">
        <v>46070</v>
      </c>
      <c r="F875" t="s">
        <v>7</v>
      </c>
      <c r="G875" t="s">
        <v>8</v>
      </c>
      <c r="H875" t="s">
        <v>70</v>
      </c>
      <c r="I875" t="s">
        <v>71</v>
      </c>
      <c r="J875" t="s">
        <v>72</v>
      </c>
      <c r="K875" t="s">
        <v>73</v>
      </c>
      <c r="L875">
        <v>701000</v>
      </c>
      <c r="M875" t="s">
        <v>62</v>
      </c>
      <c r="N875" t="s">
        <v>33</v>
      </c>
      <c r="O875">
        <v>604</v>
      </c>
      <c r="P875">
        <v>1.04</v>
      </c>
      <c r="Q875">
        <v>0.63</v>
      </c>
      <c r="R875" t="s">
        <v>1197</v>
      </c>
      <c r="S875" t="s">
        <v>195</v>
      </c>
    </row>
    <row r="876" spans="1:19" x14ac:dyDescent="0.3">
      <c r="A876" t="s">
        <v>1074</v>
      </c>
      <c r="B876" t="s">
        <v>22</v>
      </c>
      <c r="C876">
        <v>2026</v>
      </c>
      <c r="D876">
        <v>2</v>
      </c>
      <c r="E876" s="2">
        <v>46070</v>
      </c>
      <c r="F876" t="s">
        <v>7</v>
      </c>
      <c r="G876" t="s">
        <v>8</v>
      </c>
      <c r="H876" t="s">
        <v>70</v>
      </c>
      <c r="I876" t="s">
        <v>71</v>
      </c>
      <c r="J876" t="s">
        <v>72</v>
      </c>
      <c r="K876" t="s">
        <v>73</v>
      </c>
      <c r="L876">
        <v>701000</v>
      </c>
      <c r="M876" t="s">
        <v>62</v>
      </c>
      <c r="N876" t="s">
        <v>33</v>
      </c>
      <c r="O876">
        <v>2520</v>
      </c>
      <c r="P876">
        <v>1.06</v>
      </c>
      <c r="Q876">
        <v>2.66</v>
      </c>
      <c r="R876" t="s">
        <v>1204</v>
      </c>
      <c r="S876" t="s">
        <v>195</v>
      </c>
    </row>
    <row r="877" spans="1:19" x14ac:dyDescent="0.3">
      <c r="A877" t="s">
        <v>1015</v>
      </c>
      <c r="B877" t="s">
        <v>22</v>
      </c>
      <c r="C877">
        <v>2026</v>
      </c>
      <c r="D877">
        <v>2</v>
      </c>
      <c r="E877" s="2">
        <v>46071</v>
      </c>
      <c r="F877" t="s">
        <v>7</v>
      </c>
      <c r="G877" t="s">
        <v>8</v>
      </c>
      <c r="H877" t="s">
        <v>74</v>
      </c>
      <c r="I877" t="s">
        <v>71</v>
      </c>
      <c r="J877" t="s">
        <v>72</v>
      </c>
      <c r="K877" t="s">
        <v>73</v>
      </c>
      <c r="L877">
        <v>701000</v>
      </c>
      <c r="M877" t="s">
        <v>62</v>
      </c>
      <c r="N877" t="s">
        <v>33</v>
      </c>
      <c r="O877">
        <v>401</v>
      </c>
      <c r="P877">
        <v>1.05</v>
      </c>
      <c r="Q877">
        <v>0.42</v>
      </c>
      <c r="R877" t="s">
        <v>1203</v>
      </c>
      <c r="S877" t="s">
        <v>195</v>
      </c>
    </row>
    <row r="878" spans="1:19" x14ac:dyDescent="0.3">
      <c r="A878" t="s">
        <v>1016</v>
      </c>
      <c r="B878" t="s">
        <v>22</v>
      </c>
      <c r="C878">
        <v>2026</v>
      </c>
      <c r="D878">
        <v>2</v>
      </c>
      <c r="E878" s="2">
        <v>46071</v>
      </c>
      <c r="F878" t="s">
        <v>7</v>
      </c>
      <c r="G878" t="s">
        <v>8</v>
      </c>
      <c r="H878" t="s">
        <v>74</v>
      </c>
      <c r="I878" t="s">
        <v>71</v>
      </c>
      <c r="J878" t="s">
        <v>72</v>
      </c>
      <c r="K878" t="s">
        <v>73</v>
      </c>
      <c r="L878">
        <v>701000</v>
      </c>
      <c r="M878" t="s">
        <v>62</v>
      </c>
      <c r="N878" t="s">
        <v>33</v>
      </c>
      <c r="O878">
        <v>1184</v>
      </c>
      <c r="P878">
        <v>1.05</v>
      </c>
      <c r="Q878">
        <v>1.24</v>
      </c>
      <c r="R878" t="s">
        <v>1198</v>
      </c>
      <c r="S878" t="s">
        <v>195</v>
      </c>
    </row>
    <row r="879" spans="1:19" x14ac:dyDescent="0.3">
      <c r="A879" t="s">
        <v>1017</v>
      </c>
      <c r="B879" t="s">
        <v>22</v>
      </c>
      <c r="C879">
        <v>2026</v>
      </c>
      <c r="D879">
        <v>2</v>
      </c>
      <c r="E879" s="2">
        <v>46071</v>
      </c>
      <c r="F879" t="s">
        <v>7</v>
      </c>
      <c r="G879" t="s">
        <v>8</v>
      </c>
      <c r="H879" t="s">
        <v>74</v>
      </c>
      <c r="I879" t="s">
        <v>71</v>
      </c>
      <c r="J879" t="s">
        <v>72</v>
      </c>
      <c r="K879" t="s">
        <v>73</v>
      </c>
      <c r="L879">
        <v>701000</v>
      </c>
      <c r="M879" t="s">
        <v>62</v>
      </c>
      <c r="N879" t="s">
        <v>33</v>
      </c>
      <c r="O879">
        <v>1619</v>
      </c>
      <c r="P879">
        <v>1.05</v>
      </c>
      <c r="Q879">
        <v>1.7</v>
      </c>
      <c r="R879" t="s">
        <v>1204</v>
      </c>
      <c r="S879" t="s">
        <v>195</v>
      </c>
    </row>
    <row r="880" spans="1:19" x14ac:dyDescent="0.3">
      <c r="A880" t="s">
        <v>1018</v>
      </c>
      <c r="B880" t="s">
        <v>22</v>
      </c>
      <c r="C880">
        <v>2026</v>
      </c>
      <c r="D880">
        <v>2</v>
      </c>
      <c r="E880" s="2">
        <v>46071</v>
      </c>
      <c r="F880" t="s">
        <v>7</v>
      </c>
      <c r="G880" t="s">
        <v>8</v>
      </c>
      <c r="H880" t="s">
        <v>74</v>
      </c>
      <c r="I880" t="s">
        <v>71</v>
      </c>
      <c r="J880" t="s">
        <v>72</v>
      </c>
      <c r="K880" t="s">
        <v>73</v>
      </c>
      <c r="L880">
        <v>701000</v>
      </c>
      <c r="M880" t="s">
        <v>62</v>
      </c>
      <c r="N880" t="s">
        <v>33</v>
      </c>
      <c r="O880">
        <v>5269</v>
      </c>
      <c r="P880">
        <v>1.05</v>
      </c>
      <c r="Q880">
        <v>5.53</v>
      </c>
      <c r="R880" t="s">
        <v>1201</v>
      </c>
      <c r="S880" t="s">
        <v>195</v>
      </c>
    </row>
    <row r="881" spans="1:19" x14ac:dyDescent="0.3">
      <c r="A881" t="s">
        <v>1019</v>
      </c>
      <c r="B881" t="s">
        <v>22</v>
      </c>
      <c r="C881">
        <v>2026</v>
      </c>
      <c r="D881">
        <v>2</v>
      </c>
      <c r="E881" s="2">
        <v>46071</v>
      </c>
      <c r="F881" t="s">
        <v>7</v>
      </c>
      <c r="G881" t="s">
        <v>8</v>
      </c>
      <c r="H881" t="s">
        <v>74</v>
      </c>
      <c r="I881" t="s">
        <v>71</v>
      </c>
      <c r="J881" t="s">
        <v>72</v>
      </c>
      <c r="K881" t="s">
        <v>73</v>
      </c>
      <c r="L881">
        <v>701000</v>
      </c>
      <c r="M881" t="s">
        <v>62</v>
      </c>
      <c r="N881" t="s">
        <v>33</v>
      </c>
      <c r="O881">
        <v>257</v>
      </c>
      <c r="P881">
        <v>1.0900000000000001</v>
      </c>
      <c r="Q881">
        <v>0.28000000000000003</v>
      </c>
      <c r="R881" t="s">
        <v>1197</v>
      </c>
      <c r="S881" t="s">
        <v>195</v>
      </c>
    </row>
    <row r="882" spans="1:19" x14ac:dyDescent="0.3">
      <c r="A882" t="s">
        <v>975</v>
      </c>
      <c r="B882" t="s">
        <v>22</v>
      </c>
      <c r="C882">
        <v>2026</v>
      </c>
      <c r="D882">
        <v>2</v>
      </c>
      <c r="E882" s="2">
        <v>46072</v>
      </c>
      <c r="F882" t="s">
        <v>7</v>
      </c>
      <c r="G882" t="s">
        <v>8</v>
      </c>
      <c r="H882" t="s">
        <v>74</v>
      </c>
      <c r="I882" t="s">
        <v>84</v>
      </c>
      <c r="J882" t="s">
        <v>85</v>
      </c>
      <c r="K882" t="s">
        <v>73</v>
      </c>
      <c r="L882">
        <v>701000</v>
      </c>
      <c r="M882" t="s">
        <v>62</v>
      </c>
      <c r="N882" t="s">
        <v>33</v>
      </c>
      <c r="O882">
        <v>9542</v>
      </c>
      <c r="P882">
        <v>0.95</v>
      </c>
      <c r="Q882">
        <v>9.07</v>
      </c>
      <c r="R882" t="s">
        <v>1203</v>
      </c>
      <c r="S882" t="s">
        <v>195</v>
      </c>
    </row>
    <row r="883" spans="1:19" x14ac:dyDescent="0.3">
      <c r="A883" t="s">
        <v>976</v>
      </c>
      <c r="B883" t="s">
        <v>22</v>
      </c>
      <c r="C883">
        <v>2026</v>
      </c>
      <c r="D883">
        <v>2</v>
      </c>
      <c r="E883" s="2">
        <v>46072</v>
      </c>
      <c r="F883" t="s">
        <v>7</v>
      </c>
      <c r="G883" t="s">
        <v>8</v>
      </c>
      <c r="H883" t="s">
        <v>74</v>
      </c>
      <c r="I883" t="s">
        <v>84</v>
      </c>
      <c r="J883" t="s">
        <v>85</v>
      </c>
      <c r="K883" t="s">
        <v>73</v>
      </c>
      <c r="L883">
        <v>701000</v>
      </c>
      <c r="M883" t="s">
        <v>62</v>
      </c>
      <c r="N883" t="s">
        <v>33</v>
      </c>
      <c r="O883">
        <v>245</v>
      </c>
      <c r="P883">
        <v>0.94</v>
      </c>
      <c r="Q883">
        <v>0.23</v>
      </c>
      <c r="R883" t="s">
        <v>1197</v>
      </c>
      <c r="S883" t="s">
        <v>195</v>
      </c>
    </row>
    <row r="884" spans="1:19" x14ac:dyDescent="0.3">
      <c r="A884" t="s">
        <v>977</v>
      </c>
      <c r="B884" t="s">
        <v>22</v>
      </c>
      <c r="C884">
        <v>2026</v>
      </c>
      <c r="D884">
        <v>2</v>
      </c>
      <c r="E884" s="2">
        <v>46072</v>
      </c>
      <c r="F884" t="s">
        <v>7</v>
      </c>
      <c r="G884" t="s">
        <v>8</v>
      </c>
      <c r="H884" t="s">
        <v>74</v>
      </c>
      <c r="I884" t="s">
        <v>84</v>
      </c>
      <c r="J884" t="s">
        <v>85</v>
      </c>
      <c r="K884" t="s">
        <v>73</v>
      </c>
      <c r="L884">
        <v>701000</v>
      </c>
      <c r="M884" t="s">
        <v>62</v>
      </c>
      <c r="N884" t="s">
        <v>33</v>
      </c>
      <c r="O884">
        <v>3952</v>
      </c>
      <c r="P884">
        <v>0.95</v>
      </c>
      <c r="Q884">
        <v>3.75</v>
      </c>
      <c r="R884" t="s">
        <v>1204</v>
      </c>
      <c r="S884" t="s">
        <v>195</v>
      </c>
    </row>
    <row r="885" spans="1:19" x14ac:dyDescent="0.3">
      <c r="A885" t="s">
        <v>978</v>
      </c>
      <c r="B885" t="s">
        <v>22</v>
      </c>
      <c r="C885">
        <v>2026</v>
      </c>
      <c r="D885">
        <v>2</v>
      </c>
      <c r="E885" s="2">
        <v>46072</v>
      </c>
      <c r="F885" t="s">
        <v>7</v>
      </c>
      <c r="G885" t="s">
        <v>8</v>
      </c>
      <c r="H885" t="s">
        <v>74</v>
      </c>
      <c r="I885" t="s">
        <v>84</v>
      </c>
      <c r="J885" t="s">
        <v>85</v>
      </c>
      <c r="K885" t="s">
        <v>73</v>
      </c>
      <c r="L885">
        <v>701000</v>
      </c>
      <c r="M885" t="s">
        <v>62</v>
      </c>
      <c r="N885" t="s">
        <v>33</v>
      </c>
      <c r="O885">
        <v>2854</v>
      </c>
      <c r="P885">
        <v>0.95</v>
      </c>
      <c r="Q885">
        <v>2.71</v>
      </c>
      <c r="R885" t="s">
        <v>1202</v>
      </c>
      <c r="S885" t="s">
        <v>195</v>
      </c>
    </row>
    <row r="886" spans="1:19" x14ac:dyDescent="0.3">
      <c r="A886" t="s">
        <v>979</v>
      </c>
      <c r="B886" t="s">
        <v>22</v>
      </c>
      <c r="C886">
        <v>2026</v>
      </c>
      <c r="D886">
        <v>2</v>
      </c>
      <c r="E886" s="2">
        <v>46072</v>
      </c>
      <c r="F886" t="s">
        <v>7</v>
      </c>
      <c r="G886" t="s">
        <v>8</v>
      </c>
      <c r="H886" t="s">
        <v>74</v>
      </c>
      <c r="I886" t="s">
        <v>84</v>
      </c>
      <c r="J886" t="s">
        <v>85</v>
      </c>
      <c r="K886" t="s">
        <v>73</v>
      </c>
      <c r="L886">
        <v>701000</v>
      </c>
      <c r="M886" t="s">
        <v>62</v>
      </c>
      <c r="N886" t="s">
        <v>33</v>
      </c>
      <c r="O886">
        <v>1562</v>
      </c>
      <c r="P886">
        <v>0.95</v>
      </c>
      <c r="Q886">
        <v>1.49</v>
      </c>
      <c r="R886" t="s">
        <v>1199</v>
      </c>
      <c r="S886" t="s">
        <v>195</v>
      </c>
    </row>
    <row r="887" spans="1:19" x14ac:dyDescent="0.3">
      <c r="A887" t="s">
        <v>1000</v>
      </c>
      <c r="B887" t="s">
        <v>22</v>
      </c>
      <c r="C887">
        <v>2026</v>
      </c>
      <c r="D887">
        <v>2</v>
      </c>
      <c r="E887" s="2">
        <v>46072</v>
      </c>
      <c r="F887" t="s">
        <v>7</v>
      </c>
      <c r="G887" t="s">
        <v>8</v>
      </c>
      <c r="H887" t="s">
        <v>70</v>
      </c>
      <c r="I887" t="s">
        <v>71</v>
      </c>
      <c r="J887" t="s">
        <v>72</v>
      </c>
      <c r="K887" t="s">
        <v>73</v>
      </c>
      <c r="L887">
        <v>701000</v>
      </c>
      <c r="M887" t="s">
        <v>62</v>
      </c>
      <c r="N887" t="s">
        <v>33</v>
      </c>
      <c r="O887">
        <v>1737</v>
      </c>
      <c r="P887">
        <v>1.05</v>
      </c>
      <c r="Q887">
        <v>1.82</v>
      </c>
      <c r="R887" t="s">
        <v>1198</v>
      </c>
      <c r="S887" t="s">
        <v>195</v>
      </c>
    </row>
    <row r="888" spans="1:19" x14ac:dyDescent="0.3">
      <c r="A888" t="s">
        <v>1001</v>
      </c>
      <c r="B888" t="s">
        <v>22</v>
      </c>
      <c r="C888">
        <v>2026</v>
      </c>
      <c r="D888">
        <v>2</v>
      </c>
      <c r="E888" s="2">
        <v>46072</v>
      </c>
      <c r="F888" t="s">
        <v>7</v>
      </c>
      <c r="G888" t="s">
        <v>8</v>
      </c>
      <c r="H888" t="s">
        <v>70</v>
      </c>
      <c r="I888" t="s">
        <v>71</v>
      </c>
      <c r="J888" t="s">
        <v>72</v>
      </c>
      <c r="K888" t="s">
        <v>73</v>
      </c>
      <c r="L888">
        <v>701000</v>
      </c>
      <c r="M888" t="s">
        <v>62</v>
      </c>
      <c r="N888" t="s">
        <v>33</v>
      </c>
      <c r="O888">
        <v>964</v>
      </c>
      <c r="P888">
        <v>1.05</v>
      </c>
      <c r="Q888">
        <v>1.01</v>
      </c>
      <c r="R888" t="s">
        <v>1202</v>
      </c>
      <c r="S888" t="s">
        <v>195</v>
      </c>
    </row>
    <row r="889" spans="1:19" x14ac:dyDescent="0.3">
      <c r="A889" t="s">
        <v>1002</v>
      </c>
      <c r="B889" t="s">
        <v>22</v>
      </c>
      <c r="C889">
        <v>2026</v>
      </c>
      <c r="D889">
        <v>2</v>
      </c>
      <c r="E889" s="2">
        <v>46072</v>
      </c>
      <c r="F889" t="s">
        <v>7</v>
      </c>
      <c r="G889" t="s">
        <v>8</v>
      </c>
      <c r="H889" t="s">
        <v>70</v>
      </c>
      <c r="I889" t="s">
        <v>71</v>
      </c>
      <c r="J889" t="s">
        <v>72</v>
      </c>
      <c r="K889" t="s">
        <v>73</v>
      </c>
      <c r="L889">
        <v>701000</v>
      </c>
      <c r="M889" t="s">
        <v>62</v>
      </c>
      <c r="N889" t="s">
        <v>33</v>
      </c>
      <c r="O889">
        <v>1342</v>
      </c>
      <c r="P889">
        <v>1.05</v>
      </c>
      <c r="Q889">
        <v>1.41</v>
      </c>
      <c r="R889" t="s">
        <v>1199</v>
      </c>
      <c r="S889" t="s">
        <v>195</v>
      </c>
    </row>
    <row r="890" spans="1:19" x14ac:dyDescent="0.3">
      <c r="A890" t="s">
        <v>1003</v>
      </c>
      <c r="B890" t="s">
        <v>22</v>
      </c>
      <c r="C890">
        <v>2026</v>
      </c>
      <c r="D890">
        <v>2</v>
      </c>
      <c r="E890" s="2">
        <v>46072</v>
      </c>
      <c r="F890" t="s">
        <v>7</v>
      </c>
      <c r="G890" t="s">
        <v>8</v>
      </c>
      <c r="H890" t="s">
        <v>70</v>
      </c>
      <c r="I890" t="s">
        <v>71</v>
      </c>
      <c r="J890" t="s">
        <v>72</v>
      </c>
      <c r="K890" t="s">
        <v>73</v>
      </c>
      <c r="L890">
        <v>701000</v>
      </c>
      <c r="M890" t="s">
        <v>62</v>
      </c>
      <c r="N890" t="s">
        <v>33</v>
      </c>
      <c r="O890">
        <v>3803</v>
      </c>
      <c r="P890">
        <v>1.05</v>
      </c>
      <c r="Q890">
        <v>3.99</v>
      </c>
      <c r="R890" t="s">
        <v>1205</v>
      </c>
      <c r="S890" t="s">
        <v>195</v>
      </c>
    </row>
    <row r="891" spans="1:19" x14ac:dyDescent="0.3">
      <c r="A891" t="s">
        <v>1004</v>
      </c>
      <c r="B891" t="s">
        <v>22</v>
      </c>
      <c r="C891">
        <v>2026</v>
      </c>
      <c r="D891">
        <v>2</v>
      </c>
      <c r="E891" s="2">
        <v>46072</v>
      </c>
      <c r="F891" t="s">
        <v>7</v>
      </c>
      <c r="G891" t="s">
        <v>8</v>
      </c>
      <c r="H891" t="s">
        <v>70</v>
      </c>
      <c r="I891" t="s">
        <v>71</v>
      </c>
      <c r="J891" t="s">
        <v>72</v>
      </c>
      <c r="K891" t="s">
        <v>73</v>
      </c>
      <c r="L891">
        <v>701000</v>
      </c>
      <c r="M891" t="s">
        <v>62</v>
      </c>
      <c r="N891" t="s">
        <v>33</v>
      </c>
      <c r="O891">
        <v>923</v>
      </c>
      <c r="P891">
        <v>1.06</v>
      </c>
      <c r="Q891">
        <v>0.98</v>
      </c>
      <c r="R891" t="s">
        <v>1204</v>
      </c>
      <c r="S891" t="s">
        <v>195</v>
      </c>
    </row>
    <row r="892" spans="1:19" x14ac:dyDescent="0.3">
      <c r="A892" t="s">
        <v>1050</v>
      </c>
      <c r="B892" t="s">
        <v>22</v>
      </c>
      <c r="C892">
        <v>2026</v>
      </c>
      <c r="D892">
        <v>2</v>
      </c>
      <c r="E892" s="2">
        <v>46072</v>
      </c>
      <c r="F892" t="s">
        <v>7</v>
      </c>
      <c r="G892" t="s">
        <v>8</v>
      </c>
      <c r="H892" t="s">
        <v>74</v>
      </c>
      <c r="I892" t="s">
        <v>71</v>
      </c>
      <c r="J892" t="s">
        <v>72</v>
      </c>
      <c r="K892" t="s">
        <v>73</v>
      </c>
      <c r="L892">
        <v>701000</v>
      </c>
      <c r="M892" t="s">
        <v>62</v>
      </c>
      <c r="N892" t="s">
        <v>33</v>
      </c>
      <c r="O892">
        <v>1672</v>
      </c>
      <c r="P892">
        <v>1.05</v>
      </c>
      <c r="Q892">
        <v>1.75</v>
      </c>
      <c r="R892" t="s">
        <v>1205</v>
      </c>
      <c r="S892" t="s">
        <v>195</v>
      </c>
    </row>
    <row r="893" spans="1:19" x14ac:dyDescent="0.3">
      <c r="A893" t="s">
        <v>1051</v>
      </c>
      <c r="B893" t="s">
        <v>22</v>
      </c>
      <c r="C893">
        <v>2026</v>
      </c>
      <c r="D893">
        <v>2</v>
      </c>
      <c r="E893" s="2">
        <v>46072</v>
      </c>
      <c r="F893" t="s">
        <v>7</v>
      </c>
      <c r="G893" t="s">
        <v>8</v>
      </c>
      <c r="H893" t="s">
        <v>74</v>
      </c>
      <c r="I893" t="s">
        <v>71</v>
      </c>
      <c r="J893" t="s">
        <v>72</v>
      </c>
      <c r="K893" t="s">
        <v>73</v>
      </c>
      <c r="L893">
        <v>701000</v>
      </c>
      <c r="M893" t="s">
        <v>62</v>
      </c>
      <c r="N893" t="s">
        <v>33</v>
      </c>
      <c r="O893">
        <v>2460</v>
      </c>
      <c r="P893">
        <v>1.05</v>
      </c>
      <c r="Q893">
        <v>2.58</v>
      </c>
      <c r="R893" t="s">
        <v>1199</v>
      </c>
      <c r="S893" t="s">
        <v>195</v>
      </c>
    </row>
    <row r="894" spans="1:19" x14ac:dyDescent="0.3">
      <c r="A894" t="s">
        <v>1052</v>
      </c>
      <c r="B894" t="s">
        <v>22</v>
      </c>
      <c r="C894">
        <v>2026</v>
      </c>
      <c r="D894">
        <v>2</v>
      </c>
      <c r="E894" s="2">
        <v>46072</v>
      </c>
      <c r="F894" t="s">
        <v>7</v>
      </c>
      <c r="G894" t="s">
        <v>8</v>
      </c>
      <c r="H894" t="s">
        <v>74</v>
      </c>
      <c r="I894" t="s">
        <v>71</v>
      </c>
      <c r="J894" t="s">
        <v>72</v>
      </c>
      <c r="K894" t="s">
        <v>73</v>
      </c>
      <c r="L894">
        <v>701000</v>
      </c>
      <c r="M894" t="s">
        <v>62</v>
      </c>
      <c r="N894" t="s">
        <v>33</v>
      </c>
      <c r="O894">
        <v>1106</v>
      </c>
      <c r="P894">
        <v>1.05</v>
      </c>
      <c r="Q894">
        <v>1.1599999999999999</v>
      </c>
      <c r="R894" t="s">
        <v>1197</v>
      </c>
      <c r="S894" t="s">
        <v>195</v>
      </c>
    </row>
    <row r="895" spans="1:19" x14ac:dyDescent="0.3">
      <c r="A895" t="s">
        <v>1053</v>
      </c>
      <c r="B895" t="s">
        <v>22</v>
      </c>
      <c r="C895">
        <v>2026</v>
      </c>
      <c r="D895">
        <v>2</v>
      </c>
      <c r="E895" s="2">
        <v>46072</v>
      </c>
      <c r="F895" t="s">
        <v>7</v>
      </c>
      <c r="G895" t="s">
        <v>8</v>
      </c>
      <c r="H895" t="s">
        <v>74</v>
      </c>
      <c r="I895" t="s">
        <v>71</v>
      </c>
      <c r="J895" t="s">
        <v>72</v>
      </c>
      <c r="K895" t="s">
        <v>73</v>
      </c>
      <c r="L895">
        <v>701000</v>
      </c>
      <c r="M895" t="s">
        <v>62</v>
      </c>
      <c r="N895" t="s">
        <v>33</v>
      </c>
      <c r="O895">
        <v>1438</v>
      </c>
      <c r="P895">
        <v>1.05</v>
      </c>
      <c r="Q895">
        <v>1.51</v>
      </c>
      <c r="R895" t="s">
        <v>1200</v>
      </c>
      <c r="S895" t="s">
        <v>195</v>
      </c>
    </row>
    <row r="896" spans="1:19" x14ac:dyDescent="0.3">
      <c r="A896" t="s">
        <v>1054</v>
      </c>
      <c r="B896" t="s">
        <v>22</v>
      </c>
      <c r="C896">
        <v>2026</v>
      </c>
      <c r="D896">
        <v>2</v>
      </c>
      <c r="E896" s="2">
        <v>46072</v>
      </c>
      <c r="F896" t="s">
        <v>7</v>
      </c>
      <c r="G896" t="s">
        <v>8</v>
      </c>
      <c r="H896" t="s">
        <v>74</v>
      </c>
      <c r="I896" t="s">
        <v>71</v>
      </c>
      <c r="J896" t="s">
        <v>72</v>
      </c>
      <c r="K896" t="s">
        <v>73</v>
      </c>
      <c r="L896">
        <v>701000</v>
      </c>
      <c r="M896" t="s">
        <v>62</v>
      </c>
      <c r="N896" t="s">
        <v>33</v>
      </c>
      <c r="O896">
        <v>230</v>
      </c>
      <c r="P896">
        <v>1.0900000000000001</v>
      </c>
      <c r="Q896">
        <v>0.25</v>
      </c>
      <c r="R896" t="s">
        <v>1204</v>
      </c>
      <c r="S896" t="s">
        <v>195</v>
      </c>
    </row>
    <row r="897" spans="1:19" x14ac:dyDescent="0.3">
      <c r="A897" t="s">
        <v>1085</v>
      </c>
      <c r="B897" t="s">
        <v>22</v>
      </c>
      <c r="C897">
        <v>2026</v>
      </c>
      <c r="D897">
        <v>2</v>
      </c>
      <c r="E897" s="2">
        <v>46072</v>
      </c>
      <c r="F897" t="s">
        <v>7</v>
      </c>
      <c r="G897" t="s">
        <v>8</v>
      </c>
      <c r="H897" t="s">
        <v>74</v>
      </c>
      <c r="I897" t="s">
        <v>71</v>
      </c>
      <c r="J897" t="s">
        <v>72</v>
      </c>
      <c r="K897" t="s">
        <v>73</v>
      </c>
      <c r="L897">
        <v>701000</v>
      </c>
      <c r="M897" t="s">
        <v>62</v>
      </c>
      <c r="N897" t="s">
        <v>33</v>
      </c>
      <c r="O897">
        <v>2313</v>
      </c>
      <c r="P897">
        <v>1.05</v>
      </c>
      <c r="Q897">
        <v>2.4300000000000002</v>
      </c>
      <c r="R897" t="s">
        <v>1199</v>
      </c>
      <c r="S897" t="s">
        <v>195</v>
      </c>
    </row>
    <row r="898" spans="1:19" x14ac:dyDescent="0.3">
      <c r="A898" t="s">
        <v>1086</v>
      </c>
      <c r="B898" t="s">
        <v>22</v>
      </c>
      <c r="C898">
        <v>2026</v>
      </c>
      <c r="D898">
        <v>2</v>
      </c>
      <c r="E898" s="2">
        <v>46072</v>
      </c>
      <c r="F898" t="s">
        <v>7</v>
      </c>
      <c r="G898" t="s">
        <v>8</v>
      </c>
      <c r="H898" t="s">
        <v>74</v>
      </c>
      <c r="I898" t="s">
        <v>71</v>
      </c>
      <c r="J898" t="s">
        <v>72</v>
      </c>
      <c r="K898" t="s">
        <v>73</v>
      </c>
      <c r="L898">
        <v>701000</v>
      </c>
      <c r="M898" t="s">
        <v>62</v>
      </c>
      <c r="N898" t="s">
        <v>33</v>
      </c>
      <c r="O898">
        <v>1066</v>
      </c>
      <c r="P898">
        <v>1.05</v>
      </c>
      <c r="Q898">
        <v>1.1200000000000001</v>
      </c>
      <c r="R898" t="s">
        <v>1205</v>
      </c>
      <c r="S898" t="s">
        <v>195</v>
      </c>
    </row>
    <row r="899" spans="1:19" x14ac:dyDescent="0.3">
      <c r="A899" t="s">
        <v>1087</v>
      </c>
      <c r="B899" t="s">
        <v>22</v>
      </c>
      <c r="C899">
        <v>2026</v>
      </c>
      <c r="D899">
        <v>2</v>
      </c>
      <c r="E899" s="2">
        <v>46072</v>
      </c>
      <c r="F899" t="s">
        <v>7</v>
      </c>
      <c r="G899" t="s">
        <v>8</v>
      </c>
      <c r="H899" t="s">
        <v>74</v>
      </c>
      <c r="I899" t="s">
        <v>71</v>
      </c>
      <c r="J899" t="s">
        <v>72</v>
      </c>
      <c r="K899" t="s">
        <v>73</v>
      </c>
      <c r="L899">
        <v>701000</v>
      </c>
      <c r="M899" t="s">
        <v>62</v>
      </c>
      <c r="N899" t="s">
        <v>33</v>
      </c>
      <c r="O899">
        <v>3620</v>
      </c>
      <c r="P899">
        <v>1.05</v>
      </c>
      <c r="Q899">
        <v>3.8</v>
      </c>
      <c r="R899" t="s">
        <v>1200</v>
      </c>
      <c r="S899" t="s">
        <v>195</v>
      </c>
    </row>
    <row r="900" spans="1:19" x14ac:dyDescent="0.3">
      <c r="A900" t="s">
        <v>1088</v>
      </c>
      <c r="B900" t="s">
        <v>22</v>
      </c>
      <c r="C900">
        <v>2026</v>
      </c>
      <c r="D900">
        <v>2</v>
      </c>
      <c r="E900" s="2">
        <v>46072</v>
      </c>
      <c r="F900" t="s">
        <v>7</v>
      </c>
      <c r="G900" t="s">
        <v>8</v>
      </c>
      <c r="H900" t="s">
        <v>74</v>
      </c>
      <c r="I900" t="s">
        <v>71</v>
      </c>
      <c r="J900" t="s">
        <v>72</v>
      </c>
      <c r="K900" t="s">
        <v>73</v>
      </c>
      <c r="L900">
        <v>701000</v>
      </c>
      <c r="M900" t="s">
        <v>62</v>
      </c>
      <c r="N900" t="s">
        <v>33</v>
      </c>
      <c r="O900">
        <v>905</v>
      </c>
      <c r="P900">
        <v>1.05</v>
      </c>
      <c r="Q900">
        <v>0.95</v>
      </c>
      <c r="R900" t="s">
        <v>1197</v>
      </c>
      <c r="S900" t="s">
        <v>195</v>
      </c>
    </row>
    <row r="901" spans="1:19" x14ac:dyDescent="0.3">
      <c r="A901" t="s">
        <v>1089</v>
      </c>
      <c r="B901" t="s">
        <v>22</v>
      </c>
      <c r="C901">
        <v>2026</v>
      </c>
      <c r="D901">
        <v>2</v>
      </c>
      <c r="E901" s="2">
        <v>46072</v>
      </c>
      <c r="F901" t="s">
        <v>7</v>
      </c>
      <c r="G901" t="s">
        <v>8</v>
      </c>
      <c r="H901" t="s">
        <v>74</v>
      </c>
      <c r="I901" t="s">
        <v>71</v>
      </c>
      <c r="J901" t="s">
        <v>72</v>
      </c>
      <c r="K901" t="s">
        <v>73</v>
      </c>
      <c r="L901">
        <v>701000</v>
      </c>
      <c r="M901" t="s">
        <v>62</v>
      </c>
      <c r="N901" t="s">
        <v>33</v>
      </c>
      <c r="O901">
        <v>1239</v>
      </c>
      <c r="P901">
        <v>1.05</v>
      </c>
      <c r="Q901">
        <v>1.3</v>
      </c>
      <c r="R901" t="s">
        <v>1202</v>
      </c>
      <c r="S901" t="s">
        <v>195</v>
      </c>
    </row>
    <row r="902" spans="1:19" x14ac:dyDescent="0.3">
      <c r="A902" t="s">
        <v>1145</v>
      </c>
      <c r="B902" t="s">
        <v>22</v>
      </c>
      <c r="C902">
        <v>2026</v>
      </c>
      <c r="D902">
        <v>2</v>
      </c>
      <c r="E902" s="2">
        <v>46072</v>
      </c>
      <c r="F902" t="s">
        <v>7</v>
      </c>
      <c r="G902" t="s">
        <v>8</v>
      </c>
      <c r="H902" t="s">
        <v>70</v>
      </c>
      <c r="I902" t="s">
        <v>71</v>
      </c>
      <c r="J902" t="s">
        <v>72</v>
      </c>
      <c r="K902" t="s">
        <v>73</v>
      </c>
      <c r="L902">
        <v>701000</v>
      </c>
      <c r="M902" t="s">
        <v>62</v>
      </c>
      <c r="N902" t="s">
        <v>33</v>
      </c>
      <c r="O902">
        <v>1055</v>
      </c>
      <c r="P902">
        <v>1.05</v>
      </c>
      <c r="Q902">
        <v>1.1100000000000001</v>
      </c>
      <c r="R902" t="s">
        <v>1197</v>
      </c>
      <c r="S902" t="s">
        <v>195</v>
      </c>
    </row>
    <row r="903" spans="1:19" x14ac:dyDescent="0.3">
      <c r="A903" t="s">
        <v>1146</v>
      </c>
      <c r="B903" t="s">
        <v>22</v>
      </c>
      <c r="C903">
        <v>2026</v>
      </c>
      <c r="D903">
        <v>2</v>
      </c>
      <c r="E903" s="2">
        <v>46072</v>
      </c>
      <c r="F903" t="s">
        <v>7</v>
      </c>
      <c r="G903" t="s">
        <v>8</v>
      </c>
      <c r="H903" t="s">
        <v>70</v>
      </c>
      <c r="I903" t="s">
        <v>71</v>
      </c>
      <c r="J903" t="s">
        <v>72</v>
      </c>
      <c r="K903" t="s">
        <v>73</v>
      </c>
      <c r="L903">
        <v>701000</v>
      </c>
      <c r="M903" t="s">
        <v>62</v>
      </c>
      <c r="N903" t="s">
        <v>33</v>
      </c>
      <c r="O903">
        <v>1866</v>
      </c>
      <c r="P903">
        <v>1.05</v>
      </c>
      <c r="Q903">
        <v>1.96</v>
      </c>
      <c r="R903" t="s">
        <v>1199</v>
      </c>
      <c r="S903" t="s">
        <v>195</v>
      </c>
    </row>
    <row r="904" spans="1:19" x14ac:dyDescent="0.3">
      <c r="A904" t="s">
        <v>1147</v>
      </c>
      <c r="B904" t="s">
        <v>22</v>
      </c>
      <c r="C904">
        <v>2026</v>
      </c>
      <c r="D904">
        <v>2</v>
      </c>
      <c r="E904" s="2">
        <v>46072</v>
      </c>
      <c r="F904" t="s">
        <v>7</v>
      </c>
      <c r="G904" t="s">
        <v>8</v>
      </c>
      <c r="H904" t="s">
        <v>70</v>
      </c>
      <c r="I904" t="s">
        <v>71</v>
      </c>
      <c r="J904" t="s">
        <v>72</v>
      </c>
      <c r="K904" t="s">
        <v>73</v>
      </c>
      <c r="L904">
        <v>701000</v>
      </c>
      <c r="M904" t="s">
        <v>62</v>
      </c>
      <c r="N904" t="s">
        <v>33</v>
      </c>
      <c r="O904">
        <v>2719</v>
      </c>
      <c r="P904">
        <v>1.05</v>
      </c>
      <c r="Q904">
        <v>2.85</v>
      </c>
      <c r="R904" t="s">
        <v>1202</v>
      </c>
      <c r="S904" t="s">
        <v>195</v>
      </c>
    </row>
    <row r="905" spans="1:19" x14ac:dyDescent="0.3">
      <c r="A905" t="s">
        <v>1148</v>
      </c>
      <c r="B905" t="s">
        <v>22</v>
      </c>
      <c r="C905">
        <v>2026</v>
      </c>
      <c r="D905">
        <v>2</v>
      </c>
      <c r="E905" s="2">
        <v>46072</v>
      </c>
      <c r="F905" t="s">
        <v>7</v>
      </c>
      <c r="G905" t="s">
        <v>8</v>
      </c>
      <c r="H905" t="s">
        <v>70</v>
      </c>
      <c r="I905" t="s">
        <v>71</v>
      </c>
      <c r="J905" t="s">
        <v>72</v>
      </c>
      <c r="K905" t="s">
        <v>73</v>
      </c>
      <c r="L905">
        <v>701000</v>
      </c>
      <c r="M905" t="s">
        <v>62</v>
      </c>
      <c r="N905" t="s">
        <v>33</v>
      </c>
      <c r="O905">
        <v>1953</v>
      </c>
      <c r="P905">
        <v>1.05</v>
      </c>
      <c r="Q905">
        <v>2.0499999999999998</v>
      </c>
      <c r="R905" t="s">
        <v>1200</v>
      </c>
      <c r="S905" t="s">
        <v>195</v>
      </c>
    </row>
    <row r="906" spans="1:19" x14ac:dyDescent="0.3">
      <c r="A906" t="s">
        <v>1149</v>
      </c>
      <c r="B906" t="s">
        <v>22</v>
      </c>
      <c r="C906">
        <v>2026</v>
      </c>
      <c r="D906">
        <v>2</v>
      </c>
      <c r="E906" s="2">
        <v>46072</v>
      </c>
      <c r="F906" t="s">
        <v>7</v>
      </c>
      <c r="G906" t="s">
        <v>8</v>
      </c>
      <c r="H906" t="s">
        <v>70</v>
      </c>
      <c r="I906" t="s">
        <v>71</v>
      </c>
      <c r="J906" t="s">
        <v>72</v>
      </c>
      <c r="K906" t="s">
        <v>73</v>
      </c>
      <c r="L906">
        <v>701000</v>
      </c>
      <c r="M906" t="s">
        <v>62</v>
      </c>
      <c r="N906" t="s">
        <v>33</v>
      </c>
      <c r="O906">
        <v>1438</v>
      </c>
      <c r="P906">
        <v>1.05</v>
      </c>
      <c r="Q906">
        <v>1.51</v>
      </c>
      <c r="R906" t="s">
        <v>1201</v>
      </c>
      <c r="S906" t="s">
        <v>195</v>
      </c>
    </row>
    <row r="907" spans="1:19" x14ac:dyDescent="0.3">
      <c r="A907" t="s">
        <v>985</v>
      </c>
      <c r="B907" t="s">
        <v>22</v>
      </c>
      <c r="C907">
        <v>2026</v>
      </c>
      <c r="D907">
        <v>2</v>
      </c>
      <c r="E907" s="2">
        <v>46073</v>
      </c>
      <c r="F907" t="s">
        <v>7</v>
      </c>
      <c r="G907" t="s">
        <v>8</v>
      </c>
      <c r="H907" t="s">
        <v>74</v>
      </c>
      <c r="I907" t="s">
        <v>84</v>
      </c>
      <c r="J907" t="s">
        <v>85</v>
      </c>
      <c r="K907" t="s">
        <v>73</v>
      </c>
      <c r="L907">
        <v>707000</v>
      </c>
      <c r="M907" t="s">
        <v>81</v>
      </c>
      <c r="N907" t="s">
        <v>33</v>
      </c>
      <c r="O907">
        <v>2621</v>
      </c>
      <c r="P907">
        <v>0.95</v>
      </c>
      <c r="Q907">
        <v>2.4900000000000002</v>
      </c>
      <c r="R907" t="s">
        <v>1199</v>
      </c>
      <c r="S907" t="s">
        <v>195</v>
      </c>
    </row>
    <row r="908" spans="1:19" x14ac:dyDescent="0.3">
      <c r="A908" t="s">
        <v>986</v>
      </c>
      <c r="B908" t="s">
        <v>22</v>
      </c>
      <c r="C908">
        <v>2026</v>
      </c>
      <c r="D908">
        <v>2</v>
      </c>
      <c r="E908" s="2">
        <v>46073</v>
      </c>
      <c r="F908" t="s">
        <v>7</v>
      </c>
      <c r="G908" t="s">
        <v>8</v>
      </c>
      <c r="H908" t="s">
        <v>74</v>
      </c>
      <c r="I908" t="s">
        <v>84</v>
      </c>
      <c r="J908" t="s">
        <v>85</v>
      </c>
      <c r="K908" t="s">
        <v>73</v>
      </c>
      <c r="L908">
        <v>707000</v>
      </c>
      <c r="M908" t="s">
        <v>81</v>
      </c>
      <c r="N908" t="s">
        <v>33</v>
      </c>
      <c r="O908">
        <v>2033</v>
      </c>
      <c r="P908">
        <v>0.95</v>
      </c>
      <c r="Q908">
        <v>1.93</v>
      </c>
      <c r="R908" t="s">
        <v>1200</v>
      </c>
      <c r="S908" t="s">
        <v>195</v>
      </c>
    </row>
    <row r="909" spans="1:19" x14ac:dyDescent="0.3">
      <c r="A909" t="s">
        <v>987</v>
      </c>
      <c r="B909" t="s">
        <v>22</v>
      </c>
      <c r="C909">
        <v>2026</v>
      </c>
      <c r="D909">
        <v>2</v>
      </c>
      <c r="E909" s="2">
        <v>46073</v>
      </c>
      <c r="F909" t="s">
        <v>7</v>
      </c>
      <c r="G909" t="s">
        <v>8</v>
      </c>
      <c r="H909" t="s">
        <v>74</v>
      </c>
      <c r="I909" t="s">
        <v>84</v>
      </c>
      <c r="J909" t="s">
        <v>85</v>
      </c>
      <c r="K909" t="s">
        <v>73</v>
      </c>
      <c r="L909">
        <v>707000</v>
      </c>
      <c r="M909" t="s">
        <v>81</v>
      </c>
      <c r="N909" t="s">
        <v>33</v>
      </c>
      <c r="O909">
        <v>8636</v>
      </c>
      <c r="P909">
        <v>0.95</v>
      </c>
      <c r="Q909">
        <v>8.2100000000000009</v>
      </c>
      <c r="R909" t="s">
        <v>1202</v>
      </c>
      <c r="S909" t="s">
        <v>195</v>
      </c>
    </row>
    <row r="910" spans="1:19" x14ac:dyDescent="0.3">
      <c r="A910" t="s">
        <v>988</v>
      </c>
      <c r="B910" t="s">
        <v>22</v>
      </c>
      <c r="C910">
        <v>2026</v>
      </c>
      <c r="D910">
        <v>2</v>
      </c>
      <c r="E910" s="2">
        <v>46073</v>
      </c>
      <c r="F910" t="s">
        <v>7</v>
      </c>
      <c r="G910" t="s">
        <v>8</v>
      </c>
      <c r="H910" t="s">
        <v>74</v>
      </c>
      <c r="I910" t="s">
        <v>84</v>
      </c>
      <c r="J910" t="s">
        <v>85</v>
      </c>
      <c r="K910" t="s">
        <v>73</v>
      </c>
      <c r="L910">
        <v>707000</v>
      </c>
      <c r="M910" t="s">
        <v>81</v>
      </c>
      <c r="N910" t="s">
        <v>33</v>
      </c>
      <c r="O910">
        <v>4005</v>
      </c>
      <c r="P910">
        <v>0.95</v>
      </c>
      <c r="Q910">
        <v>3.8</v>
      </c>
      <c r="R910" t="s">
        <v>1204</v>
      </c>
      <c r="S910" t="s">
        <v>195</v>
      </c>
    </row>
    <row r="911" spans="1:19" x14ac:dyDescent="0.3">
      <c r="A911" t="s">
        <v>989</v>
      </c>
      <c r="B911" t="s">
        <v>22</v>
      </c>
      <c r="C911">
        <v>2026</v>
      </c>
      <c r="D911">
        <v>2</v>
      </c>
      <c r="E911" s="2">
        <v>46073</v>
      </c>
      <c r="F911" t="s">
        <v>7</v>
      </c>
      <c r="G911" t="s">
        <v>8</v>
      </c>
      <c r="H911" t="s">
        <v>74</v>
      </c>
      <c r="I911" t="s">
        <v>84</v>
      </c>
      <c r="J911" t="s">
        <v>85</v>
      </c>
      <c r="K911" t="s">
        <v>73</v>
      </c>
      <c r="L911">
        <v>707000</v>
      </c>
      <c r="M911" t="s">
        <v>81</v>
      </c>
      <c r="N911" t="s">
        <v>33</v>
      </c>
      <c r="O911">
        <v>2912</v>
      </c>
      <c r="P911">
        <v>0.95</v>
      </c>
      <c r="Q911">
        <v>2.77</v>
      </c>
      <c r="R911" t="s">
        <v>1197</v>
      </c>
      <c r="S911" t="s">
        <v>195</v>
      </c>
    </row>
    <row r="912" spans="1:19" x14ac:dyDescent="0.3">
      <c r="A912" t="s">
        <v>1040</v>
      </c>
      <c r="B912" t="s">
        <v>22</v>
      </c>
      <c r="C912">
        <v>2026</v>
      </c>
      <c r="D912">
        <v>2</v>
      </c>
      <c r="E912" s="2">
        <v>46073</v>
      </c>
      <c r="F912" t="s">
        <v>7</v>
      </c>
      <c r="G912" t="s">
        <v>8</v>
      </c>
      <c r="H912" t="s">
        <v>74</v>
      </c>
      <c r="I912" t="s">
        <v>71</v>
      </c>
      <c r="J912" t="s">
        <v>72</v>
      </c>
      <c r="K912" t="s">
        <v>73</v>
      </c>
      <c r="L912">
        <v>701000</v>
      </c>
      <c r="M912" t="s">
        <v>62</v>
      </c>
      <c r="N912" t="s">
        <v>33</v>
      </c>
      <c r="O912">
        <v>1977</v>
      </c>
      <c r="P912">
        <v>1.05</v>
      </c>
      <c r="Q912">
        <v>2.08</v>
      </c>
      <c r="R912" t="s">
        <v>1205</v>
      </c>
      <c r="S912" t="s">
        <v>195</v>
      </c>
    </row>
    <row r="913" spans="1:19" x14ac:dyDescent="0.3">
      <c r="A913" t="s">
        <v>1041</v>
      </c>
      <c r="B913" t="s">
        <v>22</v>
      </c>
      <c r="C913">
        <v>2026</v>
      </c>
      <c r="D913">
        <v>2</v>
      </c>
      <c r="E913" s="2">
        <v>46073</v>
      </c>
      <c r="F913" t="s">
        <v>7</v>
      </c>
      <c r="G913" t="s">
        <v>8</v>
      </c>
      <c r="H913" t="s">
        <v>74</v>
      </c>
      <c r="I913" t="s">
        <v>71</v>
      </c>
      <c r="J913" t="s">
        <v>72</v>
      </c>
      <c r="K913" t="s">
        <v>73</v>
      </c>
      <c r="L913">
        <v>701000</v>
      </c>
      <c r="M913" t="s">
        <v>62</v>
      </c>
      <c r="N913" t="s">
        <v>33</v>
      </c>
      <c r="O913">
        <v>1511</v>
      </c>
      <c r="P913">
        <v>1.05</v>
      </c>
      <c r="Q913">
        <v>1.59</v>
      </c>
      <c r="R913" t="s">
        <v>1199</v>
      </c>
      <c r="S913" t="s">
        <v>195</v>
      </c>
    </row>
    <row r="914" spans="1:19" x14ac:dyDescent="0.3">
      <c r="A914" t="s">
        <v>1042</v>
      </c>
      <c r="B914" t="s">
        <v>22</v>
      </c>
      <c r="C914">
        <v>2026</v>
      </c>
      <c r="D914">
        <v>2</v>
      </c>
      <c r="E914" s="2">
        <v>46073</v>
      </c>
      <c r="F914" t="s">
        <v>7</v>
      </c>
      <c r="G914" t="s">
        <v>8</v>
      </c>
      <c r="H914" t="s">
        <v>74</v>
      </c>
      <c r="I914" t="s">
        <v>71</v>
      </c>
      <c r="J914" t="s">
        <v>72</v>
      </c>
      <c r="K914" t="s">
        <v>73</v>
      </c>
      <c r="L914">
        <v>701000</v>
      </c>
      <c r="M914" t="s">
        <v>62</v>
      </c>
      <c r="N914" t="s">
        <v>33</v>
      </c>
      <c r="O914">
        <v>967</v>
      </c>
      <c r="P914">
        <v>1.05</v>
      </c>
      <c r="Q914">
        <v>1.02</v>
      </c>
      <c r="R914" t="s">
        <v>1198</v>
      </c>
      <c r="S914" t="s">
        <v>195</v>
      </c>
    </row>
    <row r="915" spans="1:19" x14ac:dyDescent="0.3">
      <c r="A915" t="s">
        <v>1043</v>
      </c>
      <c r="B915" t="s">
        <v>22</v>
      </c>
      <c r="C915">
        <v>2026</v>
      </c>
      <c r="D915">
        <v>2</v>
      </c>
      <c r="E915" s="2">
        <v>46073</v>
      </c>
      <c r="F915" t="s">
        <v>7</v>
      </c>
      <c r="G915" t="s">
        <v>8</v>
      </c>
      <c r="H915" t="s">
        <v>74</v>
      </c>
      <c r="I915" t="s">
        <v>71</v>
      </c>
      <c r="J915" t="s">
        <v>72</v>
      </c>
      <c r="K915" t="s">
        <v>73</v>
      </c>
      <c r="L915">
        <v>701000</v>
      </c>
      <c r="M915" t="s">
        <v>62</v>
      </c>
      <c r="N915" t="s">
        <v>33</v>
      </c>
      <c r="O915">
        <v>2293</v>
      </c>
      <c r="P915">
        <v>1.05</v>
      </c>
      <c r="Q915">
        <v>2.41</v>
      </c>
      <c r="R915" t="s">
        <v>1197</v>
      </c>
      <c r="S915" t="s">
        <v>195</v>
      </c>
    </row>
    <row r="916" spans="1:19" x14ac:dyDescent="0.3">
      <c r="A916" t="s">
        <v>1044</v>
      </c>
      <c r="B916" t="s">
        <v>22</v>
      </c>
      <c r="C916">
        <v>2026</v>
      </c>
      <c r="D916">
        <v>2</v>
      </c>
      <c r="E916" s="2">
        <v>46073</v>
      </c>
      <c r="F916" t="s">
        <v>7</v>
      </c>
      <c r="G916" t="s">
        <v>8</v>
      </c>
      <c r="H916" t="s">
        <v>74</v>
      </c>
      <c r="I916" t="s">
        <v>71</v>
      </c>
      <c r="J916" t="s">
        <v>72</v>
      </c>
      <c r="K916" t="s">
        <v>73</v>
      </c>
      <c r="L916">
        <v>701000</v>
      </c>
      <c r="M916" t="s">
        <v>62</v>
      </c>
      <c r="N916" t="s">
        <v>33</v>
      </c>
      <c r="O916">
        <v>2130</v>
      </c>
      <c r="P916">
        <v>1.04</v>
      </c>
      <c r="Q916">
        <v>2.2200000000000002</v>
      </c>
      <c r="R916" t="s">
        <v>1202</v>
      </c>
      <c r="S916" t="s">
        <v>195</v>
      </c>
    </row>
    <row r="917" spans="1:19" x14ac:dyDescent="0.3">
      <c r="A917" t="s">
        <v>930</v>
      </c>
      <c r="B917" t="s">
        <v>22</v>
      </c>
      <c r="C917">
        <v>2026</v>
      </c>
      <c r="D917">
        <v>2</v>
      </c>
      <c r="E917" s="2">
        <v>46074</v>
      </c>
      <c r="F917" t="s">
        <v>7</v>
      </c>
      <c r="G917" t="s">
        <v>8</v>
      </c>
      <c r="H917" t="s">
        <v>70</v>
      </c>
      <c r="I917" t="s">
        <v>84</v>
      </c>
      <c r="J917" t="s">
        <v>85</v>
      </c>
      <c r="K917" t="s">
        <v>73</v>
      </c>
      <c r="L917">
        <v>701000</v>
      </c>
      <c r="M917" t="s">
        <v>62</v>
      </c>
      <c r="N917" t="s">
        <v>33</v>
      </c>
      <c r="O917">
        <v>1055</v>
      </c>
      <c r="P917">
        <v>0.95</v>
      </c>
      <c r="Q917">
        <v>1</v>
      </c>
      <c r="R917" t="s">
        <v>1201</v>
      </c>
      <c r="S917" t="s">
        <v>195</v>
      </c>
    </row>
    <row r="918" spans="1:19" x14ac:dyDescent="0.3">
      <c r="A918" t="s">
        <v>931</v>
      </c>
      <c r="B918" t="s">
        <v>22</v>
      </c>
      <c r="C918">
        <v>2026</v>
      </c>
      <c r="D918">
        <v>2</v>
      </c>
      <c r="E918" s="2">
        <v>46074</v>
      </c>
      <c r="F918" t="s">
        <v>7</v>
      </c>
      <c r="G918" t="s">
        <v>8</v>
      </c>
      <c r="H918" t="s">
        <v>70</v>
      </c>
      <c r="I918" t="s">
        <v>84</v>
      </c>
      <c r="J918" t="s">
        <v>85</v>
      </c>
      <c r="K918" t="s">
        <v>73</v>
      </c>
      <c r="L918">
        <v>701000</v>
      </c>
      <c r="M918" t="s">
        <v>62</v>
      </c>
      <c r="N918" t="s">
        <v>33</v>
      </c>
      <c r="O918">
        <v>7899</v>
      </c>
      <c r="P918">
        <v>0.95</v>
      </c>
      <c r="Q918">
        <v>7.5</v>
      </c>
      <c r="R918" t="s">
        <v>1200</v>
      </c>
      <c r="S918" t="s">
        <v>195</v>
      </c>
    </row>
    <row r="919" spans="1:19" x14ac:dyDescent="0.3">
      <c r="A919" t="s">
        <v>932</v>
      </c>
      <c r="B919" t="s">
        <v>22</v>
      </c>
      <c r="C919">
        <v>2026</v>
      </c>
      <c r="D919">
        <v>2</v>
      </c>
      <c r="E919" s="2">
        <v>46074</v>
      </c>
      <c r="F919" t="s">
        <v>7</v>
      </c>
      <c r="G919" t="s">
        <v>8</v>
      </c>
      <c r="H919" t="s">
        <v>70</v>
      </c>
      <c r="I919" t="s">
        <v>84</v>
      </c>
      <c r="J919" t="s">
        <v>85</v>
      </c>
      <c r="K919" t="s">
        <v>73</v>
      </c>
      <c r="L919">
        <v>701000</v>
      </c>
      <c r="M919" t="s">
        <v>62</v>
      </c>
      <c r="N919" t="s">
        <v>33</v>
      </c>
      <c r="O919">
        <v>1294</v>
      </c>
      <c r="P919">
        <v>0.95</v>
      </c>
      <c r="Q919">
        <v>1.23</v>
      </c>
      <c r="R919" t="s">
        <v>1205</v>
      </c>
      <c r="S919" t="s">
        <v>195</v>
      </c>
    </row>
    <row r="920" spans="1:19" x14ac:dyDescent="0.3">
      <c r="A920" t="s">
        <v>933</v>
      </c>
      <c r="B920" t="s">
        <v>22</v>
      </c>
      <c r="C920">
        <v>2026</v>
      </c>
      <c r="D920">
        <v>2</v>
      </c>
      <c r="E920" s="2">
        <v>46074</v>
      </c>
      <c r="F920" t="s">
        <v>7</v>
      </c>
      <c r="G920" t="s">
        <v>8</v>
      </c>
      <c r="H920" t="s">
        <v>70</v>
      </c>
      <c r="I920" t="s">
        <v>84</v>
      </c>
      <c r="J920" t="s">
        <v>85</v>
      </c>
      <c r="K920" t="s">
        <v>73</v>
      </c>
      <c r="L920">
        <v>701000</v>
      </c>
      <c r="M920" t="s">
        <v>62</v>
      </c>
      <c r="N920" t="s">
        <v>33</v>
      </c>
      <c r="O920">
        <v>2915</v>
      </c>
      <c r="P920">
        <v>0.95</v>
      </c>
      <c r="Q920">
        <v>2.77</v>
      </c>
      <c r="R920" t="s">
        <v>1197</v>
      </c>
      <c r="S920" t="s">
        <v>195</v>
      </c>
    </row>
    <row r="921" spans="1:19" x14ac:dyDescent="0.3">
      <c r="A921" t="s">
        <v>934</v>
      </c>
      <c r="B921" t="s">
        <v>22</v>
      </c>
      <c r="C921">
        <v>2026</v>
      </c>
      <c r="D921">
        <v>2</v>
      </c>
      <c r="E921" s="2">
        <v>46074</v>
      </c>
      <c r="F921" t="s">
        <v>7</v>
      </c>
      <c r="G921" t="s">
        <v>8</v>
      </c>
      <c r="H921" t="s">
        <v>70</v>
      </c>
      <c r="I921" t="s">
        <v>84</v>
      </c>
      <c r="J921" t="s">
        <v>85</v>
      </c>
      <c r="K921" t="s">
        <v>73</v>
      </c>
      <c r="L921">
        <v>701000</v>
      </c>
      <c r="M921" t="s">
        <v>62</v>
      </c>
      <c r="N921" t="s">
        <v>33</v>
      </c>
      <c r="O921">
        <v>3489</v>
      </c>
      <c r="P921">
        <v>0.95</v>
      </c>
      <c r="Q921">
        <v>3.32</v>
      </c>
      <c r="R921" t="s">
        <v>1203</v>
      </c>
      <c r="S921" t="s">
        <v>195</v>
      </c>
    </row>
    <row r="922" spans="1:19" x14ac:dyDescent="0.3">
      <c r="A922" t="s">
        <v>965</v>
      </c>
      <c r="B922" t="s">
        <v>22</v>
      </c>
      <c r="C922">
        <v>2026</v>
      </c>
      <c r="D922">
        <v>2</v>
      </c>
      <c r="E922" s="2">
        <v>46074</v>
      </c>
      <c r="F922" t="s">
        <v>7</v>
      </c>
      <c r="G922" t="s">
        <v>8</v>
      </c>
      <c r="H922" t="s">
        <v>70</v>
      </c>
      <c r="I922" t="s">
        <v>84</v>
      </c>
      <c r="J922" t="s">
        <v>85</v>
      </c>
      <c r="K922" t="s">
        <v>73</v>
      </c>
      <c r="L922">
        <v>706000</v>
      </c>
      <c r="M922" t="s">
        <v>63</v>
      </c>
      <c r="N922" t="s">
        <v>33</v>
      </c>
      <c r="O922">
        <v>3066</v>
      </c>
      <c r="P922">
        <v>0.95</v>
      </c>
      <c r="Q922">
        <v>2.91</v>
      </c>
      <c r="R922" t="s">
        <v>1198</v>
      </c>
      <c r="S922" t="s">
        <v>195</v>
      </c>
    </row>
    <row r="923" spans="1:19" x14ac:dyDescent="0.3">
      <c r="A923" t="s">
        <v>966</v>
      </c>
      <c r="B923" t="s">
        <v>22</v>
      </c>
      <c r="C923">
        <v>2026</v>
      </c>
      <c r="D923">
        <v>2</v>
      </c>
      <c r="E923" s="2">
        <v>46074</v>
      </c>
      <c r="F923" t="s">
        <v>7</v>
      </c>
      <c r="G923" t="s">
        <v>8</v>
      </c>
      <c r="H923" t="s">
        <v>70</v>
      </c>
      <c r="I923" t="s">
        <v>84</v>
      </c>
      <c r="J923" t="s">
        <v>85</v>
      </c>
      <c r="K923" t="s">
        <v>73</v>
      </c>
      <c r="L923">
        <v>706000</v>
      </c>
      <c r="M923" t="s">
        <v>63</v>
      </c>
      <c r="N923" t="s">
        <v>33</v>
      </c>
      <c r="O923">
        <v>6292</v>
      </c>
      <c r="P923">
        <v>0.95</v>
      </c>
      <c r="Q923">
        <v>5.98</v>
      </c>
      <c r="R923" t="s">
        <v>1202</v>
      </c>
      <c r="S923" t="s">
        <v>195</v>
      </c>
    </row>
    <row r="924" spans="1:19" x14ac:dyDescent="0.3">
      <c r="A924" t="s">
        <v>967</v>
      </c>
      <c r="B924" t="s">
        <v>22</v>
      </c>
      <c r="C924">
        <v>2026</v>
      </c>
      <c r="D924">
        <v>2</v>
      </c>
      <c r="E924" s="2">
        <v>46074</v>
      </c>
      <c r="F924" t="s">
        <v>7</v>
      </c>
      <c r="G924" t="s">
        <v>8</v>
      </c>
      <c r="H924" t="s">
        <v>70</v>
      </c>
      <c r="I924" t="s">
        <v>84</v>
      </c>
      <c r="J924" t="s">
        <v>85</v>
      </c>
      <c r="K924" t="s">
        <v>73</v>
      </c>
      <c r="L924">
        <v>706000</v>
      </c>
      <c r="M924" t="s">
        <v>63</v>
      </c>
      <c r="N924" t="s">
        <v>33</v>
      </c>
      <c r="O924">
        <v>1659</v>
      </c>
      <c r="P924">
        <v>0.95</v>
      </c>
      <c r="Q924">
        <v>1.58</v>
      </c>
      <c r="R924" t="s">
        <v>1197</v>
      </c>
      <c r="S924" t="s">
        <v>195</v>
      </c>
    </row>
    <row r="925" spans="1:19" x14ac:dyDescent="0.3">
      <c r="A925" t="s">
        <v>968</v>
      </c>
      <c r="B925" t="s">
        <v>22</v>
      </c>
      <c r="C925">
        <v>2026</v>
      </c>
      <c r="D925">
        <v>2</v>
      </c>
      <c r="E925" s="2">
        <v>46074</v>
      </c>
      <c r="F925" t="s">
        <v>7</v>
      </c>
      <c r="G925" t="s">
        <v>8</v>
      </c>
      <c r="H925" t="s">
        <v>70</v>
      </c>
      <c r="I925" t="s">
        <v>84</v>
      </c>
      <c r="J925" t="s">
        <v>85</v>
      </c>
      <c r="K925" t="s">
        <v>73</v>
      </c>
      <c r="L925">
        <v>706000</v>
      </c>
      <c r="M925" t="s">
        <v>63</v>
      </c>
      <c r="N925" t="s">
        <v>33</v>
      </c>
      <c r="O925">
        <v>4957</v>
      </c>
      <c r="P925">
        <v>0.95</v>
      </c>
      <c r="Q925">
        <v>4.71</v>
      </c>
      <c r="R925" t="s">
        <v>1199</v>
      </c>
      <c r="S925" t="s">
        <v>195</v>
      </c>
    </row>
    <row r="926" spans="1:19" x14ac:dyDescent="0.3">
      <c r="A926" t="s">
        <v>969</v>
      </c>
      <c r="B926" t="s">
        <v>22</v>
      </c>
      <c r="C926">
        <v>2026</v>
      </c>
      <c r="D926">
        <v>2</v>
      </c>
      <c r="E926" s="2">
        <v>46074</v>
      </c>
      <c r="F926" t="s">
        <v>7</v>
      </c>
      <c r="G926" t="s">
        <v>8</v>
      </c>
      <c r="H926" t="s">
        <v>70</v>
      </c>
      <c r="I926" t="s">
        <v>84</v>
      </c>
      <c r="J926" t="s">
        <v>85</v>
      </c>
      <c r="K926" t="s">
        <v>73</v>
      </c>
      <c r="L926">
        <v>706000</v>
      </c>
      <c r="M926" t="s">
        <v>63</v>
      </c>
      <c r="N926" t="s">
        <v>33</v>
      </c>
      <c r="O926">
        <v>1744</v>
      </c>
      <c r="P926">
        <v>0.95</v>
      </c>
      <c r="Q926">
        <v>1.65</v>
      </c>
      <c r="R926" t="s">
        <v>1204</v>
      </c>
      <c r="S926" t="s">
        <v>195</v>
      </c>
    </row>
    <row r="927" spans="1:19" x14ac:dyDescent="0.3">
      <c r="A927" t="s">
        <v>1090</v>
      </c>
      <c r="B927" t="s">
        <v>22</v>
      </c>
      <c r="C927">
        <v>2026</v>
      </c>
      <c r="D927">
        <v>2</v>
      </c>
      <c r="E927" s="2">
        <v>46074</v>
      </c>
      <c r="F927" t="s">
        <v>7</v>
      </c>
      <c r="G927" t="s">
        <v>8</v>
      </c>
      <c r="H927" t="s">
        <v>70</v>
      </c>
      <c r="I927" t="s">
        <v>71</v>
      </c>
      <c r="J927" t="s">
        <v>72</v>
      </c>
      <c r="K927" t="s">
        <v>73</v>
      </c>
      <c r="L927">
        <v>701000</v>
      </c>
      <c r="M927" t="s">
        <v>62</v>
      </c>
      <c r="N927" t="s">
        <v>33</v>
      </c>
      <c r="O927">
        <v>367</v>
      </c>
      <c r="P927">
        <v>1.06</v>
      </c>
      <c r="Q927">
        <v>0.39</v>
      </c>
      <c r="R927" t="s">
        <v>1205</v>
      </c>
      <c r="S927" t="s">
        <v>195</v>
      </c>
    </row>
    <row r="928" spans="1:19" x14ac:dyDescent="0.3">
      <c r="A928" t="s">
        <v>1091</v>
      </c>
      <c r="B928" t="s">
        <v>22</v>
      </c>
      <c r="C928">
        <v>2026</v>
      </c>
      <c r="D928">
        <v>2</v>
      </c>
      <c r="E928" s="2">
        <v>46074</v>
      </c>
      <c r="F928" t="s">
        <v>7</v>
      </c>
      <c r="G928" t="s">
        <v>8</v>
      </c>
      <c r="H928" t="s">
        <v>70</v>
      </c>
      <c r="I928" t="s">
        <v>71</v>
      </c>
      <c r="J928" t="s">
        <v>72</v>
      </c>
      <c r="K928" t="s">
        <v>73</v>
      </c>
      <c r="L928">
        <v>701000</v>
      </c>
      <c r="M928" t="s">
        <v>62</v>
      </c>
      <c r="N928" t="s">
        <v>33</v>
      </c>
      <c r="O928">
        <v>1096</v>
      </c>
      <c r="P928">
        <v>1.05</v>
      </c>
      <c r="Q928">
        <v>1.1499999999999999</v>
      </c>
      <c r="R928" t="s">
        <v>1201</v>
      </c>
      <c r="S928" t="s">
        <v>195</v>
      </c>
    </row>
    <row r="929" spans="1:19" x14ac:dyDescent="0.3">
      <c r="A929" t="s">
        <v>1092</v>
      </c>
      <c r="B929" t="s">
        <v>22</v>
      </c>
      <c r="C929">
        <v>2026</v>
      </c>
      <c r="D929">
        <v>2</v>
      </c>
      <c r="E929" s="2">
        <v>46074</v>
      </c>
      <c r="F929" t="s">
        <v>7</v>
      </c>
      <c r="G929" t="s">
        <v>8</v>
      </c>
      <c r="H929" t="s">
        <v>70</v>
      </c>
      <c r="I929" t="s">
        <v>71</v>
      </c>
      <c r="J929" t="s">
        <v>72</v>
      </c>
      <c r="K929" t="s">
        <v>73</v>
      </c>
      <c r="L929">
        <v>701000</v>
      </c>
      <c r="M929" t="s">
        <v>62</v>
      </c>
      <c r="N929" t="s">
        <v>33</v>
      </c>
      <c r="O929">
        <v>2038</v>
      </c>
      <c r="P929">
        <v>1.05</v>
      </c>
      <c r="Q929">
        <v>2.14</v>
      </c>
      <c r="R929" t="s">
        <v>1202</v>
      </c>
      <c r="S929" t="s">
        <v>195</v>
      </c>
    </row>
    <row r="930" spans="1:19" x14ac:dyDescent="0.3">
      <c r="A930" t="s">
        <v>1093</v>
      </c>
      <c r="B930" t="s">
        <v>22</v>
      </c>
      <c r="C930">
        <v>2026</v>
      </c>
      <c r="D930">
        <v>2</v>
      </c>
      <c r="E930" s="2">
        <v>46074</v>
      </c>
      <c r="F930" t="s">
        <v>7</v>
      </c>
      <c r="G930" t="s">
        <v>8</v>
      </c>
      <c r="H930" t="s">
        <v>70</v>
      </c>
      <c r="I930" t="s">
        <v>71</v>
      </c>
      <c r="J930" t="s">
        <v>72</v>
      </c>
      <c r="K930" t="s">
        <v>73</v>
      </c>
      <c r="L930">
        <v>701000</v>
      </c>
      <c r="M930" t="s">
        <v>62</v>
      </c>
      <c r="N930" t="s">
        <v>33</v>
      </c>
      <c r="O930">
        <v>4370</v>
      </c>
      <c r="P930">
        <v>1.05</v>
      </c>
      <c r="Q930">
        <v>4.59</v>
      </c>
      <c r="R930" t="s">
        <v>1203</v>
      </c>
      <c r="S930" t="s">
        <v>195</v>
      </c>
    </row>
    <row r="931" spans="1:19" x14ac:dyDescent="0.3">
      <c r="A931" t="s">
        <v>1094</v>
      </c>
      <c r="B931" t="s">
        <v>22</v>
      </c>
      <c r="C931">
        <v>2026</v>
      </c>
      <c r="D931">
        <v>2</v>
      </c>
      <c r="E931" s="2">
        <v>46074</v>
      </c>
      <c r="F931" t="s">
        <v>7</v>
      </c>
      <c r="G931" t="s">
        <v>8</v>
      </c>
      <c r="H931" t="s">
        <v>70</v>
      </c>
      <c r="I931" t="s">
        <v>71</v>
      </c>
      <c r="J931" t="s">
        <v>72</v>
      </c>
      <c r="K931" t="s">
        <v>73</v>
      </c>
      <c r="L931">
        <v>701000</v>
      </c>
      <c r="M931" t="s">
        <v>62</v>
      </c>
      <c r="N931" t="s">
        <v>33</v>
      </c>
      <c r="O931">
        <v>1093</v>
      </c>
      <c r="P931">
        <v>1.04</v>
      </c>
      <c r="Q931">
        <v>1.1399999999999999</v>
      </c>
      <c r="R931" t="s">
        <v>1200</v>
      </c>
      <c r="S931" t="s">
        <v>195</v>
      </c>
    </row>
    <row r="932" spans="1:19" x14ac:dyDescent="0.3">
      <c r="A932" t="s">
        <v>1110</v>
      </c>
      <c r="B932" t="s">
        <v>22</v>
      </c>
      <c r="C932">
        <v>2026</v>
      </c>
      <c r="D932">
        <v>2</v>
      </c>
      <c r="E932" s="2">
        <v>46074</v>
      </c>
      <c r="F932" t="s">
        <v>7</v>
      </c>
      <c r="G932" t="s">
        <v>8</v>
      </c>
      <c r="H932" t="s">
        <v>74</v>
      </c>
      <c r="I932" t="s">
        <v>71</v>
      </c>
      <c r="J932" t="s">
        <v>72</v>
      </c>
      <c r="K932" t="s">
        <v>73</v>
      </c>
      <c r="L932">
        <v>707000</v>
      </c>
      <c r="M932" t="s">
        <v>81</v>
      </c>
      <c r="N932" t="s">
        <v>33</v>
      </c>
      <c r="O932">
        <v>2608</v>
      </c>
      <c r="P932">
        <v>1.05</v>
      </c>
      <c r="Q932">
        <v>2.74</v>
      </c>
      <c r="R932" t="s">
        <v>1201</v>
      </c>
      <c r="S932" t="s">
        <v>195</v>
      </c>
    </row>
    <row r="933" spans="1:19" x14ac:dyDescent="0.3">
      <c r="A933" t="s">
        <v>1111</v>
      </c>
      <c r="B933" t="s">
        <v>22</v>
      </c>
      <c r="C933">
        <v>2026</v>
      </c>
      <c r="D933">
        <v>2</v>
      </c>
      <c r="E933" s="2">
        <v>46074</v>
      </c>
      <c r="F933" t="s">
        <v>7</v>
      </c>
      <c r="G933" t="s">
        <v>8</v>
      </c>
      <c r="H933" t="s">
        <v>74</v>
      </c>
      <c r="I933" t="s">
        <v>71</v>
      </c>
      <c r="J933" t="s">
        <v>72</v>
      </c>
      <c r="K933" t="s">
        <v>73</v>
      </c>
      <c r="L933">
        <v>707000</v>
      </c>
      <c r="M933" t="s">
        <v>81</v>
      </c>
      <c r="N933" t="s">
        <v>33</v>
      </c>
      <c r="O933">
        <v>61</v>
      </c>
      <c r="P933">
        <v>0.98</v>
      </c>
      <c r="Q933">
        <v>0.06</v>
      </c>
      <c r="R933" t="s">
        <v>1203</v>
      </c>
      <c r="S933" t="s">
        <v>195</v>
      </c>
    </row>
    <row r="934" spans="1:19" x14ac:dyDescent="0.3">
      <c r="A934" t="s">
        <v>1112</v>
      </c>
      <c r="B934" t="s">
        <v>22</v>
      </c>
      <c r="C934">
        <v>2026</v>
      </c>
      <c r="D934">
        <v>2</v>
      </c>
      <c r="E934" s="2">
        <v>46074</v>
      </c>
      <c r="F934" t="s">
        <v>7</v>
      </c>
      <c r="G934" t="s">
        <v>8</v>
      </c>
      <c r="H934" t="s">
        <v>74</v>
      </c>
      <c r="I934" t="s">
        <v>71</v>
      </c>
      <c r="J934" t="s">
        <v>72</v>
      </c>
      <c r="K934" t="s">
        <v>73</v>
      </c>
      <c r="L934">
        <v>707000</v>
      </c>
      <c r="M934" t="s">
        <v>81</v>
      </c>
      <c r="N934" t="s">
        <v>33</v>
      </c>
      <c r="O934">
        <v>1228</v>
      </c>
      <c r="P934">
        <v>1.05</v>
      </c>
      <c r="Q934">
        <v>1.29</v>
      </c>
      <c r="R934" t="s">
        <v>1198</v>
      </c>
      <c r="S934" t="s">
        <v>195</v>
      </c>
    </row>
    <row r="935" spans="1:19" x14ac:dyDescent="0.3">
      <c r="A935" t="s">
        <v>1113</v>
      </c>
      <c r="B935" t="s">
        <v>22</v>
      </c>
      <c r="C935">
        <v>2026</v>
      </c>
      <c r="D935">
        <v>2</v>
      </c>
      <c r="E935" s="2">
        <v>46074</v>
      </c>
      <c r="F935" t="s">
        <v>7</v>
      </c>
      <c r="G935" t="s">
        <v>8</v>
      </c>
      <c r="H935" t="s">
        <v>74</v>
      </c>
      <c r="I935" t="s">
        <v>71</v>
      </c>
      <c r="J935" t="s">
        <v>72</v>
      </c>
      <c r="K935" t="s">
        <v>73</v>
      </c>
      <c r="L935">
        <v>707000</v>
      </c>
      <c r="M935" t="s">
        <v>81</v>
      </c>
      <c r="N935" t="s">
        <v>33</v>
      </c>
      <c r="O935">
        <v>875</v>
      </c>
      <c r="P935">
        <v>1.05</v>
      </c>
      <c r="Q935">
        <v>0.92</v>
      </c>
      <c r="R935" t="s">
        <v>1199</v>
      </c>
      <c r="S935" t="s">
        <v>195</v>
      </c>
    </row>
    <row r="936" spans="1:19" x14ac:dyDescent="0.3">
      <c r="A936" t="s">
        <v>1114</v>
      </c>
      <c r="B936" t="s">
        <v>22</v>
      </c>
      <c r="C936">
        <v>2026</v>
      </c>
      <c r="D936">
        <v>2</v>
      </c>
      <c r="E936" s="2">
        <v>46074</v>
      </c>
      <c r="F936" t="s">
        <v>7</v>
      </c>
      <c r="G936" t="s">
        <v>8</v>
      </c>
      <c r="H936" t="s">
        <v>74</v>
      </c>
      <c r="I936" t="s">
        <v>71</v>
      </c>
      <c r="J936" t="s">
        <v>72</v>
      </c>
      <c r="K936" t="s">
        <v>73</v>
      </c>
      <c r="L936">
        <v>707000</v>
      </c>
      <c r="M936" t="s">
        <v>81</v>
      </c>
      <c r="N936" t="s">
        <v>33</v>
      </c>
      <c r="O936">
        <v>1874</v>
      </c>
      <c r="P936">
        <v>1.05</v>
      </c>
      <c r="Q936">
        <v>1.97</v>
      </c>
      <c r="R936" t="s">
        <v>1197</v>
      </c>
      <c r="S936" t="s">
        <v>195</v>
      </c>
    </row>
    <row r="937" spans="1:19" x14ac:dyDescent="0.3">
      <c r="A937" t="s">
        <v>900</v>
      </c>
      <c r="B937" t="s">
        <v>22</v>
      </c>
      <c r="C937">
        <v>2026</v>
      </c>
      <c r="D937">
        <v>2</v>
      </c>
      <c r="E937" s="2">
        <v>46075</v>
      </c>
      <c r="F937" t="s">
        <v>7</v>
      </c>
      <c r="G937" t="s">
        <v>8</v>
      </c>
      <c r="H937" t="s">
        <v>70</v>
      </c>
      <c r="I937" t="s">
        <v>84</v>
      </c>
      <c r="J937" t="s">
        <v>85</v>
      </c>
      <c r="K937" t="s">
        <v>73</v>
      </c>
      <c r="L937">
        <v>701000</v>
      </c>
      <c r="M937" t="s">
        <v>62</v>
      </c>
      <c r="N937" t="s">
        <v>33</v>
      </c>
      <c r="O937">
        <v>3077</v>
      </c>
      <c r="P937">
        <v>0.95</v>
      </c>
      <c r="Q937">
        <v>2.92</v>
      </c>
      <c r="R937" t="s">
        <v>1199</v>
      </c>
      <c r="S937" t="s">
        <v>195</v>
      </c>
    </row>
    <row r="938" spans="1:19" x14ac:dyDescent="0.3">
      <c r="A938" t="s">
        <v>901</v>
      </c>
      <c r="B938" t="s">
        <v>22</v>
      </c>
      <c r="C938">
        <v>2026</v>
      </c>
      <c r="D938">
        <v>2</v>
      </c>
      <c r="E938" s="2">
        <v>46075</v>
      </c>
      <c r="F938" t="s">
        <v>7</v>
      </c>
      <c r="G938" t="s">
        <v>8</v>
      </c>
      <c r="H938" t="s">
        <v>70</v>
      </c>
      <c r="I938" t="s">
        <v>84</v>
      </c>
      <c r="J938" t="s">
        <v>85</v>
      </c>
      <c r="K938" t="s">
        <v>73</v>
      </c>
      <c r="L938">
        <v>701000</v>
      </c>
      <c r="M938" t="s">
        <v>62</v>
      </c>
      <c r="N938" t="s">
        <v>33</v>
      </c>
      <c r="O938">
        <v>3239</v>
      </c>
      <c r="P938">
        <v>0.95</v>
      </c>
      <c r="Q938">
        <v>3.08</v>
      </c>
      <c r="R938" t="s">
        <v>1197</v>
      </c>
      <c r="S938" t="s">
        <v>195</v>
      </c>
    </row>
    <row r="939" spans="1:19" x14ac:dyDescent="0.3">
      <c r="A939" t="s">
        <v>902</v>
      </c>
      <c r="B939" t="s">
        <v>22</v>
      </c>
      <c r="C939">
        <v>2026</v>
      </c>
      <c r="D939">
        <v>2</v>
      </c>
      <c r="E939" s="2">
        <v>46075</v>
      </c>
      <c r="F939" t="s">
        <v>7</v>
      </c>
      <c r="G939" t="s">
        <v>8</v>
      </c>
      <c r="H939" t="s">
        <v>70</v>
      </c>
      <c r="I939" t="s">
        <v>84</v>
      </c>
      <c r="J939" t="s">
        <v>85</v>
      </c>
      <c r="K939" t="s">
        <v>73</v>
      </c>
      <c r="L939">
        <v>701000</v>
      </c>
      <c r="M939" t="s">
        <v>62</v>
      </c>
      <c r="N939" t="s">
        <v>33</v>
      </c>
      <c r="O939">
        <v>2910</v>
      </c>
      <c r="P939">
        <v>0.95</v>
      </c>
      <c r="Q939">
        <v>2.76</v>
      </c>
      <c r="R939" t="s">
        <v>1203</v>
      </c>
      <c r="S939" t="s">
        <v>195</v>
      </c>
    </row>
    <row r="940" spans="1:19" x14ac:dyDescent="0.3">
      <c r="A940" t="s">
        <v>903</v>
      </c>
      <c r="B940" t="s">
        <v>22</v>
      </c>
      <c r="C940">
        <v>2026</v>
      </c>
      <c r="D940">
        <v>2</v>
      </c>
      <c r="E940" s="2">
        <v>46075</v>
      </c>
      <c r="F940" t="s">
        <v>7</v>
      </c>
      <c r="G940" t="s">
        <v>8</v>
      </c>
      <c r="H940" t="s">
        <v>70</v>
      </c>
      <c r="I940" t="s">
        <v>84</v>
      </c>
      <c r="J940" t="s">
        <v>85</v>
      </c>
      <c r="K940" t="s">
        <v>73</v>
      </c>
      <c r="L940">
        <v>701000</v>
      </c>
      <c r="M940" t="s">
        <v>62</v>
      </c>
      <c r="N940" t="s">
        <v>33</v>
      </c>
      <c r="O940">
        <v>2151</v>
      </c>
      <c r="P940">
        <v>0.95</v>
      </c>
      <c r="Q940">
        <v>2.04</v>
      </c>
      <c r="R940" t="s">
        <v>1200</v>
      </c>
      <c r="S940" t="s">
        <v>195</v>
      </c>
    </row>
    <row r="941" spans="1:19" x14ac:dyDescent="0.3">
      <c r="A941" t="s">
        <v>904</v>
      </c>
      <c r="B941" t="s">
        <v>22</v>
      </c>
      <c r="C941">
        <v>2026</v>
      </c>
      <c r="D941">
        <v>2</v>
      </c>
      <c r="E941" s="2">
        <v>46075</v>
      </c>
      <c r="F941" t="s">
        <v>7</v>
      </c>
      <c r="G941" t="s">
        <v>8</v>
      </c>
      <c r="H941" t="s">
        <v>70</v>
      </c>
      <c r="I941" t="s">
        <v>84</v>
      </c>
      <c r="J941" t="s">
        <v>85</v>
      </c>
      <c r="K941" t="s">
        <v>73</v>
      </c>
      <c r="L941">
        <v>701000</v>
      </c>
      <c r="M941" t="s">
        <v>62</v>
      </c>
      <c r="N941" t="s">
        <v>33</v>
      </c>
      <c r="O941">
        <v>6646</v>
      </c>
      <c r="P941">
        <v>0.95</v>
      </c>
      <c r="Q941">
        <v>6.32</v>
      </c>
      <c r="R941" t="s">
        <v>1198</v>
      </c>
      <c r="S941" t="s">
        <v>195</v>
      </c>
    </row>
    <row r="942" spans="1:19" x14ac:dyDescent="0.3">
      <c r="A942" t="s">
        <v>940</v>
      </c>
      <c r="B942" t="s">
        <v>22</v>
      </c>
      <c r="C942">
        <v>2026</v>
      </c>
      <c r="D942">
        <v>2</v>
      </c>
      <c r="E942" s="2">
        <v>46075</v>
      </c>
      <c r="F942" t="s">
        <v>7</v>
      </c>
      <c r="G942" t="s">
        <v>8</v>
      </c>
      <c r="H942" t="s">
        <v>70</v>
      </c>
      <c r="I942" t="s">
        <v>84</v>
      </c>
      <c r="J942" t="s">
        <v>85</v>
      </c>
      <c r="K942" t="s">
        <v>73</v>
      </c>
      <c r="L942">
        <v>701000</v>
      </c>
      <c r="M942" t="s">
        <v>62</v>
      </c>
      <c r="N942" t="s">
        <v>33</v>
      </c>
      <c r="O942">
        <v>4605</v>
      </c>
      <c r="P942">
        <v>0.95</v>
      </c>
      <c r="Q942">
        <v>4.37</v>
      </c>
      <c r="R942" t="s">
        <v>1204</v>
      </c>
      <c r="S942" t="s">
        <v>195</v>
      </c>
    </row>
    <row r="943" spans="1:19" x14ac:dyDescent="0.3">
      <c r="A943" t="s">
        <v>941</v>
      </c>
      <c r="B943" t="s">
        <v>22</v>
      </c>
      <c r="C943">
        <v>2026</v>
      </c>
      <c r="D943">
        <v>2</v>
      </c>
      <c r="E943" s="2">
        <v>46075</v>
      </c>
      <c r="F943" t="s">
        <v>7</v>
      </c>
      <c r="G943" t="s">
        <v>8</v>
      </c>
      <c r="H943" t="s">
        <v>70</v>
      </c>
      <c r="I943" t="s">
        <v>84</v>
      </c>
      <c r="J943" t="s">
        <v>85</v>
      </c>
      <c r="K943" t="s">
        <v>73</v>
      </c>
      <c r="L943">
        <v>701000</v>
      </c>
      <c r="M943" t="s">
        <v>62</v>
      </c>
      <c r="N943" t="s">
        <v>33</v>
      </c>
      <c r="O943">
        <v>3863</v>
      </c>
      <c r="P943">
        <v>0.95</v>
      </c>
      <c r="Q943">
        <v>3.67</v>
      </c>
      <c r="R943" t="s">
        <v>1198</v>
      </c>
      <c r="S943" t="s">
        <v>195</v>
      </c>
    </row>
    <row r="944" spans="1:19" x14ac:dyDescent="0.3">
      <c r="A944" t="s">
        <v>942</v>
      </c>
      <c r="B944" t="s">
        <v>22</v>
      </c>
      <c r="C944">
        <v>2026</v>
      </c>
      <c r="D944">
        <v>2</v>
      </c>
      <c r="E944" s="2">
        <v>46075</v>
      </c>
      <c r="F944" t="s">
        <v>7</v>
      </c>
      <c r="G944" t="s">
        <v>8</v>
      </c>
      <c r="H944" t="s">
        <v>70</v>
      </c>
      <c r="I944" t="s">
        <v>84</v>
      </c>
      <c r="J944" t="s">
        <v>85</v>
      </c>
      <c r="K944" t="s">
        <v>73</v>
      </c>
      <c r="L944">
        <v>701000</v>
      </c>
      <c r="M944" t="s">
        <v>62</v>
      </c>
      <c r="N944" t="s">
        <v>33</v>
      </c>
      <c r="O944">
        <v>2893</v>
      </c>
      <c r="P944">
        <v>0.95</v>
      </c>
      <c r="Q944">
        <v>2.75</v>
      </c>
      <c r="R944" t="s">
        <v>1197</v>
      </c>
      <c r="S944" t="s">
        <v>195</v>
      </c>
    </row>
    <row r="945" spans="1:19" x14ac:dyDescent="0.3">
      <c r="A945" t="s">
        <v>943</v>
      </c>
      <c r="B945" t="s">
        <v>22</v>
      </c>
      <c r="C945">
        <v>2026</v>
      </c>
      <c r="D945">
        <v>2</v>
      </c>
      <c r="E945" s="2">
        <v>46075</v>
      </c>
      <c r="F945" t="s">
        <v>7</v>
      </c>
      <c r="G945" t="s">
        <v>8</v>
      </c>
      <c r="H945" t="s">
        <v>70</v>
      </c>
      <c r="I945" t="s">
        <v>84</v>
      </c>
      <c r="J945" t="s">
        <v>85</v>
      </c>
      <c r="K945" t="s">
        <v>73</v>
      </c>
      <c r="L945">
        <v>701000</v>
      </c>
      <c r="M945" t="s">
        <v>62</v>
      </c>
      <c r="N945" t="s">
        <v>33</v>
      </c>
      <c r="O945">
        <v>1978</v>
      </c>
      <c r="P945">
        <v>0.95</v>
      </c>
      <c r="Q945">
        <v>1.88</v>
      </c>
      <c r="R945" t="s">
        <v>1199</v>
      </c>
      <c r="S945" t="s">
        <v>195</v>
      </c>
    </row>
    <row r="946" spans="1:19" x14ac:dyDescent="0.3">
      <c r="A946" t="s">
        <v>944</v>
      </c>
      <c r="B946" t="s">
        <v>22</v>
      </c>
      <c r="C946">
        <v>2026</v>
      </c>
      <c r="D946">
        <v>2</v>
      </c>
      <c r="E946" s="2">
        <v>46075</v>
      </c>
      <c r="F946" t="s">
        <v>7</v>
      </c>
      <c r="G946" t="s">
        <v>8</v>
      </c>
      <c r="H946" t="s">
        <v>70</v>
      </c>
      <c r="I946" t="s">
        <v>84</v>
      </c>
      <c r="J946" t="s">
        <v>85</v>
      </c>
      <c r="K946" t="s">
        <v>73</v>
      </c>
      <c r="L946">
        <v>701000</v>
      </c>
      <c r="M946" t="s">
        <v>62</v>
      </c>
      <c r="N946" t="s">
        <v>33</v>
      </c>
      <c r="O946">
        <v>3232</v>
      </c>
      <c r="P946">
        <v>0.95</v>
      </c>
      <c r="Q946">
        <v>3.07</v>
      </c>
      <c r="R946" t="s">
        <v>1200</v>
      </c>
      <c r="S946" t="s">
        <v>195</v>
      </c>
    </row>
    <row r="947" spans="1:19" x14ac:dyDescent="0.3">
      <c r="A947" t="s">
        <v>1005</v>
      </c>
      <c r="B947" t="s">
        <v>22</v>
      </c>
      <c r="C947">
        <v>2026</v>
      </c>
      <c r="D947">
        <v>2</v>
      </c>
      <c r="E947" s="2">
        <v>46076</v>
      </c>
      <c r="F947" t="s">
        <v>7</v>
      </c>
      <c r="G947" t="s">
        <v>8</v>
      </c>
      <c r="H947" t="s">
        <v>70</v>
      </c>
      <c r="I947" t="s">
        <v>71</v>
      </c>
      <c r="J947" t="s">
        <v>72</v>
      </c>
      <c r="K947" t="s">
        <v>73</v>
      </c>
      <c r="L947">
        <v>701000</v>
      </c>
      <c r="M947" t="s">
        <v>62</v>
      </c>
      <c r="N947" t="s">
        <v>33</v>
      </c>
      <c r="O947">
        <v>1082</v>
      </c>
      <c r="P947">
        <v>1.05</v>
      </c>
      <c r="Q947">
        <v>1.1399999999999999</v>
      </c>
      <c r="R947" t="s">
        <v>1203</v>
      </c>
      <c r="S947" t="s">
        <v>195</v>
      </c>
    </row>
    <row r="948" spans="1:19" x14ac:dyDescent="0.3">
      <c r="A948" t="s">
        <v>1006</v>
      </c>
      <c r="B948" t="s">
        <v>22</v>
      </c>
      <c r="C948">
        <v>2026</v>
      </c>
      <c r="D948">
        <v>2</v>
      </c>
      <c r="E948" s="2">
        <v>46076</v>
      </c>
      <c r="F948" t="s">
        <v>7</v>
      </c>
      <c r="G948" t="s">
        <v>8</v>
      </c>
      <c r="H948" t="s">
        <v>70</v>
      </c>
      <c r="I948" t="s">
        <v>71</v>
      </c>
      <c r="J948" t="s">
        <v>72</v>
      </c>
      <c r="K948" t="s">
        <v>73</v>
      </c>
      <c r="L948">
        <v>701000</v>
      </c>
      <c r="M948" t="s">
        <v>62</v>
      </c>
      <c r="N948" t="s">
        <v>33</v>
      </c>
      <c r="O948">
        <v>4343</v>
      </c>
      <c r="P948">
        <v>1.05</v>
      </c>
      <c r="Q948">
        <v>4.5599999999999996</v>
      </c>
      <c r="R948" t="s">
        <v>1199</v>
      </c>
      <c r="S948" t="s">
        <v>195</v>
      </c>
    </row>
    <row r="949" spans="1:19" x14ac:dyDescent="0.3">
      <c r="A949" t="s">
        <v>1007</v>
      </c>
      <c r="B949" t="s">
        <v>22</v>
      </c>
      <c r="C949">
        <v>2026</v>
      </c>
      <c r="D949">
        <v>2</v>
      </c>
      <c r="E949" s="2">
        <v>46076</v>
      </c>
      <c r="F949" t="s">
        <v>7</v>
      </c>
      <c r="G949" t="s">
        <v>8</v>
      </c>
      <c r="H949" t="s">
        <v>70</v>
      </c>
      <c r="I949" t="s">
        <v>71</v>
      </c>
      <c r="J949" t="s">
        <v>72</v>
      </c>
      <c r="K949" t="s">
        <v>73</v>
      </c>
      <c r="L949">
        <v>701000</v>
      </c>
      <c r="M949" t="s">
        <v>62</v>
      </c>
      <c r="N949" t="s">
        <v>33</v>
      </c>
      <c r="O949">
        <v>393</v>
      </c>
      <c r="P949">
        <v>1.04</v>
      </c>
      <c r="Q949">
        <v>0.41</v>
      </c>
      <c r="R949" t="s">
        <v>1200</v>
      </c>
      <c r="S949" t="s">
        <v>195</v>
      </c>
    </row>
    <row r="950" spans="1:19" x14ac:dyDescent="0.3">
      <c r="A950" t="s">
        <v>1008</v>
      </c>
      <c r="B950" t="s">
        <v>22</v>
      </c>
      <c r="C950">
        <v>2026</v>
      </c>
      <c r="D950">
        <v>2</v>
      </c>
      <c r="E950" s="2">
        <v>46076</v>
      </c>
      <c r="F950" t="s">
        <v>7</v>
      </c>
      <c r="G950" t="s">
        <v>8</v>
      </c>
      <c r="H950" t="s">
        <v>70</v>
      </c>
      <c r="I950" t="s">
        <v>71</v>
      </c>
      <c r="J950" t="s">
        <v>72</v>
      </c>
      <c r="K950" t="s">
        <v>73</v>
      </c>
      <c r="L950">
        <v>701000</v>
      </c>
      <c r="M950" t="s">
        <v>62</v>
      </c>
      <c r="N950" t="s">
        <v>33</v>
      </c>
      <c r="O950">
        <v>1903</v>
      </c>
      <c r="P950">
        <v>1.05</v>
      </c>
      <c r="Q950">
        <v>2</v>
      </c>
      <c r="R950" t="s">
        <v>1205</v>
      </c>
      <c r="S950" t="s">
        <v>195</v>
      </c>
    </row>
    <row r="951" spans="1:19" x14ac:dyDescent="0.3">
      <c r="A951" t="s">
        <v>1009</v>
      </c>
      <c r="B951" t="s">
        <v>22</v>
      </c>
      <c r="C951">
        <v>2026</v>
      </c>
      <c r="D951">
        <v>2</v>
      </c>
      <c r="E951" s="2">
        <v>46076</v>
      </c>
      <c r="F951" t="s">
        <v>7</v>
      </c>
      <c r="G951" t="s">
        <v>8</v>
      </c>
      <c r="H951" t="s">
        <v>70</v>
      </c>
      <c r="I951" t="s">
        <v>71</v>
      </c>
      <c r="J951" t="s">
        <v>72</v>
      </c>
      <c r="K951" t="s">
        <v>73</v>
      </c>
      <c r="L951">
        <v>701000</v>
      </c>
      <c r="M951" t="s">
        <v>62</v>
      </c>
      <c r="N951" t="s">
        <v>33</v>
      </c>
      <c r="O951">
        <v>464</v>
      </c>
      <c r="P951">
        <v>1.03</v>
      </c>
      <c r="Q951">
        <v>0.48</v>
      </c>
      <c r="R951" t="s">
        <v>1201</v>
      </c>
      <c r="S951" t="s">
        <v>195</v>
      </c>
    </row>
    <row r="952" spans="1:19" x14ac:dyDescent="0.3">
      <c r="A952" t="s">
        <v>1060</v>
      </c>
      <c r="B952" t="s">
        <v>22</v>
      </c>
      <c r="C952">
        <v>2026</v>
      </c>
      <c r="D952">
        <v>2</v>
      </c>
      <c r="E952" s="2">
        <v>46076</v>
      </c>
      <c r="F952" t="s">
        <v>7</v>
      </c>
      <c r="G952" t="s">
        <v>8</v>
      </c>
      <c r="H952" t="s">
        <v>70</v>
      </c>
      <c r="I952" t="s">
        <v>71</v>
      </c>
      <c r="J952" t="s">
        <v>72</v>
      </c>
      <c r="K952" t="s">
        <v>73</v>
      </c>
      <c r="L952">
        <v>707000</v>
      </c>
      <c r="M952" t="s">
        <v>81</v>
      </c>
      <c r="N952" t="s">
        <v>33</v>
      </c>
      <c r="O952">
        <v>2530</v>
      </c>
      <c r="P952">
        <v>1.05</v>
      </c>
      <c r="Q952">
        <v>2.66</v>
      </c>
      <c r="R952" t="s">
        <v>1199</v>
      </c>
      <c r="S952" t="s">
        <v>195</v>
      </c>
    </row>
    <row r="953" spans="1:19" x14ac:dyDescent="0.3">
      <c r="A953" t="s">
        <v>1061</v>
      </c>
      <c r="B953" t="s">
        <v>22</v>
      </c>
      <c r="C953">
        <v>2026</v>
      </c>
      <c r="D953">
        <v>2</v>
      </c>
      <c r="E953" s="2">
        <v>46076</v>
      </c>
      <c r="F953" t="s">
        <v>7</v>
      </c>
      <c r="G953" t="s">
        <v>8</v>
      </c>
      <c r="H953" t="s">
        <v>70</v>
      </c>
      <c r="I953" t="s">
        <v>71</v>
      </c>
      <c r="J953" t="s">
        <v>72</v>
      </c>
      <c r="K953" t="s">
        <v>73</v>
      </c>
      <c r="L953">
        <v>707000</v>
      </c>
      <c r="M953" t="s">
        <v>81</v>
      </c>
      <c r="N953" t="s">
        <v>33</v>
      </c>
      <c r="O953">
        <v>2679</v>
      </c>
      <c r="P953">
        <v>1.05</v>
      </c>
      <c r="Q953">
        <v>2.81</v>
      </c>
      <c r="R953" t="s">
        <v>1197</v>
      </c>
      <c r="S953" t="s">
        <v>195</v>
      </c>
    </row>
    <row r="954" spans="1:19" x14ac:dyDescent="0.3">
      <c r="A954" t="s">
        <v>1062</v>
      </c>
      <c r="B954" t="s">
        <v>22</v>
      </c>
      <c r="C954">
        <v>2026</v>
      </c>
      <c r="D954">
        <v>2</v>
      </c>
      <c r="E954" s="2">
        <v>46076</v>
      </c>
      <c r="F954" t="s">
        <v>7</v>
      </c>
      <c r="G954" t="s">
        <v>8</v>
      </c>
      <c r="H954" t="s">
        <v>70</v>
      </c>
      <c r="I954" t="s">
        <v>71</v>
      </c>
      <c r="J954" t="s">
        <v>72</v>
      </c>
      <c r="K954" t="s">
        <v>73</v>
      </c>
      <c r="L954">
        <v>707000</v>
      </c>
      <c r="M954" t="s">
        <v>81</v>
      </c>
      <c r="N954" t="s">
        <v>33</v>
      </c>
      <c r="O954">
        <v>2082</v>
      </c>
      <c r="P954">
        <v>1.05</v>
      </c>
      <c r="Q954">
        <v>2.19</v>
      </c>
      <c r="R954" t="s">
        <v>1201</v>
      </c>
      <c r="S954" t="s">
        <v>195</v>
      </c>
    </row>
    <row r="955" spans="1:19" x14ac:dyDescent="0.3">
      <c r="A955" t="s">
        <v>1063</v>
      </c>
      <c r="B955" t="s">
        <v>22</v>
      </c>
      <c r="C955">
        <v>2026</v>
      </c>
      <c r="D955">
        <v>2</v>
      </c>
      <c r="E955" s="2">
        <v>46076</v>
      </c>
      <c r="F955" t="s">
        <v>7</v>
      </c>
      <c r="G955" t="s">
        <v>8</v>
      </c>
      <c r="H955" t="s">
        <v>70</v>
      </c>
      <c r="I955" t="s">
        <v>71</v>
      </c>
      <c r="J955" t="s">
        <v>72</v>
      </c>
      <c r="K955" t="s">
        <v>73</v>
      </c>
      <c r="L955">
        <v>707000</v>
      </c>
      <c r="M955" t="s">
        <v>81</v>
      </c>
      <c r="N955" t="s">
        <v>33</v>
      </c>
      <c r="O955">
        <v>1531</v>
      </c>
      <c r="P955">
        <v>1.05</v>
      </c>
      <c r="Q955">
        <v>1.61</v>
      </c>
      <c r="R955" t="s">
        <v>1200</v>
      </c>
      <c r="S955" t="s">
        <v>195</v>
      </c>
    </row>
    <row r="956" spans="1:19" x14ac:dyDescent="0.3">
      <c r="A956" t="s">
        <v>1064</v>
      </c>
      <c r="B956" t="s">
        <v>22</v>
      </c>
      <c r="C956">
        <v>2026</v>
      </c>
      <c r="D956">
        <v>2</v>
      </c>
      <c r="E956" s="2">
        <v>46076</v>
      </c>
      <c r="F956" t="s">
        <v>7</v>
      </c>
      <c r="G956" t="s">
        <v>8</v>
      </c>
      <c r="H956" t="s">
        <v>70</v>
      </c>
      <c r="I956" t="s">
        <v>71</v>
      </c>
      <c r="J956" t="s">
        <v>72</v>
      </c>
      <c r="K956" t="s">
        <v>73</v>
      </c>
      <c r="L956">
        <v>707000</v>
      </c>
      <c r="M956" t="s">
        <v>81</v>
      </c>
      <c r="N956" t="s">
        <v>33</v>
      </c>
      <c r="O956">
        <v>553</v>
      </c>
      <c r="P956">
        <v>1.03</v>
      </c>
      <c r="Q956">
        <v>0.56999999999999995</v>
      </c>
      <c r="R956" t="s">
        <v>1204</v>
      </c>
      <c r="S956" t="s">
        <v>195</v>
      </c>
    </row>
    <row r="957" spans="1:19" x14ac:dyDescent="0.3">
      <c r="A957" t="s">
        <v>1100</v>
      </c>
      <c r="B957" t="s">
        <v>22</v>
      </c>
      <c r="C957">
        <v>2026</v>
      </c>
      <c r="D957">
        <v>2</v>
      </c>
      <c r="E957" s="2">
        <v>46076</v>
      </c>
      <c r="F957" t="s">
        <v>7</v>
      </c>
      <c r="G957" t="s">
        <v>8</v>
      </c>
      <c r="H957" t="s">
        <v>70</v>
      </c>
      <c r="I957" t="s">
        <v>71</v>
      </c>
      <c r="J957" t="s">
        <v>72</v>
      </c>
      <c r="K957" t="s">
        <v>73</v>
      </c>
      <c r="L957">
        <v>706000</v>
      </c>
      <c r="M957" t="s">
        <v>63</v>
      </c>
      <c r="N957" t="s">
        <v>33</v>
      </c>
      <c r="O957">
        <v>1680</v>
      </c>
      <c r="P957">
        <v>1.05</v>
      </c>
      <c r="Q957">
        <v>1.76</v>
      </c>
      <c r="R957" t="s">
        <v>1204</v>
      </c>
      <c r="S957" t="s">
        <v>195</v>
      </c>
    </row>
    <row r="958" spans="1:19" x14ac:dyDescent="0.3">
      <c r="A958" t="s">
        <v>1101</v>
      </c>
      <c r="B958" t="s">
        <v>22</v>
      </c>
      <c r="C958">
        <v>2026</v>
      </c>
      <c r="D958">
        <v>2</v>
      </c>
      <c r="E958" s="2">
        <v>46076</v>
      </c>
      <c r="F958" t="s">
        <v>7</v>
      </c>
      <c r="G958" t="s">
        <v>8</v>
      </c>
      <c r="H958" t="s">
        <v>70</v>
      </c>
      <c r="I958" t="s">
        <v>71</v>
      </c>
      <c r="J958" t="s">
        <v>72</v>
      </c>
      <c r="K958" t="s">
        <v>73</v>
      </c>
      <c r="L958">
        <v>706000</v>
      </c>
      <c r="M958" t="s">
        <v>63</v>
      </c>
      <c r="N958" t="s">
        <v>33</v>
      </c>
      <c r="O958">
        <v>1276</v>
      </c>
      <c r="P958">
        <v>1.05</v>
      </c>
      <c r="Q958">
        <v>1.34</v>
      </c>
      <c r="R958" t="s">
        <v>1197</v>
      </c>
      <c r="S958" t="s">
        <v>195</v>
      </c>
    </row>
    <row r="959" spans="1:19" x14ac:dyDescent="0.3">
      <c r="A959" t="s">
        <v>1102</v>
      </c>
      <c r="B959" t="s">
        <v>22</v>
      </c>
      <c r="C959">
        <v>2026</v>
      </c>
      <c r="D959">
        <v>2</v>
      </c>
      <c r="E959" s="2">
        <v>46076</v>
      </c>
      <c r="F959" t="s">
        <v>7</v>
      </c>
      <c r="G959" t="s">
        <v>8</v>
      </c>
      <c r="H959" t="s">
        <v>70</v>
      </c>
      <c r="I959" t="s">
        <v>71</v>
      </c>
      <c r="J959" t="s">
        <v>72</v>
      </c>
      <c r="K959" t="s">
        <v>73</v>
      </c>
      <c r="L959">
        <v>706000</v>
      </c>
      <c r="M959" t="s">
        <v>63</v>
      </c>
      <c r="N959" t="s">
        <v>33</v>
      </c>
      <c r="O959">
        <v>646</v>
      </c>
      <c r="P959">
        <v>1.05</v>
      </c>
      <c r="Q959">
        <v>0.68</v>
      </c>
      <c r="R959" t="s">
        <v>1205</v>
      </c>
      <c r="S959" t="s">
        <v>195</v>
      </c>
    </row>
    <row r="960" spans="1:19" x14ac:dyDescent="0.3">
      <c r="A960" t="s">
        <v>1103</v>
      </c>
      <c r="B960" t="s">
        <v>22</v>
      </c>
      <c r="C960">
        <v>2026</v>
      </c>
      <c r="D960">
        <v>2</v>
      </c>
      <c r="E960" s="2">
        <v>46076</v>
      </c>
      <c r="F960" t="s">
        <v>7</v>
      </c>
      <c r="G960" t="s">
        <v>8</v>
      </c>
      <c r="H960" t="s">
        <v>70</v>
      </c>
      <c r="I960" t="s">
        <v>71</v>
      </c>
      <c r="J960" t="s">
        <v>72</v>
      </c>
      <c r="K960" t="s">
        <v>73</v>
      </c>
      <c r="L960">
        <v>706000</v>
      </c>
      <c r="M960" t="s">
        <v>63</v>
      </c>
      <c r="N960" t="s">
        <v>33</v>
      </c>
      <c r="O960">
        <v>1931</v>
      </c>
      <c r="P960">
        <v>1.05</v>
      </c>
      <c r="Q960">
        <v>2.0299999999999998</v>
      </c>
      <c r="R960" t="s">
        <v>1203</v>
      </c>
      <c r="S960" t="s">
        <v>195</v>
      </c>
    </row>
    <row r="961" spans="1:19" x14ac:dyDescent="0.3">
      <c r="A961" t="s">
        <v>1104</v>
      </c>
      <c r="B961" t="s">
        <v>22</v>
      </c>
      <c r="C961">
        <v>2026</v>
      </c>
      <c r="D961">
        <v>2</v>
      </c>
      <c r="E961" s="2">
        <v>46076</v>
      </c>
      <c r="F961" t="s">
        <v>7</v>
      </c>
      <c r="G961" t="s">
        <v>8</v>
      </c>
      <c r="H961" t="s">
        <v>70</v>
      </c>
      <c r="I961" t="s">
        <v>71</v>
      </c>
      <c r="J961" t="s">
        <v>72</v>
      </c>
      <c r="K961" t="s">
        <v>73</v>
      </c>
      <c r="L961">
        <v>706000</v>
      </c>
      <c r="M961" t="s">
        <v>63</v>
      </c>
      <c r="N961" t="s">
        <v>33</v>
      </c>
      <c r="O961">
        <v>1982</v>
      </c>
      <c r="P961">
        <v>1.05</v>
      </c>
      <c r="Q961">
        <v>2.08</v>
      </c>
      <c r="R961" t="s">
        <v>1200</v>
      </c>
      <c r="S961" t="s">
        <v>195</v>
      </c>
    </row>
    <row r="962" spans="1:19" x14ac:dyDescent="0.3">
      <c r="A962" t="s">
        <v>1150</v>
      </c>
      <c r="B962" t="s">
        <v>22</v>
      </c>
      <c r="C962">
        <v>2026</v>
      </c>
      <c r="D962">
        <v>2</v>
      </c>
      <c r="E962" s="2">
        <v>46076</v>
      </c>
      <c r="F962" t="s">
        <v>7</v>
      </c>
      <c r="G962" t="s">
        <v>8</v>
      </c>
      <c r="H962" t="s">
        <v>74</v>
      </c>
      <c r="I962" t="s">
        <v>71</v>
      </c>
      <c r="J962" t="s">
        <v>72</v>
      </c>
      <c r="K962" t="s">
        <v>73</v>
      </c>
      <c r="L962">
        <v>701000</v>
      </c>
      <c r="M962" t="s">
        <v>62</v>
      </c>
      <c r="N962" t="s">
        <v>33</v>
      </c>
      <c r="O962">
        <v>1226</v>
      </c>
      <c r="P962">
        <v>1.05</v>
      </c>
      <c r="Q962">
        <v>1.29</v>
      </c>
      <c r="R962" t="s">
        <v>1197</v>
      </c>
      <c r="S962" t="s">
        <v>195</v>
      </c>
    </row>
    <row r="963" spans="1:19" x14ac:dyDescent="0.3">
      <c r="A963" t="s">
        <v>1151</v>
      </c>
      <c r="B963" t="s">
        <v>22</v>
      </c>
      <c r="C963">
        <v>2026</v>
      </c>
      <c r="D963">
        <v>2</v>
      </c>
      <c r="E963" s="2">
        <v>46076</v>
      </c>
      <c r="F963" t="s">
        <v>7</v>
      </c>
      <c r="G963" t="s">
        <v>8</v>
      </c>
      <c r="H963" t="s">
        <v>74</v>
      </c>
      <c r="I963" t="s">
        <v>71</v>
      </c>
      <c r="J963" t="s">
        <v>72</v>
      </c>
      <c r="K963" t="s">
        <v>73</v>
      </c>
      <c r="L963">
        <v>701000</v>
      </c>
      <c r="M963" t="s">
        <v>62</v>
      </c>
      <c r="N963" t="s">
        <v>33</v>
      </c>
      <c r="O963">
        <v>1778</v>
      </c>
      <c r="P963">
        <v>1.05</v>
      </c>
      <c r="Q963">
        <v>1.87</v>
      </c>
      <c r="R963" t="s">
        <v>1199</v>
      </c>
      <c r="S963" t="s">
        <v>195</v>
      </c>
    </row>
    <row r="964" spans="1:19" x14ac:dyDescent="0.3">
      <c r="A964" t="s">
        <v>1152</v>
      </c>
      <c r="B964" t="s">
        <v>22</v>
      </c>
      <c r="C964">
        <v>2026</v>
      </c>
      <c r="D964">
        <v>2</v>
      </c>
      <c r="E964" s="2">
        <v>46076</v>
      </c>
      <c r="F964" t="s">
        <v>7</v>
      </c>
      <c r="G964" t="s">
        <v>8</v>
      </c>
      <c r="H964" t="s">
        <v>74</v>
      </c>
      <c r="I964" t="s">
        <v>71</v>
      </c>
      <c r="J964" t="s">
        <v>72</v>
      </c>
      <c r="K964" t="s">
        <v>73</v>
      </c>
      <c r="L964">
        <v>701000</v>
      </c>
      <c r="M964" t="s">
        <v>62</v>
      </c>
      <c r="N964" t="s">
        <v>33</v>
      </c>
      <c r="O964">
        <v>1166</v>
      </c>
      <c r="P964">
        <v>1.05</v>
      </c>
      <c r="Q964">
        <v>1.22</v>
      </c>
      <c r="R964" t="s">
        <v>1205</v>
      </c>
      <c r="S964" t="s">
        <v>195</v>
      </c>
    </row>
    <row r="965" spans="1:19" x14ac:dyDescent="0.3">
      <c r="A965" t="s">
        <v>1153</v>
      </c>
      <c r="B965" t="s">
        <v>22</v>
      </c>
      <c r="C965">
        <v>2026</v>
      </c>
      <c r="D965">
        <v>2</v>
      </c>
      <c r="E965" s="2">
        <v>46076</v>
      </c>
      <c r="F965" t="s">
        <v>7</v>
      </c>
      <c r="G965" t="s">
        <v>8</v>
      </c>
      <c r="H965" t="s">
        <v>74</v>
      </c>
      <c r="I965" t="s">
        <v>71</v>
      </c>
      <c r="J965" t="s">
        <v>72</v>
      </c>
      <c r="K965" t="s">
        <v>73</v>
      </c>
      <c r="L965">
        <v>701000</v>
      </c>
      <c r="M965" t="s">
        <v>62</v>
      </c>
      <c r="N965" t="s">
        <v>33</v>
      </c>
      <c r="O965">
        <v>2333</v>
      </c>
      <c r="P965">
        <v>1.05</v>
      </c>
      <c r="Q965">
        <v>2.4500000000000002</v>
      </c>
      <c r="R965" t="s">
        <v>1202</v>
      </c>
      <c r="S965" t="s">
        <v>195</v>
      </c>
    </row>
    <row r="966" spans="1:19" x14ac:dyDescent="0.3">
      <c r="A966" t="s">
        <v>1154</v>
      </c>
      <c r="B966" t="s">
        <v>22</v>
      </c>
      <c r="C966">
        <v>2026</v>
      </c>
      <c r="D966">
        <v>2</v>
      </c>
      <c r="E966" s="2">
        <v>46076</v>
      </c>
      <c r="F966" t="s">
        <v>7</v>
      </c>
      <c r="G966" t="s">
        <v>8</v>
      </c>
      <c r="H966" t="s">
        <v>74</v>
      </c>
      <c r="I966" t="s">
        <v>71</v>
      </c>
      <c r="J966" t="s">
        <v>72</v>
      </c>
      <c r="K966" t="s">
        <v>73</v>
      </c>
      <c r="L966">
        <v>701000</v>
      </c>
      <c r="M966" t="s">
        <v>62</v>
      </c>
      <c r="N966" t="s">
        <v>33</v>
      </c>
      <c r="O966">
        <v>2567</v>
      </c>
      <c r="P966">
        <v>1.05</v>
      </c>
      <c r="Q966">
        <v>2.69</v>
      </c>
      <c r="R966" t="s">
        <v>1200</v>
      </c>
      <c r="S966" t="s">
        <v>195</v>
      </c>
    </row>
    <row r="967" spans="1:19" x14ac:dyDescent="0.3">
      <c r="A967" t="s">
        <v>950</v>
      </c>
      <c r="B967" t="s">
        <v>22</v>
      </c>
      <c r="C967">
        <v>2026</v>
      </c>
      <c r="D967">
        <v>2</v>
      </c>
      <c r="E967" s="2">
        <v>46077</v>
      </c>
      <c r="F967" t="s">
        <v>7</v>
      </c>
      <c r="G967" t="s">
        <v>8</v>
      </c>
      <c r="H967" t="s">
        <v>70</v>
      </c>
      <c r="I967" t="s">
        <v>84</v>
      </c>
      <c r="J967" t="s">
        <v>85</v>
      </c>
      <c r="K967" t="s">
        <v>73</v>
      </c>
      <c r="L967">
        <v>701000</v>
      </c>
      <c r="M967" t="s">
        <v>62</v>
      </c>
      <c r="N967" t="s">
        <v>33</v>
      </c>
      <c r="O967">
        <v>5462</v>
      </c>
      <c r="P967">
        <v>0.95</v>
      </c>
      <c r="Q967">
        <v>5.19</v>
      </c>
      <c r="R967" t="s">
        <v>1197</v>
      </c>
      <c r="S967" t="s">
        <v>195</v>
      </c>
    </row>
    <row r="968" spans="1:19" x14ac:dyDescent="0.3">
      <c r="A968" t="s">
        <v>951</v>
      </c>
      <c r="B968" t="s">
        <v>22</v>
      </c>
      <c r="C968">
        <v>2026</v>
      </c>
      <c r="D968">
        <v>2</v>
      </c>
      <c r="E968" s="2">
        <v>46077</v>
      </c>
      <c r="F968" t="s">
        <v>7</v>
      </c>
      <c r="G968" t="s">
        <v>8</v>
      </c>
      <c r="H968" t="s">
        <v>70</v>
      </c>
      <c r="I968" t="s">
        <v>84</v>
      </c>
      <c r="J968" t="s">
        <v>85</v>
      </c>
      <c r="K968" t="s">
        <v>73</v>
      </c>
      <c r="L968">
        <v>701000</v>
      </c>
      <c r="M968" t="s">
        <v>62</v>
      </c>
      <c r="N968" t="s">
        <v>33</v>
      </c>
      <c r="O968">
        <v>2007</v>
      </c>
      <c r="P968">
        <v>0.95</v>
      </c>
      <c r="Q968">
        <v>1.91</v>
      </c>
      <c r="R968" t="s">
        <v>1205</v>
      </c>
      <c r="S968" t="s">
        <v>195</v>
      </c>
    </row>
    <row r="969" spans="1:19" x14ac:dyDescent="0.3">
      <c r="A969" t="s">
        <v>952</v>
      </c>
      <c r="B969" t="s">
        <v>22</v>
      </c>
      <c r="C969">
        <v>2026</v>
      </c>
      <c r="D969">
        <v>2</v>
      </c>
      <c r="E969" s="2">
        <v>46077</v>
      </c>
      <c r="F969" t="s">
        <v>7</v>
      </c>
      <c r="G969" t="s">
        <v>8</v>
      </c>
      <c r="H969" t="s">
        <v>70</v>
      </c>
      <c r="I969" t="s">
        <v>84</v>
      </c>
      <c r="J969" t="s">
        <v>85</v>
      </c>
      <c r="K969" t="s">
        <v>73</v>
      </c>
      <c r="L969">
        <v>701000</v>
      </c>
      <c r="M969" t="s">
        <v>62</v>
      </c>
      <c r="N969" t="s">
        <v>33</v>
      </c>
      <c r="O969">
        <v>3335</v>
      </c>
      <c r="P969">
        <v>0.95</v>
      </c>
      <c r="Q969">
        <v>3.17</v>
      </c>
      <c r="R969" t="s">
        <v>1200</v>
      </c>
      <c r="S969" t="s">
        <v>195</v>
      </c>
    </row>
    <row r="970" spans="1:19" x14ac:dyDescent="0.3">
      <c r="A970" t="s">
        <v>953</v>
      </c>
      <c r="B970" t="s">
        <v>22</v>
      </c>
      <c r="C970">
        <v>2026</v>
      </c>
      <c r="D970">
        <v>2</v>
      </c>
      <c r="E970" s="2">
        <v>46077</v>
      </c>
      <c r="F970" t="s">
        <v>7</v>
      </c>
      <c r="G970" t="s">
        <v>8</v>
      </c>
      <c r="H970" t="s">
        <v>70</v>
      </c>
      <c r="I970" t="s">
        <v>84</v>
      </c>
      <c r="J970" t="s">
        <v>85</v>
      </c>
      <c r="K970" t="s">
        <v>73</v>
      </c>
      <c r="L970">
        <v>701000</v>
      </c>
      <c r="M970" t="s">
        <v>62</v>
      </c>
      <c r="N970" t="s">
        <v>33</v>
      </c>
      <c r="O970">
        <v>2932</v>
      </c>
      <c r="P970">
        <v>0.95</v>
      </c>
      <c r="Q970">
        <v>2.79</v>
      </c>
      <c r="R970" t="s">
        <v>1201</v>
      </c>
      <c r="S970" t="s">
        <v>195</v>
      </c>
    </row>
    <row r="971" spans="1:19" x14ac:dyDescent="0.3">
      <c r="A971" t="s">
        <v>954</v>
      </c>
      <c r="B971" t="s">
        <v>22</v>
      </c>
      <c r="C971">
        <v>2026</v>
      </c>
      <c r="D971">
        <v>2</v>
      </c>
      <c r="E971" s="2">
        <v>46077</v>
      </c>
      <c r="F971" t="s">
        <v>7</v>
      </c>
      <c r="G971" t="s">
        <v>8</v>
      </c>
      <c r="H971" t="s">
        <v>70</v>
      </c>
      <c r="I971" t="s">
        <v>84</v>
      </c>
      <c r="J971" t="s">
        <v>85</v>
      </c>
      <c r="K971" t="s">
        <v>73</v>
      </c>
      <c r="L971">
        <v>701000</v>
      </c>
      <c r="M971" t="s">
        <v>62</v>
      </c>
      <c r="N971" t="s">
        <v>33</v>
      </c>
      <c r="O971">
        <v>3494</v>
      </c>
      <c r="P971">
        <v>0.95</v>
      </c>
      <c r="Q971">
        <v>3.31</v>
      </c>
      <c r="R971" t="s">
        <v>1199</v>
      </c>
      <c r="S971" t="s">
        <v>195</v>
      </c>
    </row>
    <row r="972" spans="1:19" x14ac:dyDescent="0.3">
      <c r="A972" t="s">
        <v>915</v>
      </c>
      <c r="B972" t="s">
        <v>22</v>
      </c>
      <c r="C972">
        <v>2026</v>
      </c>
      <c r="D972">
        <v>2</v>
      </c>
      <c r="E972" s="2">
        <v>46078</v>
      </c>
      <c r="F972" t="s">
        <v>7</v>
      </c>
      <c r="G972" t="s">
        <v>8</v>
      </c>
      <c r="H972" t="s">
        <v>70</v>
      </c>
      <c r="I972" t="s">
        <v>84</v>
      </c>
      <c r="J972" t="s">
        <v>85</v>
      </c>
      <c r="K972" t="s">
        <v>73</v>
      </c>
      <c r="L972">
        <v>701000</v>
      </c>
      <c r="M972" t="s">
        <v>62</v>
      </c>
      <c r="N972" t="s">
        <v>33</v>
      </c>
      <c r="O972">
        <v>886</v>
      </c>
      <c r="P972">
        <v>0.95</v>
      </c>
      <c r="Q972">
        <v>0.84</v>
      </c>
      <c r="R972" t="s">
        <v>1199</v>
      </c>
      <c r="S972" t="s">
        <v>195</v>
      </c>
    </row>
    <row r="973" spans="1:19" x14ac:dyDescent="0.3">
      <c r="A973" t="s">
        <v>916</v>
      </c>
      <c r="B973" t="s">
        <v>22</v>
      </c>
      <c r="C973">
        <v>2026</v>
      </c>
      <c r="D973">
        <v>2</v>
      </c>
      <c r="E973" s="2">
        <v>46078</v>
      </c>
      <c r="F973" t="s">
        <v>7</v>
      </c>
      <c r="G973" t="s">
        <v>8</v>
      </c>
      <c r="H973" t="s">
        <v>70</v>
      </c>
      <c r="I973" t="s">
        <v>84</v>
      </c>
      <c r="J973" t="s">
        <v>85</v>
      </c>
      <c r="K973" t="s">
        <v>73</v>
      </c>
      <c r="L973">
        <v>701000</v>
      </c>
      <c r="M973" t="s">
        <v>62</v>
      </c>
      <c r="N973" t="s">
        <v>33</v>
      </c>
      <c r="O973">
        <v>3260</v>
      </c>
      <c r="P973">
        <v>0.95</v>
      </c>
      <c r="Q973">
        <v>3.1</v>
      </c>
      <c r="R973" t="s">
        <v>1197</v>
      </c>
      <c r="S973" t="s">
        <v>195</v>
      </c>
    </row>
    <row r="974" spans="1:19" x14ac:dyDescent="0.3">
      <c r="A974" t="s">
        <v>917</v>
      </c>
      <c r="B974" t="s">
        <v>22</v>
      </c>
      <c r="C974">
        <v>2026</v>
      </c>
      <c r="D974">
        <v>2</v>
      </c>
      <c r="E974" s="2">
        <v>46078</v>
      </c>
      <c r="F974" t="s">
        <v>7</v>
      </c>
      <c r="G974" t="s">
        <v>8</v>
      </c>
      <c r="H974" t="s">
        <v>70</v>
      </c>
      <c r="I974" t="s">
        <v>84</v>
      </c>
      <c r="J974" t="s">
        <v>85</v>
      </c>
      <c r="K974" t="s">
        <v>73</v>
      </c>
      <c r="L974">
        <v>701000</v>
      </c>
      <c r="M974" t="s">
        <v>62</v>
      </c>
      <c r="N974" t="s">
        <v>33</v>
      </c>
      <c r="O974">
        <v>6012</v>
      </c>
      <c r="P974">
        <v>0.95</v>
      </c>
      <c r="Q974">
        <v>5.71</v>
      </c>
      <c r="R974" t="s">
        <v>1202</v>
      </c>
      <c r="S974" t="s">
        <v>195</v>
      </c>
    </row>
    <row r="975" spans="1:19" x14ac:dyDescent="0.3">
      <c r="A975" t="s">
        <v>918</v>
      </c>
      <c r="B975" t="s">
        <v>22</v>
      </c>
      <c r="C975">
        <v>2026</v>
      </c>
      <c r="D975">
        <v>2</v>
      </c>
      <c r="E975" s="2">
        <v>46078</v>
      </c>
      <c r="F975" t="s">
        <v>7</v>
      </c>
      <c r="G975" t="s">
        <v>8</v>
      </c>
      <c r="H975" t="s">
        <v>70</v>
      </c>
      <c r="I975" t="s">
        <v>84</v>
      </c>
      <c r="J975" t="s">
        <v>85</v>
      </c>
      <c r="K975" t="s">
        <v>73</v>
      </c>
      <c r="L975">
        <v>701000</v>
      </c>
      <c r="M975" t="s">
        <v>62</v>
      </c>
      <c r="N975" t="s">
        <v>33</v>
      </c>
      <c r="O975">
        <v>11073</v>
      </c>
      <c r="P975">
        <v>0.95</v>
      </c>
      <c r="Q975">
        <v>10.52</v>
      </c>
      <c r="R975" t="s">
        <v>1200</v>
      </c>
      <c r="S975" t="s">
        <v>195</v>
      </c>
    </row>
    <row r="976" spans="1:19" x14ac:dyDescent="0.3">
      <c r="A976" t="s">
        <v>919</v>
      </c>
      <c r="B976" t="s">
        <v>22</v>
      </c>
      <c r="C976">
        <v>2026</v>
      </c>
      <c r="D976">
        <v>2</v>
      </c>
      <c r="E976" s="2">
        <v>46078</v>
      </c>
      <c r="F976" t="s">
        <v>7</v>
      </c>
      <c r="G976" t="s">
        <v>8</v>
      </c>
      <c r="H976" t="s">
        <v>70</v>
      </c>
      <c r="I976" t="s">
        <v>84</v>
      </c>
      <c r="J976" t="s">
        <v>85</v>
      </c>
      <c r="K976" t="s">
        <v>73</v>
      </c>
      <c r="L976">
        <v>701000</v>
      </c>
      <c r="M976" t="s">
        <v>62</v>
      </c>
      <c r="N976" t="s">
        <v>33</v>
      </c>
      <c r="O976">
        <v>1710</v>
      </c>
      <c r="P976">
        <v>0.95</v>
      </c>
      <c r="Q976">
        <v>1.62</v>
      </c>
      <c r="R976" t="s">
        <v>1203</v>
      </c>
      <c r="S976" t="s">
        <v>195</v>
      </c>
    </row>
    <row r="977" spans="1:19" x14ac:dyDescent="0.3">
      <c r="A977" t="s">
        <v>970</v>
      </c>
      <c r="B977" t="s">
        <v>22</v>
      </c>
      <c r="C977">
        <v>2026</v>
      </c>
      <c r="D977">
        <v>2</v>
      </c>
      <c r="E977" s="2">
        <v>46078</v>
      </c>
      <c r="F977" t="s">
        <v>7</v>
      </c>
      <c r="G977" t="s">
        <v>8</v>
      </c>
      <c r="H977" t="s">
        <v>70</v>
      </c>
      <c r="I977" t="s">
        <v>84</v>
      </c>
      <c r="J977" t="s">
        <v>85</v>
      </c>
      <c r="K977" t="s">
        <v>73</v>
      </c>
      <c r="L977">
        <v>701000</v>
      </c>
      <c r="M977" t="s">
        <v>62</v>
      </c>
      <c r="N977" t="s">
        <v>33</v>
      </c>
      <c r="O977">
        <v>1254</v>
      </c>
      <c r="P977">
        <v>0.95</v>
      </c>
      <c r="Q977">
        <v>1.19</v>
      </c>
      <c r="R977" t="s">
        <v>1203</v>
      </c>
      <c r="S977" t="s">
        <v>195</v>
      </c>
    </row>
    <row r="978" spans="1:19" x14ac:dyDescent="0.3">
      <c r="A978" t="s">
        <v>971</v>
      </c>
      <c r="B978" t="s">
        <v>22</v>
      </c>
      <c r="C978">
        <v>2026</v>
      </c>
      <c r="D978">
        <v>2</v>
      </c>
      <c r="E978" s="2">
        <v>46078</v>
      </c>
      <c r="F978" t="s">
        <v>7</v>
      </c>
      <c r="G978" t="s">
        <v>8</v>
      </c>
      <c r="H978" t="s">
        <v>70</v>
      </c>
      <c r="I978" t="s">
        <v>84</v>
      </c>
      <c r="J978" t="s">
        <v>85</v>
      </c>
      <c r="K978" t="s">
        <v>73</v>
      </c>
      <c r="L978">
        <v>701000</v>
      </c>
      <c r="M978" t="s">
        <v>62</v>
      </c>
      <c r="N978" t="s">
        <v>33</v>
      </c>
      <c r="O978">
        <v>7058</v>
      </c>
      <c r="P978">
        <v>0.95</v>
      </c>
      <c r="Q978">
        <v>6.7</v>
      </c>
      <c r="R978" t="s">
        <v>1198</v>
      </c>
      <c r="S978" t="s">
        <v>195</v>
      </c>
    </row>
    <row r="979" spans="1:19" x14ac:dyDescent="0.3">
      <c r="A979" t="s">
        <v>972</v>
      </c>
      <c r="B979" t="s">
        <v>22</v>
      </c>
      <c r="C979">
        <v>2026</v>
      </c>
      <c r="D979">
        <v>2</v>
      </c>
      <c r="E979" s="2">
        <v>46078</v>
      </c>
      <c r="F979" t="s">
        <v>7</v>
      </c>
      <c r="G979" t="s">
        <v>8</v>
      </c>
      <c r="H979" t="s">
        <v>70</v>
      </c>
      <c r="I979" t="s">
        <v>84</v>
      </c>
      <c r="J979" t="s">
        <v>85</v>
      </c>
      <c r="K979" t="s">
        <v>73</v>
      </c>
      <c r="L979">
        <v>701000</v>
      </c>
      <c r="M979" t="s">
        <v>62</v>
      </c>
      <c r="N979" t="s">
        <v>33</v>
      </c>
      <c r="O979">
        <v>3169</v>
      </c>
      <c r="P979">
        <v>0.95</v>
      </c>
      <c r="Q979">
        <v>3.01</v>
      </c>
      <c r="R979" t="s">
        <v>1197</v>
      </c>
      <c r="S979" t="s">
        <v>195</v>
      </c>
    </row>
    <row r="980" spans="1:19" x14ac:dyDescent="0.3">
      <c r="A980" t="s">
        <v>973</v>
      </c>
      <c r="B980" t="s">
        <v>22</v>
      </c>
      <c r="C980">
        <v>2026</v>
      </c>
      <c r="D980">
        <v>2</v>
      </c>
      <c r="E980" s="2">
        <v>46078</v>
      </c>
      <c r="F980" t="s">
        <v>7</v>
      </c>
      <c r="G980" t="s">
        <v>8</v>
      </c>
      <c r="H980" t="s">
        <v>70</v>
      </c>
      <c r="I980" t="s">
        <v>84</v>
      </c>
      <c r="J980" t="s">
        <v>85</v>
      </c>
      <c r="K980" t="s">
        <v>73</v>
      </c>
      <c r="L980">
        <v>701000</v>
      </c>
      <c r="M980" t="s">
        <v>62</v>
      </c>
      <c r="N980" t="s">
        <v>33</v>
      </c>
      <c r="O980">
        <v>4021</v>
      </c>
      <c r="P980">
        <v>0.95</v>
      </c>
      <c r="Q980">
        <v>3.82</v>
      </c>
      <c r="R980" t="s">
        <v>1205</v>
      </c>
      <c r="S980" t="s">
        <v>195</v>
      </c>
    </row>
    <row r="981" spans="1:19" x14ac:dyDescent="0.3">
      <c r="A981" t="s">
        <v>974</v>
      </c>
      <c r="B981" t="s">
        <v>22</v>
      </c>
      <c r="C981">
        <v>2026</v>
      </c>
      <c r="D981">
        <v>2</v>
      </c>
      <c r="E981" s="2">
        <v>46078</v>
      </c>
      <c r="F981" t="s">
        <v>7</v>
      </c>
      <c r="G981" t="s">
        <v>8</v>
      </c>
      <c r="H981" t="s">
        <v>70</v>
      </c>
      <c r="I981" t="s">
        <v>84</v>
      </c>
      <c r="J981" t="s">
        <v>85</v>
      </c>
      <c r="K981" t="s">
        <v>73</v>
      </c>
      <c r="L981">
        <v>701000</v>
      </c>
      <c r="M981" t="s">
        <v>62</v>
      </c>
      <c r="N981" t="s">
        <v>33</v>
      </c>
      <c r="O981">
        <v>2858</v>
      </c>
      <c r="P981">
        <v>0.95</v>
      </c>
      <c r="Q981">
        <v>2.72</v>
      </c>
      <c r="R981" t="s">
        <v>1202</v>
      </c>
      <c r="S981" t="s">
        <v>195</v>
      </c>
    </row>
    <row r="982" spans="1:19" x14ac:dyDescent="0.3">
      <c r="A982" t="s">
        <v>910</v>
      </c>
      <c r="B982" t="s">
        <v>22</v>
      </c>
      <c r="C982">
        <v>2026</v>
      </c>
      <c r="D982">
        <v>2</v>
      </c>
      <c r="E982" s="2">
        <v>46079</v>
      </c>
      <c r="F982" t="s">
        <v>7</v>
      </c>
      <c r="G982" t="s">
        <v>8</v>
      </c>
      <c r="H982" t="s">
        <v>74</v>
      </c>
      <c r="I982" t="s">
        <v>84</v>
      </c>
      <c r="J982" t="s">
        <v>85</v>
      </c>
      <c r="K982" t="s">
        <v>73</v>
      </c>
      <c r="L982">
        <v>701000</v>
      </c>
      <c r="M982" t="s">
        <v>62</v>
      </c>
      <c r="N982" t="s">
        <v>33</v>
      </c>
      <c r="O982">
        <v>3780</v>
      </c>
      <c r="P982">
        <v>0.95</v>
      </c>
      <c r="Q982">
        <v>3.59</v>
      </c>
      <c r="R982" t="s">
        <v>1202</v>
      </c>
      <c r="S982" t="s">
        <v>195</v>
      </c>
    </row>
    <row r="983" spans="1:19" x14ac:dyDescent="0.3">
      <c r="A983" t="s">
        <v>911</v>
      </c>
      <c r="B983" t="s">
        <v>22</v>
      </c>
      <c r="C983">
        <v>2026</v>
      </c>
      <c r="D983">
        <v>2</v>
      </c>
      <c r="E983" s="2">
        <v>46079</v>
      </c>
      <c r="F983" t="s">
        <v>7</v>
      </c>
      <c r="G983" t="s">
        <v>8</v>
      </c>
      <c r="H983" t="s">
        <v>74</v>
      </c>
      <c r="I983" t="s">
        <v>84</v>
      </c>
      <c r="J983" t="s">
        <v>85</v>
      </c>
      <c r="K983" t="s">
        <v>73</v>
      </c>
      <c r="L983">
        <v>701000</v>
      </c>
      <c r="M983" t="s">
        <v>62</v>
      </c>
      <c r="N983" t="s">
        <v>33</v>
      </c>
      <c r="O983">
        <v>8453</v>
      </c>
      <c r="P983">
        <v>0.95</v>
      </c>
      <c r="Q983">
        <v>8.0299999999999994</v>
      </c>
      <c r="R983" t="s">
        <v>1205</v>
      </c>
      <c r="S983" t="s">
        <v>195</v>
      </c>
    </row>
    <row r="984" spans="1:19" x14ac:dyDescent="0.3">
      <c r="A984" t="s">
        <v>912</v>
      </c>
      <c r="B984" t="s">
        <v>22</v>
      </c>
      <c r="C984">
        <v>2026</v>
      </c>
      <c r="D984">
        <v>2</v>
      </c>
      <c r="E984" s="2">
        <v>46079</v>
      </c>
      <c r="F984" t="s">
        <v>7</v>
      </c>
      <c r="G984" t="s">
        <v>8</v>
      </c>
      <c r="H984" t="s">
        <v>74</v>
      </c>
      <c r="I984" t="s">
        <v>84</v>
      </c>
      <c r="J984" t="s">
        <v>85</v>
      </c>
      <c r="K984" t="s">
        <v>73</v>
      </c>
      <c r="L984">
        <v>701000</v>
      </c>
      <c r="M984" t="s">
        <v>62</v>
      </c>
      <c r="N984" t="s">
        <v>33</v>
      </c>
      <c r="O984">
        <v>5103</v>
      </c>
      <c r="P984">
        <v>0.95</v>
      </c>
      <c r="Q984">
        <v>4.8499999999999996</v>
      </c>
      <c r="R984" t="s">
        <v>1199</v>
      </c>
      <c r="S984" t="s">
        <v>195</v>
      </c>
    </row>
    <row r="985" spans="1:19" x14ac:dyDescent="0.3">
      <c r="A985" t="s">
        <v>913</v>
      </c>
      <c r="B985" t="s">
        <v>22</v>
      </c>
      <c r="C985">
        <v>2026</v>
      </c>
      <c r="D985">
        <v>2</v>
      </c>
      <c r="E985" s="2">
        <v>46079</v>
      </c>
      <c r="F985" t="s">
        <v>7</v>
      </c>
      <c r="G985" t="s">
        <v>8</v>
      </c>
      <c r="H985" t="s">
        <v>74</v>
      </c>
      <c r="I985" t="s">
        <v>84</v>
      </c>
      <c r="J985" t="s">
        <v>85</v>
      </c>
      <c r="K985" t="s">
        <v>73</v>
      </c>
      <c r="L985">
        <v>701000</v>
      </c>
      <c r="M985" t="s">
        <v>62</v>
      </c>
      <c r="N985" t="s">
        <v>33</v>
      </c>
      <c r="O985">
        <v>1690</v>
      </c>
      <c r="P985">
        <v>0.95</v>
      </c>
      <c r="Q985">
        <v>1.61</v>
      </c>
      <c r="R985" t="s">
        <v>1204</v>
      </c>
      <c r="S985" t="s">
        <v>195</v>
      </c>
    </row>
    <row r="986" spans="1:19" x14ac:dyDescent="0.3">
      <c r="A986" t="s">
        <v>914</v>
      </c>
      <c r="B986" t="s">
        <v>22</v>
      </c>
      <c r="C986">
        <v>2026</v>
      </c>
      <c r="D986">
        <v>2</v>
      </c>
      <c r="E986" s="2">
        <v>46079</v>
      </c>
      <c r="F986" t="s">
        <v>7</v>
      </c>
      <c r="G986" t="s">
        <v>8</v>
      </c>
      <c r="H986" t="s">
        <v>74</v>
      </c>
      <c r="I986" t="s">
        <v>84</v>
      </c>
      <c r="J986" t="s">
        <v>85</v>
      </c>
      <c r="K986" t="s">
        <v>73</v>
      </c>
      <c r="L986">
        <v>701000</v>
      </c>
      <c r="M986" t="s">
        <v>62</v>
      </c>
      <c r="N986" t="s">
        <v>33</v>
      </c>
      <c r="O986">
        <v>2574</v>
      </c>
      <c r="P986">
        <v>0.95</v>
      </c>
      <c r="Q986">
        <v>2.44</v>
      </c>
      <c r="R986" t="s">
        <v>1200</v>
      </c>
      <c r="S986" t="s">
        <v>195</v>
      </c>
    </row>
    <row r="987" spans="1:19" x14ac:dyDescent="0.3">
      <c r="A987" t="s">
        <v>1155</v>
      </c>
      <c r="B987" t="s">
        <v>22</v>
      </c>
      <c r="C987">
        <v>2026</v>
      </c>
      <c r="D987">
        <v>2</v>
      </c>
      <c r="E987" s="2">
        <v>46080</v>
      </c>
      <c r="F987" t="s">
        <v>7</v>
      </c>
      <c r="G987" t="s">
        <v>8</v>
      </c>
      <c r="H987" t="s">
        <v>74</v>
      </c>
      <c r="I987" t="s">
        <v>71</v>
      </c>
      <c r="J987" t="s">
        <v>72</v>
      </c>
      <c r="K987" t="s">
        <v>73</v>
      </c>
      <c r="L987">
        <v>706000</v>
      </c>
      <c r="M987" t="s">
        <v>63</v>
      </c>
      <c r="N987" t="s">
        <v>33</v>
      </c>
      <c r="O987">
        <v>990</v>
      </c>
      <c r="P987">
        <v>1.05</v>
      </c>
      <c r="Q987">
        <v>1.04</v>
      </c>
      <c r="R987" t="s">
        <v>1197</v>
      </c>
      <c r="S987" t="s">
        <v>195</v>
      </c>
    </row>
    <row r="988" spans="1:19" x14ac:dyDescent="0.3">
      <c r="A988" t="s">
        <v>1156</v>
      </c>
      <c r="B988" t="s">
        <v>22</v>
      </c>
      <c r="C988">
        <v>2026</v>
      </c>
      <c r="D988">
        <v>2</v>
      </c>
      <c r="E988" s="2">
        <v>46080</v>
      </c>
      <c r="F988" t="s">
        <v>7</v>
      </c>
      <c r="G988" t="s">
        <v>8</v>
      </c>
      <c r="H988" t="s">
        <v>74</v>
      </c>
      <c r="I988" t="s">
        <v>71</v>
      </c>
      <c r="J988" t="s">
        <v>72</v>
      </c>
      <c r="K988" t="s">
        <v>73</v>
      </c>
      <c r="L988">
        <v>706000</v>
      </c>
      <c r="M988" t="s">
        <v>63</v>
      </c>
      <c r="N988" t="s">
        <v>33</v>
      </c>
      <c r="O988">
        <v>2239</v>
      </c>
      <c r="P988">
        <v>1.05</v>
      </c>
      <c r="Q988">
        <v>2.35</v>
      </c>
      <c r="R988" t="s">
        <v>1205</v>
      </c>
      <c r="S988" t="s">
        <v>195</v>
      </c>
    </row>
    <row r="989" spans="1:19" x14ac:dyDescent="0.3">
      <c r="A989" t="s">
        <v>1157</v>
      </c>
      <c r="B989" t="s">
        <v>22</v>
      </c>
      <c r="C989">
        <v>2026</v>
      </c>
      <c r="D989">
        <v>2</v>
      </c>
      <c r="E989" s="2">
        <v>46080</v>
      </c>
      <c r="F989" t="s">
        <v>7</v>
      </c>
      <c r="G989" t="s">
        <v>8</v>
      </c>
      <c r="H989" t="s">
        <v>74</v>
      </c>
      <c r="I989" t="s">
        <v>71</v>
      </c>
      <c r="J989" t="s">
        <v>72</v>
      </c>
      <c r="K989" t="s">
        <v>73</v>
      </c>
      <c r="L989">
        <v>706000</v>
      </c>
      <c r="M989" t="s">
        <v>63</v>
      </c>
      <c r="N989" t="s">
        <v>33</v>
      </c>
      <c r="O989">
        <v>1748</v>
      </c>
      <c r="P989">
        <v>1.05</v>
      </c>
      <c r="Q989">
        <v>1.84</v>
      </c>
      <c r="R989" t="s">
        <v>1198</v>
      </c>
      <c r="S989" t="s">
        <v>195</v>
      </c>
    </row>
    <row r="990" spans="1:19" x14ac:dyDescent="0.3">
      <c r="A990" t="s">
        <v>1158</v>
      </c>
      <c r="B990" t="s">
        <v>22</v>
      </c>
      <c r="C990">
        <v>2026</v>
      </c>
      <c r="D990">
        <v>2</v>
      </c>
      <c r="E990" s="2">
        <v>46080</v>
      </c>
      <c r="F990" t="s">
        <v>7</v>
      </c>
      <c r="G990" t="s">
        <v>8</v>
      </c>
      <c r="H990" t="s">
        <v>74</v>
      </c>
      <c r="I990" t="s">
        <v>71</v>
      </c>
      <c r="J990" t="s">
        <v>72</v>
      </c>
      <c r="K990" t="s">
        <v>73</v>
      </c>
      <c r="L990">
        <v>706000</v>
      </c>
      <c r="M990" t="s">
        <v>63</v>
      </c>
      <c r="N990" t="s">
        <v>33</v>
      </c>
      <c r="O990">
        <v>3211</v>
      </c>
      <c r="P990">
        <v>1.05</v>
      </c>
      <c r="Q990">
        <v>3.37</v>
      </c>
      <c r="R990" t="s">
        <v>1204</v>
      </c>
      <c r="S990" t="s">
        <v>195</v>
      </c>
    </row>
    <row r="991" spans="1:19" x14ac:dyDescent="0.3">
      <c r="A991" t="s">
        <v>1159</v>
      </c>
      <c r="B991" t="s">
        <v>22</v>
      </c>
      <c r="C991">
        <v>2026</v>
      </c>
      <c r="D991">
        <v>2</v>
      </c>
      <c r="E991" s="2">
        <v>46080</v>
      </c>
      <c r="F991" t="s">
        <v>7</v>
      </c>
      <c r="G991" t="s">
        <v>8</v>
      </c>
      <c r="H991" t="s">
        <v>74</v>
      </c>
      <c r="I991" t="s">
        <v>71</v>
      </c>
      <c r="J991" t="s">
        <v>72</v>
      </c>
      <c r="K991" t="s">
        <v>73</v>
      </c>
      <c r="L991">
        <v>706000</v>
      </c>
      <c r="M991" t="s">
        <v>63</v>
      </c>
      <c r="N991" t="s">
        <v>33</v>
      </c>
      <c r="O991">
        <v>803</v>
      </c>
      <c r="P991">
        <v>1.05</v>
      </c>
      <c r="Q991">
        <v>0.84</v>
      </c>
      <c r="R991" t="s">
        <v>1199</v>
      </c>
      <c r="S991" t="s">
        <v>195</v>
      </c>
    </row>
    <row r="992" spans="1:19" x14ac:dyDescent="0.3">
      <c r="A992" t="s">
        <v>1170</v>
      </c>
      <c r="B992" t="s">
        <v>22</v>
      </c>
      <c r="C992">
        <v>2026</v>
      </c>
      <c r="D992">
        <v>2</v>
      </c>
      <c r="E992" s="2">
        <v>46081</v>
      </c>
      <c r="F992" t="s">
        <v>7</v>
      </c>
      <c r="G992" t="s">
        <v>8</v>
      </c>
      <c r="H992" t="s">
        <v>74</v>
      </c>
      <c r="I992" t="s">
        <v>71</v>
      </c>
      <c r="J992" t="s">
        <v>72</v>
      </c>
      <c r="K992" t="s">
        <v>73</v>
      </c>
      <c r="L992">
        <v>709000</v>
      </c>
      <c r="M992" t="s">
        <v>86</v>
      </c>
      <c r="N992" t="s">
        <v>33</v>
      </c>
      <c r="O992">
        <v>0</v>
      </c>
      <c r="P992">
        <v>-790</v>
      </c>
      <c r="Q992">
        <v>-0.79</v>
      </c>
      <c r="R992" t="s">
        <v>1203</v>
      </c>
      <c r="S992" t="s">
        <v>195</v>
      </c>
    </row>
    <row r="993" spans="1:19" x14ac:dyDescent="0.3">
      <c r="A993" t="s">
        <v>1171</v>
      </c>
      <c r="B993" t="s">
        <v>22</v>
      </c>
      <c r="C993">
        <v>2026</v>
      </c>
      <c r="D993">
        <v>2</v>
      </c>
      <c r="E993" s="2">
        <v>46081</v>
      </c>
      <c r="F993" t="s">
        <v>7</v>
      </c>
      <c r="G993" t="s">
        <v>8</v>
      </c>
      <c r="H993" t="s">
        <v>74</v>
      </c>
      <c r="I993" t="s">
        <v>71</v>
      </c>
      <c r="J993" t="s">
        <v>72</v>
      </c>
      <c r="K993" t="s">
        <v>73</v>
      </c>
      <c r="L993">
        <v>709000</v>
      </c>
      <c r="M993" t="s">
        <v>86</v>
      </c>
      <c r="N993" t="s">
        <v>33</v>
      </c>
      <c r="O993">
        <v>0</v>
      </c>
      <c r="P993">
        <v>-230</v>
      </c>
      <c r="Q993">
        <v>-0.23</v>
      </c>
      <c r="R993" t="s">
        <v>1201</v>
      </c>
      <c r="S993" t="s">
        <v>195</v>
      </c>
    </row>
    <row r="994" spans="1:19" x14ac:dyDescent="0.3">
      <c r="A994" t="s">
        <v>1172</v>
      </c>
      <c r="B994" t="s">
        <v>22</v>
      </c>
      <c r="C994">
        <v>2026</v>
      </c>
      <c r="D994">
        <v>2</v>
      </c>
      <c r="E994" s="2">
        <v>46081</v>
      </c>
      <c r="F994" t="s">
        <v>7</v>
      </c>
      <c r="G994" t="s">
        <v>8</v>
      </c>
      <c r="H994" t="s">
        <v>74</v>
      </c>
      <c r="I994" t="s">
        <v>71</v>
      </c>
      <c r="J994" t="s">
        <v>72</v>
      </c>
      <c r="K994" t="s">
        <v>73</v>
      </c>
      <c r="L994">
        <v>709000</v>
      </c>
      <c r="M994" t="s">
        <v>86</v>
      </c>
      <c r="N994" t="s">
        <v>33</v>
      </c>
      <c r="O994">
        <v>0</v>
      </c>
      <c r="P994">
        <v>-830</v>
      </c>
      <c r="Q994">
        <v>-0.83</v>
      </c>
      <c r="R994" t="s">
        <v>1198</v>
      </c>
      <c r="S994" t="s">
        <v>195</v>
      </c>
    </row>
    <row r="995" spans="1:19" x14ac:dyDescent="0.3">
      <c r="A995" t="s">
        <v>1173</v>
      </c>
      <c r="B995" t="s">
        <v>22</v>
      </c>
      <c r="C995">
        <v>2026</v>
      </c>
      <c r="D995">
        <v>2</v>
      </c>
      <c r="E995" s="2">
        <v>46081</v>
      </c>
      <c r="F995" t="s">
        <v>7</v>
      </c>
      <c r="G995" t="s">
        <v>8</v>
      </c>
      <c r="H995" t="s">
        <v>74</v>
      </c>
      <c r="I995" t="s">
        <v>71</v>
      </c>
      <c r="J995" t="s">
        <v>72</v>
      </c>
      <c r="K995" t="s">
        <v>73</v>
      </c>
      <c r="L995">
        <v>709000</v>
      </c>
      <c r="M995" t="s">
        <v>86</v>
      </c>
      <c r="N995" t="s">
        <v>33</v>
      </c>
      <c r="O995">
        <v>0</v>
      </c>
      <c r="P995">
        <v>-2210</v>
      </c>
      <c r="Q995">
        <v>-2.21</v>
      </c>
      <c r="R995" t="s">
        <v>1205</v>
      </c>
      <c r="S995" t="s">
        <v>195</v>
      </c>
    </row>
    <row r="996" spans="1:19" x14ac:dyDescent="0.3">
      <c r="A996" t="s">
        <v>1174</v>
      </c>
      <c r="B996" t="s">
        <v>22</v>
      </c>
      <c r="C996">
        <v>2026</v>
      </c>
      <c r="D996">
        <v>2</v>
      </c>
      <c r="E996" s="2">
        <v>46081</v>
      </c>
      <c r="F996" t="s">
        <v>7</v>
      </c>
      <c r="G996" t="s">
        <v>8</v>
      </c>
      <c r="H996" t="s">
        <v>74</v>
      </c>
      <c r="I996" t="s">
        <v>71</v>
      </c>
      <c r="J996" t="s">
        <v>72</v>
      </c>
      <c r="K996" t="s">
        <v>73</v>
      </c>
      <c r="L996">
        <v>709000</v>
      </c>
      <c r="M996" t="s">
        <v>86</v>
      </c>
      <c r="N996" t="s">
        <v>33</v>
      </c>
      <c r="O996">
        <v>0</v>
      </c>
      <c r="P996">
        <v>-750</v>
      </c>
      <c r="Q996">
        <v>-0.75</v>
      </c>
      <c r="R996" t="s">
        <v>1204</v>
      </c>
      <c r="S996" t="s">
        <v>195</v>
      </c>
    </row>
    <row r="997" spans="1:19" x14ac:dyDescent="0.3">
      <c r="A997" t="s">
        <v>1185</v>
      </c>
      <c r="B997" t="s">
        <v>22</v>
      </c>
      <c r="C997">
        <v>2026</v>
      </c>
      <c r="D997">
        <v>2</v>
      </c>
      <c r="E997" s="2">
        <v>46081</v>
      </c>
      <c r="F997" t="s">
        <v>7</v>
      </c>
      <c r="G997" t="s">
        <v>8</v>
      </c>
      <c r="H997" t="s">
        <v>70</v>
      </c>
      <c r="I997" t="s">
        <v>75</v>
      </c>
      <c r="J997" t="s">
        <v>76</v>
      </c>
      <c r="K997" t="s">
        <v>73</v>
      </c>
      <c r="L997">
        <v>701000</v>
      </c>
      <c r="M997" t="s">
        <v>62</v>
      </c>
      <c r="N997" t="s">
        <v>33</v>
      </c>
      <c r="O997">
        <v>386</v>
      </c>
      <c r="P997">
        <v>1.4</v>
      </c>
      <c r="Q997">
        <v>0.54</v>
      </c>
      <c r="R997" t="s">
        <v>1197</v>
      </c>
      <c r="S997" t="s">
        <v>195</v>
      </c>
    </row>
    <row r="998" spans="1:19" x14ac:dyDescent="0.3">
      <c r="A998" t="s">
        <v>1186</v>
      </c>
      <c r="B998" t="s">
        <v>22</v>
      </c>
      <c r="C998">
        <v>2026</v>
      </c>
      <c r="D998">
        <v>2</v>
      </c>
      <c r="E998" s="2">
        <v>46081</v>
      </c>
      <c r="F998" t="s">
        <v>7</v>
      </c>
      <c r="G998" t="s">
        <v>8</v>
      </c>
      <c r="H998" t="s">
        <v>70</v>
      </c>
      <c r="I998" t="s">
        <v>75</v>
      </c>
      <c r="J998" t="s">
        <v>76</v>
      </c>
      <c r="K998" t="s">
        <v>73</v>
      </c>
      <c r="L998">
        <v>701000</v>
      </c>
      <c r="M998" t="s">
        <v>62</v>
      </c>
      <c r="N998" t="s">
        <v>33</v>
      </c>
      <c r="O998">
        <v>3046</v>
      </c>
      <c r="P998">
        <v>1.4</v>
      </c>
      <c r="Q998">
        <v>4.26</v>
      </c>
      <c r="R998" t="s">
        <v>1204</v>
      </c>
      <c r="S998" t="s">
        <v>195</v>
      </c>
    </row>
    <row r="999" spans="1:19" x14ac:dyDescent="0.3">
      <c r="A999" t="s">
        <v>1187</v>
      </c>
      <c r="B999" t="s">
        <v>22</v>
      </c>
      <c r="C999">
        <v>2026</v>
      </c>
      <c r="D999">
        <v>2</v>
      </c>
      <c r="E999" s="2">
        <v>46081</v>
      </c>
      <c r="F999" t="s">
        <v>7</v>
      </c>
      <c r="G999" t="s">
        <v>8</v>
      </c>
      <c r="H999" t="s">
        <v>70</v>
      </c>
      <c r="I999" t="s">
        <v>75</v>
      </c>
      <c r="J999" t="s">
        <v>76</v>
      </c>
      <c r="K999" t="s">
        <v>73</v>
      </c>
      <c r="L999">
        <v>701000</v>
      </c>
      <c r="M999" t="s">
        <v>62</v>
      </c>
      <c r="N999" t="s">
        <v>33</v>
      </c>
      <c r="O999">
        <v>3925</v>
      </c>
      <c r="P999">
        <v>1.4</v>
      </c>
      <c r="Q999">
        <v>5.49</v>
      </c>
      <c r="R999" t="s">
        <v>1200</v>
      </c>
      <c r="S999" t="s">
        <v>195</v>
      </c>
    </row>
    <row r="1000" spans="1:19" x14ac:dyDescent="0.3">
      <c r="A1000" t="s">
        <v>1188</v>
      </c>
      <c r="B1000" t="s">
        <v>22</v>
      </c>
      <c r="C1000">
        <v>2026</v>
      </c>
      <c r="D1000">
        <v>2</v>
      </c>
      <c r="E1000" s="2">
        <v>46081</v>
      </c>
      <c r="F1000" t="s">
        <v>7</v>
      </c>
      <c r="G1000" t="s">
        <v>8</v>
      </c>
      <c r="H1000" t="s">
        <v>70</v>
      </c>
      <c r="I1000" t="s">
        <v>75</v>
      </c>
      <c r="J1000" t="s">
        <v>76</v>
      </c>
      <c r="K1000" t="s">
        <v>73</v>
      </c>
      <c r="L1000">
        <v>701000</v>
      </c>
      <c r="M1000" t="s">
        <v>62</v>
      </c>
      <c r="N1000" t="s">
        <v>33</v>
      </c>
      <c r="O1000">
        <v>803</v>
      </c>
      <c r="P1000">
        <v>1.39</v>
      </c>
      <c r="Q1000">
        <v>1.1200000000000001</v>
      </c>
      <c r="R1000" t="s">
        <v>1203</v>
      </c>
      <c r="S1000" t="s">
        <v>195</v>
      </c>
    </row>
    <row r="1001" spans="1:19" x14ac:dyDescent="0.3">
      <c r="A1001" t="s">
        <v>1189</v>
      </c>
      <c r="B1001" t="s">
        <v>22</v>
      </c>
      <c r="C1001">
        <v>2026</v>
      </c>
      <c r="D1001">
        <v>2</v>
      </c>
      <c r="E1001" s="2">
        <v>46081</v>
      </c>
      <c r="F1001" t="s">
        <v>7</v>
      </c>
      <c r="G1001" t="s">
        <v>8</v>
      </c>
      <c r="H1001" t="s">
        <v>70</v>
      </c>
      <c r="I1001" t="s">
        <v>75</v>
      </c>
      <c r="J1001" t="s">
        <v>76</v>
      </c>
      <c r="K1001" t="s">
        <v>73</v>
      </c>
      <c r="L1001">
        <v>701000</v>
      </c>
      <c r="M1001" t="s">
        <v>62</v>
      </c>
      <c r="N1001" t="s">
        <v>33</v>
      </c>
      <c r="O1001">
        <v>5628</v>
      </c>
      <c r="P1001">
        <v>1.4</v>
      </c>
      <c r="Q1001">
        <v>7.89</v>
      </c>
      <c r="R1001" t="s">
        <v>1198</v>
      </c>
      <c r="S1001" t="s">
        <v>195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0C480-51E3-45C0-94D7-B4B286B9F0AD}">
  <sheetPr codeName="Sheet9"/>
  <dimension ref="A1:S1001"/>
  <sheetViews>
    <sheetView workbookViewId="0">
      <selection activeCell="K21" sqref="K21"/>
    </sheetView>
  </sheetViews>
  <sheetFormatPr baseColWidth="10" defaultColWidth="8.88671875" defaultRowHeight="14.4" x14ac:dyDescent="0.3"/>
  <cols>
    <col min="1" max="1" width="11.6640625" bestFit="1" customWidth="1"/>
    <col min="2" max="2" width="10.5546875" bestFit="1" customWidth="1"/>
    <col min="3" max="3" width="8.88671875" bestFit="1" customWidth="1"/>
    <col min="4" max="4" width="7.44140625" bestFit="1" customWidth="1"/>
    <col min="5" max="5" width="10.5546875" bestFit="1" customWidth="1"/>
    <col min="6" max="6" width="12.77734375" bestFit="1" customWidth="1"/>
    <col min="7" max="7" width="19.33203125" bestFit="1" customWidth="1"/>
    <col min="8" max="8" width="7.88671875" bestFit="1" customWidth="1"/>
    <col min="9" max="9" width="14" bestFit="1" customWidth="1"/>
    <col min="10" max="10" width="21.109375" bestFit="1" customWidth="1"/>
    <col min="11" max="11" width="7.88671875" bestFit="1" customWidth="1"/>
    <col min="12" max="12" width="10" bestFit="1" customWidth="1"/>
    <col min="13" max="13" width="22.21875" bestFit="1" customWidth="1"/>
    <col min="14" max="14" width="15.44140625" bestFit="1" customWidth="1"/>
    <col min="15" max="15" width="10.77734375" bestFit="1" customWidth="1"/>
    <col min="16" max="16" width="18.21875" bestFit="1" customWidth="1"/>
    <col min="17" max="17" width="16.109375" bestFit="1" customWidth="1"/>
    <col min="18" max="18" width="12.21875" bestFit="1" customWidth="1"/>
    <col min="19" max="19" width="13" bestFit="1" customWidth="1"/>
  </cols>
  <sheetData>
    <row r="1" spans="1:19" x14ac:dyDescent="0.3">
      <c r="A1" t="s">
        <v>51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t="s">
        <v>57</v>
      </c>
      <c r="H1" t="s">
        <v>64</v>
      </c>
      <c r="I1" t="s">
        <v>65</v>
      </c>
      <c r="J1" t="s">
        <v>66</v>
      </c>
      <c r="K1" t="s">
        <v>67</v>
      </c>
      <c r="L1" t="s">
        <v>58</v>
      </c>
      <c r="M1" t="s">
        <v>59</v>
      </c>
      <c r="N1" t="s">
        <v>60</v>
      </c>
      <c r="O1" t="s">
        <v>68</v>
      </c>
      <c r="P1" t="s">
        <v>69</v>
      </c>
      <c r="Q1" t="s">
        <v>61</v>
      </c>
      <c r="R1" t="s">
        <v>1195</v>
      </c>
      <c r="S1" t="s">
        <v>1196</v>
      </c>
    </row>
    <row r="2" spans="1:19" x14ac:dyDescent="0.3">
      <c r="A2" t="s">
        <v>340</v>
      </c>
      <c r="B2" t="s">
        <v>23</v>
      </c>
      <c r="C2">
        <v>2026</v>
      </c>
      <c r="D2">
        <v>1</v>
      </c>
      <c r="E2" s="2">
        <v>46023</v>
      </c>
      <c r="F2" t="s">
        <v>7</v>
      </c>
      <c r="G2" t="s">
        <v>8</v>
      </c>
      <c r="H2" t="s">
        <v>74</v>
      </c>
      <c r="I2" t="s">
        <v>84</v>
      </c>
      <c r="J2" t="s">
        <v>85</v>
      </c>
      <c r="K2" t="s">
        <v>73</v>
      </c>
      <c r="L2">
        <v>701000</v>
      </c>
      <c r="M2" t="s">
        <v>62</v>
      </c>
      <c r="N2" t="s">
        <v>33</v>
      </c>
      <c r="O2">
        <v>1227</v>
      </c>
      <c r="P2">
        <v>0.95</v>
      </c>
      <c r="Q2">
        <v>1.17</v>
      </c>
      <c r="R2" t="s">
        <v>1202</v>
      </c>
      <c r="S2" t="s">
        <v>195</v>
      </c>
    </row>
    <row r="3" spans="1:19" x14ac:dyDescent="0.3">
      <c r="A3" t="s">
        <v>341</v>
      </c>
      <c r="B3" t="s">
        <v>23</v>
      </c>
      <c r="C3">
        <v>2026</v>
      </c>
      <c r="D3">
        <v>1</v>
      </c>
      <c r="E3" s="2">
        <v>46023</v>
      </c>
      <c r="F3" t="s">
        <v>7</v>
      </c>
      <c r="G3" t="s">
        <v>8</v>
      </c>
      <c r="H3" t="s">
        <v>74</v>
      </c>
      <c r="I3" t="s">
        <v>84</v>
      </c>
      <c r="J3" t="s">
        <v>85</v>
      </c>
      <c r="K3" t="s">
        <v>73</v>
      </c>
      <c r="L3">
        <v>701000</v>
      </c>
      <c r="M3" t="s">
        <v>62</v>
      </c>
      <c r="N3" t="s">
        <v>33</v>
      </c>
      <c r="O3">
        <v>9374</v>
      </c>
      <c r="P3">
        <v>0.95</v>
      </c>
      <c r="Q3">
        <v>8.91</v>
      </c>
      <c r="R3" t="s">
        <v>1201</v>
      </c>
      <c r="S3" t="s">
        <v>195</v>
      </c>
    </row>
    <row r="4" spans="1:19" x14ac:dyDescent="0.3">
      <c r="A4" t="s">
        <v>342</v>
      </c>
      <c r="B4" t="s">
        <v>23</v>
      </c>
      <c r="C4">
        <v>2026</v>
      </c>
      <c r="D4">
        <v>1</v>
      </c>
      <c r="E4" s="2">
        <v>46023</v>
      </c>
      <c r="F4" t="s">
        <v>7</v>
      </c>
      <c r="G4" t="s">
        <v>8</v>
      </c>
      <c r="H4" t="s">
        <v>74</v>
      </c>
      <c r="I4" t="s">
        <v>84</v>
      </c>
      <c r="J4" t="s">
        <v>85</v>
      </c>
      <c r="K4" t="s">
        <v>73</v>
      </c>
      <c r="L4">
        <v>701000</v>
      </c>
      <c r="M4" t="s">
        <v>62</v>
      </c>
      <c r="N4" t="s">
        <v>33</v>
      </c>
      <c r="O4">
        <v>965</v>
      </c>
      <c r="P4">
        <v>0.95</v>
      </c>
      <c r="Q4">
        <v>0.92</v>
      </c>
      <c r="R4" t="s">
        <v>1197</v>
      </c>
      <c r="S4" t="s">
        <v>195</v>
      </c>
    </row>
    <row r="5" spans="1:19" x14ac:dyDescent="0.3">
      <c r="A5" t="s">
        <v>343</v>
      </c>
      <c r="B5" t="s">
        <v>23</v>
      </c>
      <c r="C5">
        <v>2026</v>
      </c>
      <c r="D5">
        <v>1</v>
      </c>
      <c r="E5" s="2">
        <v>46023</v>
      </c>
      <c r="F5" t="s">
        <v>7</v>
      </c>
      <c r="G5" t="s">
        <v>8</v>
      </c>
      <c r="H5" t="s">
        <v>74</v>
      </c>
      <c r="I5" t="s">
        <v>84</v>
      </c>
      <c r="J5" t="s">
        <v>85</v>
      </c>
      <c r="K5" t="s">
        <v>73</v>
      </c>
      <c r="L5">
        <v>701000</v>
      </c>
      <c r="M5" t="s">
        <v>62</v>
      </c>
      <c r="N5" t="s">
        <v>33</v>
      </c>
      <c r="O5">
        <v>587</v>
      </c>
      <c r="P5">
        <v>0.95</v>
      </c>
      <c r="Q5">
        <v>0.56000000000000005</v>
      </c>
      <c r="R5" t="s">
        <v>1203</v>
      </c>
      <c r="S5" t="s">
        <v>195</v>
      </c>
    </row>
    <row r="6" spans="1:19" x14ac:dyDescent="0.3">
      <c r="A6" t="s">
        <v>344</v>
      </c>
      <c r="B6" t="s">
        <v>23</v>
      </c>
      <c r="C6">
        <v>2026</v>
      </c>
      <c r="D6">
        <v>1</v>
      </c>
      <c r="E6" s="2">
        <v>46023</v>
      </c>
      <c r="F6" t="s">
        <v>7</v>
      </c>
      <c r="G6" t="s">
        <v>8</v>
      </c>
      <c r="H6" t="s">
        <v>74</v>
      </c>
      <c r="I6" t="s">
        <v>84</v>
      </c>
      <c r="J6" t="s">
        <v>85</v>
      </c>
      <c r="K6" t="s">
        <v>73</v>
      </c>
      <c r="L6">
        <v>701000</v>
      </c>
      <c r="M6" t="s">
        <v>62</v>
      </c>
      <c r="N6" t="s">
        <v>33</v>
      </c>
      <c r="O6">
        <v>3425</v>
      </c>
      <c r="P6">
        <v>0.95</v>
      </c>
      <c r="Q6">
        <v>3.24</v>
      </c>
      <c r="R6" t="s">
        <v>1205</v>
      </c>
      <c r="S6" t="s">
        <v>195</v>
      </c>
    </row>
    <row r="7" spans="1:19" x14ac:dyDescent="0.3">
      <c r="A7" t="s">
        <v>950</v>
      </c>
      <c r="B7" t="s">
        <v>23</v>
      </c>
      <c r="C7">
        <v>2026</v>
      </c>
      <c r="D7">
        <v>1</v>
      </c>
      <c r="E7" s="2">
        <v>46023</v>
      </c>
      <c r="F7" t="s">
        <v>7</v>
      </c>
      <c r="G7" t="s">
        <v>8</v>
      </c>
      <c r="H7" t="s">
        <v>74</v>
      </c>
      <c r="I7" t="s">
        <v>82</v>
      </c>
      <c r="J7" t="s">
        <v>83</v>
      </c>
      <c r="K7" t="s">
        <v>73</v>
      </c>
      <c r="L7">
        <v>701000</v>
      </c>
      <c r="M7" t="s">
        <v>62</v>
      </c>
      <c r="N7" t="s">
        <v>33</v>
      </c>
      <c r="O7">
        <v>79</v>
      </c>
      <c r="P7">
        <v>18.61</v>
      </c>
      <c r="Q7">
        <v>1.47</v>
      </c>
      <c r="R7" t="s">
        <v>1202</v>
      </c>
      <c r="S7" t="s">
        <v>195</v>
      </c>
    </row>
    <row r="8" spans="1:19" x14ac:dyDescent="0.3">
      <c r="A8" t="s">
        <v>951</v>
      </c>
      <c r="B8" t="s">
        <v>23</v>
      </c>
      <c r="C8">
        <v>2026</v>
      </c>
      <c r="D8">
        <v>1</v>
      </c>
      <c r="E8" s="2">
        <v>46023</v>
      </c>
      <c r="F8" t="s">
        <v>7</v>
      </c>
      <c r="G8" t="s">
        <v>8</v>
      </c>
      <c r="H8" t="s">
        <v>74</v>
      </c>
      <c r="I8" t="s">
        <v>82</v>
      </c>
      <c r="J8" t="s">
        <v>83</v>
      </c>
      <c r="K8" t="s">
        <v>73</v>
      </c>
      <c r="L8">
        <v>701000</v>
      </c>
      <c r="M8" t="s">
        <v>62</v>
      </c>
      <c r="N8" t="s">
        <v>33</v>
      </c>
      <c r="O8">
        <v>283</v>
      </c>
      <c r="P8">
        <v>18.55</v>
      </c>
      <c r="Q8">
        <v>5.25</v>
      </c>
      <c r="R8" t="s">
        <v>1204</v>
      </c>
      <c r="S8" t="s">
        <v>195</v>
      </c>
    </row>
    <row r="9" spans="1:19" x14ac:dyDescent="0.3">
      <c r="A9" t="s">
        <v>952</v>
      </c>
      <c r="B9" t="s">
        <v>23</v>
      </c>
      <c r="C9">
        <v>2026</v>
      </c>
      <c r="D9">
        <v>1</v>
      </c>
      <c r="E9" s="2">
        <v>46023</v>
      </c>
      <c r="F9" t="s">
        <v>7</v>
      </c>
      <c r="G9" t="s">
        <v>8</v>
      </c>
      <c r="H9" t="s">
        <v>74</v>
      </c>
      <c r="I9" t="s">
        <v>82</v>
      </c>
      <c r="J9" t="s">
        <v>83</v>
      </c>
      <c r="K9" t="s">
        <v>73</v>
      </c>
      <c r="L9">
        <v>701000</v>
      </c>
      <c r="M9" t="s">
        <v>62</v>
      </c>
      <c r="N9" t="s">
        <v>33</v>
      </c>
      <c r="O9">
        <v>61</v>
      </c>
      <c r="P9">
        <v>18.52</v>
      </c>
      <c r="Q9">
        <v>1.1299999999999999</v>
      </c>
      <c r="R9" t="s">
        <v>1199</v>
      </c>
      <c r="S9" t="s">
        <v>195</v>
      </c>
    </row>
    <row r="10" spans="1:19" x14ac:dyDescent="0.3">
      <c r="A10" t="s">
        <v>953</v>
      </c>
      <c r="B10" t="s">
        <v>23</v>
      </c>
      <c r="C10">
        <v>2026</v>
      </c>
      <c r="D10">
        <v>1</v>
      </c>
      <c r="E10" s="2">
        <v>46023</v>
      </c>
      <c r="F10" t="s">
        <v>7</v>
      </c>
      <c r="G10" t="s">
        <v>8</v>
      </c>
      <c r="H10" t="s">
        <v>74</v>
      </c>
      <c r="I10" t="s">
        <v>82</v>
      </c>
      <c r="J10" t="s">
        <v>83</v>
      </c>
      <c r="K10" t="s">
        <v>73</v>
      </c>
      <c r="L10">
        <v>701000</v>
      </c>
      <c r="M10" t="s">
        <v>62</v>
      </c>
      <c r="N10" t="s">
        <v>33</v>
      </c>
      <c r="O10">
        <v>108</v>
      </c>
      <c r="P10">
        <v>18.52</v>
      </c>
      <c r="Q10">
        <v>2</v>
      </c>
      <c r="R10" t="s">
        <v>1198</v>
      </c>
      <c r="S10" t="s">
        <v>195</v>
      </c>
    </row>
    <row r="11" spans="1:19" x14ac:dyDescent="0.3">
      <c r="A11" t="s">
        <v>954</v>
      </c>
      <c r="B11" t="s">
        <v>23</v>
      </c>
      <c r="C11">
        <v>2026</v>
      </c>
      <c r="D11">
        <v>1</v>
      </c>
      <c r="E11" s="2">
        <v>46023</v>
      </c>
      <c r="F11" t="s">
        <v>7</v>
      </c>
      <c r="G11" t="s">
        <v>8</v>
      </c>
      <c r="H11" t="s">
        <v>74</v>
      </c>
      <c r="I11" t="s">
        <v>82</v>
      </c>
      <c r="J11" t="s">
        <v>83</v>
      </c>
      <c r="K11" t="s">
        <v>73</v>
      </c>
      <c r="L11">
        <v>701000</v>
      </c>
      <c r="M11" t="s">
        <v>62</v>
      </c>
      <c r="N11" t="s">
        <v>33</v>
      </c>
      <c r="O11">
        <v>138</v>
      </c>
      <c r="P11">
        <v>18.329999999999998</v>
      </c>
      <c r="Q11">
        <v>2.5299999999999998</v>
      </c>
      <c r="R11" t="s">
        <v>1203</v>
      </c>
      <c r="S11" t="s">
        <v>195</v>
      </c>
    </row>
    <row r="12" spans="1:19" x14ac:dyDescent="0.3">
      <c r="A12" t="s">
        <v>255</v>
      </c>
      <c r="B12" t="s">
        <v>23</v>
      </c>
      <c r="C12">
        <v>2026</v>
      </c>
      <c r="D12">
        <v>1</v>
      </c>
      <c r="E12" s="2">
        <v>46024</v>
      </c>
      <c r="F12" t="s">
        <v>7</v>
      </c>
      <c r="G12" t="s">
        <v>8</v>
      </c>
      <c r="H12" t="s">
        <v>74</v>
      </c>
      <c r="I12" t="s">
        <v>84</v>
      </c>
      <c r="J12" t="s">
        <v>85</v>
      </c>
      <c r="K12" t="s">
        <v>73</v>
      </c>
      <c r="L12">
        <v>701000</v>
      </c>
      <c r="M12" t="s">
        <v>62</v>
      </c>
      <c r="N12" t="s">
        <v>33</v>
      </c>
      <c r="O12">
        <v>4590</v>
      </c>
      <c r="P12">
        <v>0.95</v>
      </c>
      <c r="Q12">
        <v>4.3600000000000003</v>
      </c>
      <c r="R12" t="s">
        <v>1199</v>
      </c>
      <c r="S12" t="s">
        <v>195</v>
      </c>
    </row>
    <row r="13" spans="1:19" x14ac:dyDescent="0.3">
      <c r="A13" t="s">
        <v>256</v>
      </c>
      <c r="B13" t="s">
        <v>23</v>
      </c>
      <c r="C13">
        <v>2026</v>
      </c>
      <c r="D13">
        <v>1</v>
      </c>
      <c r="E13" s="2">
        <v>46024</v>
      </c>
      <c r="F13" t="s">
        <v>7</v>
      </c>
      <c r="G13" t="s">
        <v>8</v>
      </c>
      <c r="H13" t="s">
        <v>74</v>
      </c>
      <c r="I13" t="s">
        <v>84</v>
      </c>
      <c r="J13" t="s">
        <v>85</v>
      </c>
      <c r="K13" t="s">
        <v>73</v>
      </c>
      <c r="L13">
        <v>701000</v>
      </c>
      <c r="M13" t="s">
        <v>62</v>
      </c>
      <c r="N13" t="s">
        <v>33</v>
      </c>
      <c r="O13">
        <v>1385</v>
      </c>
      <c r="P13">
        <v>0.95</v>
      </c>
      <c r="Q13">
        <v>1.32</v>
      </c>
      <c r="R13" t="s">
        <v>1200</v>
      </c>
      <c r="S13" t="s">
        <v>195</v>
      </c>
    </row>
    <row r="14" spans="1:19" x14ac:dyDescent="0.3">
      <c r="A14" t="s">
        <v>257</v>
      </c>
      <c r="B14" t="s">
        <v>23</v>
      </c>
      <c r="C14">
        <v>2026</v>
      </c>
      <c r="D14">
        <v>1</v>
      </c>
      <c r="E14" s="2">
        <v>46024</v>
      </c>
      <c r="F14" t="s">
        <v>7</v>
      </c>
      <c r="G14" t="s">
        <v>8</v>
      </c>
      <c r="H14" t="s">
        <v>74</v>
      </c>
      <c r="I14" t="s">
        <v>84</v>
      </c>
      <c r="J14" t="s">
        <v>85</v>
      </c>
      <c r="K14" t="s">
        <v>73</v>
      </c>
      <c r="L14">
        <v>701000</v>
      </c>
      <c r="M14" t="s">
        <v>62</v>
      </c>
      <c r="N14" t="s">
        <v>33</v>
      </c>
      <c r="O14">
        <v>2651</v>
      </c>
      <c r="P14">
        <v>0.95</v>
      </c>
      <c r="Q14">
        <v>2.52</v>
      </c>
      <c r="R14" t="s">
        <v>1202</v>
      </c>
      <c r="S14" t="s">
        <v>195</v>
      </c>
    </row>
    <row r="15" spans="1:19" x14ac:dyDescent="0.3">
      <c r="A15" t="s">
        <v>258</v>
      </c>
      <c r="B15" t="s">
        <v>23</v>
      </c>
      <c r="C15">
        <v>2026</v>
      </c>
      <c r="D15">
        <v>1</v>
      </c>
      <c r="E15" s="2">
        <v>46024</v>
      </c>
      <c r="F15" t="s">
        <v>7</v>
      </c>
      <c r="G15" t="s">
        <v>8</v>
      </c>
      <c r="H15" t="s">
        <v>74</v>
      </c>
      <c r="I15" t="s">
        <v>84</v>
      </c>
      <c r="J15" t="s">
        <v>85</v>
      </c>
      <c r="K15" t="s">
        <v>73</v>
      </c>
      <c r="L15">
        <v>701000</v>
      </c>
      <c r="M15" t="s">
        <v>62</v>
      </c>
      <c r="N15" t="s">
        <v>33</v>
      </c>
      <c r="O15">
        <v>2587</v>
      </c>
      <c r="P15">
        <v>0.95</v>
      </c>
      <c r="Q15">
        <v>2.46</v>
      </c>
      <c r="R15" t="s">
        <v>1201</v>
      </c>
      <c r="S15" t="s">
        <v>195</v>
      </c>
    </row>
    <row r="16" spans="1:19" x14ac:dyDescent="0.3">
      <c r="A16" t="s">
        <v>259</v>
      </c>
      <c r="B16" t="s">
        <v>23</v>
      </c>
      <c r="C16">
        <v>2026</v>
      </c>
      <c r="D16">
        <v>1</v>
      </c>
      <c r="E16" s="2">
        <v>46024</v>
      </c>
      <c r="F16" t="s">
        <v>7</v>
      </c>
      <c r="G16" t="s">
        <v>8</v>
      </c>
      <c r="H16" t="s">
        <v>74</v>
      </c>
      <c r="I16" t="s">
        <v>84</v>
      </c>
      <c r="J16" t="s">
        <v>85</v>
      </c>
      <c r="K16" t="s">
        <v>73</v>
      </c>
      <c r="L16">
        <v>701000</v>
      </c>
      <c r="M16" t="s">
        <v>62</v>
      </c>
      <c r="N16" t="s">
        <v>33</v>
      </c>
      <c r="O16">
        <v>3589</v>
      </c>
      <c r="P16">
        <v>0.95</v>
      </c>
      <c r="Q16">
        <v>3.4</v>
      </c>
      <c r="R16" t="s">
        <v>1198</v>
      </c>
      <c r="S16" t="s">
        <v>195</v>
      </c>
    </row>
    <row r="17" spans="1:19" x14ac:dyDescent="0.3">
      <c r="A17" t="s">
        <v>490</v>
      </c>
      <c r="B17" t="s">
        <v>23</v>
      </c>
      <c r="C17">
        <v>2026</v>
      </c>
      <c r="D17">
        <v>1</v>
      </c>
      <c r="E17" s="2">
        <v>46024</v>
      </c>
      <c r="F17" t="s">
        <v>7</v>
      </c>
      <c r="G17" t="s">
        <v>8</v>
      </c>
      <c r="H17" t="s">
        <v>70</v>
      </c>
      <c r="I17" t="s">
        <v>71</v>
      </c>
      <c r="J17" t="s">
        <v>72</v>
      </c>
      <c r="K17" t="s">
        <v>73</v>
      </c>
      <c r="L17">
        <v>701000</v>
      </c>
      <c r="M17" t="s">
        <v>62</v>
      </c>
      <c r="N17" t="s">
        <v>33</v>
      </c>
      <c r="O17">
        <v>265</v>
      </c>
      <c r="P17">
        <v>1.06</v>
      </c>
      <c r="Q17">
        <v>0.28000000000000003</v>
      </c>
      <c r="R17" t="s">
        <v>1202</v>
      </c>
      <c r="S17" t="s">
        <v>195</v>
      </c>
    </row>
    <row r="18" spans="1:19" x14ac:dyDescent="0.3">
      <c r="A18" t="s">
        <v>491</v>
      </c>
      <c r="B18" t="s">
        <v>23</v>
      </c>
      <c r="C18">
        <v>2026</v>
      </c>
      <c r="D18">
        <v>1</v>
      </c>
      <c r="E18" s="2">
        <v>46024</v>
      </c>
      <c r="F18" t="s">
        <v>7</v>
      </c>
      <c r="G18" t="s">
        <v>8</v>
      </c>
      <c r="H18" t="s">
        <v>70</v>
      </c>
      <c r="I18" t="s">
        <v>71</v>
      </c>
      <c r="J18" t="s">
        <v>72</v>
      </c>
      <c r="K18" t="s">
        <v>73</v>
      </c>
      <c r="L18">
        <v>701000</v>
      </c>
      <c r="M18" t="s">
        <v>62</v>
      </c>
      <c r="N18" t="s">
        <v>33</v>
      </c>
      <c r="O18">
        <v>2903</v>
      </c>
      <c r="P18">
        <v>1.05</v>
      </c>
      <c r="Q18">
        <v>3.05</v>
      </c>
      <c r="R18" t="s">
        <v>1197</v>
      </c>
      <c r="S18" t="s">
        <v>195</v>
      </c>
    </row>
    <row r="19" spans="1:19" x14ac:dyDescent="0.3">
      <c r="A19" t="s">
        <v>492</v>
      </c>
      <c r="B19" t="s">
        <v>23</v>
      </c>
      <c r="C19">
        <v>2026</v>
      </c>
      <c r="D19">
        <v>1</v>
      </c>
      <c r="E19" s="2">
        <v>46024</v>
      </c>
      <c r="F19" t="s">
        <v>7</v>
      </c>
      <c r="G19" t="s">
        <v>8</v>
      </c>
      <c r="H19" t="s">
        <v>70</v>
      </c>
      <c r="I19" t="s">
        <v>71</v>
      </c>
      <c r="J19" t="s">
        <v>72</v>
      </c>
      <c r="K19" t="s">
        <v>73</v>
      </c>
      <c r="L19">
        <v>701000</v>
      </c>
      <c r="M19" t="s">
        <v>62</v>
      </c>
      <c r="N19" t="s">
        <v>33</v>
      </c>
      <c r="O19">
        <v>2688</v>
      </c>
      <c r="P19">
        <v>1.05</v>
      </c>
      <c r="Q19">
        <v>2.82</v>
      </c>
      <c r="R19" t="s">
        <v>1200</v>
      </c>
      <c r="S19" t="s">
        <v>195</v>
      </c>
    </row>
    <row r="20" spans="1:19" x14ac:dyDescent="0.3">
      <c r="A20" t="s">
        <v>493</v>
      </c>
      <c r="B20" t="s">
        <v>23</v>
      </c>
      <c r="C20">
        <v>2026</v>
      </c>
      <c r="D20">
        <v>1</v>
      </c>
      <c r="E20" s="2">
        <v>46024</v>
      </c>
      <c r="F20" t="s">
        <v>7</v>
      </c>
      <c r="G20" t="s">
        <v>8</v>
      </c>
      <c r="H20" t="s">
        <v>70</v>
      </c>
      <c r="I20" t="s">
        <v>71</v>
      </c>
      <c r="J20" t="s">
        <v>72</v>
      </c>
      <c r="K20" t="s">
        <v>73</v>
      </c>
      <c r="L20">
        <v>701000</v>
      </c>
      <c r="M20" t="s">
        <v>62</v>
      </c>
      <c r="N20" t="s">
        <v>33</v>
      </c>
      <c r="O20">
        <v>1665</v>
      </c>
      <c r="P20">
        <v>1.05</v>
      </c>
      <c r="Q20">
        <v>1.75</v>
      </c>
      <c r="R20" t="s">
        <v>1203</v>
      </c>
      <c r="S20" t="s">
        <v>195</v>
      </c>
    </row>
    <row r="21" spans="1:19" x14ac:dyDescent="0.3">
      <c r="A21" t="s">
        <v>494</v>
      </c>
      <c r="B21" t="s">
        <v>23</v>
      </c>
      <c r="C21">
        <v>2026</v>
      </c>
      <c r="D21">
        <v>1</v>
      </c>
      <c r="E21" s="2">
        <v>46024</v>
      </c>
      <c r="F21" t="s">
        <v>7</v>
      </c>
      <c r="G21" t="s">
        <v>8</v>
      </c>
      <c r="H21" t="s">
        <v>70</v>
      </c>
      <c r="I21" t="s">
        <v>71</v>
      </c>
      <c r="J21" t="s">
        <v>72</v>
      </c>
      <c r="K21" t="s">
        <v>73</v>
      </c>
      <c r="L21">
        <v>701000</v>
      </c>
      <c r="M21" t="s">
        <v>62</v>
      </c>
      <c r="N21" t="s">
        <v>33</v>
      </c>
      <c r="O21">
        <v>1746</v>
      </c>
      <c r="P21">
        <v>1.05</v>
      </c>
      <c r="Q21">
        <v>1.83</v>
      </c>
      <c r="R21" t="s">
        <v>1199</v>
      </c>
      <c r="S21" t="s">
        <v>195</v>
      </c>
    </row>
    <row r="22" spans="1:19" x14ac:dyDescent="0.3">
      <c r="A22" t="s">
        <v>620</v>
      </c>
      <c r="B22" t="s">
        <v>23</v>
      </c>
      <c r="C22">
        <v>2026</v>
      </c>
      <c r="D22">
        <v>1</v>
      </c>
      <c r="E22" s="2">
        <v>46024</v>
      </c>
      <c r="F22" t="s">
        <v>7</v>
      </c>
      <c r="G22" t="s">
        <v>8</v>
      </c>
      <c r="H22" t="s">
        <v>70</v>
      </c>
      <c r="I22" t="s">
        <v>75</v>
      </c>
      <c r="J22" t="s">
        <v>76</v>
      </c>
      <c r="K22" t="s">
        <v>73</v>
      </c>
      <c r="L22">
        <v>701000</v>
      </c>
      <c r="M22" t="s">
        <v>62</v>
      </c>
      <c r="N22" t="s">
        <v>33</v>
      </c>
      <c r="O22">
        <v>1790</v>
      </c>
      <c r="P22">
        <v>1.4</v>
      </c>
      <c r="Q22">
        <v>2.5099999999999998</v>
      </c>
      <c r="R22" t="s">
        <v>1204</v>
      </c>
      <c r="S22" t="s">
        <v>195</v>
      </c>
    </row>
    <row r="23" spans="1:19" x14ac:dyDescent="0.3">
      <c r="A23" t="s">
        <v>621</v>
      </c>
      <c r="B23" t="s">
        <v>23</v>
      </c>
      <c r="C23">
        <v>2026</v>
      </c>
      <c r="D23">
        <v>1</v>
      </c>
      <c r="E23" s="2">
        <v>46024</v>
      </c>
      <c r="F23" t="s">
        <v>7</v>
      </c>
      <c r="G23" t="s">
        <v>8</v>
      </c>
      <c r="H23" t="s">
        <v>70</v>
      </c>
      <c r="I23" t="s">
        <v>75</v>
      </c>
      <c r="J23" t="s">
        <v>76</v>
      </c>
      <c r="K23" t="s">
        <v>73</v>
      </c>
      <c r="L23">
        <v>701000</v>
      </c>
      <c r="M23" t="s">
        <v>62</v>
      </c>
      <c r="N23" t="s">
        <v>33</v>
      </c>
      <c r="O23">
        <v>2403</v>
      </c>
      <c r="P23">
        <v>1.4</v>
      </c>
      <c r="Q23">
        <v>3.36</v>
      </c>
      <c r="R23" t="s">
        <v>1205</v>
      </c>
      <c r="S23" t="s">
        <v>195</v>
      </c>
    </row>
    <row r="24" spans="1:19" x14ac:dyDescent="0.3">
      <c r="A24" t="s">
        <v>622</v>
      </c>
      <c r="B24" t="s">
        <v>23</v>
      </c>
      <c r="C24">
        <v>2026</v>
      </c>
      <c r="D24">
        <v>1</v>
      </c>
      <c r="E24" s="2">
        <v>46024</v>
      </c>
      <c r="F24" t="s">
        <v>7</v>
      </c>
      <c r="G24" t="s">
        <v>8</v>
      </c>
      <c r="H24" t="s">
        <v>70</v>
      </c>
      <c r="I24" t="s">
        <v>75</v>
      </c>
      <c r="J24" t="s">
        <v>76</v>
      </c>
      <c r="K24" t="s">
        <v>73</v>
      </c>
      <c r="L24">
        <v>701000</v>
      </c>
      <c r="M24" t="s">
        <v>62</v>
      </c>
      <c r="N24" t="s">
        <v>33</v>
      </c>
      <c r="O24">
        <v>805</v>
      </c>
      <c r="P24">
        <v>1.4</v>
      </c>
      <c r="Q24">
        <v>1.1299999999999999</v>
      </c>
      <c r="R24" t="s">
        <v>1199</v>
      </c>
      <c r="S24" t="s">
        <v>195</v>
      </c>
    </row>
    <row r="25" spans="1:19" x14ac:dyDescent="0.3">
      <c r="A25" t="s">
        <v>623</v>
      </c>
      <c r="B25" t="s">
        <v>23</v>
      </c>
      <c r="C25">
        <v>2026</v>
      </c>
      <c r="D25">
        <v>1</v>
      </c>
      <c r="E25" s="2">
        <v>46024</v>
      </c>
      <c r="F25" t="s">
        <v>7</v>
      </c>
      <c r="G25" t="s">
        <v>8</v>
      </c>
      <c r="H25" t="s">
        <v>70</v>
      </c>
      <c r="I25" t="s">
        <v>75</v>
      </c>
      <c r="J25" t="s">
        <v>76</v>
      </c>
      <c r="K25" t="s">
        <v>73</v>
      </c>
      <c r="L25">
        <v>701000</v>
      </c>
      <c r="M25" t="s">
        <v>62</v>
      </c>
      <c r="N25" t="s">
        <v>33</v>
      </c>
      <c r="O25">
        <v>1115</v>
      </c>
      <c r="P25">
        <v>1.4</v>
      </c>
      <c r="Q25">
        <v>1.56</v>
      </c>
      <c r="R25" t="s">
        <v>1201</v>
      </c>
      <c r="S25" t="s">
        <v>195</v>
      </c>
    </row>
    <row r="26" spans="1:19" x14ac:dyDescent="0.3">
      <c r="A26" t="s">
        <v>624</v>
      </c>
      <c r="B26" t="s">
        <v>23</v>
      </c>
      <c r="C26">
        <v>2026</v>
      </c>
      <c r="D26">
        <v>1</v>
      </c>
      <c r="E26" s="2">
        <v>46024</v>
      </c>
      <c r="F26" t="s">
        <v>7</v>
      </c>
      <c r="G26" t="s">
        <v>8</v>
      </c>
      <c r="H26" t="s">
        <v>70</v>
      </c>
      <c r="I26" t="s">
        <v>75</v>
      </c>
      <c r="J26" t="s">
        <v>76</v>
      </c>
      <c r="K26" t="s">
        <v>73</v>
      </c>
      <c r="L26">
        <v>701000</v>
      </c>
      <c r="M26" t="s">
        <v>62</v>
      </c>
      <c r="N26" t="s">
        <v>33</v>
      </c>
      <c r="O26">
        <v>1343</v>
      </c>
      <c r="P26">
        <v>1.4</v>
      </c>
      <c r="Q26">
        <v>1.88</v>
      </c>
      <c r="R26" t="s">
        <v>1197</v>
      </c>
      <c r="S26" t="s">
        <v>195</v>
      </c>
    </row>
    <row r="27" spans="1:19" x14ac:dyDescent="0.3">
      <c r="A27" t="s">
        <v>625</v>
      </c>
      <c r="B27" t="s">
        <v>23</v>
      </c>
      <c r="C27">
        <v>2026</v>
      </c>
      <c r="D27">
        <v>1</v>
      </c>
      <c r="E27" s="2">
        <v>46024</v>
      </c>
      <c r="F27" t="s">
        <v>7</v>
      </c>
      <c r="G27" t="s">
        <v>8</v>
      </c>
      <c r="H27" t="s">
        <v>70</v>
      </c>
      <c r="I27" t="s">
        <v>75</v>
      </c>
      <c r="J27" t="s">
        <v>76</v>
      </c>
      <c r="K27" t="s">
        <v>73</v>
      </c>
      <c r="L27">
        <v>701000</v>
      </c>
      <c r="M27" t="s">
        <v>62</v>
      </c>
      <c r="N27" t="s">
        <v>33</v>
      </c>
      <c r="O27">
        <v>1042</v>
      </c>
      <c r="P27">
        <v>1.4</v>
      </c>
      <c r="Q27">
        <v>1.46</v>
      </c>
      <c r="R27" t="s">
        <v>1202</v>
      </c>
      <c r="S27" t="s">
        <v>195</v>
      </c>
    </row>
    <row r="28" spans="1:19" x14ac:dyDescent="0.3">
      <c r="A28" t="s">
        <v>626</v>
      </c>
      <c r="B28" t="s">
        <v>23</v>
      </c>
      <c r="C28">
        <v>2026</v>
      </c>
      <c r="D28">
        <v>1</v>
      </c>
      <c r="E28" s="2">
        <v>46024</v>
      </c>
      <c r="F28" t="s">
        <v>7</v>
      </c>
      <c r="G28" t="s">
        <v>8</v>
      </c>
      <c r="H28" t="s">
        <v>70</v>
      </c>
      <c r="I28" t="s">
        <v>75</v>
      </c>
      <c r="J28" t="s">
        <v>76</v>
      </c>
      <c r="K28" t="s">
        <v>73</v>
      </c>
      <c r="L28">
        <v>701000</v>
      </c>
      <c r="M28" t="s">
        <v>62</v>
      </c>
      <c r="N28" t="s">
        <v>33</v>
      </c>
      <c r="O28">
        <v>1395</v>
      </c>
      <c r="P28">
        <v>1.4</v>
      </c>
      <c r="Q28">
        <v>1.95</v>
      </c>
      <c r="R28" t="s">
        <v>1197</v>
      </c>
      <c r="S28" t="s">
        <v>195</v>
      </c>
    </row>
    <row r="29" spans="1:19" x14ac:dyDescent="0.3">
      <c r="A29" t="s">
        <v>627</v>
      </c>
      <c r="B29" t="s">
        <v>23</v>
      </c>
      <c r="C29">
        <v>2026</v>
      </c>
      <c r="D29">
        <v>1</v>
      </c>
      <c r="E29" s="2">
        <v>46024</v>
      </c>
      <c r="F29" t="s">
        <v>7</v>
      </c>
      <c r="G29" t="s">
        <v>8</v>
      </c>
      <c r="H29" t="s">
        <v>70</v>
      </c>
      <c r="I29" t="s">
        <v>75</v>
      </c>
      <c r="J29" t="s">
        <v>76</v>
      </c>
      <c r="K29" t="s">
        <v>73</v>
      </c>
      <c r="L29">
        <v>701000</v>
      </c>
      <c r="M29" t="s">
        <v>62</v>
      </c>
      <c r="N29" t="s">
        <v>33</v>
      </c>
      <c r="O29">
        <v>1781</v>
      </c>
      <c r="P29">
        <v>1.4</v>
      </c>
      <c r="Q29">
        <v>2.4900000000000002</v>
      </c>
      <c r="R29" t="s">
        <v>1204</v>
      </c>
      <c r="S29" t="s">
        <v>195</v>
      </c>
    </row>
    <row r="30" spans="1:19" x14ac:dyDescent="0.3">
      <c r="A30" t="s">
        <v>628</v>
      </c>
      <c r="B30" t="s">
        <v>23</v>
      </c>
      <c r="C30">
        <v>2026</v>
      </c>
      <c r="D30">
        <v>1</v>
      </c>
      <c r="E30" s="2">
        <v>46024</v>
      </c>
      <c r="F30" t="s">
        <v>7</v>
      </c>
      <c r="G30" t="s">
        <v>8</v>
      </c>
      <c r="H30" t="s">
        <v>70</v>
      </c>
      <c r="I30" t="s">
        <v>75</v>
      </c>
      <c r="J30" t="s">
        <v>76</v>
      </c>
      <c r="K30" t="s">
        <v>73</v>
      </c>
      <c r="L30">
        <v>701000</v>
      </c>
      <c r="M30" t="s">
        <v>62</v>
      </c>
      <c r="N30" t="s">
        <v>33</v>
      </c>
      <c r="O30">
        <v>1681</v>
      </c>
      <c r="P30">
        <v>1.4</v>
      </c>
      <c r="Q30">
        <v>2.35</v>
      </c>
      <c r="R30" t="s">
        <v>1200</v>
      </c>
      <c r="S30" t="s">
        <v>195</v>
      </c>
    </row>
    <row r="31" spans="1:19" x14ac:dyDescent="0.3">
      <c r="A31" t="s">
        <v>629</v>
      </c>
      <c r="B31" t="s">
        <v>23</v>
      </c>
      <c r="C31">
        <v>2026</v>
      </c>
      <c r="D31">
        <v>1</v>
      </c>
      <c r="E31" s="2">
        <v>46024</v>
      </c>
      <c r="F31" t="s">
        <v>7</v>
      </c>
      <c r="G31" t="s">
        <v>8</v>
      </c>
      <c r="H31" t="s">
        <v>70</v>
      </c>
      <c r="I31" t="s">
        <v>75</v>
      </c>
      <c r="J31" t="s">
        <v>76</v>
      </c>
      <c r="K31" t="s">
        <v>73</v>
      </c>
      <c r="L31">
        <v>701000</v>
      </c>
      <c r="M31" t="s">
        <v>62</v>
      </c>
      <c r="N31" t="s">
        <v>33</v>
      </c>
      <c r="O31">
        <v>1600</v>
      </c>
      <c r="P31">
        <v>1.41</v>
      </c>
      <c r="Q31">
        <v>2.25</v>
      </c>
      <c r="R31" t="s">
        <v>1201</v>
      </c>
      <c r="S31" t="s">
        <v>195</v>
      </c>
    </row>
    <row r="32" spans="1:19" x14ac:dyDescent="0.3">
      <c r="A32" t="s">
        <v>685</v>
      </c>
      <c r="B32" t="s">
        <v>23</v>
      </c>
      <c r="C32">
        <v>2026</v>
      </c>
      <c r="D32">
        <v>1</v>
      </c>
      <c r="E32" s="2">
        <v>46024</v>
      </c>
      <c r="F32" t="s">
        <v>7</v>
      </c>
      <c r="G32" t="s">
        <v>8</v>
      </c>
      <c r="H32" t="s">
        <v>74</v>
      </c>
      <c r="I32" t="s">
        <v>77</v>
      </c>
      <c r="J32" t="s">
        <v>78</v>
      </c>
      <c r="K32" t="s">
        <v>73</v>
      </c>
      <c r="L32">
        <v>701000</v>
      </c>
      <c r="M32" t="s">
        <v>62</v>
      </c>
      <c r="N32" t="s">
        <v>33</v>
      </c>
      <c r="O32">
        <v>252</v>
      </c>
      <c r="P32">
        <v>1.79</v>
      </c>
      <c r="Q32">
        <v>0.45</v>
      </c>
      <c r="R32" t="s">
        <v>1205</v>
      </c>
      <c r="S32" t="s">
        <v>195</v>
      </c>
    </row>
    <row r="33" spans="1:19" x14ac:dyDescent="0.3">
      <c r="A33" t="s">
        <v>686</v>
      </c>
      <c r="B33" t="s">
        <v>23</v>
      </c>
      <c r="C33">
        <v>2026</v>
      </c>
      <c r="D33">
        <v>1</v>
      </c>
      <c r="E33" s="2">
        <v>46024</v>
      </c>
      <c r="F33" t="s">
        <v>7</v>
      </c>
      <c r="G33" t="s">
        <v>8</v>
      </c>
      <c r="H33" t="s">
        <v>74</v>
      </c>
      <c r="I33" t="s">
        <v>77</v>
      </c>
      <c r="J33" t="s">
        <v>78</v>
      </c>
      <c r="K33" t="s">
        <v>73</v>
      </c>
      <c r="L33">
        <v>701000</v>
      </c>
      <c r="M33" t="s">
        <v>62</v>
      </c>
      <c r="N33" t="s">
        <v>33</v>
      </c>
      <c r="O33">
        <v>1800</v>
      </c>
      <c r="P33">
        <v>1.8</v>
      </c>
      <c r="Q33">
        <v>3.24</v>
      </c>
      <c r="R33" t="s">
        <v>1200</v>
      </c>
      <c r="S33" t="s">
        <v>195</v>
      </c>
    </row>
    <row r="34" spans="1:19" x14ac:dyDescent="0.3">
      <c r="A34" t="s">
        <v>687</v>
      </c>
      <c r="B34" t="s">
        <v>23</v>
      </c>
      <c r="C34">
        <v>2026</v>
      </c>
      <c r="D34">
        <v>1</v>
      </c>
      <c r="E34" s="2">
        <v>46024</v>
      </c>
      <c r="F34" t="s">
        <v>7</v>
      </c>
      <c r="G34" t="s">
        <v>8</v>
      </c>
      <c r="H34" t="s">
        <v>74</v>
      </c>
      <c r="I34" t="s">
        <v>77</v>
      </c>
      <c r="J34" t="s">
        <v>78</v>
      </c>
      <c r="K34" t="s">
        <v>73</v>
      </c>
      <c r="L34">
        <v>701000</v>
      </c>
      <c r="M34" t="s">
        <v>62</v>
      </c>
      <c r="N34" t="s">
        <v>33</v>
      </c>
      <c r="O34">
        <v>1274</v>
      </c>
      <c r="P34">
        <v>1.8</v>
      </c>
      <c r="Q34">
        <v>2.29</v>
      </c>
      <c r="R34" t="s">
        <v>1204</v>
      </c>
      <c r="S34" t="s">
        <v>195</v>
      </c>
    </row>
    <row r="35" spans="1:19" x14ac:dyDescent="0.3">
      <c r="A35" t="s">
        <v>688</v>
      </c>
      <c r="B35" t="s">
        <v>23</v>
      </c>
      <c r="C35">
        <v>2026</v>
      </c>
      <c r="D35">
        <v>1</v>
      </c>
      <c r="E35" s="2">
        <v>46024</v>
      </c>
      <c r="F35" t="s">
        <v>7</v>
      </c>
      <c r="G35" t="s">
        <v>8</v>
      </c>
      <c r="H35" t="s">
        <v>74</v>
      </c>
      <c r="I35" t="s">
        <v>77</v>
      </c>
      <c r="J35" t="s">
        <v>78</v>
      </c>
      <c r="K35" t="s">
        <v>73</v>
      </c>
      <c r="L35">
        <v>701000</v>
      </c>
      <c r="M35" t="s">
        <v>62</v>
      </c>
      <c r="N35" t="s">
        <v>33</v>
      </c>
      <c r="O35">
        <v>3357</v>
      </c>
      <c r="P35">
        <v>1.8</v>
      </c>
      <c r="Q35">
        <v>6.04</v>
      </c>
      <c r="R35" t="s">
        <v>1197</v>
      </c>
      <c r="S35" t="s">
        <v>195</v>
      </c>
    </row>
    <row r="36" spans="1:19" x14ac:dyDescent="0.3">
      <c r="A36" t="s">
        <v>689</v>
      </c>
      <c r="B36" t="s">
        <v>23</v>
      </c>
      <c r="C36">
        <v>2026</v>
      </c>
      <c r="D36">
        <v>1</v>
      </c>
      <c r="E36" s="2">
        <v>46024</v>
      </c>
      <c r="F36" t="s">
        <v>7</v>
      </c>
      <c r="G36" t="s">
        <v>8</v>
      </c>
      <c r="H36" t="s">
        <v>74</v>
      </c>
      <c r="I36" t="s">
        <v>77</v>
      </c>
      <c r="J36" t="s">
        <v>78</v>
      </c>
      <c r="K36" t="s">
        <v>73</v>
      </c>
      <c r="L36">
        <v>701000</v>
      </c>
      <c r="M36" t="s">
        <v>62</v>
      </c>
      <c r="N36" t="s">
        <v>33</v>
      </c>
      <c r="O36">
        <v>2341</v>
      </c>
      <c r="P36">
        <v>1.8</v>
      </c>
      <c r="Q36">
        <v>4.22</v>
      </c>
      <c r="R36" t="s">
        <v>1199</v>
      </c>
      <c r="S36" t="s">
        <v>195</v>
      </c>
    </row>
    <row r="37" spans="1:19" x14ac:dyDescent="0.3">
      <c r="A37" t="s">
        <v>705</v>
      </c>
      <c r="B37" t="s">
        <v>23</v>
      </c>
      <c r="C37">
        <v>2026</v>
      </c>
      <c r="D37">
        <v>1</v>
      </c>
      <c r="E37" s="2">
        <v>46024</v>
      </c>
      <c r="F37" t="s">
        <v>7</v>
      </c>
      <c r="G37" t="s">
        <v>8</v>
      </c>
      <c r="H37" t="s">
        <v>74</v>
      </c>
      <c r="I37" t="s">
        <v>77</v>
      </c>
      <c r="J37" t="s">
        <v>78</v>
      </c>
      <c r="K37" t="s">
        <v>73</v>
      </c>
      <c r="L37">
        <v>701000</v>
      </c>
      <c r="M37" t="s">
        <v>62</v>
      </c>
      <c r="N37" t="s">
        <v>33</v>
      </c>
      <c r="O37">
        <v>4329</v>
      </c>
      <c r="P37">
        <v>1.8</v>
      </c>
      <c r="Q37">
        <v>7.79</v>
      </c>
      <c r="R37" t="s">
        <v>1203</v>
      </c>
      <c r="S37" t="s">
        <v>195</v>
      </c>
    </row>
    <row r="38" spans="1:19" x14ac:dyDescent="0.3">
      <c r="A38" t="s">
        <v>706</v>
      </c>
      <c r="B38" t="s">
        <v>23</v>
      </c>
      <c r="C38">
        <v>2026</v>
      </c>
      <c r="D38">
        <v>1</v>
      </c>
      <c r="E38" s="2">
        <v>46024</v>
      </c>
      <c r="F38" t="s">
        <v>7</v>
      </c>
      <c r="G38" t="s">
        <v>8</v>
      </c>
      <c r="H38" t="s">
        <v>74</v>
      </c>
      <c r="I38" t="s">
        <v>77</v>
      </c>
      <c r="J38" t="s">
        <v>78</v>
      </c>
      <c r="K38" t="s">
        <v>73</v>
      </c>
      <c r="L38">
        <v>701000</v>
      </c>
      <c r="M38" t="s">
        <v>62</v>
      </c>
      <c r="N38" t="s">
        <v>33</v>
      </c>
      <c r="O38">
        <v>1575</v>
      </c>
      <c r="P38">
        <v>1.8</v>
      </c>
      <c r="Q38">
        <v>2.83</v>
      </c>
      <c r="R38" t="s">
        <v>1204</v>
      </c>
      <c r="S38" t="s">
        <v>195</v>
      </c>
    </row>
    <row r="39" spans="1:19" x14ac:dyDescent="0.3">
      <c r="A39" t="s">
        <v>707</v>
      </c>
      <c r="B39" t="s">
        <v>23</v>
      </c>
      <c r="C39">
        <v>2026</v>
      </c>
      <c r="D39">
        <v>1</v>
      </c>
      <c r="E39" s="2">
        <v>46024</v>
      </c>
      <c r="F39" t="s">
        <v>7</v>
      </c>
      <c r="G39" t="s">
        <v>8</v>
      </c>
      <c r="H39" t="s">
        <v>74</v>
      </c>
      <c r="I39" t="s">
        <v>77</v>
      </c>
      <c r="J39" t="s">
        <v>78</v>
      </c>
      <c r="K39" t="s">
        <v>73</v>
      </c>
      <c r="L39">
        <v>701000</v>
      </c>
      <c r="M39" t="s">
        <v>62</v>
      </c>
      <c r="N39" t="s">
        <v>33</v>
      </c>
      <c r="O39">
        <v>323</v>
      </c>
      <c r="P39">
        <v>1.8</v>
      </c>
      <c r="Q39">
        <v>0.57999999999999996</v>
      </c>
      <c r="R39" t="s">
        <v>1200</v>
      </c>
      <c r="S39" t="s">
        <v>195</v>
      </c>
    </row>
    <row r="40" spans="1:19" x14ac:dyDescent="0.3">
      <c r="A40" t="s">
        <v>708</v>
      </c>
      <c r="B40" t="s">
        <v>23</v>
      </c>
      <c r="C40">
        <v>2026</v>
      </c>
      <c r="D40">
        <v>1</v>
      </c>
      <c r="E40" s="2">
        <v>46024</v>
      </c>
      <c r="F40" t="s">
        <v>7</v>
      </c>
      <c r="G40" t="s">
        <v>8</v>
      </c>
      <c r="H40" t="s">
        <v>74</v>
      </c>
      <c r="I40" t="s">
        <v>77</v>
      </c>
      <c r="J40" t="s">
        <v>78</v>
      </c>
      <c r="K40" t="s">
        <v>73</v>
      </c>
      <c r="L40">
        <v>701000</v>
      </c>
      <c r="M40" t="s">
        <v>62</v>
      </c>
      <c r="N40" t="s">
        <v>33</v>
      </c>
      <c r="O40">
        <v>612</v>
      </c>
      <c r="P40">
        <v>1.8</v>
      </c>
      <c r="Q40">
        <v>1.1000000000000001</v>
      </c>
      <c r="R40" t="s">
        <v>1198</v>
      </c>
      <c r="S40" t="s">
        <v>195</v>
      </c>
    </row>
    <row r="41" spans="1:19" x14ac:dyDescent="0.3">
      <c r="A41" t="s">
        <v>709</v>
      </c>
      <c r="B41" t="s">
        <v>23</v>
      </c>
      <c r="C41">
        <v>2026</v>
      </c>
      <c r="D41">
        <v>1</v>
      </c>
      <c r="E41" s="2">
        <v>46024</v>
      </c>
      <c r="F41" t="s">
        <v>7</v>
      </c>
      <c r="G41" t="s">
        <v>8</v>
      </c>
      <c r="H41" t="s">
        <v>74</v>
      </c>
      <c r="I41" t="s">
        <v>77</v>
      </c>
      <c r="J41" t="s">
        <v>78</v>
      </c>
      <c r="K41" t="s">
        <v>73</v>
      </c>
      <c r="L41">
        <v>701000</v>
      </c>
      <c r="M41" t="s">
        <v>62</v>
      </c>
      <c r="N41" t="s">
        <v>33</v>
      </c>
      <c r="O41">
        <v>2100</v>
      </c>
      <c r="P41">
        <v>1.8</v>
      </c>
      <c r="Q41">
        <v>3.79</v>
      </c>
      <c r="R41" t="s">
        <v>1205</v>
      </c>
      <c r="S41" t="s">
        <v>195</v>
      </c>
    </row>
    <row r="42" spans="1:19" x14ac:dyDescent="0.3">
      <c r="A42" t="s">
        <v>930</v>
      </c>
      <c r="B42" t="s">
        <v>23</v>
      </c>
      <c r="C42">
        <v>2026</v>
      </c>
      <c r="D42">
        <v>1</v>
      </c>
      <c r="E42" s="2">
        <v>46024</v>
      </c>
      <c r="F42" t="s">
        <v>7</v>
      </c>
      <c r="G42" t="s">
        <v>8</v>
      </c>
      <c r="H42" t="s">
        <v>70</v>
      </c>
      <c r="I42" t="s">
        <v>82</v>
      </c>
      <c r="J42" t="s">
        <v>83</v>
      </c>
      <c r="K42" t="s">
        <v>73</v>
      </c>
      <c r="L42">
        <v>707000</v>
      </c>
      <c r="M42" t="s">
        <v>81</v>
      </c>
      <c r="N42" t="s">
        <v>33</v>
      </c>
      <c r="O42">
        <v>98</v>
      </c>
      <c r="P42">
        <v>18.37</v>
      </c>
      <c r="Q42">
        <v>1.8</v>
      </c>
      <c r="R42" t="s">
        <v>1201</v>
      </c>
      <c r="S42" t="s">
        <v>195</v>
      </c>
    </row>
    <row r="43" spans="1:19" x14ac:dyDescent="0.3">
      <c r="A43" t="s">
        <v>931</v>
      </c>
      <c r="B43" t="s">
        <v>23</v>
      </c>
      <c r="C43">
        <v>2026</v>
      </c>
      <c r="D43">
        <v>1</v>
      </c>
      <c r="E43" s="2">
        <v>46024</v>
      </c>
      <c r="F43" t="s">
        <v>7</v>
      </c>
      <c r="G43" t="s">
        <v>8</v>
      </c>
      <c r="H43" t="s">
        <v>70</v>
      </c>
      <c r="I43" t="s">
        <v>82</v>
      </c>
      <c r="J43" t="s">
        <v>83</v>
      </c>
      <c r="K43" t="s">
        <v>73</v>
      </c>
      <c r="L43">
        <v>707000</v>
      </c>
      <c r="M43" t="s">
        <v>81</v>
      </c>
      <c r="N43" t="s">
        <v>33</v>
      </c>
      <c r="O43">
        <v>105</v>
      </c>
      <c r="P43">
        <v>18.57</v>
      </c>
      <c r="Q43">
        <v>1.95</v>
      </c>
      <c r="R43" t="s">
        <v>1205</v>
      </c>
      <c r="S43" t="s">
        <v>195</v>
      </c>
    </row>
    <row r="44" spans="1:19" x14ac:dyDescent="0.3">
      <c r="A44" t="s">
        <v>932</v>
      </c>
      <c r="B44" t="s">
        <v>23</v>
      </c>
      <c r="C44">
        <v>2026</v>
      </c>
      <c r="D44">
        <v>1</v>
      </c>
      <c r="E44" s="2">
        <v>46024</v>
      </c>
      <c r="F44" t="s">
        <v>7</v>
      </c>
      <c r="G44" t="s">
        <v>8</v>
      </c>
      <c r="H44" t="s">
        <v>70</v>
      </c>
      <c r="I44" t="s">
        <v>82</v>
      </c>
      <c r="J44" t="s">
        <v>83</v>
      </c>
      <c r="K44" t="s">
        <v>73</v>
      </c>
      <c r="L44">
        <v>707000</v>
      </c>
      <c r="M44" t="s">
        <v>81</v>
      </c>
      <c r="N44" t="s">
        <v>33</v>
      </c>
      <c r="O44">
        <v>166</v>
      </c>
      <c r="P44">
        <v>18.43</v>
      </c>
      <c r="Q44">
        <v>3.06</v>
      </c>
      <c r="R44" t="s">
        <v>1204</v>
      </c>
      <c r="S44" t="s">
        <v>195</v>
      </c>
    </row>
    <row r="45" spans="1:19" x14ac:dyDescent="0.3">
      <c r="A45" t="s">
        <v>933</v>
      </c>
      <c r="B45" t="s">
        <v>23</v>
      </c>
      <c r="C45">
        <v>2026</v>
      </c>
      <c r="D45">
        <v>1</v>
      </c>
      <c r="E45" s="2">
        <v>46024</v>
      </c>
      <c r="F45" t="s">
        <v>7</v>
      </c>
      <c r="G45" t="s">
        <v>8</v>
      </c>
      <c r="H45" t="s">
        <v>70</v>
      </c>
      <c r="I45" t="s">
        <v>82</v>
      </c>
      <c r="J45" t="s">
        <v>83</v>
      </c>
      <c r="K45" t="s">
        <v>73</v>
      </c>
      <c r="L45">
        <v>707000</v>
      </c>
      <c r="M45" t="s">
        <v>81</v>
      </c>
      <c r="N45" t="s">
        <v>33</v>
      </c>
      <c r="O45">
        <v>259</v>
      </c>
      <c r="P45">
        <v>18.489999999999998</v>
      </c>
      <c r="Q45">
        <v>4.79</v>
      </c>
      <c r="R45" t="s">
        <v>1200</v>
      </c>
      <c r="S45" t="s">
        <v>195</v>
      </c>
    </row>
    <row r="46" spans="1:19" x14ac:dyDescent="0.3">
      <c r="A46" t="s">
        <v>934</v>
      </c>
      <c r="B46" t="s">
        <v>23</v>
      </c>
      <c r="C46">
        <v>2026</v>
      </c>
      <c r="D46">
        <v>1</v>
      </c>
      <c r="E46" s="2">
        <v>46024</v>
      </c>
      <c r="F46" t="s">
        <v>7</v>
      </c>
      <c r="G46" t="s">
        <v>8</v>
      </c>
      <c r="H46" t="s">
        <v>70</v>
      </c>
      <c r="I46" t="s">
        <v>82</v>
      </c>
      <c r="J46" t="s">
        <v>83</v>
      </c>
      <c r="K46" t="s">
        <v>73</v>
      </c>
      <c r="L46">
        <v>707000</v>
      </c>
      <c r="M46" t="s">
        <v>81</v>
      </c>
      <c r="N46" t="s">
        <v>33</v>
      </c>
      <c r="O46">
        <v>146</v>
      </c>
      <c r="P46">
        <v>18.63</v>
      </c>
      <c r="Q46">
        <v>2.72</v>
      </c>
      <c r="R46" t="s">
        <v>1197</v>
      </c>
      <c r="S46" t="s">
        <v>195</v>
      </c>
    </row>
    <row r="47" spans="1:19" x14ac:dyDescent="0.3">
      <c r="A47" t="s">
        <v>205</v>
      </c>
      <c r="B47" t="s">
        <v>23</v>
      </c>
      <c r="C47">
        <v>2026</v>
      </c>
      <c r="D47">
        <v>1</v>
      </c>
      <c r="E47" s="2">
        <v>46025</v>
      </c>
      <c r="F47" t="s">
        <v>7</v>
      </c>
      <c r="G47" t="s">
        <v>8</v>
      </c>
      <c r="H47" t="s">
        <v>74</v>
      </c>
      <c r="I47" t="s">
        <v>84</v>
      </c>
      <c r="J47" t="s">
        <v>85</v>
      </c>
      <c r="K47" t="s">
        <v>73</v>
      </c>
      <c r="L47">
        <v>701000</v>
      </c>
      <c r="M47" t="s">
        <v>62</v>
      </c>
      <c r="N47" t="s">
        <v>33</v>
      </c>
      <c r="O47">
        <v>836</v>
      </c>
      <c r="P47">
        <v>0.94</v>
      </c>
      <c r="Q47">
        <v>0.79</v>
      </c>
      <c r="R47" t="s">
        <v>1199</v>
      </c>
      <c r="S47" t="s">
        <v>195</v>
      </c>
    </row>
    <row r="48" spans="1:19" x14ac:dyDescent="0.3">
      <c r="A48" t="s">
        <v>206</v>
      </c>
      <c r="B48" t="s">
        <v>23</v>
      </c>
      <c r="C48">
        <v>2026</v>
      </c>
      <c r="D48">
        <v>1</v>
      </c>
      <c r="E48" s="2">
        <v>46025</v>
      </c>
      <c r="F48" t="s">
        <v>7</v>
      </c>
      <c r="G48" t="s">
        <v>8</v>
      </c>
      <c r="H48" t="s">
        <v>74</v>
      </c>
      <c r="I48" t="s">
        <v>84</v>
      </c>
      <c r="J48" t="s">
        <v>85</v>
      </c>
      <c r="K48" t="s">
        <v>73</v>
      </c>
      <c r="L48">
        <v>701000</v>
      </c>
      <c r="M48" t="s">
        <v>62</v>
      </c>
      <c r="N48" t="s">
        <v>33</v>
      </c>
      <c r="O48">
        <v>694</v>
      </c>
      <c r="P48">
        <v>0.95</v>
      </c>
      <c r="Q48">
        <v>0.66</v>
      </c>
      <c r="R48" t="s">
        <v>1197</v>
      </c>
      <c r="S48" t="s">
        <v>195</v>
      </c>
    </row>
    <row r="49" spans="1:19" x14ac:dyDescent="0.3">
      <c r="A49" t="s">
        <v>207</v>
      </c>
      <c r="B49" t="s">
        <v>23</v>
      </c>
      <c r="C49">
        <v>2026</v>
      </c>
      <c r="D49">
        <v>1</v>
      </c>
      <c r="E49" s="2">
        <v>46025</v>
      </c>
      <c r="F49" t="s">
        <v>7</v>
      </c>
      <c r="G49" t="s">
        <v>8</v>
      </c>
      <c r="H49" t="s">
        <v>74</v>
      </c>
      <c r="I49" t="s">
        <v>84</v>
      </c>
      <c r="J49" t="s">
        <v>85</v>
      </c>
      <c r="K49" t="s">
        <v>73</v>
      </c>
      <c r="L49">
        <v>701000</v>
      </c>
      <c r="M49" t="s">
        <v>62</v>
      </c>
      <c r="N49" t="s">
        <v>33</v>
      </c>
      <c r="O49">
        <v>1196</v>
      </c>
      <c r="P49">
        <v>0.95</v>
      </c>
      <c r="Q49">
        <v>1.1399999999999999</v>
      </c>
      <c r="R49" t="s">
        <v>1202</v>
      </c>
      <c r="S49" t="s">
        <v>195</v>
      </c>
    </row>
    <row r="50" spans="1:19" x14ac:dyDescent="0.3">
      <c r="A50" t="s">
        <v>208</v>
      </c>
      <c r="B50" t="s">
        <v>23</v>
      </c>
      <c r="C50">
        <v>2026</v>
      </c>
      <c r="D50">
        <v>1</v>
      </c>
      <c r="E50" s="2">
        <v>46025</v>
      </c>
      <c r="F50" t="s">
        <v>7</v>
      </c>
      <c r="G50" t="s">
        <v>8</v>
      </c>
      <c r="H50" t="s">
        <v>74</v>
      </c>
      <c r="I50" t="s">
        <v>84</v>
      </c>
      <c r="J50" t="s">
        <v>85</v>
      </c>
      <c r="K50" t="s">
        <v>73</v>
      </c>
      <c r="L50">
        <v>701000</v>
      </c>
      <c r="M50" t="s">
        <v>62</v>
      </c>
      <c r="N50" t="s">
        <v>33</v>
      </c>
      <c r="O50">
        <v>6805</v>
      </c>
      <c r="P50">
        <v>0.95</v>
      </c>
      <c r="Q50">
        <v>6.47</v>
      </c>
      <c r="R50" t="s">
        <v>1200</v>
      </c>
      <c r="S50" t="s">
        <v>195</v>
      </c>
    </row>
    <row r="51" spans="1:19" x14ac:dyDescent="0.3">
      <c r="A51" t="s">
        <v>209</v>
      </c>
      <c r="B51" t="s">
        <v>23</v>
      </c>
      <c r="C51">
        <v>2026</v>
      </c>
      <c r="D51">
        <v>1</v>
      </c>
      <c r="E51" s="2">
        <v>46025</v>
      </c>
      <c r="F51" t="s">
        <v>7</v>
      </c>
      <c r="G51" t="s">
        <v>8</v>
      </c>
      <c r="H51" t="s">
        <v>74</v>
      </c>
      <c r="I51" t="s">
        <v>84</v>
      </c>
      <c r="J51" t="s">
        <v>85</v>
      </c>
      <c r="K51" t="s">
        <v>73</v>
      </c>
      <c r="L51">
        <v>701000</v>
      </c>
      <c r="M51" t="s">
        <v>62</v>
      </c>
      <c r="N51" t="s">
        <v>33</v>
      </c>
      <c r="O51">
        <v>1932</v>
      </c>
      <c r="P51">
        <v>0.95</v>
      </c>
      <c r="Q51">
        <v>1.83</v>
      </c>
      <c r="R51" t="s">
        <v>1204</v>
      </c>
      <c r="S51" t="s">
        <v>195</v>
      </c>
    </row>
    <row r="52" spans="1:19" x14ac:dyDescent="0.3">
      <c r="A52" t="s">
        <v>275</v>
      </c>
      <c r="B52" t="s">
        <v>23</v>
      </c>
      <c r="C52">
        <v>2026</v>
      </c>
      <c r="D52">
        <v>1</v>
      </c>
      <c r="E52" s="2">
        <v>46025</v>
      </c>
      <c r="F52" t="s">
        <v>7</v>
      </c>
      <c r="G52" t="s">
        <v>8</v>
      </c>
      <c r="H52" t="s">
        <v>74</v>
      </c>
      <c r="I52" t="s">
        <v>84</v>
      </c>
      <c r="J52" t="s">
        <v>85</v>
      </c>
      <c r="K52" t="s">
        <v>73</v>
      </c>
      <c r="L52">
        <v>701000</v>
      </c>
      <c r="M52" t="s">
        <v>62</v>
      </c>
      <c r="N52" t="s">
        <v>33</v>
      </c>
      <c r="O52">
        <v>2409</v>
      </c>
      <c r="P52">
        <v>0.95</v>
      </c>
      <c r="Q52">
        <v>2.29</v>
      </c>
      <c r="R52" t="s">
        <v>1200</v>
      </c>
      <c r="S52" t="s">
        <v>195</v>
      </c>
    </row>
    <row r="53" spans="1:19" x14ac:dyDescent="0.3">
      <c r="A53" t="s">
        <v>276</v>
      </c>
      <c r="B53" t="s">
        <v>23</v>
      </c>
      <c r="C53">
        <v>2026</v>
      </c>
      <c r="D53">
        <v>1</v>
      </c>
      <c r="E53" s="2">
        <v>46025</v>
      </c>
      <c r="F53" t="s">
        <v>7</v>
      </c>
      <c r="G53" t="s">
        <v>8</v>
      </c>
      <c r="H53" t="s">
        <v>74</v>
      </c>
      <c r="I53" t="s">
        <v>84</v>
      </c>
      <c r="J53" t="s">
        <v>85</v>
      </c>
      <c r="K53" t="s">
        <v>73</v>
      </c>
      <c r="L53">
        <v>701000</v>
      </c>
      <c r="M53" t="s">
        <v>62</v>
      </c>
      <c r="N53" t="s">
        <v>33</v>
      </c>
      <c r="O53">
        <v>3009</v>
      </c>
      <c r="P53">
        <v>0.95</v>
      </c>
      <c r="Q53">
        <v>2.86</v>
      </c>
      <c r="R53" t="s">
        <v>1201</v>
      </c>
      <c r="S53" t="s">
        <v>195</v>
      </c>
    </row>
    <row r="54" spans="1:19" x14ac:dyDescent="0.3">
      <c r="A54" t="s">
        <v>277</v>
      </c>
      <c r="B54" t="s">
        <v>23</v>
      </c>
      <c r="C54">
        <v>2026</v>
      </c>
      <c r="D54">
        <v>1</v>
      </c>
      <c r="E54" s="2">
        <v>46025</v>
      </c>
      <c r="F54" t="s">
        <v>7</v>
      </c>
      <c r="G54" t="s">
        <v>8</v>
      </c>
      <c r="H54" t="s">
        <v>74</v>
      </c>
      <c r="I54" t="s">
        <v>84</v>
      </c>
      <c r="J54" t="s">
        <v>85</v>
      </c>
      <c r="K54" t="s">
        <v>73</v>
      </c>
      <c r="L54">
        <v>701000</v>
      </c>
      <c r="M54" t="s">
        <v>62</v>
      </c>
      <c r="N54" t="s">
        <v>33</v>
      </c>
      <c r="O54">
        <v>3317</v>
      </c>
      <c r="P54">
        <v>0.95</v>
      </c>
      <c r="Q54">
        <v>3.15</v>
      </c>
      <c r="R54" t="s">
        <v>1199</v>
      </c>
      <c r="S54" t="s">
        <v>195</v>
      </c>
    </row>
    <row r="55" spans="1:19" x14ac:dyDescent="0.3">
      <c r="A55" t="s">
        <v>278</v>
      </c>
      <c r="B55" t="s">
        <v>23</v>
      </c>
      <c r="C55">
        <v>2026</v>
      </c>
      <c r="D55">
        <v>1</v>
      </c>
      <c r="E55" s="2">
        <v>46025</v>
      </c>
      <c r="F55" t="s">
        <v>7</v>
      </c>
      <c r="G55" t="s">
        <v>8</v>
      </c>
      <c r="H55" t="s">
        <v>74</v>
      </c>
      <c r="I55" t="s">
        <v>84</v>
      </c>
      <c r="J55" t="s">
        <v>85</v>
      </c>
      <c r="K55" t="s">
        <v>73</v>
      </c>
      <c r="L55">
        <v>701000</v>
      </c>
      <c r="M55" t="s">
        <v>62</v>
      </c>
      <c r="N55" t="s">
        <v>33</v>
      </c>
      <c r="O55">
        <v>3798</v>
      </c>
      <c r="P55">
        <v>0.95</v>
      </c>
      <c r="Q55">
        <v>3.61</v>
      </c>
      <c r="R55" t="s">
        <v>1205</v>
      </c>
      <c r="S55" t="s">
        <v>195</v>
      </c>
    </row>
    <row r="56" spans="1:19" x14ac:dyDescent="0.3">
      <c r="A56" t="s">
        <v>279</v>
      </c>
      <c r="B56" t="s">
        <v>23</v>
      </c>
      <c r="C56">
        <v>2026</v>
      </c>
      <c r="D56">
        <v>1</v>
      </c>
      <c r="E56" s="2">
        <v>46025</v>
      </c>
      <c r="F56" t="s">
        <v>7</v>
      </c>
      <c r="G56" t="s">
        <v>8</v>
      </c>
      <c r="H56" t="s">
        <v>74</v>
      </c>
      <c r="I56" t="s">
        <v>84</v>
      </c>
      <c r="J56" t="s">
        <v>85</v>
      </c>
      <c r="K56" t="s">
        <v>73</v>
      </c>
      <c r="L56">
        <v>701000</v>
      </c>
      <c r="M56" t="s">
        <v>62</v>
      </c>
      <c r="N56" t="s">
        <v>33</v>
      </c>
      <c r="O56">
        <v>2165</v>
      </c>
      <c r="P56">
        <v>0.95</v>
      </c>
      <c r="Q56">
        <v>2.0499999999999998</v>
      </c>
      <c r="R56" t="s">
        <v>1203</v>
      </c>
      <c r="S56" t="s">
        <v>195</v>
      </c>
    </row>
    <row r="57" spans="1:19" x14ac:dyDescent="0.3">
      <c r="A57" t="s">
        <v>530</v>
      </c>
      <c r="B57" t="s">
        <v>23</v>
      </c>
      <c r="C57">
        <v>2026</v>
      </c>
      <c r="D57">
        <v>1</v>
      </c>
      <c r="E57" s="2">
        <v>46025</v>
      </c>
      <c r="F57" t="s">
        <v>7</v>
      </c>
      <c r="G57" t="s">
        <v>8</v>
      </c>
      <c r="H57" t="s">
        <v>74</v>
      </c>
      <c r="I57" t="s">
        <v>71</v>
      </c>
      <c r="J57" t="s">
        <v>72</v>
      </c>
      <c r="K57" t="s">
        <v>73</v>
      </c>
      <c r="L57">
        <v>701000</v>
      </c>
      <c r="M57" t="s">
        <v>62</v>
      </c>
      <c r="N57" t="s">
        <v>33</v>
      </c>
      <c r="O57">
        <v>2969</v>
      </c>
      <c r="P57">
        <v>1.05</v>
      </c>
      <c r="Q57">
        <v>3.12</v>
      </c>
      <c r="R57" t="s">
        <v>1201</v>
      </c>
      <c r="S57" t="s">
        <v>195</v>
      </c>
    </row>
    <row r="58" spans="1:19" x14ac:dyDescent="0.3">
      <c r="A58" t="s">
        <v>531</v>
      </c>
      <c r="B58" t="s">
        <v>23</v>
      </c>
      <c r="C58">
        <v>2026</v>
      </c>
      <c r="D58">
        <v>1</v>
      </c>
      <c r="E58" s="2">
        <v>46025</v>
      </c>
      <c r="F58" t="s">
        <v>7</v>
      </c>
      <c r="G58" t="s">
        <v>8</v>
      </c>
      <c r="H58" t="s">
        <v>74</v>
      </c>
      <c r="I58" t="s">
        <v>71</v>
      </c>
      <c r="J58" t="s">
        <v>72</v>
      </c>
      <c r="K58" t="s">
        <v>73</v>
      </c>
      <c r="L58">
        <v>701000</v>
      </c>
      <c r="M58" t="s">
        <v>62</v>
      </c>
      <c r="N58" t="s">
        <v>33</v>
      </c>
      <c r="O58">
        <v>952</v>
      </c>
      <c r="P58">
        <v>1.05</v>
      </c>
      <c r="Q58">
        <v>1</v>
      </c>
      <c r="R58" t="s">
        <v>1198</v>
      </c>
      <c r="S58" t="s">
        <v>195</v>
      </c>
    </row>
    <row r="59" spans="1:19" x14ac:dyDescent="0.3">
      <c r="A59" t="s">
        <v>532</v>
      </c>
      <c r="B59" t="s">
        <v>23</v>
      </c>
      <c r="C59">
        <v>2026</v>
      </c>
      <c r="D59">
        <v>1</v>
      </c>
      <c r="E59" s="2">
        <v>46025</v>
      </c>
      <c r="F59" t="s">
        <v>7</v>
      </c>
      <c r="G59" t="s">
        <v>8</v>
      </c>
      <c r="H59" t="s">
        <v>74</v>
      </c>
      <c r="I59" t="s">
        <v>71</v>
      </c>
      <c r="J59" t="s">
        <v>72</v>
      </c>
      <c r="K59" t="s">
        <v>73</v>
      </c>
      <c r="L59">
        <v>701000</v>
      </c>
      <c r="M59" t="s">
        <v>62</v>
      </c>
      <c r="N59" t="s">
        <v>33</v>
      </c>
      <c r="O59">
        <v>967</v>
      </c>
      <c r="P59">
        <v>1.05</v>
      </c>
      <c r="Q59">
        <v>1.02</v>
      </c>
      <c r="R59" t="s">
        <v>1200</v>
      </c>
      <c r="S59" t="s">
        <v>195</v>
      </c>
    </row>
    <row r="60" spans="1:19" x14ac:dyDescent="0.3">
      <c r="A60" t="s">
        <v>533</v>
      </c>
      <c r="B60" t="s">
        <v>23</v>
      </c>
      <c r="C60">
        <v>2026</v>
      </c>
      <c r="D60">
        <v>1</v>
      </c>
      <c r="E60" s="2">
        <v>46025</v>
      </c>
      <c r="F60" t="s">
        <v>7</v>
      </c>
      <c r="G60" t="s">
        <v>8</v>
      </c>
      <c r="H60" t="s">
        <v>74</v>
      </c>
      <c r="I60" t="s">
        <v>71</v>
      </c>
      <c r="J60" t="s">
        <v>72</v>
      </c>
      <c r="K60" t="s">
        <v>73</v>
      </c>
      <c r="L60">
        <v>701000</v>
      </c>
      <c r="M60" t="s">
        <v>62</v>
      </c>
      <c r="N60" t="s">
        <v>33</v>
      </c>
      <c r="O60">
        <v>934</v>
      </c>
      <c r="P60">
        <v>1.05</v>
      </c>
      <c r="Q60">
        <v>0.98</v>
      </c>
      <c r="R60" t="s">
        <v>1203</v>
      </c>
      <c r="S60" t="s">
        <v>195</v>
      </c>
    </row>
    <row r="61" spans="1:19" x14ac:dyDescent="0.3">
      <c r="A61" t="s">
        <v>534</v>
      </c>
      <c r="B61" t="s">
        <v>23</v>
      </c>
      <c r="C61">
        <v>2026</v>
      </c>
      <c r="D61">
        <v>1</v>
      </c>
      <c r="E61" s="2">
        <v>46025</v>
      </c>
      <c r="F61" t="s">
        <v>7</v>
      </c>
      <c r="G61" t="s">
        <v>8</v>
      </c>
      <c r="H61" t="s">
        <v>74</v>
      </c>
      <c r="I61" t="s">
        <v>71</v>
      </c>
      <c r="J61" t="s">
        <v>72</v>
      </c>
      <c r="K61" t="s">
        <v>73</v>
      </c>
      <c r="L61">
        <v>701000</v>
      </c>
      <c r="M61" t="s">
        <v>62</v>
      </c>
      <c r="N61" t="s">
        <v>33</v>
      </c>
      <c r="O61">
        <v>3341</v>
      </c>
      <c r="P61">
        <v>1.05</v>
      </c>
      <c r="Q61">
        <v>3.5</v>
      </c>
      <c r="R61" t="s">
        <v>1197</v>
      </c>
      <c r="S61" t="s">
        <v>195</v>
      </c>
    </row>
    <row r="62" spans="1:19" x14ac:dyDescent="0.3">
      <c r="A62" t="s">
        <v>635</v>
      </c>
      <c r="B62" t="s">
        <v>23</v>
      </c>
      <c r="C62">
        <v>2026</v>
      </c>
      <c r="D62">
        <v>1</v>
      </c>
      <c r="E62" s="2">
        <v>46025</v>
      </c>
      <c r="F62" t="s">
        <v>7</v>
      </c>
      <c r="G62" t="s">
        <v>8</v>
      </c>
      <c r="H62" t="s">
        <v>70</v>
      </c>
      <c r="I62" t="s">
        <v>75</v>
      </c>
      <c r="J62" t="s">
        <v>76</v>
      </c>
      <c r="K62" t="s">
        <v>73</v>
      </c>
      <c r="L62">
        <v>701000</v>
      </c>
      <c r="M62" t="s">
        <v>62</v>
      </c>
      <c r="N62" t="s">
        <v>33</v>
      </c>
      <c r="O62">
        <v>2987</v>
      </c>
      <c r="P62">
        <v>1.4</v>
      </c>
      <c r="Q62">
        <v>4.18</v>
      </c>
      <c r="R62" t="s">
        <v>1203</v>
      </c>
      <c r="S62" t="s">
        <v>195</v>
      </c>
    </row>
    <row r="63" spans="1:19" x14ac:dyDescent="0.3">
      <c r="A63" t="s">
        <v>636</v>
      </c>
      <c r="B63" t="s">
        <v>23</v>
      </c>
      <c r="C63">
        <v>2026</v>
      </c>
      <c r="D63">
        <v>1</v>
      </c>
      <c r="E63" s="2">
        <v>46025</v>
      </c>
      <c r="F63" t="s">
        <v>7</v>
      </c>
      <c r="G63" t="s">
        <v>8</v>
      </c>
      <c r="H63" t="s">
        <v>70</v>
      </c>
      <c r="I63" t="s">
        <v>75</v>
      </c>
      <c r="J63" t="s">
        <v>76</v>
      </c>
      <c r="K63" t="s">
        <v>73</v>
      </c>
      <c r="L63">
        <v>701000</v>
      </c>
      <c r="M63" t="s">
        <v>62</v>
      </c>
      <c r="N63" t="s">
        <v>33</v>
      </c>
      <c r="O63">
        <v>601</v>
      </c>
      <c r="P63">
        <v>1.4</v>
      </c>
      <c r="Q63">
        <v>0.84</v>
      </c>
      <c r="R63" t="s">
        <v>1205</v>
      </c>
      <c r="S63" t="s">
        <v>195</v>
      </c>
    </row>
    <row r="64" spans="1:19" x14ac:dyDescent="0.3">
      <c r="A64" t="s">
        <v>637</v>
      </c>
      <c r="B64" t="s">
        <v>23</v>
      </c>
      <c r="C64">
        <v>2026</v>
      </c>
      <c r="D64">
        <v>1</v>
      </c>
      <c r="E64" s="2">
        <v>46025</v>
      </c>
      <c r="F64" t="s">
        <v>7</v>
      </c>
      <c r="G64" t="s">
        <v>8</v>
      </c>
      <c r="H64" t="s">
        <v>70</v>
      </c>
      <c r="I64" t="s">
        <v>75</v>
      </c>
      <c r="J64" t="s">
        <v>76</v>
      </c>
      <c r="K64" t="s">
        <v>73</v>
      </c>
      <c r="L64">
        <v>701000</v>
      </c>
      <c r="M64" t="s">
        <v>62</v>
      </c>
      <c r="N64" t="s">
        <v>33</v>
      </c>
      <c r="O64">
        <v>476</v>
      </c>
      <c r="P64">
        <v>1.41</v>
      </c>
      <c r="Q64">
        <v>0.67</v>
      </c>
      <c r="R64" t="s">
        <v>1201</v>
      </c>
      <c r="S64" t="s">
        <v>195</v>
      </c>
    </row>
    <row r="65" spans="1:19" x14ac:dyDescent="0.3">
      <c r="A65" t="s">
        <v>638</v>
      </c>
      <c r="B65" t="s">
        <v>23</v>
      </c>
      <c r="C65">
        <v>2026</v>
      </c>
      <c r="D65">
        <v>1</v>
      </c>
      <c r="E65" s="2">
        <v>46025</v>
      </c>
      <c r="F65" t="s">
        <v>7</v>
      </c>
      <c r="G65" t="s">
        <v>8</v>
      </c>
      <c r="H65" t="s">
        <v>70</v>
      </c>
      <c r="I65" t="s">
        <v>75</v>
      </c>
      <c r="J65" t="s">
        <v>76</v>
      </c>
      <c r="K65" t="s">
        <v>73</v>
      </c>
      <c r="L65">
        <v>701000</v>
      </c>
      <c r="M65" t="s">
        <v>62</v>
      </c>
      <c r="N65" t="s">
        <v>33</v>
      </c>
      <c r="O65">
        <v>1683</v>
      </c>
      <c r="P65">
        <v>1.4</v>
      </c>
      <c r="Q65">
        <v>2.36</v>
      </c>
      <c r="R65" t="s">
        <v>1202</v>
      </c>
      <c r="S65" t="s">
        <v>195</v>
      </c>
    </row>
    <row r="66" spans="1:19" x14ac:dyDescent="0.3">
      <c r="A66" t="s">
        <v>639</v>
      </c>
      <c r="B66" t="s">
        <v>23</v>
      </c>
      <c r="C66">
        <v>2026</v>
      </c>
      <c r="D66">
        <v>1</v>
      </c>
      <c r="E66" s="2">
        <v>46025</v>
      </c>
      <c r="F66" t="s">
        <v>7</v>
      </c>
      <c r="G66" t="s">
        <v>8</v>
      </c>
      <c r="H66" t="s">
        <v>70</v>
      </c>
      <c r="I66" t="s">
        <v>75</v>
      </c>
      <c r="J66" t="s">
        <v>76</v>
      </c>
      <c r="K66" t="s">
        <v>73</v>
      </c>
      <c r="L66">
        <v>701000</v>
      </c>
      <c r="M66" t="s">
        <v>62</v>
      </c>
      <c r="N66" t="s">
        <v>33</v>
      </c>
      <c r="O66">
        <v>548</v>
      </c>
      <c r="P66">
        <v>1.39</v>
      </c>
      <c r="Q66">
        <v>0.76</v>
      </c>
      <c r="R66" t="s">
        <v>1198</v>
      </c>
      <c r="S66" t="s">
        <v>195</v>
      </c>
    </row>
    <row r="67" spans="1:19" x14ac:dyDescent="0.3">
      <c r="A67" t="s">
        <v>200</v>
      </c>
      <c r="B67" t="s">
        <v>23</v>
      </c>
      <c r="C67">
        <v>2026</v>
      </c>
      <c r="D67">
        <v>1</v>
      </c>
      <c r="E67" s="2">
        <v>46026</v>
      </c>
      <c r="F67" t="s">
        <v>7</v>
      </c>
      <c r="G67" t="s">
        <v>8</v>
      </c>
      <c r="H67" t="s">
        <v>74</v>
      </c>
      <c r="I67" t="s">
        <v>84</v>
      </c>
      <c r="J67" t="s">
        <v>85</v>
      </c>
      <c r="K67" t="s">
        <v>73</v>
      </c>
      <c r="L67">
        <v>701000</v>
      </c>
      <c r="M67" t="s">
        <v>62</v>
      </c>
      <c r="N67" t="s">
        <v>33</v>
      </c>
      <c r="O67">
        <v>4128</v>
      </c>
      <c r="P67">
        <v>0.95</v>
      </c>
      <c r="Q67">
        <v>3.92</v>
      </c>
      <c r="R67" t="s">
        <v>1197</v>
      </c>
      <c r="S67" t="s">
        <v>195</v>
      </c>
    </row>
    <row r="68" spans="1:19" x14ac:dyDescent="0.3">
      <c r="A68" t="s">
        <v>201</v>
      </c>
      <c r="B68" t="s">
        <v>23</v>
      </c>
      <c r="C68">
        <v>2026</v>
      </c>
      <c r="D68">
        <v>1</v>
      </c>
      <c r="E68" s="2">
        <v>46026</v>
      </c>
      <c r="F68" t="s">
        <v>7</v>
      </c>
      <c r="G68" t="s">
        <v>8</v>
      </c>
      <c r="H68" t="s">
        <v>74</v>
      </c>
      <c r="I68" t="s">
        <v>84</v>
      </c>
      <c r="J68" t="s">
        <v>85</v>
      </c>
      <c r="K68" t="s">
        <v>73</v>
      </c>
      <c r="L68">
        <v>701000</v>
      </c>
      <c r="M68" t="s">
        <v>62</v>
      </c>
      <c r="N68" t="s">
        <v>33</v>
      </c>
      <c r="O68">
        <v>981</v>
      </c>
      <c r="P68">
        <v>0.95</v>
      </c>
      <c r="Q68">
        <v>0.93</v>
      </c>
      <c r="R68" t="s">
        <v>1201</v>
      </c>
      <c r="S68" t="s">
        <v>195</v>
      </c>
    </row>
    <row r="69" spans="1:19" x14ac:dyDescent="0.3">
      <c r="A69" t="s">
        <v>202</v>
      </c>
      <c r="B69" t="s">
        <v>23</v>
      </c>
      <c r="C69">
        <v>2026</v>
      </c>
      <c r="D69">
        <v>1</v>
      </c>
      <c r="E69" s="2">
        <v>46026</v>
      </c>
      <c r="F69" t="s">
        <v>7</v>
      </c>
      <c r="G69" t="s">
        <v>8</v>
      </c>
      <c r="H69" t="s">
        <v>74</v>
      </c>
      <c r="I69" t="s">
        <v>84</v>
      </c>
      <c r="J69" t="s">
        <v>85</v>
      </c>
      <c r="K69" t="s">
        <v>73</v>
      </c>
      <c r="L69">
        <v>701000</v>
      </c>
      <c r="M69" t="s">
        <v>62</v>
      </c>
      <c r="N69" t="s">
        <v>33</v>
      </c>
      <c r="O69">
        <v>1878</v>
      </c>
      <c r="P69">
        <v>0.95</v>
      </c>
      <c r="Q69">
        <v>1.78</v>
      </c>
      <c r="R69" t="s">
        <v>1205</v>
      </c>
      <c r="S69" t="s">
        <v>195</v>
      </c>
    </row>
    <row r="70" spans="1:19" x14ac:dyDescent="0.3">
      <c r="A70" t="s">
        <v>203</v>
      </c>
      <c r="B70" t="s">
        <v>23</v>
      </c>
      <c r="C70">
        <v>2026</v>
      </c>
      <c r="D70">
        <v>1</v>
      </c>
      <c r="E70" s="2">
        <v>46026</v>
      </c>
      <c r="F70" t="s">
        <v>7</v>
      </c>
      <c r="G70" t="s">
        <v>8</v>
      </c>
      <c r="H70" t="s">
        <v>74</v>
      </c>
      <c r="I70" t="s">
        <v>84</v>
      </c>
      <c r="J70" t="s">
        <v>85</v>
      </c>
      <c r="K70" t="s">
        <v>73</v>
      </c>
      <c r="L70">
        <v>701000</v>
      </c>
      <c r="M70" t="s">
        <v>62</v>
      </c>
      <c r="N70" t="s">
        <v>33</v>
      </c>
      <c r="O70">
        <v>1721</v>
      </c>
      <c r="P70">
        <v>0.95</v>
      </c>
      <c r="Q70">
        <v>1.64</v>
      </c>
      <c r="R70" t="s">
        <v>1199</v>
      </c>
      <c r="S70" t="s">
        <v>195</v>
      </c>
    </row>
    <row r="71" spans="1:19" x14ac:dyDescent="0.3">
      <c r="A71" t="s">
        <v>204</v>
      </c>
      <c r="B71" t="s">
        <v>23</v>
      </c>
      <c r="C71">
        <v>2026</v>
      </c>
      <c r="D71">
        <v>1</v>
      </c>
      <c r="E71" s="2">
        <v>46026</v>
      </c>
      <c r="F71" t="s">
        <v>7</v>
      </c>
      <c r="G71" t="s">
        <v>8</v>
      </c>
      <c r="H71" t="s">
        <v>74</v>
      </c>
      <c r="I71" t="s">
        <v>84</v>
      </c>
      <c r="J71" t="s">
        <v>85</v>
      </c>
      <c r="K71" t="s">
        <v>73</v>
      </c>
      <c r="L71">
        <v>701000</v>
      </c>
      <c r="M71" t="s">
        <v>62</v>
      </c>
      <c r="N71" t="s">
        <v>33</v>
      </c>
      <c r="O71">
        <v>3290</v>
      </c>
      <c r="P71">
        <v>0.95</v>
      </c>
      <c r="Q71">
        <v>3.13</v>
      </c>
      <c r="R71" t="s">
        <v>1200</v>
      </c>
      <c r="S71" t="s">
        <v>195</v>
      </c>
    </row>
    <row r="72" spans="1:19" x14ac:dyDescent="0.3">
      <c r="A72" t="s">
        <v>325</v>
      </c>
      <c r="B72" t="s">
        <v>23</v>
      </c>
      <c r="C72">
        <v>2026</v>
      </c>
      <c r="D72">
        <v>1</v>
      </c>
      <c r="E72" s="2">
        <v>46026</v>
      </c>
      <c r="F72" t="s">
        <v>7</v>
      </c>
      <c r="G72" t="s">
        <v>8</v>
      </c>
      <c r="H72" t="s">
        <v>74</v>
      </c>
      <c r="I72" t="s">
        <v>84</v>
      </c>
      <c r="J72" t="s">
        <v>85</v>
      </c>
      <c r="K72" t="s">
        <v>73</v>
      </c>
      <c r="L72">
        <v>701000</v>
      </c>
      <c r="M72" t="s">
        <v>62</v>
      </c>
      <c r="N72" t="s">
        <v>33</v>
      </c>
      <c r="O72">
        <v>3563</v>
      </c>
      <c r="P72">
        <v>0.95</v>
      </c>
      <c r="Q72">
        <v>3.38</v>
      </c>
      <c r="R72" t="s">
        <v>1197</v>
      </c>
      <c r="S72" t="s">
        <v>195</v>
      </c>
    </row>
    <row r="73" spans="1:19" x14ac:dyDescent="0.3">
      <c r="A73" t="s">
        <v>326</v>
      </c>
      <c r="B73" t="s">
        <v>23</v>
      </c>
      <c r="C73">
        <v>2026</v>
      </c>
      <c r="D73">
        <v>1</v>
      </c>
      <c r="E73" s="2">
        <v>46026</v>
      </c>
      <c r="F73" t="s">
        <v>7</v>
      </c>
      <c r="G73" t="s">
        <v>8</v>
      </c>
      <c r="H73" t="s">
        <v>74</v>
      </c>
      <c r="I73" t="s">
        <v>84</v>
      </c>
      <c r="J73" t="s">
        <v>85</v>
      </c>
      <c r="K73" t="s">
        <v>73</v>
      </c>
      <c r="L73">
        <v>701000</v>
      </c>
      <c r="M73" t="s">
        <v>62</v>
      </c>
      <c r="N73" t="s">
        <v>33</v>
      </c>
      <c r="O73">
        <v>656</v>
      </c>
      <c r="P73">
        <v>0.95</v>
      </c>
      <c r="Q73">
        <v>0.62</v>
      </c>
      <c r="R73" t="s">
        <v>1205</v>
      </c>
      <c r="S73" t="s">
        <v>195</v>
      </c>
    </row>
    <row r="74" spans="1:19" x14ac:dyDescent="0.3">
      <c r="A74" t="s">
        <v>327</v>
      </c>
      <c r="B74" t="s">
        <v>23</v>
      </c>
      <c r="C74">
        <v>2026</v>
      </c>
      <c r="D74">
        <v>1</v>
      </c>
      <c r="E74" s="2">
        <v>46026</v>
      </c>
      <c r="F74" t="s">
        <v>7</v>
      </c>
      <c r="G74" t="s">
        <v>8</v>
      </c>
      <c r="H74" t="s">
        <v>74</v>
      </c>
      <c r="I74" t="s">
        <v>84</v>
      </c>
      <c r="J74" t="s">
        <v>85</v>
      </c>
      <c r="K74" t="s">
        <v>73</v>
      </c>
      <c r="L74">
        <v>701000</v>
      </c>
      <c r="M74" t="s">
        <v>62</v>
      </c>
      <c r="N74" t="s">
        <v>33</v>
      </c>
      <c r="O74">
        <v>536</v>
      </c>
      <c r="P74">
        <v>0.95</v>
      </c>
      <c r="Q74">
        <v>0.51</v>
      </c>
      <c r="R74" t="s">
        <v>1203</v>
      </c>
      <c r="S74" t="s">
        <v>195</v>
      </c>
    </row>
    <row r="75" spans="1:19" x14ac:dyDescent="0.3">
      <c r="A75" t="s">
        <v>328</v>
      </c>
      <c r="B75" t="s">
        <v>23</v>
      </c>
      <c r="C75">
        <v>2026</v>
      </c>
      <c r="D75">
        <v>1</v>
      </c>
      <c r="E75" s="2">
        <v>46026</v>
      </c>
      <c r="F75" t="s">
        <v>7</v>
      </c>
      <c r="G75" t="s">
        <v>8</v>
      </c>
      <c r="H75" t="s">
        <v>74</v>
      </c>
      <c r="I75" t="s">
        <v>84</v>
      </c>
      <c r="J75" t="s">
        <v>85</v>
      </c>
      <c r="K75" t="s">
        <v>73</v>
      </c>
      <c r="L75">
        <v>701000</v>
      </c>
      <c r="M75" t="s">
        <v>62</v>
      </c>
      <c r="N75" t="s">
        <v>33</v>
      </c>
      <c r="O75">
        <v>4063</v>
      </c>
      <c r="P75">
        <v>0.95</v>
      </c>
      <c r="Q75">
        <v>3.86</v>
      </c>
      <c r="R75" t="s">
        <v>1202</v>
      </c>
      <c r="S75" t="s">
        <v>195</v>
      </c>
    </row>
    <row r="76" spans="1:19" x14ac:dyDescent="0.3">
      <c r="A76" t="s">
        <v>329</v>
      </c>
      <c r="B76" t="s">
        <v>23</v>
      </c>
      <c r="C76">
        <v>2026</v>
      </c>
      <c r="D76">
        <v>1</v>
      </c>
      <c r="E76" s="2">
        <v>46026</v>
      </c>
      <c r="F76" t="s">
        <v>7</v>
      </c>
      <c r="G76" t="s">
        <v>8</v>
      </c>
      <c r="H76" t="s">
        <v>74</v>
      </c>
      <c r="I76" t="s">
        <v>84</v>
      </c>
      <c r="J76" t="s">
        <v>85</v>
      </c>
      <c r="K76" t="s">
        <v>73</v>
      </c>
      <c r="L76">
        <v>701000</v>
      </c>
      <c r="M76" t="s">
        <v>62</v>
      </c>
      <c r="N76" t="s">
        <v>33</v>
      </c>
      <c r="O76">
        <v>2721</v>
      </c>
      <c r="P76">
        <v>0.95</v>
      </c>
      <c r="Q76">
        <v>2.59</v>
      </c>
      <c r="R76" t="s">
        <v>1204</v>
      </c>
      <c r="S76" t="s">
        <v>195</v>
      </c>
    </row>
    <row r="77" spans="1:19" x14ac:dyDescent="0.3">
      <c r="A77" t="s">
        <v>560</v>
      </c>
      <c r="B77" t="s">
        <v>23</v>
      </c>
      <c r="C77">
        <v>2026</v>
      </c>
      <c r="D77">
        <v>1</v>
      </c>
      <c r="E77" s="2">
        <v>46026</v>
      </c>
      <c r="F77" t="s">
        <v>7</v>
      </c>
      <c r="G77" t="s">
        <v>8</v>
      </c>
      <c r="H77" t="s">
        <v>70</v>
      </c>
      <c r="I77" t="s">
        <v>75</v>
      </c>
      <c r="J77" t="s">
        <v>76</v>
      </c>
      <c r="K77" t="s">
        <v>73</v>
      </c>
      <c r="L77">
        <v>701000</v>
      </c>
      <c r="M77" t="s">
        <v>62</v>
      </c>
      <c r="N77" t="s">
        <v>33</v>
      </c>
      <c r="O77">
        <v>1284</v>
      </c>
      <c r="P77">
        <v>1.4</v>
      </c>
      <c r="Q77">
        <v>1.8</v>
      </c>
      <c r="R77" t="s">
        <v>1197</v>
      </c>
      <c r="S77" t="s">
        <v>195</v>
      </c>
    </row>
    <row r="78" spans="1:19" x14ac:dyDescent="0.3">
      <c r="A78" t="s">
        <v>561</v>
      </c>
      <c r="B78" t="s">
        <v>23</v>
      </c>
      <c r="C78">
        <v>2026</v>
      </c>
      <c r="D78">
        <v>1</v>
      </c>
      <c r="E78" s="2">
        <v>46026</v>
      </c>
      <c r="F78" t="s">
        <v>7</v>
      </c>
      <c r="G78" t="s">
        <v>8</v>
      </c>
      <c r="H78" t="s">
        <v>70</v>
      </c>
      <c r="I78" t="s">
        <v>75</v>
      </c>
      <c r="J78" t="s">
        <v>76</v>
      </c>
      <c r="K78" t="s">
        <v>73</v>
      </c>
      <c r="L78">
        <v>701000</v>
      </c>
      <c r="M78" t="s">
        <v>62</v>
      </c>
      <c r="N78" t="s">
        <v>33</v>
      </c>
      <c r="O78">
        <v>1995</v>
      </c>
      <c r="P78">
        <v>1.4</v>
      </c>
      <c r="Q78">
        <v>2.79</v>
      </c>
      <c r="R78" t="s">
        <v>1200</v>
      </c>
      <c r="S78" t="s">
        <v>195</v>
      </c>
    </row>
    <row r="79" spans="1:19" x14ac:dyDescent="0.3">
      <c r="A79" t="s">
        <v>562</v>
      </c>
      <c r="B79" t="s">
        <v>23</v>
      </c>
      <c r="C79">
        <v>2026</v>
      </c>
      <c r="D79">
        <v>1</v>
      </c>
      <c r="E79" s="2">
        <v>46026</v>
      </c>
      <c r="F79" t="s">
        <v>7</v>
      </c>
      <c r="G79" t="s">
        <v>8</v>
      </c>
      <c r="H79" t="s">
        <v>70</v>
      </c>
      <c r="I79" t="s">
        <v>75</v>
      </c>
      <c r="J79" t="s">
        <v>76</v>
      </c>
      <c r="K79" t="s">
        <v>73</v>
      </c>
      <c r="L79">
        <v>701000</v>
      </c>
      <c r="M79" t="s">
        <v>62</v>
      </c>
      <c r="N79" t="s">
        <v>33</v>
      </c>
      <c r="O79">
        <v>1123</v>
      </c>
      <c r="P79">
        <v>1.4</v>
      </c>
      <c r="Q79">
        <v>1.57</v>
      </c>
      <c r="R79" t="s">
        <v>1201</v>
      </c>
      <c r="S79" t="s">
        <v>195</v>
      </c>
    </row>
    <row r="80" spans="1:19" x14ac:dyDescent="0.3">
      <c r="A80" t="s">
        <v>563</v>
      </c>
      <c r="B80" t="s">
        <v>23</v>
      </c>
      <c r="C80">
        <v>2026</v>
      </c>
      <c r="D80">
        <v>1</v>
      </c>
      <c r="E80" s="2">
        <v>46026</v>
      </c>
      <c r="F80" t="s">
        <v>7</v>
      </c>
      <c r="G80" t="s">
        <v>8</v>
      </c>
      <c r="H80" t="s">
        <v>70</v>
      </c>
      <c r="I80" t="s">
        <v>75</v>
      </c>
      <c r="J80" t="s">
        <v>76</v>
      </c>
      <c r="K80" t="s">
        <v>73</v>
      </c>
      <c r="L80">
        <v>701000</v>
      </c>
      <c r="M80" t="s">
        <v>62</v>
      </c>
      <c r="N80" t="s">
        <v>33</v>
      </c>
      <c r="O80">
        <v>1011</v>
      </c>
      <c r="P80">
        <v>1.4</v>
      </c>
      <c r="Q80">
        <v>1.42</v>
      </c>
      <c r="R80" t="s">
        <v>1199</v>
      </c>
      <c r="S80" t="s">
        <v>195</v>
      </c>
    </row>
    <row r="81" spans="1:19" x14ac:dyDescent="0.3">
      <c r="A81" t="s">
        <v>564</v>
      </c>
      <c r="B81" t="s">
        <v>23</v>
      </c>
      <c r="C81">
        <v>2026</v>
      </c>
      <c r="D81">
        <v>1</v>
      </c>
      <c r="E81" s="2">
        <v>46026</v>
      </c>
      <c r="F81" t="s">
        <v>7</v>
      </c>
      <c r="G81" t="s">
        <v>8</v>
      </c>
      <c r="H81" t="s">
        <v>70</v>
      </c>
      <c r="I81" t="s">
        <v>75</v>
      </c>
      <c r="J81" t="s">
        <v>76</v>
      </c>
      <c r="K81" t="s">
        <v>73</v>
      </c>
      <c r="L81">
        <v>701000</v>
      </c>
      <c r="M81" t="s">
        <v>62</v>
      </c>
      <c r="N81" t="s">
        <v>33</v>
      </c>
      <c r="O81">
        <v>295</v>
      </c>
      <c r="P81">
        <v>1.39</v>
      </c>
      <c r="Q81">
        <v>0.41</v>
      </c>
      <c r="R81" t="s">
        <v>1202</v>
      </c>
      <c r="S81" t="s">
        <v>195</v>
      </c>
    </row>
    <row r="82" spans="1:19" x14ac:dyDescent="0.3">
      <c r="A82" t="s">
        <v>615</v>
      </c>
      <c r="B82" t="s">
        <v>23</v>
      </c>
      <c r="C82">
        <v>2026</v>
      </c>
      <c r="D82">
        <v>1</v>
      </c>
      <c r="E82" s="2">
        <v>46026</v>
      </c>
      <c r="F82" t="s">
        <v>7</v>
      </c>
      <c r="G82" t="s">
        <v>8</v>
      </c>
      <c r="H82" t="s">
        <v>70</v>
      </c>
      <c r="I82" t="s">
        <v>75</v>
      </c>
      <c r="J82" t="s">
        <v>76</v>
      </c>
      <c r="K82" t="s">
        <v>73</v>
      </c>
      <c r="L82">
        <v>701000</v>
      </c>
      <c r="M82" t="s">
        <v>62</v>
      </c>
      <c r="N82" t="s">
        <v>33</v>
      </c>
      <c r="O82">
        <v>1076</v>
      </c>
      <c r="P82">
        <v>1.4</v>
      </c>
      <c r="Q82">
        <v>1.51</v>
      </c>
      <c r="R82" t="s">
        <v>1198</v>
      </c>
      <c r="S82" t="s">
        <v>195</v>
      </c>
    </row>
    <row r="83" spans="1:19" x14ac:dyDescent="0.3">
      <c r="A83" t="s">
        <v>616</v>
      </c>
      <c r="B83" t="s">
        <v>23</v>
      </c>
      <c r="C83">
        <v>2026</v>
      </c>
      <c r="D83">
        <v>1</v>
      </c>
      <c r="E83" s="2">
        <v>46026</v>
      </c>
      <c r="F83" t="s">
        <v>7</v>
      </c>
      <c r="G83" t="s">
        <v>8</v>
      </c>
      <c r="H83" t="s">
        <v>70</v>
      </c>
      <c r="I83" t="s">
        <v>75</v>
      </c>
      <c r="J83" t="s">
        <v>76</v>
      </c>
      <c r="K83" t="s">
        <v>73</v>
      </c>
      <c r="L83">
        <v>701000</v>
      </c>
      <c r="M83" t="s">
        <v>62</v>
      </c>
      <c r="N83" t="s">
        <v>33</v>
      </c>
      <c r="O83">
        <v>1207</v>
      </c>
      <c r="P83">
        <v>1.4</v>
      </c>
      <c r="Q83">
        <v>1.69</v>
      </c>
      <c r="R83" t="s">
        <v>1202</v>
      </c>
      <c r="S83" t="s">
        <v>195</v>
      </c>
    </row>
    <row r="84" spans="1:19" x14ac:dyDescent="0.3">
      <c r="A84" t="s">
        <v>617</v>
      </c>
      <c r="B84" t="s">
        <v>23</v>
      </c>
      <c r="C84">
        <v>2026</v>
      </c>
      <c r="D84">
        <v>1</v>
      </c>
      <c r="E84" s="2">
        <v>46026</v>
      </c>
      <c r="F84" t="s">
        <v>7</v>
      </c>
      <c r="G84" t="s">
        <v>8</v>
      </c>
      <c r="H84" t="s">
        <v>70</v>
      </c>
      <c r="I84" t="s">
        <v>75</v>
      </c>
      <c r="J84" t="s">
        <v>76</v>
      </c>
      <c r="K84" t="s">
        <v>73</v>
      </c>
      <c r="L84">
        <v>701000</v>
      </c>
      <c r="M84" t="s">
        <v>62</v>
      </c>
      <c r="N84" t="s">
        <v>33</v>
      </c>
      <c r="O84">
        <v>793</v>
      </c>
      <c r="P84">
        <v>1.4</v>
      </c>
      <c r="Q84">
        <v>1.1100000000000001</v>
      </c>
      <c r="R84" t="s">
        <v>1201</v>
      </c>
      <c r="S84" t="s">
        <v>195</v>
      </c>
    </row>
    <row r="85" spans="1:19" x14ac:dyDescent="0.3">
      <c r="A85" t="s">
        <v>618</v>
      </c>
      <c r="B85" t="s">
        <v>23</v>
      </c>
      <c r="C85">
        <v>2026</v>
      </c>
      <c r="D85">
        <v>1</v>
      </c>
      <c r="E85" s="2">
        <v>46026</v>
      </c>
      <c r="F85" t="s">
        <v>7</v>
      </c>
      <c r="G85" t="s">
        <v>8</v>
      </c>
      <c r="H85" t="s">
        <v>70</v>
      </c>
      <c r="I85" t="s">
        <v>75</v>
      </c>
      <c r="J85" t="s">
        <v>76</v>
      </c>
      <c r="K85" t="s">
        <v>73</v>
      </c>
      <c r="L85">
        <v>701000</v>
      </c>
      <c r="M85" t="s">
        <v>62</v>
      </c>
      <c r="N85" t="s">
        <v>33</v>
      </c>
      <c r="O85">
        <v>2343</v>
      </c>
      <c r="P85">
        <v>1.4</v>
      </c>
      <c r="Q85">
        <v>3.28</v>
      </c>
      <c r="R85" t="s">
        <v>1199</v>
      </c>
      <c r="S85" t="s">
        <v>195</v>
      </c>
    </row>
    <row r="86" spans="1:19" x14ac:dyDescent="0.3">
      <c r="A86" t="s">
        <v>619</v>
      </c>
      <c r="B86" t="s">
        <v>23</v>
      </c>
      <c r="C86">
        <v>2026</v>
      </c>
      <c r="D86">
        <v>1</v>
      </c>
      <c r="E86" s="2">
        <v>46026</v>
      </c>
      <c r="F86" t="s">
        <v>7</v>
      </c>
      <c r="G86" t="s">
        <v>8</v>
      </c>
      <c r="H86" t="s">
        <v>70</v>
      </c>
      <c r="I86" t="s">
        <v>75</v>
      </c>
      <c r="J86" t="s">
        <v>76</v>
      </c>
      <c r="K86" t="s">
        <v>73</v>
      </c>
      <c r="L86">
        <v>701000</v>
      </c>
      <c r="M86" t="s">
        <v>62</v>
      </c>
      <c r="N86" t="s">
        <v>33</v>
      </c>
      <c r="O86">
        <v>1038</v>
      </c>
      <c r="P86">
        <v>1.4</v>
      </c>
      <c r="Q86">
        <v>1.45</v>
      </c>
      <c r="R86" t="s">
        <v>1197</v>
      </c>
      <c r="S86" t="s">
        <v>195</v>
      </c>
    </row>
    <row r="87" spans="1:19" x14ac:dyDescent="0.3">
      <c r="A87" t="s">
        <v>630</v>
      </c>
      <c r="B87" t="s">
        <v>23</v>
      </c>
      <c r="C87">
        <v>2026</v>
      </c>
      <c r="D87">
        <v>1</v>
      </c>
      <c r="E87" s="2">
        <v>46026</v>
      </c>
      <c r="F87" t="s">
        <v>7</v>
      </c>
      <c r="G87" t="s">
        <v>8</v>
      </c>
      <c r="H87" t="s">
        <v>70</v>
      </c>
      <c r="I87" t="s">
        <v>75</v>
      </c>
      <c r="J87" t="s">
        <v>76</v>
      </c>
      <c r="K87" t="s">
        <v>73</v>
      </c>
      <c r="L87">
        <v>701000</v>
      </c>
      <c r="M87" t="s">
        <v>62</v>
      </c>
      <c r="N87" t="s">
        <v>33</v>
      </c>
      <c r="O87">
        <v>3552</v>
      </c>
      <c r="P87">
        <v>1.4</v>
      </c>
      <c r="Q87">
        <v>4.97</v>
      </c>
      <c r="R87" t="s">
        <v>1197</v>
      </c>
      <c r="S87" t="s">
        <v>195</v>
      </c>
    </row>
    <row r="88" spans="1:19" x14ac:dyDescent="0.3">
      <c r="A88" t="s">
        <v>631</v>
      </c>
      <c r="B88" t="s">
        <v>23</v>
      </c>
      <c r="C88">
        <v>2026</v>
      </c>
      <c r="D88">
        <v>1</v>
      </c>
      <c r="E88" s="2">
        <v>46026</v>
      </c>
      <c r="F88" t="s">
        <v>7</v>
      </c>
      <c r="G88" t="s">
        <v>8</v>
      </c>
      <c r="H88" t="s">
        <v>70</v>
      </c>
      <c r="I88" t="s">
        <v>75</v>
      </c>
      <c r="J88" t="s">
        <v>76</v>
      </c>
      <c r="K88" t="s">
        <v>73</v>
      </c>
      <c r="L88">
        <v>701000</v>
      </c>
      <c r="M88" t="s">
        <v>62</v>
      </c>
      <c r="N88" t="s">
        <v>33</v>
      </c>
      <c r="O88">
        <v>461</v>
      </c>
      <c r="P88">
        <v>1.41</v>
      </c>
      <c r="Q88">
        <v>0.65</v>
      </c>
      <c r="R88" t="s">
        <v>1198</v>
      </c>
      <c r="S88" t="s">
        <v>195</v>
      </c>
    </row>
    <row r="89" spans="1:19" x14ac:dyDescent="0.3">
      <c r="A89" t="s">
        <v>632</v>
      </c>
      <c r="B89" t="s">
        <v>23</v>
      </c>
      <c r="C89">
        <v>2026</v>
      </c>
      <c r="D89">
        <v>1</v>
      </c>
      <c r="E89" s="2">
        <v>46026</v>
      </c>
      <c r="F89" t="s">
        <v>7</v>
      </c>
      <c r="G89" t="s">
        <v>8</v>
      </c>
      <c r="H89" t="s">
        <v>70</v>
      </c>
      <c r="I89" t="s">
        <v>75</v>
      </c>
      <c r="J89" t="s">
        <v>76</v>
      </c>
      <c r="K89" t="s">
        <v>73</v>
      </c>
      <c r="L89">
        <v>701000</v>
      </c>
      <c r="M89" t="s">
        <v>62</v>
      </c>
      <c r="N89" t="s">
        <v>33</v>
      </c>
      <c r="O89">
        <v>1021</v>
      </c>
      <c r="P89">
        <v>1.4</v>
      </c>
      <c r="Q89">
        <v>1.43</v>
      </c>
      <c r="R89" t="s">
        <v>1202</v>
      </c>
      <c r="S89" t="s">
        <v>195</v>
      </c>
    </row>
    <row r="90" spans="1:19" x14ac:dyDescent="0.3">
      <c r="A90" t="s">
        <v>633</v>
      </c>
      <c r="B90" t="s">
        <v>23</v>
      </c>
      <c r="C90">
        <v>2026</v>
      </c>
      <c r="D90">
        <v>1</v>
      </c>
      <c r="E90" s="2">
        <v>46026</v>
      </c>
      <c r="F90" t="s">
        <v>7</v>
      </c>
      <c r="G90" t="s">
        <v>8</v>
      </c>
      <c r="H90" t="s">
        <v>70</v>
      </c>
      <c r="I90" t="s">
        <v>75</v>
      </c>
      <c r="J90" t="s">
        <v>76</v>
      </c>
      <c r="K90" t="s">
        <v>73</v>
      </c>
      <c r="L90">
        <v>701000</v>
      </c>
      <c r="M90" t="s">
        <v>62</v>
      </c>
      <c r="N90" t="s">
        <v>33</v>
      </c>
      <c r="O90">
        <v>760</v>
      </c>
      <c r="P90">
        <v>1.39</v>
      </c>
      <c r="Q90">
        <v>1.06</v>
      </c>
      <c r="R90" t="s">
        <v>1201</v>
      </c>
      <c r="S90" t="s">
        <v>195</v>
      </c>
    </row>
    <row r="91" spans="1:19" x14ac:dyDescent="0.3">
      <c r="A91" t="s">
        <v>634</v>
      </c>
      <c r="B91" t="s">
        <v>23</v>
      </c>
      <c r="C91">
        <v>2026</v>
      </c>
      <c r="D91">
        <v>1</v>
      </c>
      <c r="E91" s="2">
        <v>46026</v>
      </c>
      <c r="F91" t="s">
        <v>7</v>
      </c>
      <c r="G91" t="s">
        <v>8</v>
      </c>
      <c r="H91" t="s">
        <v>70</v>
      </c>
      <c r="I91" t="s">
        <v>75</v>
      </c>
      <c r="J91" t="s">
        <v>76</v>
      </c>
      <c r="K91" t="s">
        <v>73</v>
      </c>
      <c r="L91">
        <v>701000</v>
      </c>
      <c r="M91" t="s">
        <v>62</v>
      </c>
      <c r="N91" t="s">
        <v>33</v>
      </c>
      <c r="O91">
        <v>461</v>
      </c>
      <c r="P91">
        <v>1.41</v>
      </c>
      <c r="Q91">
        <v>0.65</v>
      </c>
      <c r="R91" t="s">
        <v>1199</v>
      </c>
      <c r="S91" t="s">
        <v>195</v>
      </c>
    </row>
    <row r="92" spans="1:19" x14ac:dyDescent="0.3">
      <c r="A92" t="s">
        <v>765</v>
      </c>
      <c r="B92" t="s">
        <v>23</v>
      </c>
      <c r="C92">
        <v>2026</v>
      </c>
      <c r="D92">
        <v>1</v>
      </c>
      <c r="E92" s="2">
        <v>46026</v>
      </c>
      <c r="F92" t="s">
        <v>7</v>
      </c>
      <c r="G92" t="s">
        <v>8</v>
      </c>
      <c r="H92" t="s">
        <v>74</v>
      </c>
      <c r="I92" t="s">
        <v>77</v>
      </c>
      <c r="J92" t="s">
        <v>78</v>
      </c>
      <c r="K92" t="s">
        <v>73</v>
      </c>
      <c r="L92">
        <v>701000</v>
      </c>
      <c r="M92" t="s">
        <v>62</v>
      </c>
      <c r="N92" t="s">
        <v>33</v>
      </c>
      <c r="O92">
        <v>1342</v>
      </c>
      <c r="P92">
        <v>1.8</v>
      </c>
      <c r="Q92">
        <v>2.42</v>
      </c>
      <c r="R92" t="s">
        <v>1199</v>
      </c>
      <c r="S92" t="s">
        <v>195</v>
      </c>
    </row>
    <row r="93" spans="1:19" x14ac:dyDescent="0.3">
      <c r="A93" t="s">
        <v>766</v>
      </c>
      <c r="B93" t="s">
        <v>23</v>
      </c>
      <c r="C93">
        <v>2026</v>
      </c>
      <c r="D93">
        <v>1</v>
      </c>
      <c r="E93" s="2">
        <v>46026</v>
      </c>
      <c r="F93" t="s">
        <v>7</v>
      </c>
      <c r="G93" t="s">
        <v>8</v>
      </c>
      <c r="H93" t="s">
        <v>74</v>
      </c>
      <c r="I93" t="s">
        <v>77</v>
      </c>
      <c r="J93" t="s">
        <v>78</v>
      </c>
      <c r="K93" t="s">
        <v>73</v>
      </c>
      <c r="L93">
        <v>701000</v>
      </c>
      <c r="M93" t="s">
        <v>62</v>
      </c>
      <c r="N93" t="s">
        <v>33</v>
      </c>
      <c r="O93">
        <v>1234</v>
      </c>
      <c r="P93">
        <v>1.8</v>
      </c>
      <c r="Q93">
        <v>2.2200000000000002</v>
      </c>
      <c r="R93" t="s">
        <v>1200</v>
      </c>
      <c r="S93" t="s">
        <v>195</v>
      </c>
    </row>
    <row r="94" spans="1:19" x14ac:dyDescent="0.3">
      <c r="A94" t="s">
        <v>767</v>
      </c>
      <c r="B94" t="s">
        <v>23</v>
      </c>
      <c r="C94">
        <v>2026</v>
      </c>
      <c r="D94">
        <v>1</v>
      </c>
      <c r="E94" s="2">
        <v>46026</v>
      </c>
      <c r="F94" t="s">
        <v>7</v>
      </c>
      <c r="G94" t="s">
        <v>8</v>
      </c>
      <c r="H94" t="s">
        <v>74</v>
      </c>
      <c r="I94" t="s">
        <v>77</v>
      </c>
      <c r="J94" t="s">
        <v>78</v>
      </c>
      <c r="K94" t="s">
        <v>73</v>
      </c>
      <c r="L94">
        <v>701000</v>
      </c>
      <c r="M94" t="s">
        <v>62</v>
      </c>
      <c r="N94" t="s">
        <v>33</v>
      </c>
      <c r="O94">
        <v>857</v>
      </c>
      <c r="P94">
        <v>1.8</v>
      </c>
      <c r="Q94">
        <v>1.54</v>
      </c>
      <c r="R94" t="s">
        <v>1203</v>
      </c>
      <c r="S94" t="s">
        <v>195</v>
      </c>
    </row>
    <row r="95" spans="1:19" x14ac:dyDescent="0.3">
      <c r="A95" t="s">
        <v>768</v>
      </c>
      <c r="B95" t="s">
        <v>23</v>
      </c>
      <c r="C95">
        <v>2026</v>
      </c>
      <c r="D95">
        <v>1</v>
      </c>
      <c r="E95" s="2">
        <v>46026</v>
      </c>
      <c r="F95" t="s">
        <v>7</v>
      </c>
      <c r="G95" t="s">
        <v>8</v>
      </c>
      <c r="H95" t="s">
        <v>74</v>
      </c>
      <c r="I95" t="s">
        <v>77</v>
      </c>
      <c r="J95" t="s">
        <v>78</v>
      </c>
      <c r="K95" t="s">
        <v>73</v>
      </c>
      <c r="L95">
        <v>701000</v>
      </c>
      <c r="M95" t="s">
        <v>62</v>
      </c>
      <c r="N95" t="s">
        <v>33</v>
      </c>
      <c r="O95">
        <v>510</v>
      </c>
      <c r="P95">
        <v>1.8</v>
      </c>
      <c r="Q95">
        <v>0.92</v>
      </c>
      <c r="R95" t="s">
        <v>1198</v>
      </c>
      <c r="S95" t="s">
        <v>195</v>
      </c>
    </row>
    <row r="96" spans="1:19" x14ac:dyDescent="0.3">
      <c r="A96" t="s">
        <v>769</v>
      </c>
      <c r="B96" t="s">
        <v>23</v>
      </c>
      <c r="C96">
        <v>2026</v>
      </c>
      <c r="D96">
        <v>1</v>
      </c>
      <c r="E96" s="2">
        <v>46026</v>
      </c>
      <c r="F96" t="s">
        <v>7</v>
      </c>
      <c r="G96" t="s">
        <v>8</v>
      </c>
      <c r="H96" t="s">
        <v>74</v>
      </c>
      <c r="I96" t="s">
        <v>77</v>
      </c>
      <c r="J96" t="s">
        <v>78</v>
      </c>
      <c r="K96" t="s">
        <v>73</v>
      </c>
      <c r="L96">
        <v>701000</v>
      </c>
      <c r="M96" t="s">
        <v>62</v>
      </c>
      <c r="N96" t="s">
        <v>33</v>
      </c>
      <c r="O96">
        <v>3776</v>
      </c>
      <c r="P96">
        <v>1.8</v>
      </c>
      <c r="Q96">
        <v>6.79</v>
      </c>
      <c r="R96" t="s">
        <v>1197</v>
      </c>
      <c r="S96" t="s">
        <v>195</v>
      </c>
    </row>
    <row r="97" spans="1:19" x14ac:dyDescent="0.3">
      <c r="A97" t="s">
        <v>965</v>
      </c>
      <c r="B97" t="s">
        <v>23</v>
      </c>
      <c r="C97">
        <v>2026</v>
      </c>
      <c r="D97">
        <v>1</v>
      </c>
      <c r="E97" s="2">
        <v>46026</v>
      </c>
      <c r="F97" t="s">
        <v>7</v>
      </c>
      <c r="G97" t="s">
        <v>8</v>
      </c>
      <c r="H97" t="s">
        <v>70</v>
      </c>
      <c r="I97" t="s">
        <v>82</v>
      </c>
      <c r="J97" t="s">
        <v>83</v>
      </c>
      <c r="K97" t="s">
        <v>73</v>
      </c>
      <c r="L97">
        <v>701000</v>
      </c>
      <c r="M97" t="s">
        <v>62</v>
      </c>
      <c r="N97" t="s">
        <v>33</v>
      </c>
      <c r="O97">
        <v>53</v>
      </c>
      <c r="P97">
        <v>18.3</v>
      </c>
      <c r="Q97">
        <v>0.97</v>
      </c>
      <c r="R97" t="s">
        <v>1200</v>
      </c>
      <c r="S97" t="s">
        <v>195</v>
      </c>
    </row>
    <row r="98" spans="1:19" x14ac:dyDescent="0.3">
      <c r="A98" t="s">
        <v>966</v>
      </c>
      <c r="B98" t="s">
        <v>23</v>
      </c>
      <c r="C98">
        <v>2026</v>
      </c>
      <c r="D98">
        <v>1</v>
      </c>
      <c r="E98" s="2">
        <v>46026</v>
      </c>
      <c r="F98" t="s">
        <v>7</v>
      </c>
      <c r="G98" t="s">
        <v>8</v>
      </c>
      <c r="H98" t="s">
        <v>70</v>
      </c>
      <c r="I98" t="s">
        <v>82</v>
      </c>
      <c r="J98" t="s">
        <v>83</v>
      </c>
      <c r="K98" t="s">
        <v>73</v>
      </c>
      <c r="L98">
        <v>701000</v>
      </c>
      <c r="M98" t="s">
        <v>62</v>
      </c>
      <c r="N98" t="s">
        <v>33</v>
      </c>
      <c r="O98">
        <v>27</v>
      </c>
      <c r="P98">
        <v>18.52</v>
      </c>
      <c r="Q98">
        <v>0.5</v>
      </c>
      <c r="R98" t="s">
        <v>1199</v>
      </c>
      <c r="S98" t="s">
        <v>195</v>
      </c>
    </row>
    <row r="99" spans="1:19" x14ac:dyDescent="0.3">
      <c r="A99" t="s">
        <v>967</v>
      </c>
      <c r="B99" t="s">
        <v>23</v>
      </c>
      <c r="C99">
        <v>2026</v>
      </c>
      <c r="D99">
        <v>1</v>
      </c>
      <c r="E99" s="2">
        <v>46026</v>
      </c>
      <c r="F99" t="s">
        <v>7</v>
      </c>
      <c r="G99" t="s">
        <v>8</v>
      </c>
      <c r="H99" t="s">
        <v>70</v>
      </c>
      <c r="I99" t="s">
        <v>82</v>
      </c>
      <c r="J99" t="s">
        <v>83</v>
      </c>
      <c r="K99" t="s">
        <v>73</v>
      </c>
      <c r="L99">
        <v>701000</v>
      </c>
      <c r="M99" t="s">
        <v>62</v>
      </c>
      <c r="N99" t="s">
        <v>33</v>
      </c>
      <c r="O99">
        <v>333</v>
      </c>
      <c r="P99">
        <v>18.5</v>
      </c>
      <c r="Q99">
        <v>6.16</v>
      </c>
      <c r="R99" t="s">
        <v>1197</v>
      </c>
      <c r="S99" t="s">
        <v>195</v>
      </c>
    </row>
    <row r="100" spans="1:19" x14ac:dyDescent="0.3">
      <c r="A100" t="s">
        <v>968</v>
      </c>
      <c r="B100" t="s">
        <v>23</v>
      </c>
      <c r="C100">
        <v>2026</v>
      </c>
      <c r="D100">
        <v>1</v>
      </c>
      <c r="E100" s="2">
        <v>46026</v>
      </c>
      <c r="F100" t="s">
        <v>7</v>
      </c>
      <c r="G100" t="s">
        <v>8</v>
      </c>
      <c r="H100" t="s">
        <v>70</v>
      </c>
      <c r="I100" t="s">
        <v>82</v>
      </c>
      <c r="J100" t="s">
        <v>83</v>
      </c>
      <c r="K100" t="s">
        <v>73</v>
      </c>
      <c r="L100">
        <v>701000</v>
      </c>
      <c r="M100" t="s">
        <v>62</v>
      </c>
      <c r="N100" t="s">
        <v>33</v>
      </c>
      <c r="O100">
        <v>139</v>
      </c>
      <c r="P100">
        <v>18.559999999999999</v>
      </c>
      <c r="Q100">
        <v>2.58</v>
      </c>
      <c r="R100" t="s">
        <v>1202</v>
      </c>
      <c r="S100" t="s">
        <v>195</v>
      </c>
    </row>
    <row r="101" spans="1:19" x14ac:dyDescent="0.3">
      <c r="A101" t="s">
        <v>969</v>
      </c>
      <c r="B101" t="s">
        <v>23</v>
      </c>
      <c r="C101">
        <v>2026</v>
      </c>
      <c r="D101">
        <v>1</v>
      </c>
      <c r="E101" s="2">
        <v>46026</v>
      </c>
      <c r="F101" t="s">
        <v>7</v>
      </c>
      <c r="G101" t="s">
        <v>8</v>
      </c>
      <c r="H101" t="s">
        <v>70</v>
      </c>
      <c r="I101" t="s">
        <v>82</v>
      </c>
      <c r="J101" t="s">
        <v>83</v>
      </c>
      <c r="K101" t="s">
        <v>73</v>
      </c>
      <c r="L101">
        <v>701000</v>
      </c>
      <c r="M101" t="s">
        <v>62</v>
      </c>
      <c r="N101" t="s">
        <v>33</v>
      </c>
      <c r="O101">
        <v>126</v>
      </c>
      <c r="P101">
        <v>18.489999999999998</v>
      </c>
      <c r="Q101">
        <v>2.33</v>
      </c>
      <c r="R101" t="s">
        <v>1201</v>
      </c>
      <c r="S101" t="s">
        <v>195</v>
      </c>
    </row>
    <row r="102" spans="1:19" x14ac:dyDescent="0.3">
      <c r="A102" t="s">
        <v>320</v>
      </c>
      <c r="B102" t="s">
        <v>23</v>
      </c>
      <c r="C102">
        <v>2026</v>
      </c>
      <c r="D102">
        <v>1</v>
      </c>
      <c r="E102" s="2">
        <v>46027</v>
      </c>
      <c r="F102" t="s">
        <v>7</v>
      </c>
      <c r="G102" t="s">
        <v>8</v>
      </c>
      <c r="H102" t="s">
        <v>70</v>
      </c>
      <c r="I102" t="s">
        <v>84</v>
      </c>
      <c r="J102" t="s">
        <v>85</v>
      </c>
      <c r="K102" t="s">
        <v>73</v>
      </c>
      <c r="L102">
        <v>701000</v>
      </c>
      <c r="M102" t="s">
        <v>62</v>
      </c>
      <c r="N102" t="s">
        <v>33</v>
      </c>
      <c r="O102">
        <v>2119</v>
      </c>
      <c r="P102">
        <v>0.95</v>
      </c>
      <c r="Q102">
        <v>2.0099999999999998</v>
      </c>
      <c r="R102" t="s">
        <v>1197</v>
      </c>
      <c r="S102" t="s">
        <v>195</v>
      </c>
    </row>
    <row r="103" spans="1:19" x14ac:dyDescent="0.3">
      <c r="A103" t="s">
        <v>321</v>
      </c>
      <c r="B103" t="s">
        <v>23</v>
      </c>
      <c r="C103">
        <v>2026</v>
      </c>
      <c r="D103">
        <v>1</v>
      </c>
      <c r="E103" s="2">
        <v>46027</v>
      </c>
      <c r="F103" t="s">
        <v>7</v>
      </c>
      <c r="G103" t="s">
        <v>8</v>
      </c>
      <c r="H103" t="s">
        <v>70</v>
      </c>
      <c r="I103" t="s">
        <v>84</v>
      </c>
      <c r="J103" t="s">
        <v>85</v>
      </c>
      <c r="K103" t="s">
        <v>73</v>
      </c>
      <c r="L103">
        <v>701000</v>
      </c>
      <c r="M103" t="s">
        <v>62</v>
      </c>
      <c r="N103" t="s">
        <v>33</v>
      </c>
      <c r="O103">
        <v>2269</v>
      </c>
      <c r="P103">
        <v>0.95</v>
      </c>
      <c r="Q103">
        <v>2.15</v>
      </c>
      <c r="R103" t="s">
        <v>1201</v>
      </c>
      <c r="S103" t="s">
        <v>195</v>
      </c>
    </row>
    <row r="104" spans="1:19" x14ac:dyDescent="0.3">
      <c r="A104" t="s">
        <v>322</v>
      </c>
      <c r="B104" t="s">
        <v>23</v>
      </c>
      <c r="C104">
        <v>2026</v>
      </c>
      <c r="D104">
        <v>1</v>
      </c>
      <c r="E104" s="2">
        <v>46027</v>
      </c>
      <c r="F104" t="s">
        <v>7</v>
      </c>
      <c r="G104" t="s">
        <v>8</v>
      </c>
      <c r="H104" t="s">
        <v>70</v>
      </c>
      <c r="I104" t="s">
        <v>84</v>
      </c>
      <c r="J104" t="s">
        <v>85</v>
      </c>
      <c r="K104" t="s">
        <v>73</v>
      </c>
      <c r="L104">
        <v>701000</v>
      </c>
      <c r="M104" t="s">
        <v>62</v>
      </c>
      <c r="N104" t="s">
        <v>33</v>
      </c>
      <c r="O104">
        <v>6768</v>
      </c>
      <c r="P104">
        <v>0.95</v>
      </c>
      <c r="Q104">
        <v>6.43</v>
      </c>
      <c r="R104" t="s">
        <v>1200</v>
      </c>
      <c r="S104" t="s">
        <v>195</v>
      </c>
    </row>
    <row r="105" spans="1:19" x14ac:dyDescent="0.3">
      <c r="A105" t="s">
        <v>323</v>
      </c>
      <c r="B105" t="s">
        <v>23</v>
      </c>
      <c r="C105">
        <v>2026</v>
      </c>
      <c r="D105">
        <v>1</v>
      </c>
      <c r="E105" s="2">
        <v>46027</v>
      </c>
      <c r="F105" t="s">
        <v>7</v>
      </c>
      <c r="G105" t="s">
        <v>8</v>
      </c>
      <c r="H105" t="s">
        <v>70</v>
      </c>
      <c r="I105" t="s">
        <v>84</v>
      </c>
      <c r="J105" t="s">
        <v>85</v>
      </c>
      <c r="K105" t="s">
        <v>73</v>
      </c>
      <c r="L105">
        <v>701000</v>
      </c>
      <c r="M105" t="s">
        <v>62</v>
      </c>
      <c r="N105" t="s">
        <v>33</v>
      </c>
      <c r="O105">
        <v>1298</v>
      </c>
      <c r="P105">
        <v>0.95</v>
      </c>
      <c r="Q105">
        <v>1.23</v>
      </c>
      <c r="R105" t="s">
        <v>1199</v>
      </c>
      <c r="S105" t="s">
        <v>195</v>
      </c>
    </row>
    <row r="106" spans="1:19" x14ac:dyDescent="0.3">
      <c r="A106" t="s">
        <v>324</v>
      </c>
      <c r="B106" t="s">
        <v>23</v>
      </c>
      <c r="C106">
        <v>2026</v>
      </c>
      <c r="D106">
        <v>1</v>
      </c>
      <c r="E106" s="2">
        <v>46027</v>
      </c>
      <c r="F106" t="s">
        <v>7</v>
      </c>
      <c r="G106" t="s">
        <v>8</v>
      </c>
      <c r="H106" t="s">
        <v>70</v>
      </c>
      <c r="I106" t="s">
        <v>84</v>
      </c>
      <c r="J106" t="s">
        <v>85</v>
      </c>
      <c r="K106" t="s">
        <v>73</v>
      </c>
      <c r="L106">
        <v>701000</v>
      </c>
      <c r="M106" t="s">
        <v>62</v>
      </c>
      <c r="N106" t="s">
        <v>33</v>
      </c>
      <c r="O106">
        <v>3801</v>
      </c>
      <c r="P106">
        <v>0.95</v>
      </c>
      <c r="Q106">
        <v>3.62</v>
      </c>
      <c r="R106" t="s">
        <v>1203</v>
      </c>
      <c r="S106" t="s">
        <v>195</v>
      </c>
    </row>
    <row r="107" spans="1:19" x14ac:dyDescent="0.3">
      <c r="A107" t="s">
        <v>460</v>
      </c>
      <c r="B107" t="s">
        <v>23</v>
      </c>
      <c r="C107">
        <v>2026</v>
      </c>
      <c r="D107">
        <v>1</v>
      </c>
      <c r="E107" s="2">
        <v>46027</v>
      </c>
      <c r="F107" t="s">
        <v>7</v>
      </c>
      <c r="G107" t="s">
        <v>8</v>
      </c>
      <c r="H107" t="s">
        <v>74</v>
      </c>
      <c r="I107" t="s">
        <v>71</v>
      </c>
      <c r="J107" t="s">
        <v>72</v>
      </c>
      <c r="K107" t="s">
        <v>73</v>
      </c>
      <c r="L107">
        <v>707000</v>
      </c>
      <c r="M107" t="s">
        <v>81</v>
      </c>
      <c r="N107" t="s">
        <v>33</v>
      </c>
      <c r="O107">
        <v>2438</v>
      </c>
      <c r="P107">
        <v>1.05</v>
      </c>
      <c r="Q107">
        <v>2.56</v>
      </c>
      <c r="R107" t="s">
        <v>1200</v>
      </c>
      <c r="S107" t="s">
        <v>195</v>
      </c>
    </row>
    <row r="108" spans="1:19" x14ac:dyDescent="0.3">
      <c r="A108" t="s">
        <v>461</v>
      </c>
      <c r="B108" t="s">
        <v>23</v>
      </c>
      <c r="C108">
        <v>2026</v>
      </c>
      <c r="D108">
        <v>1</v>
      </c>
      <c r="E108" s="2">
        <v>46027</v>
      </c>
      <c r="F108" t="s">
        <v>7</v>
      </c>
      <c r="G108" t="s">
        <v>8</v>
      </c>
      <c r="H108" t="s">
        <v>74</v>
      </c>
      <c r="I108" t="s">
        <v>71</v>
      </c>
      <c r="J108" t="s">
        <v>72</v>
      </c>
      <c r="K108" t="s">
        <v>73</v>
      </c>
      <c r="L108">
        <v>707000</v>
      </c>
      <c r="M108" t="s">
        <v>81</v>
      </c>
      <c r="N108" t="s">
        <v>33</v>
      </c>
      <c r="O108">
        <v>1931</v>
      </c>
      <c r="P108">
        <v>1.05</v>
      </c>
      <c r="Q108">
        <v>2.0299999999999998</v>
      </c>
      <c r="R108" t="s">
        <v>1201</v>
      </c>
      <c r="S108" t="s">
        <v>195</v>
      </c>
    </row>
    <row r="109" spans="1:19" x14ac:dyDescent="0.3">
      <c r="A109" t="s">
        <v>462</v>
      </c>
      <c r="B109" t="s">
        <v>23</v>
      </c>
      <c r="C109">
        <v>2026</v>
      </c>
      <c r="D109">
        <v>1</v>
      </c>
      <c r="E109" s="2">
        <v>46027</v>
      </c>
      <c r="F109" t="s">
        <v>7</v>
      </c>
      <c r="G109" t="s">
        <v>8</v>
      </c>
      <c r="H109" t="s">
        <v>74</v>
      </c>
      <c r="I109" t="s">
        <v>71</v>
      </c>
      <c r="J109" t="s">
        <v>72</v>
      </c>
      <c r="K109" t="s">
        <v>73</v>
      </c>
      <c r="L109">
        <v>707000</v>
      </c>
      <c r="M109" t="s">
        <v>81</v>
      </c>
      <c r="N109" t="s">
        <v>33</v>
      </c>
      <c r="O109">
        <v>2703</v>
      </c>
      <c r="P109">
        <v>1.05</v>
      </c>
      <c r="Q109">
        <v>2.84</v>
      </c>
      <c r="R109" t="s">
        <v>1202</v>
      </c>
      <c r="S109" t="s">
        <v>195</v>
      </c>
    </row>
    <row r="110" spans="1:19" x14ac:dyDescent="0.3">
      <c r="A110" t="s">
        <v>463</v>
      </c>
      <c r="B110" t="s">
        <v>23</v>
      </c>
      <c r="C110">
        <v>2026</v>
      </c>
      <c r="D110">
        <v>1</v>
      </c>
      <c r="E110" s="2">
        <v>46027</v>
      </c>
      <c r="F110" t="s">
        <v>7</v>
      </c>
      <c r="G110" t="s">
        <v>8</v>
      </c>
      <c r="H110" t="s">
        <v>74</v>
      </c>
      <c r="I110" t="s">
        <v>71</v>
      </c>
      <c r="J110" t="s">
        <v>72</v>
      </c>
      <c r="K110" t="s">
        <v>73</v>
      </c>
      <c r="L110">
        <v>707000</v>
      </c>
      <c r="M110" t="s">
        <v>81</v>
      </c>
      <c r="N110" t="s">
        <v>33</v>
      </c>
      <c r="O110">
        <v>1471</v>
      </c>
      <c r="P110">
        <v>1.05</v>
      </c>
      <c r="Q110">
        <v>1.54</v>
      </c>
      <c r="R110" t="s">
        <v>1205</v>
      </c>
      <c r="S110" t="s">
        <v>195</v>
      </c>
    </row>
    <row r="111" spans="1:19" x14ac:dyDescent="0.3">
      <c r="A111" t="s">
        <v>464</v>
      </c>
      <c r="B111" t="s">
        <v>23</v>
      </c>
      <c r="C111">
        <v>2026</v>
      </c>
      <c r="D111">
        <v>1</v>
      </c>
      <c r="E111" s="2">
        <v>46027</v>
      </c>
      <c r="F111" t="s">
        <v>7</v>
      </c>
      <c r="G111" t="s">
        <v>8</v>
      </c>
      <c r="H111" t="s">
        <v>74</v>
      </c>
      <c r="I111" t="s">
        <v>71</v>
      </c>
      <c r="J111" t="s">
        <v>72</v>
      </c>
      <c r="K111" t="s">
        <v>73</v>
      </c>
      <c r="L111">
        <v>707000</v>
      </c>
      <c r="M111" t="s">
        <v>81</v>
      </c>
      <c r="N111" t="s">
        <v>33</v>
      </c>
      <c r="O111">
        <v>1005</v>
      </c>
      <c r="P111">
        <v>1.04</v>
      </c>
      <c r="Q111">
        <v>1.05</v>
      </c>
      <c r="R111" t="s">
        <v>1203</v>
      </c>
      <c r="S111" t="s">
        <v>195</v>
      </c>
    </row>
    <row r="112" spans="1:19" x14ac:dyDescent="0.3">
      <c r="A112" t="s">
        <v>570</v>
      </c>
      <c r="B112" t="s">
        <v>23</v>
      </c>
      <c r="C112">
        <v>2026</v>
      </c>
      <c r="D112">
        <v>1</v>
      </c>
      <c r="E112" s="2">
        <v>46027</v>
      </c>
      <c r="F112" t="s">
        <v>7</v>
      </c>
      <c r="G112" t="s">
        <v>8</v>
      </c>
      <c r="H112" t="s">
        <v>74</v>
      </c>
      <c r="I112" t="s">
        <v>75</v>
      </c>
      <c r="J112" t="s">
        <v>76</v>
      </c>
      <c r="K112" t="s">
        <v>73</v>
      </c>
      <c r="L112">
        <v>701000</v>
      </c>
      <c r="M112" t="s">
        <v>62</v>
      </c>
      <c r="N112" t="s">
        <v>33</v>
      </c>
      <c r="O112">
        <v>352</v>
      </c>
      <c r="P112">
        <v>1.39</v>
      </c>
      <c r="Q112">
        <v>0.49</v>
      </c>
      <c r="R112" t="s">
        <v>1198</v>
      </c>
      <c r="S112" t="s">
        <v>195</v>
      </c>
    </row>
    <row r="113" spans="1:19" x14ac:dyDescent="0.3">
      <c r="A113" t="s">
        <v>571</v>
      </c>
      <c r="B113" t="s">
        <v>23</v>
      </c>
      <c r="C113">
        <v>2026</v>
      </c>
      <c r="D113">
        <v>1</v>
      </c>
      <c r="E113" s="2">
        <v>46027</v>
      </c>
      <c r="F113" t="s">
        <v>7</v>
      </c>
      <c r="G113" t="s">
        <v>8</v>
      </c>
      <c r="H113" t="s">
        <v>74</v>
      </c>
      <c r="I113" t="s">
        <v>75</v>
      </c>
      <c r="J113" t="s">
        <v>76</v>
      </c>
      <c r="K113" t="s">
        <v>73</v>
      </c>
      <c r="L113">
        <v>701000</v>
      </c>
      <c r="M113" t="s">
        <v>62</v>
      </c>
      <c r="N113" t="s">
        <v>33</v>
      </c>
      <c r="O113">
        <v>556</v>
      </c>
      <c r="P113">
        <v>1.4</v>
      </c>
      <c r="Q113">
        <v>0.78</v>
      </c>
      <c r="R113" t="s">
        <v>1203</v>
      </c>
      <c r="S113" t="s">
        <v>195</v>
      </c>
    </row>
    <row r="114" spans="1:19" x14ac:dyDescent="0.3">
      <c r="A114" t="s">
        <v>572</v>
      </c>
      <c r="B114" t="s">
        <v>23</v>
      </c>
      <c r="C114">
        <v>2026</v>
      </c>
      <c r="D114">
        <v>1</v>
      </c>
      <c r="E114" s="2">
        <v>46027</v>
      </c>
      <c r="F114" t="s">
        <v>7</v>
      </c>
      <c r="G114" t="s">
        <v>8</v>
      </c>
      <c r="H114" t="s">
        <v>74</v>
      </c>
      <c r="I114" t="s">
        <v>75</v>
      </c>
      <c r="J114" t="s">
        <v>76</v>
      </c>
      <c r="K114" t="s">
        <v>73</v>
      </c>
      <c r="L114">
        <v>701000</v>
      </c>
      <c r="M114" t="s">
        <v>62</v>
      </c>
      <c r="N114" t="s">
        <v>33</v>
      </c>
      <c r="O114">
        <v>1735</v>
      </c>
      <c r="P114">
        <v>1.4</v>
      </c>
      <c r="Q114">
        <v>2.4300000000000002</v>
      </c>
      <c r="R114" t="s">
        <v>1199</v>
      </c>
      <c r="S114" t="s">
        <v>195</v>
      </c>
    </row>
    <row r="115" spans="1:19" x14ac:dyDescent="0.3">
      <c r="A115" t="s">
        <v>573</v>
      </c>
      <c r="B115" t="s">
        <v>23</v>
      </c>
      <c r="C115">
        <v>2026</v>
      </c>
      <c r="D115">
        <v>1</v>
      </c>
      <c r="E115" s="2">
        <v>46027</v>
      </c>
      <c r="F115" t="s">
        <v>7</v>
      </c>
      <c r="G115" t="s">
        <v>8</v>
      </c>
      <c r="H115" t="s">
        <v>74</v>
      </c>
      <c r="I115" t="s">
        <v>75</v>
      </c>
      <c r="J115" t="s">
        <v>76</v>
      </c>
      <c r="K115" t="s">
        <v>73</v>
      </c>
      <c r="L115">
        <v>701000</v>
      </c>
      <c r="M115" t="s">
        <v>62</v>
      </c>
      <c r="N115" t="s">
        <v>33</v>
      </c>
      <c r="O115">
        <v>2647</v>
      </c>
      <c r="P115">
        <v>1.4</v>
      </c>
      <c r="Q115">
        <v>3.71</v>
      </c>
      <c r="R115" t="s">
        <v>1202</v>
      </c>
      <c r="S115" t="s">
        <v>195</v>
      </c>
    </row>
    <row r="116" spans="1:19" x14ac:dyDescent="0.3">
      <c r="A116" t="s">
        <v>574</v>
      </c>
      <c r="B116" t="s">
        <v>23</v>
      </c>
      <c r="C116">
        <v>2026</v>
      </c>
      <c r="D116">
        <v>1</v>
      </c>
      <c r="E116" s="2">
        <v>46027</v>
      </c>
      <c r="F116" t="s">
        <v>7</v>
      </c>
      <c r="G116" t="s">
        <v>8</v>
      </c>
      <c r="H116" t="s">
        <v>74</v>
      </c>
      <c r="I116" t="s">
        <v>75</v>
      </c>
      <c r="J116" t="s">
        <v>76</v>
      </c>
      <c r="K116" t="s">
        <v>73</v>
      </c>
      <c r="L116">
        <v>701000</v>
      </c>
      <c r="M116" t="s">
        <v>62</v>
      </c>
      <c r="N116" t="s">
        <v>33</v>
      </c>
      <c r="O116">
        <v>751</v>
      </c>
      <c r="P116">
        <v>1.4</v>
      </c>
      <c r="Q116">
        <v>1.05</v>
      </c>
      <c r="R116" t="s">
        <v>1204</v>
      </c>
      <c r="S116" t="s">
        <v>195</v>
      </c>
    </row>
    <row r="117" spans="1:19" x14ac:dyDescent="0.3">
      <c r="A117" t="s">
        <v>595</v>
      </c>
      <c r="B117" t="s">
        <v>23</v>
      </c>
      <c r="C117">
        <v>2026</v>
      </c>
      <c r="D117">
        <v>1</v>
      </c>
      <c r="E117" s="2">
        <v>46027</v>
      </c>
      <c r="F117" t="s">
        <v>7</v>
      </c>
      <c r="G117" t="s">
        <v>8</v>
      </c>
      <c r="H117" t="s">
        <v>74</v>
      </c>
      <c r="I117" t="s">
        <v>75</v>
      </c>
      <c r="J117" t="s">
        <v>76</v>
      </c>
      <c r="K117" t="s">
        <v>73</v>
      </c>
      <c r="L117">
        <v>701000</v>
      </c>
      <c r="M117" t="s">
        <v>62</v>
      </c>
      <c r="N117" t="s">
        <v>33</v>
      </c>
      <c r="O117">
        <v>1505</v>
      </c>
      <c r="P117">
        <v>1.4</v>
      </c>
      <c r="Q117">
        <v>2.11</v>
      </c>
      <c r="R117" t="s">
        <v>1202</v>
      </c>
      <c r="S117" t="s">
        <v>195</v>
      </c>
    </row>
    <row r="118" spans="1:19" x14ac:dyDescent="0.3">
      <c r="A118" t="s">
        <v>596</v>
      </c>
      <c r="B118" t="s">
        <v>23</v>
      </c>
      <c r="C118">
        <v>2026</v>
      </c>
      <c r="D118">
        <v>1</v>
      </c>
      <c r="E118" s="2">
        <v>46027</v>
      </c>
      <c r="F118" t="s">
        <v>7</v>
      </c>
      <c r="G118" t="s">
        <v>8</v>
      </c>
      <c r="H118" t="s">
        <v>74</v>
      </c>
      <c r="I118" t="s">
        <v>75</v>
      </c>
      <c r="J118" t="s">
        <v>76</v>
      </c>
      <c r="K118" t="s">
        <v>73</v>
      </c>
      <c r="L118">
        <v>701000</v>
      </c>
      <c r="M118" t="s">
        <v>62</v>
      </c>
      <c r="N118" t="s">
        <v>33</v>
      </c>
      <c r="O118">
        <v>2502</v>
      </c>
      <c r="P118">
        <v>1.4</v>
      </c>
      <c r="Q118">
        <v>3.5</v>
      </c>
      <c r="R118" t="s">
        <v>1199</v>
      </c>
      <c r="S118" t="s">
        <v>195</v>
      </c>
    </row>
    <row r="119" spans="1:19" x14ac:dyDescent="0.3">
      <c r="A119" t="s">
        <v>597</v>
      </c>
      <c r="B119" t="s">
        <v>23</v>
      </c>
      <c r="C119">
        <v>2026</v>
      </c>
      <c r="D119">
        <v>1</v>
      </c>
      <c r="E119" s="2">
        <v>46027</v>
      </c>
      <c r="F119" t="s">
        <v>7</v>
      </c>
      <c r="G119" t="s">
        <v>8</v>
      </c>
      <c r="H119" t="s">
        <v>74</v>
      </c>
      <c r="I119" t="s">
        <v>75</v>
      </c>
      <c r="J119" t="s">
        <v>76</v>
      </c>
      <c r="K119" t="s">
        <v>73</v>
      </c>
      <c r="L119">
        <v>701000</v>
      </c>
      <c r="M119" t="s">
        <v>62</v>
      </c>
      <c r="N119" t="s">
        <v>33</v>
      </c>
      <c r="O119">
        <v>883</v>
      </c>
      <c r="P119">
        <v>1.4</v>
      </c>
      <c r="Q119">
        <v>1.24</v>
      </c>
      <c r="R119" t="s">
        <v>1198</v>
      </c>
      <c r="S119" t="s">
        <v>195</v>
      </c>
    </row>
    <row r="120" spans="1:19" x14ac:dyDescent="0.3">
      <c r="A120" t="s">
        <v>598</v>
      </c>
      <c r="B120" t="s">
        <v>23</v>
      </c>
      <c r="C120">
        <v>2026</v>
      </c>
      <c r="D120">
        <v>1</v>
      </c>
      <c r="E120" s="2">
        <v>46027</v>
      </c>
      <c r="F120" t="s">
        <v>7</v>
      </c>
      <c r="G120" t="s">
        <v>8</v>
      </c>
      <c r="H120" t="s">
        <v>74</v>
      </c>
      <c r="I120" t="s">
        <v>75</v>
      </c>
      <c r="J120" t="s">
        <v>76</v>
      </c>
      <c r="K120" t="s">
        <v>73</v>
      </c>
      <c r="L120">
        <v>701000</v>
      </c>
      <c r="M120" t="s">
        <v>62</v>
      </c>
      <c r="N120" t="s">
        <v>33</v>
      </c>
      <c r="O120">
        <v>772</v>
      </c>
      <c r="P120">
        <v>1.4</v>
      </c>
      <c r="Q120">
        <v>1.08</v>
      </c>
      <c r="R120" t="s">
        <v>1200</v>
      </c>
      <c r="S120" t="s">
        <v>195</v>
      </c>
    </row>
    <row r="121" spans="1:19" x14ac:dyDescent="0.3">
      <c r="A121" t="s">
        <v>599</v>
      </c>
      <c r="B121" t="s">
        <v>23</v>
      </c>
      <c r="C121">
        <v>2026</v>
      </c>
      <c r="D121">
        <v>1</v>
      </c>
      <c r="E121" s="2">
        <v>46027</v>
      </c>
      <c r="F121" t="s">
        <v>7</v>
      </c>
      <c r="G121" t="s">
        <v>8</v>
      </c>
      <c r="H121" t="s">
        <v>74</v>
      </c>
      <c r="I121" t="s">
        <v>75</v>
      </c>
      <c r="J121" t="s">
        <v>76</v>
      </c>
      <c r="K121" t="s">
        <v>73</v>
      </c>
      <c r="L121">
        <v>701000</v>
      </c>
      <c r="M121" t="s">
        <v>62</v>
      </c>
      <c r="N121" t="s">
        <v>33</v>
      </c>
      <c r="O121">
        <v>1612</v>
      </c>
      <c r="P121">
        <v>1.4</v>
      </c>
      <c r="Q121">
        <v>2.25</v>
      </c>
      <c r="R121" t="s">
        <v>1205</v>
      </c>
      <c r="S121" t="s">
        <v>195</v>
      </c>
    </row>
    <row r="122" spans="1:19" x14ac:dyDescent="0.3">
      <c r="A122" t="s">
        <v>605</v>
      </c>
      <c r="B122" t="s">
        <v>23</v>
      </c>
      <c r="C122">
        <v>2026</v>
      </c>
      <c r="D122">
        <v>1</v>
      </c>
      <c r="E122" s="2">
        <v>46027</v>
      </c>
      <c r="F122" t="s">
        <v>7</v>
      </c>
      <c r="G122" t="s">
        <v>8</v>
      </c>
      <c r="H122" t="s">
        <v>70</v>
      </c>
      <c r="I122" t="s">
        <v>75</v>
      </c>
      <c r="J122" t="s">
        <v>76</v>
      </c>
      <c r="K122" t="s">
        <v>73</v>
      </c>
      <c r="L122">
        <v>701000</v>
      </c>
      <c r="M122" t="s">
        <v>62</v>
      </c>
      <c r="N122" t="s">
        <v>33</v>
      </c>
      <c r="O122">
        <v>1988</v>
      </c>
      <c r="P122">
        <v>1.4</v>
      </c>
      <c r="Q122">
        <v>2.78</v>
      </c>
      <c r="R122" t="s">
        <v>1204</v>
      </c>
      <c r="S122" t="s">
        <v>195</v>
      </c>
    </row>
    <row r="123" spans="1:19" x14ac:dyDescent="0.3">
      <c r="A123" t="s">
        <v>606</v>
      </c>
      <c r="B123" t="s">
        <v>23</v>
      </c>
      <c r="C123">
        <v>2026</v>
      </c>
      <c r="D123">
        <v>1</v>
      </c>
      <c r="E123" s="2">
        <v>46027</v>
      </c>
      <c r="F123" t="s">
        <v>7</v>
      </c>
      <c r="G123" t="s">
        <v>8</v>
      </c>
      <c r="H123" t="s">
        <v>70</v>
      </c>
      <c r="I123" t="s">
        <v>75</v>
      </c>
      <c r="J123" t="s">
        <v>76</v>
      </c>
      <c r="K123" t="s">
        <v>73</v>
      </c>
      <c r="L123">
        <v>701000</v>
      </c>
      <c r="M123" t="s">
        <v>62</v>
      </c>
      <c r="N123" t="s">
        <v>33</v>
      </c>
      <c r="O123">
        <v>1089</v>
      </c>
      <c r="P123">
        <v>1.4</v>
      </c>
      <c r="Q123">
        <v>1.52</v>
      </c>
      <c r="R123" t="s">
        <v>1197</v>
      </c>
      <c r="S123" t="s">
        <v>195</v>
      </c>
    </row>
    <row r="124" spans="1:19" x14ac:dyDescent="0.3">
      <c r="A124" t="s">
        <v>607</v>
      </c>
      <c r="B124" t="s">
        <v>23</v>
      </c>
      <c r="C124">
        <v>2026</v>
      </c>
      <c r="D124">
        <v>1</v>
      </c>
      <c r="E124" s="2">
        <v>46027</v>
      </c>
      <c r="F124" t="s">
        <v>7</v>
      </c>
      <c r="G124" t="s">
        <v>8</v>
      </c>
      <c r="H124" t="s">
        <v>70</v>
      </c>
      <c r="I124" t="s">
        <v>75</v>
      </c>
      <c r="J124" t="s">
        <v>76</v>
      </c>
      <c r="K124" t="s">
        <v>73</v>
      </c>
      <c r="L124">
        <v>701000</v>
      </c>
      <c r="M124" t="s">
        <v>62</v>
      </c>
      <c r="N124" t="s">
        <v>33</v>
      </c>
      <c r="O124">
        <v>1250</v>
      </c>
      <c r="P124">
        <v>1.4</v>
      </c>
      <c r="Q124">
        <v>1.75</v>
      </c>
      <c r="R124" t="s">
        <v>1205</v>
      </c>
      <c r="S124" t="s">
        <v>195</v>
      </c>
    </row>
    <row r="125" spans="1:19" x14ac:dyDescent="0.3">
      <c r="A125" t="s">
        <v>608</v>
      </c>
      <c r="B125" t="s">
        <v>23</v>
      </c>
      <c r="C125">
        <v>2026</v>
      </c>
      <c r="D125">
        <v>1</v>
      </c>
      <c r="E125" s="2">
        <v>46027</v>
      </c>
      <c r="F125" t="s">
        <v>7</v>
      </c>
      <c r="G125" t="s">
        <v>8</v>
      </c>
      <c r="H125" t="s">
        <v>70</v>
      </c>
      <c r="I125" t="s">
        <v>75</v>
      </c>
      <c r="J125" t="s">
        <v>76</v>
      </c>
      <c r="K125" t="s">
        <v>73</v>
      </c>
      <c r="L125">
        <v>701000</v>
      </c>
      <c r="M125" t="s">
        <v>62</v>
      </c>
      <c r="N125" t="s">
        <v>33</v>
      </c>
      <c r="O125">
        <v>530</v>
      </c>
      <c r="P125">
        <v>1.4</v>
      </c>
      <c r="Q125">
        <v>0.74</v>
      </c>
      <c r="R125" t="s">
        <v>1200</v>
      </c>
      <c r="S125" t="s">
        <v>195</v>
      </c>
    </row>
    <row r="126" spans="1:19" x14ac:dyDescent="0.3">
      <c r="A126" t="s">
        <v>609</v>
      </c>
      <c r="B126" t="s">
        <v>23</v>
      </c>
      <c r="C126">
        <v>2026</v>
      </c>
      <c r="D126">
        <v>1</v>
      </c>
      <c r="E126" s="2">
        <v>46027</v>
      </c>
      <c r="F126" t="s">
        <v>7</v>
      </c>
      <c r="G126" t="s">
        <v>8</v>
      </c>
      <c r="H126" t="s">
        <v>70</v>
      </c>
      <c r="I126" t="s">
        <v>75</v>
      </c>
      <c r="J126" t="s">
        <v>76</v>
      </c>
      <c r="K126" t="s">
        <v>73</v>
      </c>
      <c r="L126">
        <v>701000</v>
      </c>
      <c r="M126" t="s">
        <v>62</v>
      </c>
      <c r="N126" t="s">
        <v>33</v>
      </c>
      <c r="O126">
        <v>1026</v>
      </c>
      <c r="P126">
        <v>1.41</v>
      </c>
      <c r="Q126">
        <v>1.45</v>
      </c>
      <c r="R126" t="s">
        <v>1198</v>
      </c>
      <c r="S126" t="s">
        <v>195</v>
      </c>
    </row>
    <row r="127" spans="1:19" x14ac:dyDescent="0.3">
      <c r="A127" t="s">
        <v>870</v>
      </c>
      <c r="B127" t="s">
        <v>23</v>
      </c>
      <c r="C127">
        <v>2026</v>
      </c>
      <c r="D127">
        <v>1</v>
      </c>
      <c r="E127" s="2">
        <v>46027</v>
      </c>
      <c r="F127" t="s">
        <v>7</v>
      </c>
      <c r="G127" t="s">
        <v>8</v>
      </c>
      <c r="H127" t="s">
        <v>70</v>
      </c>
      <c r="I127" t="s">
        <v>79</v>
      </c>
      <c r="J127" t="s">
        <v>80</v>
      </c>
      <c r="K127" t="s">
        <v>73</v>
      </c>
      <c r="L127">
        <v>701000</v>
      </c>
      <c r="M127" t="s">
        <v>62</v>
      </c>
      <c r="N127" t="s">
        <v>33</v>
      </c>
      <c r="O127">
        <v>1144</v>
      </c>
      <c r="P127">
        <v>2.6</v>
      </c>
      <c r="Q127">
        <v>2.98</v>
      </c>
      <c r="R127" t="s">
        <v>1205</v>
      </c>
      <c r="S127" t="s">
        <v>195</v>
      </c>
    </row>
    <row r="128" spans="1:19" x14ac:dyDescent="0.3">
      <c r="A128" t="s">
        <v>871</v>
      </c>
      <c r="B128" t="s">
        <v>23</v>
      </c>
      <c r="C128">
        <v>2026</v>
      </c>
      <c r="D128">
        <v>1</v>
      </c>
      <c r="E128" s="2">
        <v>46027</v>
      </c>
      <c r="F128" t="s">
        <v>7</v>
      </c>
      <c r="G128" t="s">
        <v>8</v>
      </c>
      <c r="H128" t="s">
        <v>70</v>
      </c>
      <c r="I128" t="s">
        <v>79</v>
      </c>
      <c r="J128" t="s">
        <v>80</v>
      </c>
      <c r="K128" t="s">
        <v>73</v>
      </c>
      <c r="L128">
        <v>701000</v>
      </c>
      <c r="M128" t="s">
        <v>62</v>
      </c>
      <c r="N128" t="s">
        <v>33</v>
      </c>
      <c r="O128">
        <v>321</v>
      </c>
      <c r="P128">
        <v>2.59</v>
      </c>
      <c r="Q128">
        <v>0.83</v>
      </c>
      <c r="R128" t="s">
        <v>1202</v>
      </c>
      <c r="S128" t="s">
        <v>195</v>
      </c>
    </row>
    <row r="129" spans="1:19" x14ac:dyDescent="0.3">
      <c r="A129" t="s">
        <v>872</v>
      </c>
      <c r="B129" t="s">
        <v>23</v>
      </c>
      <c r="C129">
        <v>2026</v>
      </c>
      <c r="D129">
        <v>1</v>
      </c>
      <c r="E129" s="2">
        <v>46027</v>
      </c>
      <c r="F129" t="s">
        <v>7</v>
      </c>
      <c r="G129" t="s">
        <v>8</v>
      </c>
      <c r="H129" t="s">
        <v>70</v>
      </c>
      <c r="I129" t="s">
        <v>79</v>
      </c>
      <c r="J129" t="s">
        <v>80</v>
      </c>
      <c r="K129" t="s">
        <v>73</v>
      </c>
      <c r="L129">
        <v>701000</v>
      </c>
      <c r="M129" t="s">
        <v>62</v>
      </c>
      <c r="N129" t="s">
        <v>33</v>
      </c>
      <c r="O129">
        <v>1583</v>
      </c>
      <c r="P129">
        <v>2.6</v>
      </c>
      <c r="Q129">
        <v>4.12</v>
      </c>
      <c r="R129" t="s">
        <v>1203</v>
      </c>
      <c r="S129" t="s">
        <v>195</v>
      </c>
    </row>
    <row r="130" spans="1:19" x14ac:dyDescent="0.3">
      <c r="A130" t="s">
        <v>873</v>
      </c>
      <c r="B130" t="s">
        <v>23</v>
      </c>
      <c r="C130">
        <v>2026</v>
      </c>
      <c r="D130">
        <v>1</v>
      </c>
      <c r="E130" s="2">
        <v>46027</v>
      </c>
      <c r="F130" t="s">
        <v>7</v>
      </c>
      <c r="G130" t="s">
        <v>8</v>
      </c>
      <c r="H130" t="s">
        <v>70</v>
      </c>
      <c r="I130" t="s">
        <v>79</v>
      </c>
      <c r="J130" t="s">
        <v>80</v>
      </c>
      <c r="K130" t="s">
        <v>73</v>
      </c>
      <c r="L130">
        <v>701000</v>
      </c>
      <c r="M130" t="s">
        <v>62</v>
      </c>
      <c r="N130" t="s">
        <v>33</v>
      </c>
      <c r="O130">
        <v>3465</v>
      </c>
      <c r="P130">
        <v>2.6</v>
      </c>
      <c r="Q130">
        <v>9.01</v>
      </c>
      <c r="R130" t="s">
        <v>1200</v>
      </c>
      <c r="S130" t="s">
        <v>195</v>
      </c>
    </row>
    <row r="131" spans="1:19" x14ac:dyDescent="0.3">
      <c r="A131" t="s">
        <v>874</v>
      </c>
      <c r="B131" t="s">
        <v>23</v>
      </c>
      <c r="C131">
        <v>2026</v>
      </c>
      <c r="D131">
        <v>1</v>
      </c>
      <c r="E131" s="2">
        <v>46027</v>
      </c>
      <c r="F131" t="s">
        <v>7</v>
      </c>
      <c r="G131" t="s">
        <v>8</v>
      </c>
      <c r="H131" t="s">
        <v>70</v>
      </c>
      <c r="I131" t="s">
        <v>79</v>
      </c>
      <c r="J131" t="s">
        <v>80</v>
      </c>
      <c r="K131" t="s">
        <v>73</v>
      </c>
      <c r="L131">
        <v>701000</v>
      </c>
      <c r="M131" t="s">
        <v>62</v>
      </c>
      <c r="N131" t="s">
        <v>33</v>
      </c>
      <c r="O131">
        <v>1055</v>
      </c>
      <c r="P131">
        <v>2.6</v>
      </c>
      <c r="Q131">
        <v>2.74</v>
      </c>
      <c r="R131" t="s">
        <v>1204</v>
      </c>
      <c r="S131" t="s">
        <v>195</v>
      </c>
    </row>
    <row r="132" spans="1:19" x14ac:dyDescent="0.3">
      <c r="A132" t="s">
        <v>910</v>
      </c>
      <c r="B132" t="s">
        <v>23</v>
      </c>
      <c r="C132">
        <v>2026</v>
      </c>
      <c r="D132">
        <v>1</v>
      </c>
      <c r="E132" s="2">
        <v>46027</v>
      </c>
      <c r="F132" t="s">
        <v>7</v>
      </c>
      <c r="G132" t="s">
        <v>8</v>
      </c>
      <c r="H132" t="s">
        <v>70</v>
      </c>
      <c r="I132" t="s">
        <v>82</v>
      </c>
      <c r="J132" t="s">
        <v>83</v>
      </c>
      <c r="K132" t="s">
        <v>73</v>
      </c>
      <c r="L132">
        <v>701000</v>
      </c>
      <c r="M132" t="s">
        <v>62</v>
      </c>
      <c r="N132" t="s">
        <v>33</v>
      </c>
      <c r="O132">
        <v>215</v>
      </c>
      <c r="P132">
        <v>18.510000000000002</v>
      </c>
      <c r="Q132">
        <v>3.98</v>
      </c>
      <c r="R132" t="s">
        <v>1199</v>
      </c>
      <c r="S132" t="s">
        <v>195</v>
      </c>
    </row>
    <row r="133" spans="1:19" x14ac:dyDescent="0.3">
      <c r="A133" t="s">
        <v>911</v>
      </c>
      <c r="B133" t="s">
        <v>23</v>
      </c>
      <c r="C133">
        <v>2026</v>
      </c>
      <c r="D133">
        <v>1</v>
      </c>
      <c r="E133" s="2">
        <v>46027</v>
      </c>
      <c r="F133" t="s">
        <v>7</v>
      </c>
      <c r="G133" t="s">
        <v>8</v>
      </c>
      <c r="H133" t="s">
        <v>70</v>
      </c>
      <c r="I133" t="s">
        <v>82</v>
      </c>
      <c r="J133" t="s">
        <v>83</v>
      </c>
      <c r="K133" t="s">
        <v>73</v>
      </c>
      <c r="L133">
        <v>701000</v>
      </c>
      <c r="M133" t="s">
        <v>62</v>
      </c>
      <c r="N133" t="s">
        <v>33</v>
      </c>
      <c r="O133">
        <v>154</v>
      </c>
      <c r="P133">
        <v>18.510000000000002</v>
      </c>
      <c r="Q133">
        <v>2.85</v>
      </c>
      <c r="R133" t="s">
        <v>1201</v>
      </c>
      <c r="S133" t="s">
        <v>195</v>
      </c>
    </row>
    <row r="134" spans="1:19" x14ac:dyDescent="0.3">
      <c r="A134" t="s">
        <v>912</v>
      </c>
      <c r="B134" t="s">
        <v>23</v>
      </c>
      <c r="C134">
        <v>2026</v>
      </c>
      <c r="D134">
        <v>1</v>
      </c>
      <c r="E134" s="2">
        <v>46027</v>
      </c>
      <c r="F134" t="s">
        <v>7</v>
      </c>
      <c r="G134" t="s">
        <v>8</v>
      </c>
      <c r="H134" t="s">
        <v>70</v>
      </c>
      <c r="I134" t="s">
        <v>82</v>
      </c>
      <c r="J134" t="s">
        <v>83</v>
      </c>
      <c r="K134" t="s">
        <v>73</v>
      </c>
      <c r="L134">
        <v>701000</v>
      </c>
      <c r="M134" t="s">
        <v>62</v>
      </c>
      <c r="N134" t="s">
        <v>33</v>
      </c>
      <c r="O134">
        <v>118</v>
      </c>
      <c r="P134">
        <v>18.559999999999999</v>
      </c>
      <c r="Q134">
        <v>2.19</v>
      </c>
      <c r="R134" t="s">
        <v>1203</v>
      </c>
      <c r="S134" t="s">
        <v>195</v>
      </c>
    </row>
    <row r="135" spans="1:19" x14ac:dyDescent="0.3">
      <c r="A135" t="s">
        <v>913</v>
      </c>
      <c r="B135" t="s">
        <v>23</v>
      </c>
      <c r="C135">
        <v>2026</v>
      </c>
      <c r="D135">
        <v>1</v>
      </c>
      <c r="E135" s="2">
        <v>46027</v>
      </c>
      <c r="F135" t="s">
        <v>7</v>
      </c>
      <c r="G135" t="s">
        <v>8</v>
      </c>
      <c r="H135" t="s">
        <v>70</v>
      </c>
      <c r="I135" t="s">
        <v>82</v>
      </c>
      <c r="J135" t="s">
        <v>83</v>
      </c>
      <c r="K135" t="s">
        <v>73</v>
      </c>
      <c r="L135">
        <v>701000</v>
      </c>
      <c r="M135" t="s">
        <v>62</v>
      </c>
      <c r="N135" t="s">
        <v>33</v>
      </c>
      <c r="O135">
        <v>195</v>
      </c>
      <c r="P135">
        <v>18.46</v>
      </c>
      <c r="Q135">
        <v>3.6</v>
      </c>
      <c r="R135" t="s">
        <v>1200</v>
      </c>
      <c r="S135" t="s">
        <v>195</v>
      </c>
    </row>
    <row r="136" spans="1:19" x14ac:dyDescent="0.3">
      <c r="A136" t="s">
        <v>914</v>
      </c>
      <c r="B136" t="s">
        <v>23</v>
      </c>
      <c r="C136">
        <v>2026</v>
      </c>
      <c r="D136">
        <v>1</v>
      </c>
      <c r="E136" s="2">
        <v>46027</v>
      </c>
      <c r="F136" t="s">
        <v>7</v>
      </c>
      <c r="G136" t="s">
        <v>8</v>
      </c>
      <c r="H136" t="s">
        <v>70</v>
      </c>
      <c r="I136" t="s">
        <v>82</v>
      </c>
      <c r="J136" t="s">
        <v>83</v>
      </c>
      <c r="K136" t="s">
        <v>73</v>
      </c>
      <c r="L136">
        <v>701000</v>
      </c>
      <c r="M136" t="s">
        <v>62</v>
      </c>
      <c r="N136" t="s">
        <v>33</v>
      </c>
      <c r="O136">
        <v>70</v>
      </c>
      <c r="P136">
        <v>18.43</v>
      </c>
      <c r="Q136">
        <v>1.29</v>
      </c>
      <c r="R136" t="s">
        <v>1198</v>
      </c>
      <c r="S136" t="s">
        <v>195</v>
      </c>
    </row>
    <row r="137" spans="1:19" x14ac:dyDescent="0.3">
      <c r="A137" t="s">
        <v>925</v>
      </c>
      <c r="B137" t="s">
        <v>23</v>
      </c>
      <c r="C137">
        <v>2026</v>
      </c>
      <c r="D137">
        <v>1</v>
      </c>
      <c r="E137" s="2">
        <v>46027</v>
      </c>
      <c r="F137" t="s">
        <v>7</v>
      </c>
      <c r="G137" t="s">
        <v>8</v>
      </c>
      <c r="H137" t="s">
        <v>74</v>
      </c>
      <c r="I137" t="s">
        <v>82</v>
      </c>
      <c r="J137" t="s">
        <v>83</v>
      </c>
      <c r="K137" t="s">
        <v>73</v>
      </c>
      <c r="L137">
        <v>701000</v>
      </c>
      <c r="M137" t="s">
        <v>62</v>
      </c>
      <c r="N137" t="s">
        <v>33</v>
      </c>
      <c r="O137">
        <v>78</v>
      </c>
      <c r="P137">
        <v>18.46</v>
      </c>
      <c r="Q137">
        <v>1.44</v>
      </c>
      <c r="R137" t="s">
        <v>1202</v>
      </c>
      <c r="S137" t="s">
        <v>195</v>
      </c>
    </row>
    <row r="138" spans="1:19" x14ac:dyDescent="0.3">
      <c r="A138" t="s">
        <v>926</v>
      </c>
      <c r="B138" t="s">
        <v>23</v>
      </c>
      <c r="C138">
        <v>2026</v>
      </c>
      <c r="D138">
        <v>1</v>
      </c>
      <c r="E138" s="2">
        <v>46027</v>
      </c>
      <c r="F138" t="s">
        <v>7</v>
      </c>
      <c r="G138" t="s">
        <v>8</v>
      </c>
      <c r="H138" t="s">
        <v>74</v>
      </c>
      <c r="I138" t="s">
        <v>82</v>
      </c>
      <c r="J138" t="s">
        <v>83</v>
      </c>
      <c r="K138" t="s">
        <v>73</v>
      </c>
      <c r="L138">
        <v>701000</v>
      </c>
      <c r="M138" t="s">
        <v>62</v>
      </c>
      <c r="N138" t="s">
        <v>33</v>
      </c>
      <c r="O138">
        <v>197</v>
      </c>
      <c r="P138">
        <v>18.48</v>
      </c>
      <c r="Q138">
        <v>3.64</v>
      </c>
      <c r="R138" t="s">
        <v>1197</v>
      </c>
      <c r="S138" t="s">
        <v>195</v>
      </c>
    </row>
    <row r="139" spans="1:19" x14ac:dyDescent="0.3">
      <c r="A139" t="s">
        <v>927</v>
      </c>
      <c r="B139" t="s">
        <v>23</v>
      </c>
      <c r="C139">
        <v>2026</v>
      </c>
      <c r="D139">
        <v>1</v>
      </c>
      <c r="E139" s="2">
        <v>46027</v>
      </c>
      <c r="F139" t="s">
        <v>7</v>
      </c>
      <c r="G139" t="s">
        <v>8</v>
      </c>
      <c r="H139" t="s">
        <v>74</v>
      </c>
      <c r="I139" t="s">
        <v>82</v>
      </c>
      <c r="J139" t="s">
        <v>83</v>
      </c>
      <c r="K139" t="s">
        <v>73</v>
      </c>
      <c r="L139">
        <v>701000</v>
      </c>
      <c r="M139" t="s">
        <v>62</v>
      </c>
      <c r="N139" t="s">
        <v>33</v>
      </c>
      <c r="O139">
        <v>130</v>
      </c>
      <c r="P139">
        <v>18.46</v>
      </c>
      <c r="Q139">
        <v>2.4</v>
      </c>
      <c r="R139" t="s">
        <v>1199</v>
      </c>
      <c r="S139" t="s">
        <v>195</v>
      </c>
    </row>
    <row r="140" spans="1:19" x14ac:dyDescent="0.3">
      <c r="A140" t="s">
        <v>928</v>
      </c>
      <c r="B140" t="s">
        <v>23</v>
      </c>
      <c r="C140">
        <v>2026</v>
      </c>
      <c r="D140">
        <v>1</v>
      </c>
      <c r="E140" s="2">
        <v>46027</v>
      </c>
      <c r="F140" t="s">
        <v>7</v>
      </c>
      <c r="G140" t="s">
        <v>8</v>
      </c>
      <c r="H140" t="s">
        <v>74</v>
      </c>
      <c r="I140" t="s">
        <v>82</v>
      </c>
      <c r="J140" t="s">
        <v>83</v>
      </c>
      <c r="K140" t="s">
        <v>73</v>
      </c>
      <c r="L140">
        <v>701000</v>
      </c>
      <c r="M140" t="s">
        <v>62</v>
      </c>
      <c r="N140" t="s">
        <v>33</v>
      </c>
      <c r="O140">
        <v>289</v>
      </c>
      <c r="P140">
        <v>18.510000000000002</v>
      </c>
      <c r="Q140">
        <v>5.35</v>
      </c>
      <c r="R140" t="s">
        <v>1198</v>
      </c>
      <c r="S140" t="s">
        <v>195</v>
      </c>
    </row>
    <row r="141" spans="1:19" x14ac:dyDescent="0.3">
      <c r="A141" t="s">
        <v>929</v>
      </c>
      <c r="B141" t="s">
        <v>23</v>
      </c>
      <c r="C141">
        <v>2026</v>
      </c>
      <c r="D141">
        <v>1</v>
      </c>
      <c r="E141" s="2">
        <v>46027</v>
      </c>
      <c r="F141" t="s">
        <v>7</v>
      </c>
      <c r="G141" t="s">
        <v>8</v>
      </c>
      <c r="H141" t="s">
        <v>74</v>
      </c>
      <c r="I141" t="s">
        <v>82</v>
      </c>
      <c r="J141" t="s">
        <v>83</v>
      </c>
      <c r="K141" t="s">
        <v>73</v>
      </c>
      <c r="L141">
        <v>701000</v>
      </c>
      <c r="M141" t="s">
        <v>62</v>
      </c>
      <c r="N141" t="s">
        <v>33</v>
      </c>
      <c r="O141">
        <v>91</v>
      </c>
      <c r="P141">
        <v>18.57</v>
      </c>
      <c r="Q141">
        <v>1.69</v>
      </c>
      <c r="R141" t="s">
        <v>1201</v>
      </c>
      <c r="S141" t="s">
        <v>195</v>
      </c>
    </row>
    <row r="142" spans="1:19" x14ac:dyDescent="0.3">
      <c r="A142" t="s">
        <v>390</v>
      </c>
      <c r="B142" t="s">
        <v>23</v>
      </c>
      <c r="C142">
        <v>2026</v>
      </c>
      <c r="D142">
        <v>1</v>
      </c>
      <c r="E142" s="2">
        <v>46028</v>
      </c>
      <c r="F142" t="s">
        <v>7</v>
      </c>
      <c r="G142" t="s">
        <v>8</v>
      </c>
      <c r="H142" t="s">
        <v>70</v>
      </c>
      <c r="I142" t="s">
        <v>71</v>
      </c>
      <c r="J142" t="s">
        <v>72</v>
      </c>
      <c r="K142" t="s">
        <v>73</v>
      </c>
      <c r="L142">
        <v>701000</v>
      </c>
      <c r="M142" t="s">
        <v>62</v>
      </c>
      <c r="N142" t="s">
        <v>33</v>
      </c>
      <c r="O142">
        <v>1336</v>
      </c>
      <c r="P142">
        <v>1.05</v>
      </c>
      <c r="Q142">
        <v>1.4</v>
      </c>
      <c r="R142" t="s">
        <v>1198</v>
      </c>
      <c r="S142" t="s">
        <v>195</v>
      </c>
    </row>
    <row r="143" spans="1:19" x14ac:dyDescent="0.3">
      <c r="A143" t="s">
        <v>391</v>
      </c>
      <c r="B143" t="s">
        <v>23</v>
      </c>
      <c r="C143">
        <v>2026</v>
      </c>
      <c r="D143">
        <v>1</v>
      </c>
      <c r="E143" s="2">
        <v>46028</v>
      </c>
      <c r="F143" t="s">
        <v>7</v>
      </c>
      <c r="G143" t="s">
        <v>8</v>
      </c>
      <c r="H143" t="s">
        <v>70</v>
      </c>
      <c r="I143" t="s">
        <v>71</v>
      </c>
      <c r="J143" t="s">
        <v>72</v>
      </c>
      <c r="K143" t="s">
        <v>73</v>
      </c>
      <c r="L143">
        <v>701000</v>
      </c>
      <c r="M143" t="s">
        <v>62</v>
      </c>
      <c r="N143" t="s">
        <v>33</v>
      </c>
      <c r="O143">
        <v>4050</v>
      </c>
      <c r="P143">
        <v>1.05</v>
      </c>
      <c r="Q143">
        <v>4.25</v>
      </c>
      <c r="R143" t="s">
        <v>1199</v>
      </c>
      <c r="S143" t="s">
        <v>195</v>
      </c>
    </row>
    <row r="144" spans="1:19" x14ac:dyDescent="0.3">
      <c r="A144" t="s">
        <v>392</v>
      </c>
      <c r="B144" t="s">
        <v>23</v>
      </c>
      <c r="C144">
        <v>2026</v>
      </c>
      <c r="D144">
        <v>1</v>
      </c>
      <c r="E144" s="2">
        <v>46028</v>
      </c>
      <c r="F144" t="s">
        <v>7</v>
      </c>
      <c r="G144" t="s">
        <v>8</v>
      </c>
      <c r="H144" t="s">
        <v>70</v>
      </c>
      <c r="I144" t="s">
        <v>71</v>
      </c>
      <c r="J144" t="s">
        <v>72</v>
      </c>
      <c r="K144" t="s">
        <v>73</v>
      </c>
      <c r="L144">
        <v>701000</v>
      </c>
      <c r="M144" t="s">
        <v>62</v>
      </c>
      <c r="N144" t="s">
        <v>33</v>
      </c>
      <c r="O144">
        <v>1751</v>
      </c>
      <c r="P144">
        <v>1.05</v>
      </c>
      <c r="Q144">
        <v>1.84</v>
      </c>
      <c r="R144" t="s">
        <v>1197</v>
      </c>
      <c r="S144" t="s">
        <v>195</v>
      </c>
    </row>
    <row r="145" spans="1:19" x14ac:dyDescent="0.3">
      <c r="A145" t="s">
        <v>393</v>
      </c>
      <c r="B145" t="s">
        <v>23</v>
      </c>
      <c r="C145">
        <v>2026</v>
      </c>
      <c r="D145">
        <v>1</v>
      </c>
      <c r="E145" s="2">
        <v>46028</v>
      </c>
      <c r="F145" t="s">
        <v>7</v>
      </c>
      <c r="G145" t="s">
        <v>8</v>
      </c>
      <c r="H145" t="s">
        <v>70</v>
      </c>
      <c r="I145" t="s">
        <v>71</v>
      </c>
      <c r="J145" t="s">
        <v>72</v>
      </c>
      <c r="K145" t="s">
        <v>73</v>
      </c>
      <c r="L145">
        <v>701000</v>
      </c>
      <c r="M145" t="s">
        <v>62</v>
      </c>
      <c r="N145" t="s">
        <v>33</v>
      </c>
      <c r="O145">
        <v>781</v>
      </c>
      <c r="P145">
        <v>1.05</v>
      </c>
      <c r="Q145">
        <v>0.82</v>
      </c>
      <c r="R145" t="s">
        <v>1203</v>
      </c>
      <c r="S145" t="s">
        <v>195</v>
      </c>
    </row>
    <row r="146" spans="1:19" x14ac:dyDescent="0.3">
      <c r="A146" t="s">
        <v>394</v>
      </c>
      <c r="B146" t="s">
        <v>23</v>
      </c>
      <c r="C146">
        <v>2026</v>
      </c>
      <c r="D146">
        <v>1</v>
      </c>
      <c r="E146" s="2">
        <v>46028</v>
      </c>
      <c r="F146" t="s">
        <v>7</v>
      </c>
      <c r="G146" t="s">
        <v>8</v>
      </c>
      <c r="H146" t="s">
        <v>70</v>
      </c>
      <c r="I146" t="s">
        <v>71</v>
      </c>
      <c r="J146" t="s">
        <v>72</v>
      </c>
      <c r="K146" t="s">
        <v>73</v>
      </c>
      <c r="L146">
        <v>701000</v>
      </c>
      <c r="M146" t="s">
        <v>62</v>
      </c>
      <c r="N146" t="s">
        <v>33</v>
      </c>
      <c r="O146">
        <v>734</v>
      </c>
      <c r="P146">
        <v>1.05</v>
      </c>
      <c r="Q146">
        <v>0.77</v>
      </c>
      <c r="R146" t="s">
        <v>1204</v>
      </c>
      <c r="S146" t="s">
        <v>195</v>
      </c>
    </row>
    <row r="147" spans="1:19" x14ac:dyDescent="0.3">
      <c r="A147" t="s">
        <v>745</v>
      </c>
      <c r="B147" t="s">
        <v>23</v>
      </c>
      <c r="C147">
        <v>2026</v>
      </c>
      <c r="D147">
        <v>1</v>
      </c>
      <c r="E147" s="2">
        <v>46028</v>
      </c>
      <c r="F147" t="s">
        <v>7</v>
      </c>
      <c r="G147" t="s">
        <v>8</v>
      </c>
      <c r="H147" t="s">
        <v>70</v>
      </c>
      <c r="I147" t="s">
        <v>77</v>
      </c>
      <c r="J147" t="s">
        <v>78</v>
      </c>
      <c r="K147" t="s">
        <v>73</v>
      </c>
      <c r="L147">
        <v>706000</v>
      </c>
      <c r="M147" t="s">
        <v>63</v>
      </c>
      <c r="N147" t="s">
        <v>33</v>
      </c>
      <c r="O147">
        <v>1069</v>
      </c>
      <c r="P147">
        <v>1.81</v>
      </c>
      <c r="Q147">
        <v>1.93</v>
      </c>
      <c r="R147" t="s">
        <v>1199</v>
      </c>
      <c r="S147" t="s">
        <v>195</v>
      </c>
    </row>
    <row r="148" spans="1:19" x14ac:dyDescent="0.3">
      <c r="A148" t="s">
        <v>746</v>
      </c>
      <c r="B148" t="s">
        <v>23</v>
      </c>
      <c r="C148">
        <v>2026</v>
      </c>
      <c r="D148">
        <v>1</v>
      </c>
      <c r="E148" s="2">
        <v>46028</v>
      </c>
      <c r="F148" t="s">
        <v>7</v>
      </c>
      <c r="G148" t="s">
        <v>8</v>
      </c>
      <c r="H148" t="s">
        <v>70</v>
      </c>
      <c r="I148" t="s">
        <v>77</v>
      </c>
      <c r="J148" t="s">
        <v>78</v>
      </c>
      <c r="K148" t="s">
        <v>73</v>
      </c>
      <c r="L148">
        <v>706000</v>
      </c>
      <c r="M148" t="s">
        <v>63</v>
      </c>
      <c r="N148" t="s">
        <v>33</v>
      </c>
      <c r="O148">
        <v>896</v>
      </c>
      <c r="P148">
        <v>1.8</v>
      </c>
      <c r="Q148">
        <v>1.61</v>
      </c>
      <c r="R148" t="s">
        <v>1205</v>
      </c>
      <c r="S148" t="s">
        <v>195</v>
      </c>
    </row>
    <row r="149" spans="1:19" x14ac:dyDescent="0.3">
      <c r="A149" t="s">
        <v>747</v>
      </c>
      <c r="B149" t="s">
        <v>23</v>
      </c>
      <c r="C149">
        <v>2026</v>
      </c>
      <c r="D149">
        <v>1</v>
      </c>
      <c r="E149" s="2">
        <v>46028</v>
      </c>
      <c r="F149" t="s">
        <v>7</v>
      </c>
      <c r="G149" t="s">
        <v>8</v>
      </c>
      <c r="H149" t="s">
        <v>70</v>
      </c>
      <c r="I149" t="s">
        <v>77</v>
      </c>
      <c r="J149" t="s">
        <v>78</v>
      </c>
      <c r="K149" t="s">
        <v>73</v>
      </c>
      <c r="L149">
        <v>706000</v>
      </c>
      <c r="M149" t="s">
        <v>63</v>
      </c>
      <c r="N149" t="s">
        <v>33</v>
      </c>
      <c r="O149">
        <v>693</v>
      </c>
      <c r="P149">
        <v>1.8</v>
      </c>
      <c r="Q149">
        <v>1.25</v>
      </c>
      <c r="R149" t="s">
        <v>1197</v>
      </c>
      <c r="S149" t="s">
        <v>195</v>
      </c>
    </row>
    <row r="150" spans="1:19" x14ac:dyDescent="0.3">
      <c r="A150" t="s">
        <v>748</v>
      </c>
      <c r="B150" t="s">
        <v>23</v>
      </c>
      <c r="C150">
        <v>2026</v>
      </c>
      <c r="D150">
        <v>1</v>
      </c>
      <c r="E150" s="2">
        <v>46028</v>
      </c>
      <c r="F150" t="s">
        <v>7</v>
      </c>
      <c r="G150" t="s">
        <v>8</v>
      </c>
      <c r="H150" t="s">
        <v>70</v>
      </c>
      <c r="I150" t="s">
        <v>77</v>
      </c>
      <c r="J150" t="s">
        <v>78</v>
      </c>
      <c r="K150" t="s">
        <v>73</v>
      </c>
      <c r="L150">
        <v>706000</v>
      </c>
      <c r="M150" t="s">
        <v>63</v>
      </c>
      <c r="N150" t="s">
        <v>33</v>
      </c>
      <c r="O150">
        <v>3460</v>
      </c>
      <c r="P150">
        <v>1.8</v>
      </c>
      <c r="Q150">
        <v>6.23</v>
      </c>
      <c r="R150" t="s">
        <v>1204</v>
      </c>
      <c r="S150" t="s">
        <v>195</v>
      </c>
    </row>
    <row r="151" spans="1:19" x14ac:dyDescent="0.3">
      <c r="A151" t="s">
        <v>749</v>
      </c>
      <c r="B151" t="s">
        <v>23</v>
      </c>
      <c r="C151">
        <v>2026</v>
      </c>
      <c r="D151">
        <v>1</v>
      </c>
      <c r="E151" s="2">
        <v>46028</v>
      </c>
      <c r="F151" t="s">
        <v>7</v>
      </c>
      <c r="G151" t="s">
        <v>8</v>
      </c>
      <c r="H151" t="s">
        <v>70</v>
      </c>
      <c r="I151" t="s">
        <v>77</v>
      </c>
      <c r="J151" t="s">
        <v>78</v>
      </c>
      <c r="K151" t="s">
        <v>73</v>
      </c>
      <c r="L151">
        <v>706000</v>
      </c>
      <c r="M151" t="s">
        <v>63</v>
      </c>
      <c r="N151" t="s">
        <v>33</v>
      </c>
      <c r="O151">
        <v>396</v>
      </c>
      <c r="P151">
        <v>1.79</v>
      </c>
      <c r="Q151">
        <v>0.71</v>
      </c>
      <c r="R151" t="s">
        <v>1203</v>
      </c>
      <c r="S151" t="s">
        <v>195</v>
      </c>
    </row>
    <row r="152" spans="1:19" x14ac:dyDescent="0.3">
      <c r="A152" t="s">
        <v>425</v>
      </c>
      <c r="B152" t="s">
        <v>23</v>
      </c>
      <c r="C152">
        <v>2026</v>
      </c>
      <c r="D152">
        <v>1</v>
      </c>
      <c r="E152" s="2">
        <v>46029</v>
      </c>
      <c r="F152" t="s">
        <v>7</v>
      </c>
      <c r="G152" t="s">
        <v>8</v>
      </c>
      <c r="H152" t="s">
        <v>70</v>
      </c>
      <c r="I152" t="s">
        <v>71</v>
      </c>
      <c r="J152" t="s">
        <v>72</v>
      </c>
      <c r="K152" t="s">
        <v>73</v>
      </c>
      <c r="L152">
        <v>701000</v>
      </c>
      <c r="M152" t="s">
        <v>62</v>
      </c>
      <c r="N152" t="s">
        <v>33</v>
      </c>
      <c r="O152">
        <v>1374</v>
      </c>
      <c r="P152">
        <v>1.05</v>
      </c>
      <c r="Q152">
        <v>1.44</v>
      </c>
      <c r="R152" t="s">
        <v>1204</v>
      </c>
      <c r="S152" t="s">
        <v>195</v>
      </c>
    </row>
    <row r="153" spans="1:19" x14ac:dyDescent="0.3">
      <c r="A153" t="s">
        <v>426</v>
      </c>
      <c r="B153" t="s">
        <v>23</v>
      </c>
      <c r="C153">
        <v>2026</v>
      </c>
      <c r="D153">
        <v>1</v>
      </c>
      <c r="E153" s="2">
        <v>46029</v>
      </c>
      <c r="F153" t="s">
        <v>7</v>
      </c>
      <c r="G153" t="s">
        <v>8</v>
      </c>
      <c r="H153" t="s">
        <v>70</v>
      </c>
      <c r="I153" t="s">
        <v>71</v>
      </c>
      <c r="J153" t="s">
        <v>72</v>
      </c>
      <c r="K153" t="s">
        <v>73</v>
      </c>
      <c r="L153">
        <v>701000</v>
      </c>
      <c r="M153" t="s">
        <v>62</v>
      </c>
      <c r="N153" t="s">
        <v>33</v>
      </c>
      <c r="O153">
        <v>1610</v>
      </c>
      <c r="P153">
        <v>1.05</v>
      </c>
      <c r="Q153">
        <v>1.69</v>
      </c>
      <c r="R153" t="s">
        <v>1197</v>
      </c>
      <c r="S153" t="s">
        <v>195</v>
      </c>
    </row>
    <row r="154" spans="1:19" x14ac:dyDescent="0.3">
      <c r="A154" t="s">
        <v>427</v>
      </c>
      <c r="B154" t="s">
        <v>23</v>
      </c>
      <c r="C154">
        <v>2026</v>
      </c>
      <c r="D154">
        <v>1</v>
      </c>
      <c r="E154" s="2">
        <v>46029</v>
      </c>
      <c r="F154" t="s">
        <v>7</v>
      </c>
      <c r="G154" t="s">
        <v>8</v>
      </c>
      <c r="H154" t="s">
        <v>70</v>
      </c>
      <c r="I154" t="s">
        <v>71</v>
      </c>
      <c r="J154" t="s">
        <v>72</v>
      </c>
      <c r="K154" t="s">
        <v>73</v>
      </c>
      <c r="L154">
        <v>701000</v>
      </c>
      <c r="M154" t="s">
        <v>62</v>
      </c>
      <c r="N154" t="s">
        <v>33</v>
      </c>
      <c r="O154">
        <v>2078</v>
      </c>
      <c r="P154">
        <v>1.05</v>
      </c>
      <c r="Q154">
        <v>2.1800000000000002</v>
      </c>
      <c r="R154" t="s">
        <v>1200</v>
      </c>
      <c r="S154" t="s">
        <v>195</v>
      </c>
    </row>
    <row r="155" spans="1:19" x14ac:dyDescent="0.3">
      <c r="A155" t="s">
        <v>428</v>
      </c>
      <c r="B155" t="s">
        <v>23</v>
      </c>
      <c r="C155">
        <v>2026</v>
      </c>
      <c r="D155">
        <v>1</v>
      </c>
      <c r="E155" s="2">
        <v>46029</v>
      </c>
      <c r="F155" t="s">
        <v>7</v>
      </c>
      <c r="G155" t="s">
        <v>8</v>
      </c>
      <c r="H155" t="s">
        <v>70</v>
      </c>
      <c r="I155" t="s">
        <v>71</v>
      </c>
      <c r="J155" t="s">
        <v>72</v>
      </c>
      <c r="K155" t="s">
        <v>73</v>
      </c>
      <c r="L155">
        <v>701000</v>
      </c>
      <c r="M155" t="s">
        <v>62</v>
      </c>
      <c r="N155" t="s">
        <v>33</v>
      </c>
      <c r="O155">
        <v>1689</v>
      </c>
      <c r="P155">
        <v>1.05</v>
      </c>
      <c r="Q155">
        <v>1.77</v>
      </c>
      <c r="R155" t="s">
        <v>1201</v>
      </c>
      <c r="S155" t="s">
        <v>195</v>
      </c>
    </row>
    <row r="156" spans="1:19" x14ac:dyDescent="0.3">
      <c r="A156" t="s">
        <v>429</v>
      </c>
      <c r="B156" t="s">
        <v>23</v>
      </c>
      <c r="C156">
        <v>2026</v>
      </c>
      <c r="D156">
        <v>1</v>
      </c>
      <c r="E156" s="2">
        <v>46029</v>
      </c>
      <c r="F156" t="s">
        <v>7</v>
      </c>
      <c r="G156" t="s">
        <v>8</v>
      </c>
      <c r="H156" t="s">
        <v>70</v>
      </c>
      <c r="I156" t="s">
        <v>71</v>
      </c>
      <c r="J156" t="s">
        <v>72</v>
      </c>
      <c r="K156" t="s">
        <v>73</v>
      </c>
      <c r="L156">
        <v>701000</v>
      </c>
      <c r="M156" t="s">
        <v>62</v>
      </c>
      <c r="N156" t="s">
        <v>33</v>
      </c>
      <c r="O156">
        <v>1496</v>
      </c>
      <c r="P156">
        <v>1.06</v>
      </c>
      <c r="Q156">
        <v>1.58</v>
      </c>
      <c r="R156" t="s">
        <v>1202</v>
      </c>
      <c r="S156" t="s">
        <v>195</v>
      </c>
    </row>
    <row r="157" spans="1:19" x14ac:dyDescent="0.3">
      <c r="A157" t="s">
        <v>500</v>
      </c>
      <c r="B157" t="s">
        <v>23</v>
      </c>
      <c r="C157">
        <v>2026</v>
      </c>
      <c r="D157">
        <v>1</v>
      </c>
      <c r="E157" s="2">
        <v>46029</v>
      </c>
      <c r="F157" t="s">
        <v>7</v>
      </c>
      <c r="G157" t="s">
        <v>8</v>
      </c>
      <c r="H157" t="s">
        <v>74</v>
      </c>
      <c r="I157" t="s">
        <v>71</v>
      </c>
      <c r="J157" t="s">
        <v>72</v>
      </c>
      <c r="K157" t="s">
        <v>73</v>
      </c>
      <c r="L157">
        <v>701000</v>
      </c>
      <c r="M157" t="s">
        <v>62</v>
      </c>
      <c r="N157" t="s">
        <v>33</v>
      </c>
      <c r="O157">
        <v>1127</v>
      </c>
      <c r="P157">
        <v>1.05</v>
      </c>
      <c r="Q157">
        <v>1.18</v>
      </c>
      <c r="R157" t="s">
        <v>1202</v>
      </c>
      <c r="S157" t="s">
        <v>195</v>
      </c>
    </row>
    <row r="158" spans="1:19" x14ac:dyDescent="0.3">
      <c r="A158" t="s">
        <v>501</v>
      </c>
      <c r="B158" t="s">
        <v>23</v>
      </c>
      <c r="C158">
        <v>2026</v>
      </c>
      <c r="D158">
        <v>1</v>
      </c>
      <c r="E158" s="2">
        <v>46029</v>
      </c>
      <c r="F158" t="s">
        <v>7</v>
      </c>
      <c r="G158" t="s">
        <v>8</v>
      </c>
      <c r="H158" t="s">
        <v>74</v>
      </c>
      <c r="I158" t="s">
        <v>71</v>
      </c>
      <c r="J158" t="s">
        <v>72</v>
      </c>
      <c r="K158" t="s">
        <v>73</v>
      </c>
      <c r="L158">
        <v>701000</v>
      </c>
      <c r="M158" t="s">
        <v>62</v>
      </c>
      <c r="N158" t="s">
        <v>33</v>
      </c>
      <c r="O158">
        <v>1766</v>
      </c>
      <c r="P158">
        <v>1.05</v>
      </c>
      <c r="Q158">
        <v>1.86</v>
      </c>
      <c r="R158" t="s">
        <v>1197</v>
      </c>
      <c r="S158" t="s">
        <v>195</v>
      </c>
    </row>
    <row r="159" spans="1:19" x14ac:dyDescent="0.3">
      <c r="A159" t="s">
        <v>502</v>
      </c>
      <c r="B159" t="s">
        <v>23</v>
      </c>
      <c r="C159">
        <v>2026</v>
      </c>
      <c r="D159">
        <v>1</v>
      </c>
      <c r="E159" s="2">
        <v>46029</v>
      </c>
      <c r="F159" t="s">
        <v>7</v>
      </c>
      <c r="G159" t="s">
        <v>8</v>
      </c>
      <c r="H159" t="s">
        <v>74</v>
      </c>
      <c r="I159" t="s">
        <v>71</v>
      </c>
      <c r="J159" t="s">
        <v>72</v>
      </c>
      <c r="K159" t="s">
        <v>73</v>
      </c>
      <c r="L159">
        <v>701000</v>
      </c>
      <c r="M159" t="s">
        <v>62</v>
      </c>
      <c r="N159" t="s">
        <v>33</v>
      </c>
      <c r="O159">
        <v>4947</v>
      </c>
      <c r="P159">
        <v>1.05</v>
      </c>
      <c r="Q159">
        <v>5.2</v>
      </c>
      <c r="R159" t="s">
        <v>1201</v>
      </c>
      <c r="S159" t="s">
        <v>195</v>
      </c>
    </row>
    <row r="160" spans="1:19" x14ac:dyDescent="0.3">
      <c r="A160" t="s">
        <v>503</v>
      </c>
      <c r="B160" t="s">
        <v>23</v>
      </c>
      <c r="C160">
        <v>2026</v>
      </c>
      <c r="D160">
        <v>1</v>
      </c>
      <c r="E160" s="2">
        <v>46029</v>
      </c>
      <c r="F160" t="s">
        <v>7</v>
      </c>
      <c r="G160" t="s">
        <v>8</v>
      </c>
      <c r="H160" t="s">
        <v>74</v>
      </c>
      <c r="I160" t="s">
        <v>71</v>
      </c>
      <c r="J160" t="s">
        <v>72</v>
      </c>
      <c r="K160" t="s">
        <v>73</v>
      </c>
      <c r="L160">
        <v>701000</v>
      </c>
      <c r="M160" t="s">
        <v>62</v>
      </c>
      <c r="N160" t="s">
        <v>33</v>
      </c>
      <c r="O160">
        <v>1116</v>
      </c>
      <c r="P160">
        <v>1.05</v>
      </c>
      <c r="Q160">
        <v>1.17</v>
      </c>
      <c r="R160" t="s">
        <v>1200</v>
      </c>
      <c r="S160" t="s">
        <v>195</v>
      </c>
    </row>
    <row r="161" spans="1:19" x14ac:dyDescent="0.3">
      <c r="A161" t="s">
        <v>504</v>
      </c>
      <c r="B161" t="s">
        <v>23</v>
      </c>
      <c r="C161">
        <v>2026</v>
      </c>
      <c r="D161">
        <v>1</v>
      </c>
      <c r="E161" s="2">
        <v>46029</v>
      </c>
      <c r="F161" t="s">
        <v>7</v>
      </c>
      <c r="G161" t="s">
        <v>8</v>
      </c>
      <c r="H161" t="s">
        <v>74</v>
      </c>
      <c r="I161" t="s">
        <v>71</v>
      </c>
      <c r="J161" t="s">
        <v>72</v>
      </c>
      <c r="K161" t="s">
        <v>73</v>
      </c>
      <c r="L161">
        <v>701000</v>
      </c>
      <c r="M161" t="s">
        <v>62</v>
      </c>
      <c r="N161" t="s">
        <v>33</v>
      </c>
      <c r="O161">
        <v>926</v>
      </c>
      <c r="P161">
        <v>1.05</v>
      </c>
      <c r="Q161">
        <v>0.97</v>
      </c>
      <c r="R161" t="s">
        <v>1198</v>
      </c>
      <c r="S161" t="s">
        <v>195</v>
      </c>
    </row>
    <row r="162" spans="1:19" x14ac:dyDescent="0.3">
      <c r="A162" t="s">
        <v>575</v>
      </c>
      <c r="B162" t="s">
        <v>23</v>
      </c>
      <c r="C162">
        <v>2026</v>
      </c>
      <c r="D162">
        <v>1</v>
      </c>
      <c r="E162" s="2">
        <v>46029</v>
      </c>
      <c r="F162" t="s">
        <v>7</v>
      </c>
      <c r="G162" t="s">
        <v>8</v>
      </c>
      <c r="H162" t="s">
        <v>74</v>
      </c>
      <c r="I162" t="s">
        <v>75</v>
      </c>
      <c r="J162" t="s">
        <v>76</v>
      </c>
      <c r="K162" t="s">
        <v>73</v>
      </c>
      <c r="L162">
        <v>701000</v>
      </c>
      <c r="M162" t="s">
        <v>62</v>
      </c>
      <c r="N162" t="s">
        <v>33</v>
      </c>
      <c r="O162">
        <v>1706</v>
      </c>
      <c r="P162">
        <v>1.4</v>
      </c>
      <c r="Q162">
        <v>2.39</v>
      </c>
      <c r="R162" t="s">
        <v>1201</v>
      </c>
      <c r="S162" t="s">
        <v>195</v>
      </c>
    </row>
    <row r="163" spans="1:19" x14ac:dyDescent="0.3">
      <c r="A163" t="s">
        <v>576</v>
      </c>
      <c r="B163" t="s">
        <v>23</v>
      </c>
      <c r="C163">
        <v>2026</v>
      </c>
      <c r="D163">
        <v>1</v>
      </c>
      <c r="E163" s="2">
        <v>46029</v>
      </c>
      <c r="F163" t="s">
        <v>7</v>
      </c>
      <c r="G163" t="s">
        <v>8</v>
      </c>
      <c r="H163" t="s">
        <v>74</v>
      </c>
      <c r="I163" t="s">
        <v>75</v>
      </c>
      <c r="J163" t="s">
        <v>76</v>
      </c>
      <c r="K163" t="s">
        <v>73</v>
      </c>
      <c r="L163">
        <v>701000</v>
      </c>
      <c r="M163" t="s">
        <v>62</v>
      </c>
      <c r="N163" t="s">
        <v>33</v>
      </c>
      <c r="O163">
        <v>3325</v>
      </c>
      <c r="P163">
        <v>1.4</v>
      </c>
      <c r="Q163">
        <v>4.66</v>
      </c>
      <c r="R163" t="s">
        <v>1199</v>
      </c>
      <c r="S163" t="s">
        <v>195</v>
      </c>
    </row>
    <row r="164" spans="1:19" x14ac:dyDescent="0.3">
      <c r="A164" t="s">
        <v>577</v>
      </c>
      <c r="B164" t="s">
        <v>23</v>
      </c>
      <c r="C164">
        <v>2026</v>
      </c>
      <c r="D164">
        <v>1</v>
      </c>
      <c r="E164" s="2">
        <v>46029</v>
      </c>
      <c r="F164" t="s">
        <v>7</v>
      </c>
      <c r="G164" t="s">
        <v>8</v>
      </c>
      <c r="H164" t="s">
        <v>74</v>
      </c>
      <c r="I164" t="s">
        <v>75</v>
      </c>
      <c r="J164" t="s">
        <v>76</v>
      </c>
      <c r="K164" t="s">
        <v>73</v>
      </c>
      <c r="L164">
        <v>701000</v>
      </c>
      <c r="M164" t="s">
        <v>62</v>
      </c>
      <c r="N164" t="s">
        <v>33</v>
      </c>
      <c r="O164">
        <v>1114</v>
      </c>
      <c r="P164">
        <v>1.4</v>
      </c>
      <c r="Q164">
        <v>1.56</v>
      </c>
      <c r="R164" t="s">
        <v>1204</v>
      </c>
      <c r="S164" t="s">
        <v>195</v>
      </c>
    </row>
    <row r="165" spans="1:19" x14ac:dyDescent="0.3">
      <c r="A165" t="s">
        <v>578</v>
      </c>
      <c r="B165" t="s">
        <v>23</v>
      </c>
      <c r="C165">
        <v>2026</v>
      </c>
      <c r="D165">
        <v>1</v>
      </c>
      <c r="E165" s="2">
        <v>46029</v>
      </c>
      <c r="F165" t="s">
        <v>7</v>
      </c>
      <c r="G165" t="s">
        <v>8</v>
      </c>
      <c r="H165" t="s">
        <v>74</v>
      </c>
      <c r="I165" t="s">
        <v>75</v>
      </c>
      <c r="J165" t="s">
        <v>76</v>
      </c>
      <c r="K165" t="s">
        <v>73</v>
      </c>
      <c r="L165">
        <v>701000</v>
      </c>
      <c r="M165" t="s">
        <v>62</v>
      </c>
      <c r="N165" t="s">
        <v>33</v>
      </c>
      <c r="O165">
        <v>76</v>
      </c>
      <c r="P165">
        <v>1.45</v>
      </c>
      <c r="Q165">
        <v>0.11</v>
      </c>
      <c r="R165" t="s">
        <v>1198</v>
      </c>
      <c r="S165" t="s">
        <v>195</v>
      </c>
    </row>
    <row r="166" spans="1:19" x14ac:dyDescent="0.3">
      <c r="A166" t="s">
        <v>579</v>
      </c>
      <c r="B166" t="s">
        <v>23</v>
      </c>
      <c r="C166">
        <v>2026</v>
      </c>
      <c r="D166">
        <v>1</v>
      </c>
      <c r="E166" s="2">
        <v>46029</v>
      </c>
      <c r="F166" t="s">
        <v>7</v>
      </c>
      <c r="G166" t="s">
        <v>8</v>
      </c>
      <c r="H166" t="s">
        <v>74</v>
      </c>
      <c r="I166" t="s">
        <v>75</v>
      </c>
      <c r="J166" t="s">
        <v>76</v>
      </c>
      <c r="K166" t="s">
        <v>73</v>
      </c>
      <c r="L166">
        <v>701000</v>
      </c>
      <c r="M166" t="s">
        <v>62</v>
      </c>
      <c r="N166" t="s">
        <v>33</v>
      </c>
      <c r="O166">
        <v>818</v>
      </c>
      <c r="P166">
        <v>1.39</v>
      </c>
      <c r="Q166">
        <v>1.1399999999999999</v>
      </c>
      <c r="R166" t="s">
        <v>1197</v>
      </c>
      <c r="S166" t="s">
        <v>195</v>
      </c>
    </row>
    <row r="167" spans="1:19" x14ac:dyDescent="0.3">
      <c r="A167" t="s">
        <v>740</v>
      </c>
      <c r="B167" t="s">
        <v>23</v>
      </c>
      <c r="C167">
        <v>2026</v>
      </c>
      <c r="D167">
        <v>1</v>
      </c>
      <c r="E167" s="2">
        <v>46029</v>
      </c>
      <c r="F167" t="s">
        <v>7</v>
      </c>
      <c r="G167" t="s">
        <v>8</v>
      </c>
      <c r="H167" t="s">
        <v>74</v>
      </c>
      <c r="I167" t="s">
        <v>77</v>
      </c>
      <c r="J167" t="s">
        <v>78</v>
      </c>
      <c r="K167" t="s">
        <v>73</v>
      </c>
      <c r="L167">
        <v>701000</v>
      </c>
      <c r="M167" t="s">
        <v>62</v>
      </c>
      <c r="N167" t="s">
        <v>33</v>
      </c>
      <c r="O167">
        <v>1427</v>
      </c>
      <c r="P167">
        <v>1.8</v>
      </c>
      <c r="Q167">
        <v>2.57</v>
      </c>
      <c r="R167" t="s">
        <v>1200</v>
      </c>
      <c r="S167" t="s">
        <v>195</v>
      </c>
    </row>
    <row r="168" spans="1:19" x14ac:dyDescent="0.3">
      <c r="A168" t="s">
        <v>741</v>
      </c>
      <c r="B168" t="s">
        <v>23</v>
      </c>
      <c r="C168">
        <v>2026</v>
      </c>
      <c r="D168">
        <v>1</v>
      </c>
      <c r="E168" s="2">
        <v>46029</v>
      </c>
      <c r="F168" t="s">
        <v>7</v>
      </c>
      <c r="G168" t="s">
        <v>8</v>
      </c>
      <c r="H168" t="s">
        <v>74</v>
      </c>
      <c r="I168" t="s">
        <v>77</v>
      </c>
      <c r="J168" t="s">
        <v>78</v>
      </c>
      <c r="K168" t="s">
        <v>73</v>
      </c>
      <c r="L168">
        <v>701000</v>
      </c>
      <c r="M168" t="s">
        <v>62</v>
      </c>
      <c r="N168" t="s">
        <v>33</v>
      </c>
      <c r="O168">
        <v>2223</v>
      </c>
      <c r="P168">
        <v>1.8</v>
      </c>
      <c r="Q168">
        <v>4</v>
      </c>
      <c r="R168" t="s">
        <v>1197</v>
      </c>
      <c r="S168" t="s">
        <v>195</v>
      </c>
    </row>
    <row r="169" spans="1:19" x14ac:dyDescent="0.3">
      <c r="A169" t="s">
        <v>742</v>
      </c>
      <c r="B169" t="s">
        <v>23</v>
      </c>
      <c r="C169">
        <v>2026</v>
      </c>
      <c r="D169">
        <v>1</v>
      </c>
      <c r="E169" s="2">
        <v>46029</v>
      </c>
      <c r="F169" t="s">
        <v>7</v>
      </c>
      <c r="G169" t="s">
        <v>8</v>
      </c>
      <c r="H169" t="s">
        <v>74</v>
      </c>
      <c r="I169" t="s">
        <v>77</v>
      </c>
      <c r="J169" t="s">
        <v>78</v>
      </c>
      <c r="K169" t="s">
        <v>73</v>
      </c>
      <c r="L169">
        <v>701000</v>
      </c>
      <c r="M169" t="s">
        <v>62</v>
      </c>
      <c r="N169" t="s">
        <v>33</v>
      </c>
      <c r="O169">
        <v>2553</v>
      </c>
      <c r="P169">
        <v>1.8</v>
      </c>
      <c r="Q169">
        <v>4.5999999999999996</v>
      </c>
      <c r="R169" t="s">
        <v>1203</v>
      </c>
      <c r="S169" t="s">
        <v>195</v>
      </c>
    </row>
    <row r="170" spans="1:19" x14ac:dyDescent="0.3">
      <c r="A170" t="s">
        <v>743</v>
      </c>
      <c r="B170" t="s">
        <v>23</v>
      </c>
      <c r="C170">
        <v>2026</v>
      </c>
      <c r="D170">
        <v>1</v>
      </c>
      <c r="E170" s="2">
        <v>46029</v>
      </c>
      <c r="F170" t="s">
        <v>7</v>
      </c>
      <c r="G170" t="s">
        <v>8</v>
      </c>
      <c r="H170" t="s">
        <v>74</v>
      </c>
      <c r="I170" t="s">
        <v>77</v>
      </c>
      <c r="J170" t="s">
        <v>78</v>
      </c>
      <c r="K170" t="s">
        <v>73</v>
      </c>
      <c r="L170">
        <v>701000</v>
      </c>
      <c r="M170" t="s">
        <v>62</v>
      </c>
      <c r="N170" t="s">
        <v>33</v>
      </c>
      <c r="O170">
        <v>1419</v>
      </c>
      <c r="P170">
        <v>1.8</v>
      </c>
      <c r="Q170">
        <v>2.56</v>
      </c>
      <c r="R170" t="s">
        <v>1202</v>
      </c>
      <c r="S170" t="s">
        <v>195</v>
      </c>
    </row>
    <row r="171" spans="1:19" x14ac:dyDescent="0.3">
      <c r="A171" t="s">
        <v>744</v>
      </c>
      <c r="B171" t="s">
        <v>23</v>
      </c>
      <c r="C171">
        <v>2026</v>
      </c>
      <c r="D171">
        <v>1</v>
      </c>
      <c r="E171" s="2">
        <v>46029</v>
      </c>
      <c r="F171" t="s">
        <v>7</v>
      </c>
      <c r="G171" t="s">
        <v>8</v>
      </c>
      <c r="H171" t="s">
        <v>74</v>
      </c>
      <c r="I171" t="s">
        <v>77</v>
      </c>
      <c r="J171" t="s">
        <v>78</v>
      </c>
      <c r="K171" t="s">
        <v>73</v>
      </c>
      <c r="L171">
        <v>701000</v>
      </c>
      <c r="M171" t="s">
        <v>62</v>
      </c>
      <c r="N171" t="s">
        <v>33</v>
      </c>
      <c r="O171">
        <v>1453</v>
      </c>
      <c r="P171">
        <v>1.8</v>
      </c>
      <c r="Q171">
        <v>2.61</v>
      </c>
      <c r="R171" t="s">
        <v>1199</v>
      </c>
      <c r="S171" t="s">
        <v>195</v>
      </c>
    </row>
    <row r="172" spans="1:19" x14ac:dyDescent="0.3">
      <c r="A172" t="s">
        <v>935</v>
      </c>
      <c r="B172" t="s">
        <v>23</v>
      </c>
      <c r="C172">
        <v>2026</v>
      </c>
      <c r="D172">
        <v>1</v>
      </c>
      <c r="E172" s="2">
        <v>46029</v>
      </c>
      <c r="F172" t="s">
        <v>7</v>
      </c>
      <c r="G172" t="s">
        <v>8</v>
      </c>
      <c r="H172" t="s">
        <v>70</v>
      </c>
      <c r="I172" t="s">
        <v>82</v>
      </c>
      <c r="J172" t="s">
        <v>83</v>
      </c>
      <c r="K172" t="s">
        <v>73</v>
      </c>
      <c r="L172">
        <v>706000</v>
      </c>
      <c r="M172" t="s">
        <v>63</v>
      </c>
      <c r="N172" t="s">
        <v>33</v>
      </c>
      <c r="O172">
        <v>140</v>
      </c>
      <c r="P172">
        <v>18.43</v>
      </c>
      <c r="Q172">
        <v>2.58</v>
      </c>
      <c r="R172" t="s">
        <v>1204</v>
      </c>
      <c r="S172" t="s">
        <v>195</v>
      </c>
    </row>
    <row r="173" spans="1:19" x14ac:dyDescent="0.3">
      <c r="A173" t="s">
        <v>936</v>
      </c>
      <c r="B173" t="s">
        <v>23</v>
      </c>
      <c r="C173">
        <v>2026</v>
      </c>
      <c r="D173">
        <v>1</v>
      </c>
      <c r="E173" s="2">
        <v>46029</v>
      </c>
      <c r="F173" t="s">
        <v>7</v>
      </c>
      <c r="G173" t="s">
        <v>8</v>
      </c>
      <c r="H173" t="s">
        <v>70</v>
      </c>
      <c r="I173" t="s">
        <v>82</v>
      </c>
      <c r="J173" t="s">
        <v>83</v>
      </c>
      <c r="K173" t="s">
        <v>73</v>
      </c>
      <c r="L173">
        <v>706000</v>
      </c>
      <c r="M173" t="s">
        <v>63</v>
      </c>
      <c r="N173" t="s">
        <v>33</v>
      </c>
      <c r="O173">
        <v>73</v>
      </c>
      <c r="P173">
        <v>18.489999999999998</v>
      </c>
      <c r="Q173">
        <v>1.35</v>
      </c>
      <c r="R173" t="s">
        <v>1197</v>
      </c>
      <c r="S173" t="s">
        <v>195</v>
      </c>
    </row>
    <row r="174" spans="1:19" x14ac:dyDescent="0.3">
      <c r="A174" t="s">
        <v>937</v>
      </c>
      <c r="B174" t="s">
        <v>23</v>
      </c>
      <c r="C174">
        <v>2026</v>
      </c>
      <c r="D174">
        <v>1</v>
      </c>
      <c r="E174" s="2">
        <v>46029</v>
      </c>
      <c r="F174" t="s">
        <v>7</v>
      </c>
      <c r="G174" t="s">
        <v>8</v>
      </c>
      <c r="H174" t="s">
        <v>70</v>
      </c>
      <c r="I174" t="s">
        <v>82</v>
      </c>
      <c r="J174" t="s">
        <v>83</v>
      </c>
      <c r="K174" t="s">
        <v>73</v>
      </c>
      <c r="L174">
        <v>706000</v>
      </c>
      <c r="M174" t="s">
        <v>63</v>
      </c>
      <c r="N174" t="s">
        <v>33</v>
      </c>
      <c r="O174">
        <v>75</v>
      </c>
      <c r="P174">
        <v>18.53</v>
      </c>
      <c r="Q174">
        <v>1.39</v>
      </c>
      <c r="R174" t="s">
        <v>1200</v>
      </c>
      <c r="S174" t="s">
        <v>195</v>
      </c>
    </row>
    <row r="175" spans="1:19" x14ac:dyDescent="0.3">
      <c r="A175" t="s">
        <v>938</v>
      </c>
      <c r="B175" t="s">
        <v>23</v>
      </c>
      <c r="C175">
        <v>2026</v>
      </c>
      <c r="D175">
        <v>1</v>
      </c>
      <c r="E175" s="2">
        <v>46029</v>
      </c>
      <c r="F175" t="s">
        <v>7</v>
      </c>
      <c r="G175" t="s">
        <v>8</v>
      </c>
      <c r="H175" t="s">
        <v>70</v>
      </c>
      <c r="I175" t="s">
        <v>82</v>
      </c>
      <c r="J175" t="s">
        <v>83</v>
      </c>
      <c r="K175" t="s">
        <v>73</v>
      </c>
      <c r="L175">
        <v>706000</v>
      </c>
      <c r="M175" t="s">
        <v>63</v>
      </c>
      <c r="N175" t="s">
        <v>33</v>
      </c>
      <c r="O175">
        <v>342</v>
      </c>
      <c r="P175">
        <v>18.54</v>
      </c>
      <c r="Q175">
        <v>6.34</v>
      </c>
      <c r="R175" t="s">
        <v>1202</v>
      </c>
      <c r="S175" t="s">
        <v>195</v>
      </c>
    </row>
    <row r="176" spans="1:19" x14ac:dyDescent="0.3">
      <c r="A176" t="s">
        <v>939</v>
      </c>
      <c r="B176" t="s">
        <v>23</v>
      </c>
      <c r="C176">
        <v>2026</v>
      </c>
      <c r="D176">
        <v>1</v>
      </c>
      <c r="E176" s="2">
        <v>46029</v>
      </c>
      <c r="F176" t="s">
        <v>7</v>
      </c>
      <c r="G176" t="s">
        <v>8</v>
      </c>
      <c r="H176" t="s">
        <v>70</v>
      </c>
      <c r="I176" t="s">
        <v>82</v>
      </c>
      <c r="J176" t="s">
        <v>83</v>
      </c>
      <c r="K176" t="s">
        <v>73</v>
      </c>
      <c r="L176">
        <v>706000</v>
      </c>
      <c r="M176" t="s">
        <v>63</v>
      </c>
      <c r="N176" t="s">
        <v>33</v>
      </c>
      <c r="O176">
        <v>153</v>
      </c>
      <c r="P176">
        <v>18.5</v>
      </c>
      <c r="Q176">
        <v>2.83</v>
      </c>
      <c r="R176" t="s">
        <v>1198</v>
      </c>
      <c r="S176" t="s">
        <v>195</v>
      </c>
    </row>
    <row r="177" spans="1:19" x14ac:dyDescent="0.3">
      <c r="A177" t="s">
        <v>975</v>
      </c>
      <c r="B177" t="s">
        <v>23</v>
      </c>
      <c r="C177">
        <v>2026</v>
      </c>
      <c r="D177">
        <v>1</v>
      </c>
      <c r="E177" s="2">
        <v>46029</v>
      </c>
      <c r="F177" t="s">
        <v>7</v>
      </c>
      <c r="G177" t="s">
        <v>8</v>
      </c>
      <c r="H177" t="s">
        <v>70</v>
      </c>
      <c r="I177" t="s">
        <v>82</v>
      </c>
      <c r="J177" t="s">
        <v>83</v>
      </c>
      <c r="K177" t="s">
        <v>73</v>
      </c>
      <c r="L177">
        <v>701000</v>
      </c>
      <c r="M177" t="s">
        <v>62</v>
      </c>
      <c r="N177" t="s">
        <v>33</v>
      </c>
      <c r="O177">
        <v>168</v>
      </c>
      <c r="P177">
        <v>18.510000000000002</v>
      </c>
      <c r="Q177">
        <v>3.11</v>
      </c>
      <c r="R177" t="s">
        <v>1199</v>
      </c>
      <c r="S177" t="s">
        <v>195</v>
      </c>
    </row>
    <row r="178" spans="1:19" x14ac:dyDescent="0.3">
      <c r="A178" t="s">
        <v>976</v>
      </c>
      <c r="B178" t="s">
        <v>23</v>
      </c>
      <c r="C178">
        <v>2026</v>
      </c>
      <c r="D178">
        <v>1</v>
      </c>
      <c r="E178" s="2">
        <v>46029</v>
      </c>
      <c r="F178" t="s">
        <v>7</v>
      </c>
      <c r="G178" t="s">
        <v>8</v>
      </c>
      <c r="H178" t="s">
        <v>70</v>
      </c>
      <c r="I178" t="s">
        <v>82</v>
      </c>
      <c r="J178" t="s">
        <v>83</v>
      </c>
      <c r="K178" t="s">
        <v>73</v>
      </c>
      <c r="L178">
        <v>701000</v>
      </c>
      <c r="M178" t="s">
        <v>62</v>
      </c>
      <c r="N178" t="s">
        <v>33</v>
      </c>
      <c r="O178">
        <v>93</v>
      </c>
      <c r="P178">
        <v>18.39</v>
      </c>
      <c r="Q178">
        <v>1.71</v>
      </c>
      <c r="R178" t="s">
        <v>1202</v>
      </c>
      <c r="S178" t="s">
        <v>195</v>
      </c>
    </row>
    <row r="179" spans="1:19" x14ac:dyDescent="0.3">
      <c r="A179" t="s">
        <v>977</v>
      </c>
      <c r="B179" t="s">
        <v>23</v>
      </c>
      <c r="C179">
        <v>2026</v>
      </c>
      <c r="D179">
        <v>1</v>
      </c>
      <c r="E179" s="2">
        <v>46029</v>
      </c>
      <c r="F179" t="s">
        <v>7</v>
      </c>
      <c r="G179" t="s">
        <v>8</v>
      </c>
      <c r="H179" t="s">
        <v>70</v>
      </c>
      <c r="I179" t="s">
        <v>82</v>
      </c>
      <c r="J179" t="s">
        <v>83</v>
      </c>
      <c r="K179" t="s">
        <v>73</v>
      </c>
      <c r="L179">
        <v>701000</v>
      </c>
      <c r="M179" t="s">
        <v>62</v>
      </c>
      <c r="N179" t="s">
        <v>33</v>
      </c>
      <c r="O179">
        <v>117</v>
      </c>
      <c r="P179">
        <v>18.55</v>
      </c>
      <c r="Q179">
        <v>2.17</v>
      </c>
      <c r="R179" t="s">
        <v>1200</v>
      </c>
      <c r="S179" t="s">
        <v>195</v>
      </c>
    </row>
    <row r="180" spans="1:19" x14ac:dyDescent="0.3">
      <c r="A180" t="s">
        <v>978</v>
      </c>
      <c r="B180" t="s">
        <v>23</v>
      </c>
      <c r="C180">
        <v>2026</v>
      </c>
      <c r="D180">
        <v>1</v>
      </c>
      <c r="E180" s="2">
        <v>46029</v>
      </c>
      <c r="F180" t="s">
        <v>7</v>
      </c>
      <c r="G180" t="s">
        <v>8</v>
      </c>
      <c r="H180" t="s">
        <v>70</v>
      </c>
      <c r="I180" t="s">
        <v>82</v>
      </c>
      <c r="J180" t="s">
        <v>83</v>
      </c>
      <c r="K180" t="s">
        <v>73</v>
      </c>
      <c r="L180">
        <v>701000</v>
      </c>
      <c r="M180" t="s">
        <v>62</v>
      </c>
      <c r="N180" t="s">
        <v>33</v>
      </c>
      <c r="O180">
        <v>232</v>
      </c>
      <c r="P180">
        <v>18.53</v>
      </c>
      <c r="Q180">
        <v>4.3</v>
      </c>
      <c r="R180" t="s">
        <v>1201</v>
      </c>
      <c r="S180" t="s">
        <v>195</v>
      </c>
    </row>
    <row r="181" spans="1:19" x14ac:dyDescent="0.3">
      <c r="A181" t="s">
        <v>979</v>
      </c>
      <c r="B181" t="s">
        <v>23</v>
      </c>
      <c r="C181">
        <v>2026</v>
      </c>
      <c r="D181">
        <v>1</v>
      </c>
      <c r="E181" s="2">
        <v>46029</v>
      </c>
      <c r="F181" t="s">
        <v>7</v>
      </c>
      <c r="G181" t="s">
        <v>8</v>
      </c>
      <c r="H181" t="s">
        <v>70</v>
      </c>
      <c r="I181" t="s">
        <v>82</v>
      </c>
      <c r="J181" t="s">
        <v>83</v>
      </c>
      <c r="K181" t="s">
        <v>73</v>
      </c>
      <c r="L181">
        <v>701000</v>
      </c>
      <c r="M181" t="s">
        <v>62</v>
      </c>
      <c r="N181" t="s">
        <v>33</v>
      </c>
      <c r="O181">
        <v>161</v>
      </c>
      <c r="P181">
        <v>18.510000000000002</v>
      </c>
      <c r="Q181">
        <v>2.98</v>
      </c>
      <c r="R181" t="s">
        <v>1205</v>
      </c>
      <c r="S181" t="s">
        <v>195</v>
      </c>
    </row>
    <row r="182" spans="1:19" x14ac:dyDescent="0.3">
      <c r="A182" t="s">
        <v>720</v>
      </c>
      <c r="B182" t="s">
        <v>23</v>
      </c>
      <c r="C182">
        <v>2026</v>
      </c>
      <c r="D182">
        <v>1</v>
      </c>
      <c r="E182" s="2">
        <v>46030</v>
      </c>
      <c r="F182" t="s">
        <v>7</v>
      </c>
      <c r="G182" t="s">
        <v>8</v>
      </c>
      <c r="H182" t="s">
        <v>74</v>
      </c>
      <c r="I182" t="s">
        <v>77</v>
      </c>
      <c r="J182" t="s">
        <v>78</v>
      </c>
      <c r="K182" t="s">
        <v>73</v>
      </c>
      <c r="L182">
        <v>701000</v>
      </c>
      <c r="M182" t="s">
        <v>62</v>
      </c>
      <c r="N182" t="s">
        <v>33</v>
      </c>
      <c r="O182">
        <v>1027</v>
      </c>
      <c r="P182">
        <v>1.8</v>
      </c>
      <c r="Q182">
        <v>1.85</v>
      </c>
      <c r="R182" t="s">
        <v>1201</v>
      </c>
      <c r="S182" t="s">
        <v>195</v>
      </c>
    </row>
    <row r="183" spans="1:19" x14ac:dyDescent="0.3">
      <c r="A183" t="s">
        <v>721</v>
      </c>
      <c r="B183" t="s">
        <v>23</v>
      </c>
      <c r="C183">
        <v>2026</v>
      </c>
      <c r="D183">
        <v>1</v>
      </c>
      <c r="E183" s="2">
        <v>46030</v>
      </c>
      <c r="F183" t="s">
        <v>7</v>
      </c>
      <c r="G183" t="s">
        <v>8</v>
      </c>
      <c r="H183" t="s">
        <v>74</v>
      </c>
      <c r="I183" t="s">
        <v>77</v>
      </c>
      <c r="J183" t="s">
        <v>78</v>
      </c>
      <c r="K183" t="s">
        <v>73</v>
      </c>
      <c r="L183">
        <v>701000</v>
      </c>
      <c r="M183" t="s">
        <v>62</v>
      </c>
      <c r="N183" t="s">
        <v>33</v>
      </c>
      <c r="O183">
        <v>2958</v>
      </c>
      <c r="P183">
        <v>1.8</v>
      </c>
      <c r="Q183">
        <v>5.33</v>
      </c>
      <c r="R183" t="s">
        <v>1199</v>
      </c>
      <c r="S183" t="s">
        <v>195</v>
      </c>
    </row>
    <row r="184" spans="1:19" x14ac:dyDescent="0.3">
      <c r="A184" t="s">
        <v>722</v>
      </c>
      <c r="B184" t="s">
        <v>23</v>
      </c>
      <c r="C184">
        <v>2026</v>
      </c>
      <c r="D184">
        <v>1</v>
      </c>
      <c r="E184" s="2">
        <v>46030</v>
      </c>
      <c r="F184" t="s">
        <v>7</v>
      </c>
      <c r="G184" t="s">
        <v>8</v>
      </c>
      <c r="H184" t="s">
        <v>74</v>
      </c>
      <c r="I184" t="s">
        <v>77</v>
      </c>
      <c r="J184" t="s">
        <v>78</v>
      </c>
      <c r="K184" t="s">
        <v>73</v>
      </c>
      <c r="L184">
        <v>701000</v>
      </c>
      <c r="M184" t="s">
        <v>62</v>
      </c>
      <c r="N184" t="s">
        <v>33</v>
      </c>
      <c r="O184">
        <v>221</v>
      </c>
      <c r="P184">
        <v>1.81</v>
      </c>
      <c r="Q184">
        <v>0.4</v>
      </c>
      <c r="R184" t="s">
        <v>1198</v>
      </c>
      <c r="S184" t="s">
        <v>195</v>
      </c>
    </row>
    <row r="185" spans="1:19" x14ac:dyDescent="0.3">
      <c r="A185" t="s">
        <v>723</v>
      </c>
      <c r="B185" t="s">
        <v>23</v>
      </c>
      <c r="C185">
        <v>2026</v>
      </c>
      <c r="D185">
        <v>1</v>
      </c>
      <c r="E185" s="2">
        <v>46030</v>
      </c>
      <c r="F185" t="s">
        <v>7</v>
      </c>
      <c r="G185" t="s">
        <v>8</v>
      </c>
      <c r="H185" t="s">
        <v>74</v>
      </c>
      <c r="I185" t="s">
        <v>77</v>
      </c>
      <c r="J185" t="s">
        <v>78</v>
      </c>
      <c r="K185" t="s">
        <v>73</v>
      </c>
      <c r="L185">
        <v>701000</v>
      </c>
      <c r="M185" t="s">
        <v>62</v>
      </c>
      <c r="N185" t="s">
        <v>33</v>
      </c>
      <c r="O185">
        <v>3464</v>
      </c>
      <c r="P185">
        <v>1.8</v>
      </c>
      <c r="Q185">
        <v>6.24</v>
      </c>
      <c r="R185" t="s">
        <v>1200</v>
      </c>
      <c r="S185" t="s">
        <v>195</v>
      </c>
    </row>
    <row r="186" spans="1:19" x14ac:dyDescent="0.3">
      <c r="A186" t="s">
        <v>724</v>
      </c>
      <c r="B186" t="s">
        <v>23</v>
      </c>
      <c r="C186">
        <v>2026</v>
      </c>
      <c r="D186">
        <v>1</v>
      </c>
      <c r="E186" s="2">
        <v>46030</v>
      </c>
      <c r="F186" t="s">
        <v>7</v>
      </c>
      <c r="G186" t="s">
        <v>8</v>
      </c>
      <c r="H186" t="s">
        <v>74</v>
      </c>
      <c r="I186" t="s">
        <v>77</v>
      </c>
      <c r="J186" t="s">
        <v>78</v>
      </c>
      <c r="K186" t="s">
        <v>73</v>
      </c>
      <c r="L186">
        <v>701000</v>
      </c>
      <c r="M186" t="s">
        <v>62</v>
      </c>
      <c r="N186" t="s">
        <v>33</v>
      </c>
      <c r="O186">
        <v>439</v>
      </c>
      <c r="P186">
        <v>1.78</v>
      </c>
      <c r="Q186">
        <v>0.78</v>
      </c>
      <c r="R186" t="s">
        <v>1205</v>
      </c>
      <c r="S186" t="s">
        <v>195</v>
      </c>
    </row>
    <row r="187" spans="1:19" x14ac:dyDescent="0.3">
      <c r="A187" t="s">
        <v>785</v>
      </c>
      <c r="B187" t="s">
        <v>23</v>
      </c>
      <c r="C187">
        <v>2026</v>
      </c>
      <c r="D187">
        <v>1</v>
      </c>
      <c r="E187" s="2">
        <v>46030</v>
      </c>
      <c r="F187" t="s">
        <v>7</v>
      </c>
      <c r="G187" t="s">
        <v>8</v>
      </c>
      <c r="H187" t="s">
        <v>70</v>
      </c>
      <c r="I187" t="s">
        <v>79</v>
      </c>
      <c r="J187" t="s">
        <v>80</v>
      </c>
      <c r="K187" t="s">
        <v>73</v>
      </c>
      <c r="L187">
        <v>701000</v>
      </c>
      <c r="M187" t="s">
        <v>62</v>
      </c>
      <c r="N187" t="s">
        <v>33</v>
      </c>
      <c r="O187">
        <v>2622</v>
      </c>
      <c r="P187">
        <v>2.6</v>
      </c>
      <c r="Q187">
        <v>6.82</v>
      </c>
      <c r="R187" t="s">
        <v>1202</v>
      </c>
      <c r="S187" t="s">
        <v>195</v>
      </c>
    </row>
    <row r="188" spans="1:19" x14ac:dyDescent="0.3">
      <c r="A188" t="s">
        <v>786</v>
      </c>
      <c r="B188" t="s">
        <v>23</v>
      </c>
      <c r="C188">
        <v>2026</v>
      </c>
      <c r="D188">
        <v>1</v>
      </c>
      <c r="E188" s="2">
        <v>46030</v>
      </c>
      <c r="F188" t="s">
        <v>7</v>
      </c>
      <c r="G188" t="s">
        <v>8</v>
      </c>
      <c r="H188" t="s">
        <v>70</v>
      </c>
      <c r="I188" t="s">
        <v>79</v>
      </c>
      <c r="J188" t="s">
        <v>80</v>
      </c>
      <c r="K188" t="s">
        <v>73</v>
      </c>
      <c r="L188">
        <v>701000</v>
      </c>
      <c r="M188" t="s">
        <v>62</v>
      </c>
      <c r="N188" t="s">
        <v>33</v>
      </c>
      <c r="O188">
        <v>1263</v>
      </c>
      <c r="P188">
        <v>2.6</v>
      </c>
      <c r="Q188">
        <v>3.28</v>
      </c>
      <c r="R188" t="s">
        <v>1198</v>
      </c>
      <c r="S188" t="s">
        <v>195</v>
      </c>
    </row>
    <row r="189" spans="1:19" x14ac:dyDescent="0.3">
      <c r="A189" t="s">
        <v>787</v>
      </c>
      <c r="B189" t="s">
        <v>23</v>
      </c>
      <c r="C189">
        <v>2026</v>
      </c>
      <c r="D189">
        <v>1</v>
      </c>
      <c r="E189" s="2">
        <v>46030</v>
      </c>
      <c r="F189" t="s">
        <v>7</v>
      </c>
      <c r="G189" t="s">
        <v>8</v>
      </c>
      <c r="H189" t="s">
        <v>70</v>
      </c>
      <c r="I189" t="s">
        <v>79</v>
      </c>
      <c r="J189" t="s">
        <v>80</v>
      </c>
      <c r="K189" t="s">
        <v>73</v>
      </c>
      <c r="L189">
        <v>701000</v>
      </c>
      <c r="M189" t="s">
        <v>62</v>
      </c>
      <c r="N189" t="s">
        <v>33</v>
      </c>
      <c r="O189">
        <v>2011</v>
      </c>
      <c r="P189">
        <v>2.6</v>
      </c>
      <c r="Q189">
        <v>5.23</v>
      </c>
      <c r="R189" t="s">
        <v>1200</v>
      </c>
      <c r="S189" t="s">
        <v>195</v>
      </c>
    </row>
    <row r="190" spans="1:19" x14ac:dyDescent="0.3">
      <c r="A190" t="s">
        <v>788</v>
      </c>
      <c r="B190" t="s">
        <v>23</v>
      </c>
      <c r="C190">
        <v>2026</v>
      </c>
      <c r="D190">
        <v>1</v>
      </c>
      <c r="E190" s="2">
        <v>46030</v>
      </c>
      <c r="F190" t="s">
        <v>7</v>
      </c>
      <c r="G190" t="s">
        <v>8</v>
      </c>
      <c r="H190" t="s">
        <v>70</v>
      </c>
      <c r="I190" t="s">
        <v>79</v>
      </c>
      <c r="J190" t="s">
        <v>80</v>
      </c>
      <c r="K190" t="s">
        <v>73</v>
      </c>
      <c r="L190">
        <v>701000</v>
      </c>
      <c r="M190" t="s">
        <v>62</v>
      </c>
      <c r="N190" t="s">
        <v>33</v>
      </c>
      <c r="O190">
        <v>1902</v>
      </c>
      <c r="P190">
        <v>2.6</v>
      </c>
      <c r="Q190">
        <v>4.9400000000000004</v>
      </c>
      <c r="R190" t="s">
        <v>1197</v>
      </c>
      <c r="S190" t="s">
        <v>195</v>
      </c>
    </row>
    <row r="191" spans="1:19" x14ac:dyDescent="0.3">
      <c r="A191" t="s">
        <v>789</v>
      </c>
      <c r="B191" t="s">
        <v>23</v>
      </c>
      <c r="C191">
        <v>2026</v>
      </c>
      <c r="D191">
        <v>1</v>
      </c>
      <c r="E191" s="2">
        <v>46030</v>
      </c>
      <c r="F191" t="s">
        <v>7</v>
      </c>
      <c r="G191" t="s">
        <v>8</v>
      </c>
      <c r="H191" t="s">
        <v>70</v>
      </c>
      <c r="I191" t="s">
        <v>79</v>
      </c>
      <c r="J191" t="s">
        <v>80</v>
      </c>
      <c r="K191" t="s">
        <v>73</v>
      </c>
      <c r="L191">
        <v>701000</v>
      </c>
      <c r="M191" t="s">
        <v>62</v>
      </c>
      <c r="N191" t="s">
        <v>33</v>
      </c>
      <c r="O191">
        <v>480</v>
      </c>
      <c r="P191">
        <v>2.6</v>
      </c>
      <c r="Q191">
        <v>1.25</v>
      </c>
      <c r="R191" t="s">
        <v>1201</v>
      </c>
      <c r="S191" t="s">
        <v>195</v>
      </c>
    </row>
    <row r="192" spans="1:19" x14ac:dyDescent="0.3">
      <c r="A192" t="s">
        <v>820</v>
      </c>
      <c r="B192" t="s">
        <v>23</v>
      </c>
      <c r="C192">
        <v>2026</v>
      </c>
      <c r="D192">
        <v>1</v>
      </c>
      <c r="E192" s="2">
        <v>46030</v>
      </c>
      <c r="F192" t="s">
        <v>7</v>
      </c>
      <c r="G192" t="s">
        <v>8</v>
      </c>
      <c r="H192" t="s">
        <v>70</v>
      </c>
      <c r="I192" t="s">
        <v>79</v>
      </c>
      <c r="J192" t="s">
        <v>80</v>
      </c>
      <c r="K192" t="s">
        <v>73</v>
      </c>
      <c r="L192">
        <v>701000</v>
      </c>
      <c r="M192" t="s">
        <v>62</v>
      </c>
      <c r="N192" t="s">
        <v>33</v>
      </c>
      <c r="O192">
        <v>1557</v>
      </c>
      <c r="P192">
        <v>2.6</v>
      </c>
      <c r="Q192">
        <v>4.05</v>
      </c>
      <c r="R192" t="s">
        <v>1198</v>
      </c>
      <c r="S192" t="s">
        <v>195</v>
      </c>
    </row>
    <row r="193" spans="1:19" x14ac:dyDescent="0.3">
      <c r="A193" t="s">
        <v>821</v>
      </c>
      <c r="B193" t="s">
        <v>23</v>
      </c>
      <c r="C193">
        <v>2026</v>
      </c>
      <c r="D193">
        <v>1</v>
      </c>
      <c r="E193" s="2">
        <v>46030</v>
      </c>
      <c r="F193" t="s">
        <v>7</v>
      </c>
      <c r="G193" t="s">
        <v>8</v>
      </c>
      <c r="H193" t="s">
        <v>70</v>
      </c>
      <c r="I193" t="s">
        <v>79</v>
      </c>
      <c r="J193" t="s">
        <v>80</v>
      </c>
      <c r="K193" t="s">
        <v>73</v>
      </c>
      <c r="L193">
        <v>701000</v>
      </c>
      <c r="M193" t="s">
        <v>62</v>
      </c>
      <c r="N193" t="s">
        <v>33</v>
      </c>
      <c r="O193">
        <v>933</v>
      </c>
      <c r="P193">
        <v>2.6</v>
      </c>
      <c r="Q193">
        <v>2.4300000000000002</v>
      </c>
      <c r="R193" t="s">
        <v>1200</v>
      </c>
      <c r="S193" t="s">
        <v>195</v>
      </c>
    </row>
    <row r="194" spans="1:19" x14ac:dyDescent="0.3">
      <c r="A194" t="s">
        <v>822</v>
      </c>
      <c r="B194" t="s">
        <v>23</v>
      </c>
      <c r="C194">
        <v>2026</v>
      </c>
      <c r="D194">
        <v>1</v>
      </c>
      <c r="E194" s="2">
        <v>46030</v>
      </c>
      <c r="F194" t="s">
        <v>7</v>
      </c>
      <c r="G194" t="s">
        <v>8</v>
      </c>
      <c r="H194" t="s">
        <v>70</v>
      </c>
      <c r="I194" t="s">
        <v>79</v>
      </c>
      <c r="J194" t="s">
        <v>80</v>
      </c>
      <c r="K194" t="s">
        <v>73</v>
      </c>
      <c r="L194">
        <v>701000</v>
      </c>
      <c r="M194" t="s">
        <v>62</v>
      </c>
      <c r="N194" t="s">
        <v>33</v>
      </c>
      <c r="O194">
        <v>600</v>
      </c>
      <c r="P194">
        <v>2.6</v>
      </c>
      <c r="Q194">
        <v>1.56</v>
      </c>
      <c r="R194" t="s">
        <v>1203</v>
      </c>
      <c r="S194" t="s">
        <v>195</v>
      </c>
    </row>
    <row r="195" spans="1:19" x14ac:dyDescent="0.3">
      <c r="A195" t="s">
        <v>823</v>
      </c>
      <c r="B195" t="s">
        <v>23</v>
      </c>
      <c r="C195">
        <v>2026</v>
      </c>
      <c r="D195">
        <v>1</v>
      </c>
      <c r="E195" s="2">
        <v>46030</v>
      </c>
      <c r="F195" t="s">
        <v>7</v>
      </c>
      <c r="G195" t="s">
        <v>8</v>
      </c>
      <c r="H195" t="s">
        <v>70</v>
      </c>
      <c r="I195" t="s">
        <v>79</v>
      </c>
      <c r="J195" t="s">
        <v>80</v>
      </c>
      <c r="K195" t="s">
        <v>73</v>
      </c>
      <c r="L195">
        <v>701000</v>
      </c>
      <c r="M195" t="s">
        <v>62</v>
      </c>
      <c r="N195" t="s">
        <v>33</v>
      </c>
      <c r="O195">
        <v>3038</v>
      </c>
      <c r="P195">
        <v>2.6</v>
      </c>
      <c r="Q195">
        <v>7.9</v>
      </c>
      <c r="R195" t="s">
        <v>1199</v>
      </c>
      <c r="S195" t="s">
        <v>195</v>
      </c>
    </row>
    <row r="196" spans="1:19" x14ac:dyDescent="0.3">
      <c r="A196" t="s">
        <v>824</v>
      </c>
      <c r="B196" t="s">
        <v>23</v>
      </c>
      <c r="C196">
        <v>2026</v>
      </c>
      <c r="D196">
        <v>1</v>
      </c>
      <c r="E196" s="2">
        <v>46030</v>
      </c>
      <c r="F196" t="s">
        <v>7</v>
      </c>
      <c r="G196" t="s">
        <v>8</v>
      </c>
      <c r="H196" t="s">
        <v>70</v>
      </c>
      <c r="I196" t="s">
        <v>79</v>
      </c>
      <c r="J196" t="s">
        <v>80</v>
      </c>
      <c r="K196" t="s">
        <v>73</v>
      </c>
      <c r="L196">
        <v>701000</v>
      </c>
      <c r="M196" t="s">
        <v>62</v>
      </c>
      <c r="N196" t="s">
        <v>33</v>
      </c>
      <c r="O196">
        <v>2604</v>
      </c>
      <c r="P196">
        <v>2.6</v>
      </c>
      <c r="Q196">
        <v>6.76</v>
      </c>
      <c r="R196" t="s">
        <v>1205</v>
      </c>
      <c r="S196" t="s">
        <v>195</v>
      </c>
    </row>
    <row r="197" spans="1:19" x14ac:dyDescent="0.3">
      <c r="A197" t="s">
        <v>905</v>
      </c>
      <c r="B197" t="s">
        <v>23</v>
      </c>
      <c r="C197">
        <v>2026</v>
      </c>
      <c r="D197">
        <v>1</v>
      </c>
      <c r="E197" s="2">
        <v>46030</v>
      </c>
      <c r="F197" t="s">
        <v>7</v>
      </c>
      <c r="G197" t="s">
        <v>8</v>
      </c>
      <c r="H197" t="s">
        <v>70</v>
      </c>
      <c r="I197" t="s">
        <v>82</v>
      </c>
      <c r="J197" t="s">
        <v>83</v>
      </c>
      <c r="K197" t="s">
        <v>73</v>
      </c>
      <c r="L197">
        <v>701000</v>
      </c>
      <c r="M197" t="s">
        <v>62</v>
      </c>
      <c r="N197" t="s">
        <v>33</v>
      </c>
      <c r="O197">
        <v>176</v>
      </c>
      <c r="P197">
        <v>18.47</v>
      </c>
      <c r="Q197">
        <v>3.25</v>
      </c>
      <c r="R197" t="s">
        <v>1202</v>
      </c>
      <c r="S197" t="s">
        <v>195</v>
      </c>
    </row>
    <row r="198" spans="1:19" x14ac:dyDescent="0.3">
      <c r="A198" t="s">
        <v>906</v>
      </c>
      <c r="B198" t="s">
        <v>23</v>
      </c>
      <c r="C198">
        <v>2026</v>
      </c>
      <c r="D198">
        <v>1</v>
      </c>
      <c r="E198" s="2">
        <v>46030</v>
      </c>
      <c r="F198" t="s">
        <v>7</v>
      </c>
      <c r="G198" t="s">
        <v>8</v>
      </c>
      <c r="H198" t="s">
        <v>70</v>
      </c>
      <c r="I198" t="s">
        <v>82</v>
      </c>
      <c r="J198" t="s">
        <v>83</v>
      </c>
      <c r="K198" t="s">
        <v>73</v>
      </c>
      <c r="L198">
        <v>701000</v>
      </c>
      <c r="M198" t="s">
        <v>62</v>
      </c>
      <c r="N198" t="s">
        <v>33</v>
      </c>
      <c r="O198">
        <v>16</v>
      </c>
      <c r="P198">
        <v>18.75</v>
      </c>
      <c r="Q198">
        <v>0.3</v>
      </c>
      <c r="R198" t="s">
        <v>1205</v>
      </c>
      <c r="S198" t="s">
        <v>195</v>
      </c>
    </row>
    <row r="199" spans="1:19" x14ac:dyDescent="0.3">
      <c r="A199" t="s">
        <v>907</v>
      </c>
      <c r="B199" t="s">
        <v>23</v>
      </c>
      <c r="C199">
        <v>2026</v>
      </c>
      <c r="D199">
        <v>1</v>
      </c>
      <c r="E199" s="2">
        <v>46030</v>
      </c>
      <c r="F199" t="s">
        <v>7</v>
      </c>
      <c r="G199" t="s">
        <v>8</v>
      </c>
      <c r="H199" t="s">
        <v>70</v>
      </c>
      <c r="I199" t="s">
        <v>82</v>
      </c>
      <c r="J199" t="s">
        <v>83</v>
      </c>
      <c r="K199" t="s">
        <v>73</v>
      </c>
      <c r="L199">
        <v>701000</v>
      </c>
      <c r="M199" t="s">
        <v>62</v>
      </c>
      <c r="N199" t="s">
        <v>33</v>
      </c>
      <c r="O199">
        <v>100</v>
      </c>
      <c r="P199">
        <v>18.399999999999999</v>
      </c>
      <c r="Q199">
        <v>1.84</v>
      </c>
      <c r="R199" t="s">
        <v>1203</v>
      </c>
      <c r="S199" t="s">
        <v>195</v>
      </c>
    </row>
    <row r="200" spans="1:19" x14ac:dyDescent="0.3">
      <c r="A200" t="s">
        <v>908</v>
      </c>
      <c r="B200" t="s">
        <v>23</v>
      </c>
      <c r="C200">
        <v>2026</v>
      </c>
      <c r="D200">
        <v>1</v>
      </c>
      <c r="E200" s="2">
        <v>46030</v>
      </c>
      <c r="F200" t="s">
        <v>7</v>
      </c>
      <c r="G200" t="s">
        <v>8</v>
      </c>
      <c r="H200" t="s">
        <v>70</v>
      </c>
      <c r="I200" t="s">
        <v>82</v>
      </c>
      <c r="J200" t="s">
        <v>83</v>
      </c>
      <c r="K200" t="s">
        <v>73</v>
      </c>
      <c r="L200">
        <v>701000</v>
      </c>
      <c r="M200" t="s">
        <v>62</v>
      </c>
      <c r="N200" t="s">
        <v>33</v>
      </c>
      <c r="O200">
        <v>203</v>
      </c>
      <c r="P200">
        <v>18.47</v>
      </c>
      <c r="Q200">
        <v>3.75</v>
      </c>
      <c r="R200" t="s">
        <v>1197</v>
      </c>
      <c r="S200" t="s">
        <v>195</v>
      </c>
    </row>
    <row r="201" spans="1:19" x14ac:dyDescent="0.3">
      <c r="A201" t="s">
        <v>909</v>
      </c>
      <c r="B201" t="s">
        <v>23</v>
      </c>
      <c r="C201">
        <v>2026</v>
      </c>
      <c r="D201">
        <v>1</v>
      </c>
      <c r="E201" s="2">
        <v>46030</v>
      </c>
      <c r="F201" t="s">
        <v>7</v>
      </c>
      <c r="G201" t="s">
        <v>8</v>
      </c>
      <c r="H201" t="s">
        <v>70</v>
      </c>
      <c r="I201" t="s">
        <v>82</v>
      </c>
      <c r="J201" t="s">
        <v>83</v>
      </c>
      <c r="K201" t="s">
        <v>73</v>
      </c>
      <c r="L201">
        <v>701000</v>
      </c>
      <c r="M201" t="s">
        <v>62</v>
      </c>
      <c r="N201" t="s">
        <v>33</v>
      </c>
      <c r="O201">
        <v>240</v>
      </c>
      <c r="P201">
        <v>18.54</v>
      </c>
      <c r="Q201">
        <v>4.45</v>
      </c>
      <c r="R201" t="s">
        <v>1198</v>
      </c>
      <c r="S201" t="s">
        <v>195</v>
      </c>
    </row>
    <row r="202" spans="1:19" x14ac:dyDescent="0.3">
      <c r="A202" t="s">
        <v>345</v>
      </c>
      <c r="B202" t="s">
        <v>23</v>
      </c>
      <c r="C202">
        <v>2026</v>
      </c>
      <c r="D202">
        <v>1</v>
      </c>
      <c r="E202" s="2">
        <v>46031</v>
      </c>
      <c r="F202" t="s">
        <v>7</v>
      </c>
      <c r="G202" t="s">
        <v>8</v>
      </c>
      <c r="H202" t="s">
        <v>70</v>
      </c>
      <c r="I202" t="s">
        <v>84</v>
      </c>
      <c r="J202" t="s">
        <v>85</v>
      </c>
      <c r="K202" t="s">
        <v>73</v>
      </c>
      <c r="L202">
        <v>701000</v>
      </c>
      <c r="M202" t="s">
        <v>62</v>
      </c>
      <c r="N202" t="s">
        <v>33</v>
      </c>
      <c r="O202">
        <v>1064</v>
      </c>
      <c r="P202">
        <v>0.95</v>
      </c>
      <c r="Q202">
        <v>1.01</v>
      </c>
      <c r="R202" t="s">
        <v>1202</v>
      </c>
      <c r="S202" t="s">
        <v>195</v>
      </c>
    </row>
    <row r="203" spans="1:19" x14ac:dyDescent="0.3">
      <c r="A203" t="s">
        <v>346</v>
      </c>
      <c r="B203" t="s">
        <v>23</v>
      </c>
      <c r="C203">
        <v>2026</v>
      </c>
      <c r="D203">
        <v>1</v>
      </c>
      <c r="E203" s="2">
        <v>46031</v>
      </c>
      <c r="F203" t="s">
        <v>7</v>
      </c>
      <c r="G203" t="s">
        <v>8</v>
      </c>
      <c r="H203" t="s">
        <v>70</v>
      </c>
      <c r="I203" t="s">
        <v>84</v>
      </c>
      <c r="J203" t="s">
        <v>85</v>
      </c>
      <c r="K203" t="s">
        <v>73</v>
      </c>
      <c r="L203">
        <v>701000</v>
      </c>
      <c r="M203" t="s">
        <v>62</v>
      </c>
      <c r="N203" t="s">
        <v>33</v>
      </c>
      <c r="O203">
        <v>2105</v>
      </c>
      <c r="P203">
        <v>0.95</v>
      </c>
      <c r="Q203">
        <v>2</v>
      </c>
      <c r="R203" t="s">
        <v>1198</v>
      </c>
      <c r="S203" t="s">
        <v>195</v>
      </c>
    </row>
    <row r="204" spans="1:19" x14ac:dyDescent="0.3">
      <c r="A204" t="s">
        <v>347</v>
      </c>
      <c r="B204" t="s">
        <v>23</v>
      </c>
      <c r="C204">
        <v>2026</v>
      </c>
      <c r="D204">
        <v>1</v>
      </c>
      <c r="E204" s="2">
        <v>46031</v>
      </c>
      <c r="F204" t="s">
        <v>7</v>
      </c>
      <c r="G204" t="s">
        <v>8</v>
      </c>
      <c r="H204" t="s">
        <v>70</v>
      </c>
      <c r="I204" t="s">
        <v>84</v>
      </c>
      <c r="J204" t="s">
        <v>85</v>
      </c>
      <c r="K204" t="s">
        <v>73</v>
      </c>
      <c r="L204">
        <v>701000</v>
      </c>
      <c r="M204" t="s">
        <v>62</v>
      </c>
      <c r="N204" t="s">
        <v>33</v>
      </c>
      <c r="O204">
        <v>2295</v>
      </c>
      <c r="P204">
        <v>0.95</v>
      </c>
      <c r="Q204">
        <v>2.1800000000000002</v>
      </c>
      <c r="R204" t="s">
        <v>1204</v>
      </c>
      <c r="S204" t="s">
        <v>195</v>
      </c>
    </row>
    <row r="205" spans="1:19" x14ac:dyDescent="0.3">
      <c r="A205" t="s">
        <v>348</v>
      </c>
      <c r="B205" t="s">
        <v>23</v>
      </c>
      <c r="C205">
        <v>2026</v>
      </c>
      <c r="D205">
        <v>1</v>
      </c>
      <c r="E205" s="2">
        <v>46031</v>
      </c>
      <c r="F205" t="s">
        <v>7</v>
      </c>
      <c r="G205" t="s">
        <v>8</v>
      </c>
      <c r="H205" t="s">
        <v>70</v>
      </c>
      <c r="I205" t="s">
        <v>84</v>
      </c>
      <c r="J205" t="s">
        <v>85</v>
      </c>
      <c r="K205" t="s">
        <v>73</v>
      </c>
      <c r="L205">
        <v>701000</v>
      </c>
      <c r="M205" t="s">
        <v>62</v>
      </c>
      <c r="N205" t="s">
        <v>33</v>
      </c>
      <c r="O205">
        <v>1547</v>
      </c>
      <c r="P205">
        <v>0.95</v>
      </c>
      <c r="Q205">
        <v>1.47</v>
      </c>
      <c r="R205" t="s">
        <v>1201</v>
      </c>
      <c r="S205" t="s">
        <v>195</v>
      </c>
    </row>
    <row r="206" spans="1:19" x14ac:dyDescent="0.3">
      <c r="A206" t="s">
        <v>349</v>
      </c>
      <c r="B206" t="s">
        <v>23</v>
      </c>
      <c r="C206">
        <v>2026</v>
      </c>
      <c r="D206">
        <v>1</v>
      </c>
      <c r="E206" s="2">
        <v>46031</v>
      </c>
      <c r="F206" t="s">
        <v>7</v>
      </c>
      <c r="G206" t="s">
        <v>8</v>
      </c>
      <c r="H206" t="s">
        <v>70</v>
      </c>
      <c r="I206" t="s">
        <v>84</v>
      </c>
      <c r="J206" t="s">
        <v>85</v>
      </c>
      <c r="K206" t="s">
        <v>73</v>
      </c>
      <c r="L206">
        <v>701000</v>
      </c>
      <c r="M206" t="s">
        <v>62</v>
      </c>
      <c r="N206" t="s">
        <v>33</v>
      </c>
      <c r="O206">
        <v>6960</v>
      </c>
      <c r="P206">
        <v>0.95</v>
      </c>
      <c r="Q206">
        <v>6.61</v>
      </c>
      <c r="R206" t="s">
        <v>1197</v>
      </c>
      <c r="S206" t="s">
        <v>195</v>
      </c>
    </row>
    <row r="207" spans="1:19" x14ac:dyDescent="0.3">
      <c r="A207" t="s">
        <v>355</v>
      </c>
      <c r="B207" t="s">
        <v>23</v>
      </c>
      <c r="C207">
        <v>2026</v>
      </c>
      <c r="D207">
        <v>1</v>
      </c>
      <c r="E207" s="2">
        <v>46031</v>
      </c>
      <c r="F207" t="s">
        <v>7</v>
      </c>
      <c r="G207" t="s">
        <v>8</v>
      </c>
      <c r="H207" t="s">
        <v>74</v>
      </c>
      <c r="I207" t="s">
        <v>84</v>
      </c>
      <c r="J207" t="s">
        <v>85</v>
      </c>
      <c r="K207" t="s">
        <v>73</v>
      </c>
      <c r="L207">
        <v>701000</v>
      </c>
      <c r="M207" t="s">
        <v>62</v>
      </c>
      <c r="N207" t="s">
        <v>33</v>
      </c>
      <c r="O207">
        <v>2218</v>
      </c>
      <c r="P207">
        <v>0.95</v>
      </c>
      <c r="Q207">
        <v>2.11</v>
      </c>
      <c r="R207" t="s">
        <v>1203</v>
      </c>
      <c r="S207" t="s">
        <v>195</v>
      </c>
    </row>
    <row r="208" spans="1:19" x14ac:dyDescent="0.3">
      <c r="A208" t="s">
        <v>356</v>
      </c>
      <c r="B208" t="s">
        <v>23</v>
      </c>
      <c r="C208">
        <v>2026</v>
      </c>
      <c r="D208">
        <v>1</v>
      </c>
      <c r="E208" s="2">
        <v>46031</v>
      </c>
      <c r="F208" t="s">
        <v>7</v>
      </c>
      <c r="G208" t="s">
        <v>8</v>
      </c>
      <c r="H208" t="s">
        <v>74</v>
      </c>
      <c r="I208" t="s">
        <v>84</v>
      </c>
      <c r="J208" t="s">
        <v>85</v>
      </c>
      <c r="K208" t="s">
        <v>73</v>
      </c>
      <c r="L208">
        <v>701000</v>
      </c>
      <c r="M208" t="s">
        <v>62</v>
      </c>
      <c r="N208" t="s">
        <v>33</v>
      </c>
      <c r="O208">
        <v>3944</v>
      </c>
      <c r="P208">
        <v>0.95</v>
      </c>
      <c r="Q208">
        <v>3.75</v>
      </c>
      <c r="R208" t="s">
        <v>1198</v>
      </c>
      <c r="S208" t="s">
        <v>195</v>
      </c>
    </row>
    <row r="209" spans="1:19" x14ac:dyDescent="0.3">
      <c r="A209" t="s">
        <v>357</v>
      </c>
      <c r="B209" t="s">
        <v>23</v>
      </c>
      <c r="C209">
        <v>2026</v>
      </c>
      <c r="D209">
        <v>1</v>
      </c>
      <c r="E209" s="2">
        <v>46031</v>
      </c>
      <c r="F209" t="s">
        <v>7</v>
      </c>
      <c r="G209" t="s">
        <v>8</v>
      </c>
      <c r="H209" t="s">
        <v>74</v>
      </c>
      <c r="I209" t="s">
        <v>84</v>
      </c>
      <c r="J209" t="s">
        <v>85</v>
      </c>
      <c r="K209" t="s">
        <v>73</v>
      </c>
      <c r="L209">
        <v>701000</v>
      </c>
      <c r="M209" t="s">
        <v>62</v>
      </c>
      <c r="N209" t="s">
        <v>33</v>
      </c>
      <c r="O209">
        <v>2701</v>
      </c>
      <c r="P209">
        <v>0.95</v>
      </c>
      <c r="Q209">
        <v>2.57</v>
      </c>
      <c r="R209" t="s">
        <v>1199</v>
      </c>
      <c r="S209" t="s">
        <v>195</v>
      </c>
    </row>
    <row r="210" spans="1:19" x14ac:dyDescent="0.3">
      <c r="A210" t="s">
        <v>358</v>
      </c>
      <c r="B210" t="s">
        <v>23</v>
      </c>
      <c r="C210">
        <v>2026</v>
      </c>
      <c r="D210">
        <v>1</v>
      </c>
      <c r="E210" s="2">
        <v>46031</v>
      </c>
      <c r="F210" t="s">
        <v>7</v>
      </c>
      <c r="G210" t="s">
        <v>8</v>
      </c>
      <c r="H210" t="s">
        <v>74</v>
      </c>
      <c r="I210" t="s">
        <v>84</v>
      </c>
      <c r="J210" t="s">
        <v>85</v>
      </c>
      <c r="K210" t="s">
        <v>73</v>
      </c>
      <c r="L210">
        <v>701000</v>
      </c>
      <c r="M210" t="s">
        <v>62</v>
      </c>
      <c r="N210" t="s">
        <v>33</v>
      </c>
      <c r="O210">
        <v>6573</v>
      </c>
      <c r="P210">
        <v>0.95</v>
      </c>
      <c r="Q210">
        <v>6.24</v>
      </c>
      <c r="R210" t="s">
        <v>1202</v>
      </c>
      <c r="S210" t="s">
        <v>195</v>
      </c>
    </row>
    <row r="211" spans="1:19" x14ac:dyDescent="0.3">
      <c r="A211" t="s">
        <v>359</v>
      </c>
      <c r="B211" t="s">
        <v>23</v>
      </c>
      <c r="C211">
        <v>2026</v>
      </c>
      <c r="D211">
        <v>1</v>
      </c>
      <c r="E211" s="2">
        <v>46031</v>
      </c>
      <c r="F211" t="s">
        <v>7</v>
      </c>
      <c r="G211" t="s">
        <v>8</v>
      </c>
      <c r="H211" t="s">
        <v>74</v>
      </c>
      <c r="I211" t="s">
        <v>84</v>
      </c>
      <c r="J211" t="s">
        <v>85</v>
      </c>
      <c r="K211" t="s">
        <v>73</v>
      </c>
      <c r="L211">
        <v>701000</v>
      </c>
      <c r="M211" t="s">
        <v>62</v>
      </c>
      <c r="N211" t="s">
        <v>33</v>
      </c>
      <c r="O211">
        <v>217</v>
      </c>
      <c r="P211">
        <v>0.92</v>
      </c>
      <c r="Q211">
        <v>0.2</v>
      </c>
      <c r="R211" t="s">
        <v>1197</v>
      </c>
      <c r="S211" t="s">
        <v>195</v>
      </c>
    </row>
    <row r="212" spans="1:19" x14ac:dyDescent="0.3">
      <c r="A212" t="s">
        <v>485</v>
      </c>
      <c r="B212" t="s">
        <v>23</v>
      </c>
      <c r="C212">
        <v>2026</v>
      </c>
      <c r="D212">
        <v>1</v>
      </c>
      <c r="E212" s="2">
        <v>46031</v>
      </c>
      <c r="F212" t="s">
        <v>7</v>
      </c>
      <c r="G212" t="s">
        <v>8</v>
      </c>
      <c r="H212" t="s">
        <v>74</v>
      </c>
      <c r="I212" t="s">
        <v>71</v>
      </c>
      <c r="J212" t="s">
        <v>72</v>
      </c>
      <c r="K212" t="s">
        <v>73</v>
      </c>
      <c r="L212">
        <v>701000</v>
      </c>
      <c r="M212" t="s">
        <v>62</v>
      </c>
      <c r="N212" t="s">
        <v>33</v>
      </c>
      <c r="O212">
        <v>2310</v>
      </c>
      <c r="P212">
        <v>1.05</v>
      </c>
      <c r="Q212">
        <v>2.4300000000000002</v>
      </c>
      <c r="R212" t="s">
        <v>1200</v>
      </c>
      <c r="S212" t="s">
        <v>195</v>
      </c>
    </row>
    <row r="213" spans="1:19" x14ac:dyDescent="0.3">
      <c r="A213" t="s">
        <v>486</v>
      </c>
      <c r="B213" t="s">
        <v>23</v>
      </c>
      <c r="C213">
        <v>2026</v>
      </c>
      <c r="D213">
        <v>1</v>
      </c>
      <c r="E213" s="2">
        <v>46031</v>
      </c>
      <c r="F213" t="s">
        <v>7</v>
      </c>
      <c r="G213" t="s">
        <v>8</v>
      </c>
      <c r="H213" t="s">
        <v>74</v>
      </c>
      <c r="I213" t="s">
        <v>71</v>
      </c>
      <c r="J213" t="s">
        <v>72</v>
      </c>
      <c r="K213" t="s">
        <v>73</v>
      </c>
      <c r="L213">
        <v>701000</v>
      </c>
      <c r="M213" t="s">
        <v>62</v>
      </c>
      <c r="N213" t="s">
        <v>33</v>
      </c>
      <c r="O213">
        <v>2103</v>
      </c>
      <c r="P213">
        <v>1.05</v>
      </c>
      <c r="Q213">
        <v>2.21</v>
      </c>
      <c r="R213" t="s">
        <v>1204</v>
      </c>
      <c r="S213" t="s">
        <v>195</v>
      </c>
    </row>
    <row r="214" spans="1:19" x14ac:dyDescent="0.3">
      <c r="A214" t="s">
        <v>487</v>
      </c>
      <c r="B214" t="s">
        <v>23</v>
      </c>
      <c r="C214">
        <v>2026</v>
      </c>
      <c r="D214">
        <v>1</v>
      </c>
      <c r="E214" s="2">
        <v>46031</v>
      </c>
      <c r="F214" t="s">
        <v>7</v>
      </c>
      <c r="G214" t="s">
        <v>8</v>
      </c>
      <c r="H214" t="s">
        <v>74</v>
      </c>
      <c r="I214" t="s">
        <v>71</v>
      </c>
      <c r="J214" t="s">
        <v>72</v>
      </c>
      <c r="K214" t="s">
        <v>73</v>
      </c>
      <c r="L214">
        <v>701000</v>
      </c>
      <c r="M214" t="s">
        <v>62</v>
      </c>
      <c r="N214" t="s">
        <v>33</v>
      </c>
      <c r="O214">
        <v>731</v>
      </c>
      <c r="P214">
        <v>1.05</v>
      </c>
      <c r="Q214">
        <v>0.77</v>
      </c>
      <c r="R214" t="s">
        <v>1201</v>
      </c>
      <c r="S214" t="s">
        <v>195</v>
      </c>
    </row>
    <row r="215" spans="1:19" x14ac:dyDescent="0.3">
      <c r="A215" t="s">
        <v>488</v>
      </c>
      <c r="B215" t="s">
        <v>23</v>
      </c>
      <c r="C215">
        <v>2026</v>
      </c>
      <c r="D215">
        <v>1</v>
      </c>
      <c r="E215" s="2">
        <v>46031</v>
      </c>
      <c r="F215" t="s">
        <v>7</v>
      </c>
      <c r="G215" t="s">
        <v>8</v>
      </c>
      <c r="H215" t="s">
        <v>74</v>
      </c>
      <c r="I215" t="s">
        <v>71</v>
      </c>
      <c r="J215" t="s">
        <v>72</v>
      </c>
      <c r="K215" t="s">
        <v>73</v>
      </c>
      <c r="L215">
        <v>701000</v>
      </c>
      <c r="M215" t="s">
        <v>62</v>
      </c>
      <c r="N215" t="s">
        <v>33</v>
      </c>
      <c r="O215">
        <v>860</v>
      </c>
      <c r="P215">
        <v>1.05</v>
      </c>
      <c r="Q215">
        <v>0.9</v>
      </c>
      <c r="R215" t="s">
        <v>1199</v>
      </c>
      <c r="S215" t="s">
        <v>195</v>
      </c>
    </row>
    <row r="216" spans="1:19" x14ac:dyDescent="0.3">
      <c r="A216" t="s">
        <v>489</v>
      </c>
      <c r="B216" t="s">
        <v>23</v>
      </c>
      <c r="C216">
        <v>2026</v>
      </c>
      <c r="D216">
        <v>1</v>
      </c>
      <c r="E216" s="2">
        <v>46031</v>
      </c>
      <c r="F216" t="s">
        <v>7</v>
      </c>
      <c r="G216" t="s">
        <v>8</v>
      </c>
      <c r="H216" t="s">
        <v>74</v>
      </c>
      <c r="I216" t="s">
        <v>71</v>
      </c>
      <c r="J216" t="s">
        <v>72</v>
      </c>
      <c r="K216" t="s">
        <v>73</v>
      </c>
      <c r="L216">
        <v>701000</v>
      </c>
      <c r="M216" t="s">
        <v>62</v>
      </c>
      <c r="N216" t="s">
        <v>33</v>
      </c>
      <c r="O216">
        <v>3517</v>
      </c>
      <c r="P216">
        <v>1.05</v>
      </c>
      <c r="Q216">
        <v>3.69</v>
      </c>
      <c r="R216" t="s">
        <v>1203</v>
      </c>
      <c r="S216" t="s">
        <v>195</v>
      </c>
    </row>
    <row r="217" spans="1:19" x14ac:dyDescent="0.3">
      <c r="A217" t="s">
        <v>540</v>
      </c>
      <c r="B217" t="s">
        <v>23</v>
      </c>
      <c r="C217">
        <v>2026</v>
      </c>
      <c r="D217">
        <v>1</v>
      </c>
      <c r="E217" s="2">
        <v>46031</v>
      </c>
      <c r="F217" t="s">
        <v>7</v>
      </c>
      <c r="G217" t="s">
        <v>8</v>
      </c>
      <c r="H217" t="s">
        <v>74</v>
      </c>
      <c r="I217" t="s">
        <v>75</v>
      </c>
      <c r="J217" t="s">
        <v>76</v>
      </c>
      <c r="K217" t="s">
        <v>73</v>
      </c>
      <c r="L217">
        <v>701000</v>
      </c>
      <c r="M217" t="s">
        <v>62</v>
      </c>
      <c r="N217" t="s">
        <v>33</v>
      </c>
      <c r="O217">
        <v>447</v>
      </c>
      <c r="P217">
        <v>1.41</v>
      </c>
      <c r="Q217">
        <v>0.63</v>
      </c>
      <c r="R217" t="s">
        <v>1204</v>
      </c>
      <c r="S217" t="s">
        <v>195</v>
      </c>
    </row>
    <row r="218" spans="1:19" x14ac:dyDescent="0.3">
      <c r="A218" t="s">
        <v>541</v>
      </c>
      <c r="B218" t="s">
        <v>23</v>
      </c>
      <c r="C218">
        <v>2026</v>
      </c>
      <c r="D218">
        <v>1</v>
      </c>
      <c r="E218" s="2">
        <v>46031</v>
      </c>
      <c r="F218" t="s">
        <v>7</v>
      </c>
      <c r="G218" t="s">
        <v>8</v>
      </c>
      <c r="H218" t="s">
        <v>74</v>
      </c>
      <c r="I218" t="s">
        <v>75</v>
      </c>
      <c r="J218" t="s">
        <v>76</v>
      </c>
      <c r="K218" t="s">
        <v>73</v>
      </c>
      <c r="L218">
        <v>701000</v>
      </c>
      <c r="M218" t="s">
        <v>62</v>
      </c>
      <c r="N218" t="s">
        <v>33</v>
      </c>
      <c r="O218">
        <v>1458</v>
      </c>
      <c r="P218">
        <v>1.4</v>
      </c>
      <c r="Q218">
        <v>2.04</v>
      </c>
      <c r="R218" t="s">
        <v>1197</v>
      </c>
      <c r="S218" t="s">
        <v>195</v>
      </c>
    </row>
    <row r="219" spans="1:19" x14ac:dyDescent="0.3">
      <c r="A219" t="s">
        <v>542</v>
      </c>
      <c r="B219" t="s">
        <v>23</v>
      </c>
      <c r="C219">
        <v>2026</v>
      </c>
      <c r="D219">
        <v>1</v>
      </c>
      <c r="E219" s="2">
        <v>46031</v>
      </c>
      <c r="F219" t="s">
        <v>7</v>
      </c>
      <c r="G219" t="s">
        <v>8</v>
      </c>
      <c r="H219" t="s">
        <v>74</v>
      </c>
      <c r="I219" t="s">
        <v>75</v>
      </c>
      <c r="J219" t="s">
        <v>76</v>
      </c>
      <c r="K219" t="s">
        <v>73</v>
      </c>
      <c r="L219">
        <v>701000</v>
      </c>
      <c r="M219" t="s">
        <v>62</v>
      </c>
      <c r="N219" t="s">
        <v>33</v>
      </c>
      <c r="O219">
        <v>1870</v>
      </c>
      <c r="P219">
        <v>1.4</v>
      </c>
      <c r="Q219">
        <v>2.62</v>
      </c>
      <c r="R219" t="s">
        <v>1198</v>
      </c>
      <c r="S219" t="s">
        <v>195</v>
      </c>
    </row>
    <row r="220" spans="1:19" x14ac:dyDescent="0.3">
      <c r="A220" t="s">
        <v>543</v>
      </c>
      <c r="B220" t="s">
        <v>23</v>
      </c>
      <c r="C220">
        <v>2026</v>
      </c>
      <c r="D220">
        <v>1</v>
      </c>
      <c r="E220" s="2">
        <v>46031</v>
      </c>
      <c r="F220" t="s">
        <v>7</v>
      </c>
      <c r="G220" t="s">
        <v>8</v>
      </c>
      <c r="H220" t="s">
        <v>74</v>
      </c>
      <c r="I220" t="s">
        <v>75</v>
      </c>
      <c r="J220" t="s">
        <v>76</v>
      </c>
      <c r="K220" t="s">
        <v>73</v>
      </c>
      <c r="L220">
        <v>701000</v>
      </c>
      <c r="M220" t="s">
        <v>62</v>
      </c>
      <c r="N220" t="s">
        <v>33</v>
      </c>
      <c r="O220">
        <v>2043</v>
      </c>
      <c r="P220">
        <v>1.4</v>
      </c>
      <c r="Q220">
        <v>2.86</v>
      </c>
      <c r="R220" t="s">
        <v>1200</v>
      </c>
      <c r="S220" t="s">
        <v>195</v>
      </c>
    </row>
    <row r="221" spans="1:19" x14ac:dyDescent="0.3">
      <c r="A221" t="s">
        <v>544</v>
      </c>
      <c r="B221" t="s">
        <v>23</v>
      </c>
      <c r="C221">
        <v>2026</v>
      </c>
      <c r="D221">
        <v>1</v>
      </c>
      <c r="E221" s="2">
        <v>46031</v>
      </c>
      <c r="F221" t="s">
        <v>7</v>
      </c>
      <c r="G221" t="s">
        <v>8</v>
      </c>
      <c r="H221" t="s">
        <v>74</v>
      </c>
      <c r="I221" t="s">
        <v>75</v>
      </c>
      <c r="J221" t="s">
        <v>76</v>
      </c>
      <c r="K221" t="s">
        <v>73</v>
      </c>
      <c r="L221">
        <v>701000</v>
      </c>
      <c r="M221" t="s">
        <v>62</v>
      </c>
      <c r="N221" t="s">
        <v>33</v>
      </c>
      <c r="O221">
        <v>1624</v>
      </c>
      <c r="P221">
        <v>1.4</v>
      </c>
      <c r="Q221">
        <v>2.27</v>
      </c>
      <c r="R221" t="s">
        <v>1202</v>
      </c>
      <c r="S221" t="s">
        <v>195</v>
      </c>
    </row>
    <row r="222" spans="1:19" x14ac:dyDescent="0.3">
      <c r="A222" t="s">
        <v>585</v>
      </c>
      <c r="B222" t="s">
        <v>23</v>
      </c>
      <c r="C222">
        <v>2026</v>
      </c>
      <c r="D222">
        <v>1</v>
      </c>
      <c r="E222" s="2">
        <v>46031</v>
      </c>
      <c r="F222" t="s">
        <v>7</v>
      </c>
      <c r="G222" t="s">
        <v>8</v>
      </c>
      <c r="H222" t="s">
        <v>74</v>
      </c>
      <c r="I222" t="s">
        <v>75</v>
      </c>
      <c r="J222" t="s">
        <v>76</v>
      </c>
      <c r="K222" t="s">
        <v>73</v>
      </c>
      <c r="L222">
        <v>706000</v>
      </c>
      <c r="M222" t="s">
        <v>63</v>
      </c>
      <c r="N222" t="s">
        <v>33</v>
      </c>
      <c r="O222">
        <v>935</v>
      </c>
      <c r="P222">
        <v>1.4</v>
      </c>
      <c r="Q222">
        <v>1.31</v>
      </c>
      <c r="R222" t="s">
        <v>1201</v>
      </c>
      <c r="S222" t="s">
        <v>195</v>
      </c>
    </row>
    <row r="223" spans="1:19" x14ac:dyDescent="0.3">
      <c r="A223" t="s">
        <v>586</v>
      </c>
      <c r="B223" t="s">
        <v>23</v>
      </c>
      <c r="C223">
        <v>2026</v>
      </c>
      <c r="D223">
        <v>1</v>
      </c>
      <c r="E223" s="2">
        <v>46031</v>
      </c>
      <c r="F223" t="s">
        <v>7</v>
      </c>
      <c r="G223" t="s">
        <v>8</v>
      </c>
      <c r="H223" t="s">
        <v>74</v>
      </c>
      <c r="I223" t="s">
        <v>75</v>
      </c>
      <c r="J223" t="s">
        <v>76</v>
      </c>
      <c r="K223" t="s">
        <v>73</v>
      </c>
      <c r="L223">
        <v>706000</v>
      </c>
      <c r="M223" t="s">
        <v>63</v>
      </c>
      <c r="N223" t="s">
        <v>33</v>
      </c>
      <c r="O223">
        <v>975</v>
      </c>
      <c r="P223">
        <v>1.41</v>
      </c>
      <c r="Q223">
        <v>1.37</v>
      </c>
      <c r="R223" t="s">
        <v>1203</v>
      </c>
      <c r="S223" t="s">
        <v>195</v>
      </c>
    </row>
    <row r="224" spans="1:19" x14ac:dyDescent="0.3">
      <c r="A224" t="s">
        <v>587</v>
      </c>
      <c r="B224" t="s">
        <v>23</v>
      </c>
      <c r="C224">
        <v>2026</v>
      </c>
      <c r="D224">
        <v>1</v>
      </c>
      <c r="E224" s="2">
        <v>46031</v>
      </c>
      <c r="F224" t="s">
        <v>7</v>
      </c>
      <c r="G224" t="s">
        <v>8</v>
      </c>
      <c r="H224" t="s">
        <v>74</v>
      </c>
      <c r="I224" t="s">
        <v>75</v>
      </c>
      <c r="J224" t="s">
        <v>76</v>
      </c>
      <c r="K224" t="s">
        <v>73</v>
      </c>
      <c r="L224">
        <v>706000</v>
      </c>
      <c r="M224" t="s">
        <v>63</v>
      </c>
      <c r="N224" t="s">
        <v>33</v>
      </c>
      <c r="O224">
        <v>1514</v>
      </c>
      <c r="P224">
        <v>1.4</v>
      </c>
      <c r="Q224">
        <v>2.12</v>
      </c>
      <c r="R224" t="s">
        <v>1200</v>
      </c>
      <c r="S224" t="s">
        <v>195</v>
      </c>
    </row>
    <row r="225" spans="1:19" x14ac:dyDescent="0.3">
      <c r="A225" t="s">
        <v>588</v>
      </c>
      <c r="B225" t="s">
        <v>23</v>
      </c>
      <c r="C225">
        <v>2026</v>
      </c>
      <c r="D225">
        <v>1</v>
      </c>
      <c r="E225" s="2">
        <v>46031</v>
      </c>
      <c r="F225" t="s">
        <v>7</v>
      </c>
      <c r="G225" t="s">
        <v>8</v>
      </c>
      <c r="H225" t="s">
        <v>74</v>
      </c>
      <c r="I225" t="s">
        <v>75</v>
      </c>
      <c r="J225" t="s">
        <v>76</v>
      </c>
      <c r="K225" t="s">
        <v>73</v>
      </c>
      <c r="L225">
        <v>706000</v>
      </c>
      <c r="M225" t="s">
        <v>63</v>
      </c>
      <c r="N225" t="s">
        <v>33</v>
      </c>
      <c r="O225">
        <v>635</v>
      </c>
      <c r="P225">
        <v>1.4</v>
      </c>
      <c r="Q225">
        <v>0.89</v>
      </c>
      <c r="R225" t="s">
        <v>1197</v>
      </c>
      <c r="S225" t="s">
        <v>195</v>
      </c>
    </row>
    <row r="226" spans="1:19" x14ac:dyDescent="0.3">
      <c r="A226" t="s">
        <v>589</v>
      </c>
      <c r="B226" t="s">
        <v>23</v>
      </c>
      <c r="C226">
        <v>2026</v>
      </c>
      <c r="D226">
        <v>1</v>
      </c>
      <c r="E226" s="2">
        <v>46031</v>
      </c>
      <c r="F226" t="s">
        <v>7</v>
      </c>
      <c r="G226" t="s">
        <v>8</v>
      </c>
      <c r="H226" t="s">
        <v>74</v>
      </c>
      <c r="I226" t="s">
        <v>75</v>
      </c>
      <c r="J226" t="s">
        <v>76</v>
      </c>
      <c r="K226" t="s">
        <v>73</v>
      </c>
      <c r="L226">
        <v>706000</v>
      </c>
      <c r="M226" t="s">
        <v>63</v>
      </c>
      <c r="N226" t="s">
        <v>33</v>
      </c>
      <c r="O226">
        <v>2589</v>
      </c>
      <c r="P226">
        <v>1.4</v>
      </c>
      <c r="Q226">
        <v>3.62</v>
      </c>
      <c r="R226" t="s">
        <v>1205</v>
      </c>
      <c r="S226" t="s">
        <v>195</v>
      </c>
    </row>
    <row r="227" spans="1:19" x14ac:dyDescent="0.3">
      <c r="A227" t="s">
        <v>640</v>
      </c>
      <c r="B227" t="s">
        <v>23</v>
      </c>
      <c r="C227">
        <v>2026</v>
      </c>
      <c r="D227">
        <v>1</v>
      </c>
      <c r="E227" s="2">
        <v>46031</v>
      </c>
      <c r="F227" t="s">
        <v>7</v>
      </c>
      <c r="G227" t="s">
        <v>8</v>
      </c>
      <c r="H227" t="s">
        <v>70</v>
      </c>
      <c r="I227" t="s">
        <v>75</v>
      </c>
      <c r="J227" t="s">
        <v>76</v>
      </c>
      <c r="K227" t="s">
        <v>73</v>
      </c>
      <c r="L227">
        <v>701000</v>
      </c>
      <c r="M227" t="s">
        <v>62</v>
      </c>
      <c r="N227" t="s">
        <v>33</v>
      </c>
      <c r="O227">
        <v>752</v>
      </c>
      <c r="P227">
        <v>1.4</v>
      </c>
      <c r="Q227">
        <v>1.05</v>
      </c>
      <c r="R227" t="s">
        <v>1203</v>
      </c>
      <c r="S227" t="s">
        <v>195</v>
      </c>
    </row>
    <row r="228" spans="1:19" x14ac:dyDescent="0.3">
      <c r="A228" t="s">
        <v>641</v>
      </c>
      <c r="B228" t="s">
        <v>23</v>
      </c>
      <c r="C228">
        <v>2026</v>
      </c>
      <c r="D228">
        <v>1</v>
      </c>
      <c r="E228" s="2">
        <v>46031</v>
      </c>
      <c r="F228" t="s">
        <v>7</v>
      </c>
      <c r="G228" t="s">
        <v>8</v>
      </c>
      <c r="H228" t="s">
        <v>70</v>
      </c>
      <c r="I228" t="s">
        <v>75</v>
      </c>
      <c r="J228" t="s">
        <v>76</v>
      </c>
      <c r="K228" t="s">
        <v>73</v>
      </c>
      <c r="L228">
        <v>701000</v>
      </c>
      <c r="M228" t="s">
        <v>62</v>
      </c>
      <c r="N228" t="s">
        <v>33</v>
      </c>
      <c r="O228">
        <v>339</v>
      </c>
      <c r="P228">
        <v>1.39</v>
      </c>
      <c r="Q228">
        <v>0.47</v>
      </c>
      <c r="R228" t="s">
        <v>1204</v>
      </c>
      <c r="S228" t="s">
        <v>195</v>
      </c>
    </row>
    <row r="229" spans="1:19" x14ac:dyDescent="0.3">
      <c r="A229" t="s">
        <v>642</v>
      </c>
      <c r="B229" t="s">
        <v>23</v>
      </c>
      <c r="C229">
        <v>2026</v>
      </c>
      <c r="D229">
        <v>1</v>
      </c>
      <c r="E229" s="2">
        <v>46031</v>
      </c>
      <c r="F229" t="s">
        <v>7</v>
      </c>
      <c r="G229" t="s">
        <v>8</v>
      </c>
      <c r="H229" t="s">
        <v>70</v>
      </c>
      <c r="I229" t="s">
        <v>75</v>
      </c>
      <c r="J229" t="s">
        <v>76</v>
      </c>
      <c r="K229" t="s">
        <v>73</v>
      </c>
      <c r="L229">
        <v>701000</v>
      </c>
      <c r="M229" t="s">
        <v>62</v>
      </c>
      <c r="N229" t="s">
        <v>33</v>
      </c>
      <c r="O229">
        <v>3215</v>
      </c>
      <c r="P229">
        <v>1.4</v>
      </c>
      <c r="Q229">
        <v>4.5</v>
      </c>
      <c r="R229" t="s">
        <v>1201</v>
      </c>
      <c r="S229" t="s">
        <v>195</v>
      </c>
    </row>
    <row r="230" spans="1:19" x14ac:dyDescent="0.3">
      <c r="A230" t="s">
        <v>643</v>
      </c>
      <c r="B230" t="s">
        <v>23</v>
      </c>
      <c r="C230">
        <v>2026</v>
      </c>
      <c r="D230">
        <v>1</v>
      </c>
      <c r="E230" s="2">
        <v>46031</v>
      </c>
      <c r="F230" t="s">
        <v>7</v>
      </c>
      <c r="G230" t="s">
        <v>8</v>
      </c>
      <c r="H230" t="s">
        <v>70</v>
      </c>
      <c r="I230" t="s">
        <v>75</v>
      </c>
      <c r="J230" t="s">
        <v>76</v>
      </c>
      <c r="K230" t="s">
        <v>73</v>
      </c>
      <c r="L230">
        <v>701000</v>
      </c>
      <c r="M230" t="s">
        <v>62</v>
      </c>
      <c r="N230" t="s">
        <v>33</v>
      </c>
      <c r="O230">
        <v>873</v>
      </c>
      <c r="P230">
        <v>1.4</v>
      </c>
      <c r="Q230">
        <v>1.22</v>
      </c>
      <c r="R230" t="s">
        <v>1199</v>
      </c>
      <c r="S230" t="s">
        <v>195</v>
      </c>
    </row>
    <row r="231" spans="1:19" x14ac:dyDescent="0.3">
      <c r="A231" t="s">
        <v>644</v>
      </c>
      <c r="B231" t="s">
        <v>23</v>
      </c>
      <c r="C231">
        <v>2026</v>
      </c>
      <c r="D231">
        <v>1</v>
      </c>
      <c r="E231" s="2">
        <v>46031</v>
      </c>
      <c r="F231" t="s">
        <v>7</v>
      </c>
      <c r="G231" t="s">
        <v>8</v>
      </c>
      <c r="H231" t="s">
        <v>70</v>
      </c>
      <c r="I231" t="s">
        <v>75</v>
      </c>
      <c r="J231" t="s">
        <v>76</v>
      </c>
      <c r="K231" t="s">
        <v>73</v>
      </c>
      <c r="L231">
        <v>701000</v>
      </c>
      <c r="M231" t="s">
        <v>62</v>
      </c>
      <c r="N231" t="s">
        <v>33</v>
      </c>
      <c r="O231">
        <v>242</v>
      </c>
      <c r="P231">
        <v>1.45</v>
      </c>
      <c r="Q231">
        <v>0.35</v>
      </c>
      <c r="R231" t="s">
        <v>1202</v>
      </c>
      <c r="S231" t="s">
        <v>195</v>
      </c>
    </row>
    <row r="232" spans="1:19" x14ac:dyDescent="0.3">
      <c r="A232" t="s">
        <v>405</v>
      </c>
      <c r="B232" t="s">
        <v>23</v>
      </c>
      <c r="C232">
        <v>2026</v>
      </c>
      <c r="D232">
        <v>1</v>
      </c>
      <c r="E232" s="2">
        <v>46032</v>
      </c>
      <c r="F232" t="s">
        <v>7</v>
      </c>
      <c r="G232" t="s">
        <v>8</v>
      </c>
      <c r="H232" t="s">
        <v>74</v>
      </c>
      <c r="I232" t="s">
        <v>71</v>
      </c>
      <c r="J232" t="s">
        <v>72</v>
      </c>
      <c r="K232" t="s">
        <v>73</v>
      </c>
      <c r="L232">
        <v>701000</v>
      </c>
      <c r="M232" t="s">
        <v>62</v>
      </c>
      <c r="N232" t="s">
        <v>33</v>
      </c>
      <c r="O232">
        <v>779</v>
      </c>
      <c r="P232">
        <v>1.05</v>
      </c>
      <c r="Q232">
        <v>0.82</v>
      </c>
      <c r="R232" t="s">
        <v>1204</v>
      </c>
      <c r="S232" t="s">
        <v>195</v>
      </c>
    </row>
    <row r="233" spans="1:19" x14ac:dyDescent="0.3">
      <c r="A233" t="s">
        <v>406</v>
      </c>
      <c r="B233" t="s">
        <v>23</v>
      </c>
      <c r="C233">
        <v>2026</v>
      </c>
      <c r="D233">
        <v>1</v>
      </c>
      <c r="E233" s="2">
        <v>46032</v>
      </c>
      <c r="F233" t="s">
        <v>7</v>
      </c>
      <c r="G233" t="s">
        <v>8</v>
      </c>
      <c r="H233" t="s">
        <v>74</v>
      </c>
      <c r="I233" t="s">
        <v>71</v>
      </c>
      <c r="J233" t="s">
        <v>72</v>
      </c>
      <c r="K233" t="s">
        <v>73</v>
      </c>
      <c r="L233">
        <v>701000</v>
      </c>
      <c r="M233" t="s">
        <v>62</v>
      </c>
      <c r="N233" t="s">
        <v>33</v>
      </c>
      <c r="O233">
        <v>1777</v>
      </c>
      <c r="P233">
        <v>1.05</v>
      </c>
      <c r="Q233">
        <v>1.87</v>
      </c>
      <c r="R233" t="s">
        <v>1199</v>
      </c>
      <c r="S233" t="s">
        <v>195</v>
      </c>
    </row>
    <row r="234" spans="1:19" x14ac:dyDescent="0.3">
      <c r="A234" t="s">
        <v>407</v>
      </c>
      <c r="B234" t="s">
        <v>23</v>
      </c>
      <c r="C234">
        <v>2026</v>
      </c>
      <c r="D234">
        <v>1</v>
      </c>
      <c r="E234" s="2">
        <v>46032</v>
      </c>
      <c r="F234" t="s">
        <v>7</v>
      </c>
      <c r="G234" t="s">
        <v>8</v>
      </c>
      <c r="H234" t="s">
        <v>74</v>
      </c>
      <c r="I234" t="s">
        <v>71</v>
      </c>
      <c r="J234" t="s">
        <v>72</v>
      </c>
      <c r="K234" t="s">
        <v>73</v>
      </c>
      <c r="L234">
        <v>701000</v>
      </c>
      <c r="M234" t="s">
        <v>62</v>
      </c>
      <c r="N234" t="s">
        <v>33</v>
      </c>
      <c r="O234">
        <v>1809</v>
      </c>
      <c r="P234">
        <v>1.05</v>
      </c>
      <c r="Q234">
        <v>1.9</v>
      </c>
      <c r="R234" t="s">
        <v>1200</v>
      </c>
      <c r="S234" t="s">
        <v>195</v>
      </c>
    </row>
    <row r="235" spans="1:19" x14ac:dyDescent="0.3">
      <c r="A235" t="s">
        <v>408</v>
      </c>
      <c r="B235" t="s">
        <v>23</v>
      </c>
      <c r="C235">
        <v>2026</v>
      </c>
      <c r="D235">
        <v>1</v>
      </c>
      <c r="E235" s="2">
        <v>46032</v>
      </c>
      <c r="F235" t="s">
        <v>7</v>
      </c>
      <c r="G235" t="s">
        <v>8</v>
      </c>
      <c r="H235" t="s">
        <v>74</v>
      </c>
      <c r="I235" t="s">
        <v>71</v>
      </c>
      <c r="J235" t="s">
        <v>72</v>
      </c>
      <c r="K235" t="s">
        <v>73</v>
      </c>
      <c r="L235">
        <v>701000</v>
      </c>
      <c r="M235" t="s">
        <v>62</v>
      </c>
      <c r="N235" t="s">
        <v>33</v>
      </c>
      <c r="O235">
        <v>1831</v>
      </c>
      <c r="P235">
        <v>1.05</v>
      </c>
      <c r="Q235">
        <v>1.92</v>
      </c>
      <c r="R235" t="s">
        <v>1203</v>
      </c>
      <c r="S235" t="s">
        <v>195</v>
      </c>
    </row>
    <row r="236" spans="1:19" x14ac:dyDescent="0.3">
      <c r="A236" t="s">
        <v>409</v>
      </c>
      <c r="B236" t="s">
        <v>23</v>
      </c>
      <c r="C236">
        <v>2026</v>
      </c>
      <c r="D236">
        <v>1</v>
      </c>
      <c r="E236" s="2">
        <v>46032</v>
      </c>
      <c r="F236" t="s">
        <v>7</v>
      </c>
      <c r="G236" t="s">
        <v>8</v>
      </c>
      <c r="H236" t="s">
        <v>74</v>
      </c>
      <c r="I236" t="s">
        <v>71</v>
      </c>
      <c r="J236" t="s">
        <v>72</v>
      </c>
      <c r="K236" t="s">
        <v>73</v>
      </c>
      <c r="L236">
        <v>701000</v>
      </c>
      <c r="M236" t="s">
        <v>62</v>
      </c>
      <c r="N236" t="s">
        <v>33</v>
      </c>
      <c r="O236">
        <v>1015</v>
      </c>
      <c r="P236">
        <v>1.04</v>
      </c>
      <c r="Q236">
        <v>1.06</v>
      </c>
      <c r="R236" t="s">
        <v>1205</v>
      </c>
      <c r="S236" t="s">
        <v>195</v>
      </c>
    </row>
    <row r="237" spans="1:19" x14ac:dyDescent="0.3">
      <c r="A237" t="s">
        <v>520</v>
      </c>
      <c r="B237" t="s">
        <v>23</v>
      </c>
      <c r="C237">
        <v>2026</v>
      </c>
      <c r="D237">
        <v>1</v>
      </c>
      <c r="E237" s="2">
        <v>46032</v>
      </c>
      <c r="F237" t="s">
        <v>7</v>
      </c>
      <c r="G237" t="s">
        <v>8</v>
      </c>
      <c r="H237" t="s">
        <v>74</v>
      </c>
      <c r="I237" t="s">
        <v>71</v>
      </c>
      <c r="J237" t="s">
        <v>72</v>
      </c>
      <c r="K237" t="s">
        <v>73</v>
      </c>
      <c r="L237">
        <v>701000</v>
      </c>
      <c r="M237" t="s">
        <v>62</v>
      </c>
      <c r="N237" t="s">
        <v>33</v>
      </c>
      <c r="O237">
        <v>3056</v>
      </c>
      <c r="P237">
        <v>1.05</v>
      </c>
      <c r="Q237">
        <v>3.21</v>
      </c>
      <c r="R237" t="s">
        <v>1204</v>
      </c>
      <c r="S237" t="s">
        <v>195</v>
      </c>
    </row>
    <row r="238" spans="1:19" x14ac:dyDescent="0.3">
      <c r="A238" t="s">
        <v>521</v>
      </c>
      <c r="B238" t="s">
        <v>23</v>
      </c>
      <c r="C238">
        <v>2026</v>
      </c>
      <c r="D238">
        <v>1</v>
      </c>
      <c r="E238" s="2">
        <v>46032</v>
      </c>
      <c r="F238" t="s">
        <v>7</v>
      </c>
      <c r="G238" t="s">
        <v>8</v>
      </c>
      <c r="H238" t="s">
        <v>74</v>
      </c>
      <c r="I238" t="s">
        <v>71</v>
      </c>
      <c r="J238" t="s">
        <v>72</v>
      </c>
      <c r="K238" t="s">
        <v>73</v>
      </c>
      <c r="L238">
        <v>701000</v>
      </c>
      <c r="M238" t="s">
        <v>62</v>
      </c>
      <c r="N238" t="s">
        <v>33</v>
      </c>
      <c r="O238">
        <v>568</v>
      </c>
      <c r="P238">
        <v>1.06</v>
      </c>
      <c r="Q238">
        <v>0.6</v>
      </c>
      <c r="R238" t="s">
        <v>1197</v>
      </c>
      <c r="S238" t="s">
        <v>195</v>
      </c>
    </row>
    <row r="239" spans="1:19" x14ac:dyDescent="0.3">
      <c r="A239" t="s">
        <v>522</v>
      </c>
      <c r="B239" t="s">
        <v>23</v>
      </c>
      <c r="C239">
        <v>2026</v>
      </c>
      <c r="D239">
        <v>1</v>
      </c>
      <c r="E239" s="2">
        <v>46032</v>
      </c>
      <c r="F239" t="s">
        <v>7</v>
      </c>
      <c r="G239" t="s">
        <v>8</v>
      </c>
      <c r="H239" t="s">
        <v>74</v>
      </c>
      <c r="I239" t="s">
        <v>71</v>
      </c>
      <c r="J239" t="s">
        <v>72</v>
      </c>
      <c r="K239" t="s">
        <v>73</v>
      </c>
      <c r="L239">
        <v>701000</v>
      </c>
      <c r="M239" t="s">
        <v>62</v>
      </c>
      <c r="N239" t="s">
        <v>33</v>
      </c>
      <c r="O239">
        <v>1760</v>
      </c>
      <c r="P239">
        <v>1.05</v>
      </c>
      <c r="Q239">
        <v>1.85</v>
      </c>
      <c r="R239" t="s">
        <v>1202</v>
      </c>
      <c r="S239" t="s">
        <v>195</v>
      </c>
    </row>
    <row r="240" spans="1:19" x14ac:dyDescent="0.3">
      <c r="A240" t="s">
        <v>523</v>
      </c>
      <c r="B240" t="s">
        <v>23</v>
      </c>
      <c r="C240">
        <v>2026</v>
      </c>
      <c r="D240">
        <v>1</v>
      </c>
      <c r="E240" s="2">
        <v>46032</v>
      </c>
      <c r="F240" t="s">
        <v>7</v>
      </c>
      <c r="G240" t="s">
        <v>8</v>
      </c>
      <c r="H240" t="s">
        <v>74</v>
      </c>
      <c r="I240" t="s">
        <v>71</v>
      </c>
      <c r="J240" t="s">
        <v>72</v>
      </c>
      <c r="K240" t="s">
        <v>73</v>
      </c>
      <c r="L240">
        <v>701000</v>
      </c>
      <c r="M240" t="s">
        <v>62</v>
      </c>
      <c r="N240" t="s">
        <v>33</v>
      </c>
      <c r="O240">
        <v>519</v>
      </c>
      <c r="P240">
        <v>1.06</v>
      </c>
      <c r="Q240">
        <v>0.55000000000000004</v>
      </c>
      <c r="R240" t="s">
        <v>1201</v>
      </c>
      <c r="S240" t="s">
        <v>195</v>
      </c>
    </row>
    <row r="241" spans="1:19" x14ac:dyDescent="0.3">
      <c r="A241" t="s">
        <v>524</v>
      </c>
      <c r="B241" t="s">
        <v>23</v>
      </c>
      <c r="C241">
        <v>2026</v>
      </c>
      <c r="D241">
        <v>1</v>
      </c>
      <c r="E241" s="2">
        <v>46032</v>
      </c>
      <c r="F241" t="s">
        <v>7</v>
      </c>
      <c r="G241" t="s">
        <v>8</v>
      </c>
      <c r="H241" t="s">
        <v>74</v>
      </c>
      <c r="I241" t="s">
        <v>71</v>
      </c>
      <c r="J241" t="s">
        <v>72</v>
      </c>
      <c r="K241" t="s">
        <v>73</v>
      </c>
      <c r="L241">
        <v>701000</v>
      </c>
      <c r="M241" t="s">
        <v>62</v>
      </c>
      <c r="N241" t="s">
        <v>33</v>
      </c>
      <c r="O241">
        <v>1573</v>
      </c>
      <c r="P241">
        <v>1.04</v>
      </c>
      <c r="Q241">
        <v>1.64</v>
      </c>
      <c r="R241" t="s">
        <v>1198</v>
      </c>
      <c r="S241" t="s">
        <v>195</v>
      </c>
    </row>
    <row r="242" spans="1:19" x14ac:dyDescent="0.3">
      <c r="A242" t="s">
        <v>645</v>
      </c>
      <c r="B242" t="s">
        <v>23</v>
      </c>
      <c r="C242">
        <v>2026</v>
      </c>
      <c r="D242">
        <v>1</v>
      </c>
      <c r="E242" s="2">
        <v>46032</v>
      </c>
      <c r="F242" t="s">
        <v>7</v>
      </c>
      <c r="G242" t="s">
        <v>8</v>
      </c>
      <c r="H242" t="s">
        <v>70</v>
      </c>
      <c r="I242" t="s">
        <v>75</v>
      </c>
      <c r="J242" t="s">
        <v>76</v>
      </c>
      <c r="K242" t="s">
        <v>73</v>
      </c>
      <c r="L242">
        <v>701000</v>
      </c>
      <c r="M242" t="s">
        <v>62</v>
      </c>
      <c r="N242" t="s">
        <v>33</v>
      </c>
      <c r="O242">
        <v>1334</v>
      </c>
      <c r="P242">
        <v>1.4</v>
      </c>
      <c r="Q242">
        <v>1.87</v>
      </c>
      <c r="R242" t="s">
        <v>1203</v>
      </c>
      <c r="S242" t="s">
        <v>195</v>
      </c>
    </row>
    <row r="243" spans="1:19" x14ac:dyDescent="0.3">
      <c r="A243" t="s">
        <v>646</v>
      </c>
      <c r="B243" t="s">
        <v>23</v>
      </c>
      <c r="C243">
        <v>2026</v>
      </c>
      <c r="D243">
        <v>1</v>
      </c>
      <c r="E243" s="2">
        <v>46032</v>
      </c>
      <c r="F243" t="s">
        <v>7</v>
      </c>
      <c r="G243" t="s">
        <v>8</v>
      </c>
      <c r="H243" t="s">
        <v>70</v>
      </c>
      <c r="I243" t="s">
        <v>75</v>
      </c>
      <c r="J243" t="s">
        <v>76</v>
      </c>
      <c r="K243" t="s">
        <v>73</v>
      </c>
      <c r="L243">
        <v>701000</v>
      </c>
      <c r="M243" t="s">
        <v>62</v>
      </c>
      <c r="N243" t="s">
        <v>33</v>
      </c>
      <c r="O243">
        <v>356</v>
      </c>
      <c r="P243">
        <v>1.4</v>
      </c>
      <c r="Q243">
        <v>0.5</v>
      </c>
      <c r="R243" t="s">
        <v>1198</v>
      </c>
      <c r="S243" t="s">
        <v>195</v>
      </c>
    </row>
    <row r="244" spans="1:19" x14ac:dyDescent="0.3">
      <c r="A244" t="s">
        <v>647</v>
      </c>
      <c r="B244" t="s">
        <v>23</v>
      </c>
      <c r="C244">
        <v>2026</v>
      </c>
      <c r="D244">
        <v>1</v>
      </c>
      <c r="E244" s="2">
        <v>46032</v>
      </c>
      <c r="F244" t="s">
        <v>7</v>
      </c>
      <c r="G244" t="s">
        <v>8</v>
      </c>
      <c r="H244" t="s">
        <v>70</v>
      </c>
      <c r="I244" t="s">
        <v>75</v>
      </c>
      <c r="J244" t="s">
        <v>76</v>
      </c>
      <c r="K244" t="s">
        <v>73</v>
      </c>
      <c r="L244">
        <v>701000</v>
      </c>
      <c r="M244" t="s">
        <v>62</v>
      </c>
      <c r="N244" t="s">
        <v>33</v>
      </c>
      <c r="O244">
        <v>1773</v>
      </c>
      <c r="P244">
        <v>1.4</v>
      </c>
      <c r="Q244">
        <v>2.48</v>
      </c>
      <c r="R244" t="s">
        <v>1197</v>
      </c>
      <c r="S244" t="s">
        <v>195</v>
      </c>
    </row>
    <row r="245" spans="1:19" x14ac:dyDescent="0.3">
      <c r="A245" t="s">
        <v>648</v>
      </c>
      <c r="B245" t="s">
        <v>23</v>
      </c>
      <c r="C245">
        <v>2026</v>
      </c>
      <c r="D245">
        <v>1</v>
      </c>
      <c r="E245" s="2">
        <v>46032</v>
      </c>
      <c r="F245" t="s">
        <v>7</v>
      </c>
      <c r="G245" t="s">
        <v>8</v>
      </c>
      <c r="H245" t="s">
        <v>70</v>
      </c>
      <c r="I245" t="s">
        <v>75</v>
      </c>
      <c r="J245" t="s">
        <v>76</v>
      </c>
      <c r="K245" t="s">
        <v>73</v>
      </c>
      <c r="L245">
        <v>701000</v>
      </c>
      <c r="M245" t="s">
        <v>62</v>
      </c>
      <c r="N245" t="s">
        <v>33</v>
      </c>
      <c r="O245">
        <v>2067</v>
      </c>
      <c r="P245">
        <v>1.4</v>
      </c>
      <c r="Q245">
        <v>2.89</v>
      </c>
      <c r="R245" t="s">
        <v>1201</v>
      </c>
      <c r="S245" t="s">
        <v>195</v>
      </c>
    </row>
    <row r="246" spans="1:19" x14ac:dyDescent="0.3">
      <c r="A246" t="s">
        <v>649</v>
      </c>
      <c r="B246" t="s">
        <v>23</v>
      </c>
      <c r="C246">
        <v>2026</v>
      </c>
      <c r="D246">
        <v>1</v>
      </c>
      <c r="E246" s="2">
        <v>46032</v>
      </c>
      <c r="F246" t="s">
        <v>7</v>
      </c>
      <c r="G246" t="s">
        <v>8</v>
      </c>
      <c r="H246" t="s">
        <v>70</v>
      </c>
      <c r="I246" t="s">
        <v>75</v>
      </c>
      <c r="J246" t="s">
        <v>76</v>
      </c>
      <c r="K246" t="s">
        <v>73</v>
      </c>
      <c r="L246">
        <v>701000</v>
      </c>
      <c r="M246" t="s">
        <v>62</v>
      </c>
      <c r="N246" t="s">
        <v>33</v>
      </c>
      <c r="O246">
        <v>1121</v>
      </c>
      <c r="P246">
        <v>1.4</v>
      </c>
      <c r="Q246">
        <v>1.57</v>
      </c>
      <c r="R246" t="s">
        <v>1202</v>
      </c>
      <c r="S246" t="s">
        <v>195</v>
      </c>
    </row>
    <row r="247" spans="1:19" x14ac:dyDescent="0.3">
      <c r="A247" t="s">
        <v>900</v>
      </c>
      <c r="B247" t="s">
        <v>23</v>
      </c>
      <c r="C247">
        <v>2026</v>
      </c>
      <c r="D247">
        <v>1</v>
      </c>
      <c r="E247" s="2">
        <v>46032</v>
      </c>
      <c r="F247" t="s">
        <v>7</v>
      </c>
      <c r="G247" t="s">
        <v>8</v>
      </c>
      <c r="H247" t="s">
        <v>74</v>
      </c>
      <c r="I247" t="s">
        <v>82</v>
      </c>
      <c r="J247" t="s">
        <v>83</v>
      </c>
      <c r="K247" t="s">
        <v>73</v>
      </c>
      <c r="L247">
        <v>701000</v>
      </c>
      <c r="M247" t="s">
        <v>62</v>
      </c>
      <c r="N247" t="s">
        <v>33</v>
      </c>
      <c r="O247">
        <v>124</v>
      </c>
      <c r="P247">
        <v>18.47</v>
      </c>
      <c r="Q247">
        <v>2.29</v>
      </c>
      <c r="R247" t="s">
        <v>1204</v>
      </c>
      <c r="S247" t="s">
        <v>195</v>
      </c>
    </row>
    <row r="248" spans="1:19" x14ac:dyDescent="0.3">
      <c r="A248" t="s">
        <v>901</v>
      </c>
      <c r="B248" t="s">
        <v>23</v>
      </c>
      <c r="C248">
        <v>2026</v>
      </c>
      <c r="D248">
        <v>1</v>
      </c>
      <c r="E248" s="2">
        <v>46032</v>
      </c>
      <c r="F248" t="s">
        <v>7</v>
      </c>
      <c r="G248" t="s">
        <v>8</v>
      </c>
      <c r="H248" t="s">
        <v>74</v>
      </c>
      <c r="I248" t="s">
        <v>82</v>
      </c>
      <c r="J248" t="s">
        <v>83</v>
      </c>
      <c r="K248" t="s">
        <v>73</v>
      </c>
      <c r="L248">
        <v>701000</v>
      </c>
      <c r="M248" t="s">
        <v>62</v>
      </c>
      <c r="N248" t="s">
        <v>33</v>
      </c>
      <c r="O248">
        <v>156</v>
      </c>
      <c r="P248">
        <v>18.53</v>
      </c>
      <c r="Q248">
        <v>2.89</v>
      </c>
      <c r="R248" t="s">
        <v>1199</v>
      </c>
      <c r="S248" t="s">
        <v>195</v>
      </c>
    </row>
    <row r="249" spans="1:19" x14ac:dyDescent="0.3">
      <c r="A249" t="s">
        <v>902</v>
      </c>
      <c r="B249" t="s">
        <v>23</v>
      </c>
      <c r="C249">
        <v>2026</v>
      </c>
      <c r="D249">
        <v>1</v>
      </c>
      <c r="E249" s="2">
        <v>46032</v>
      </c>
      <c r="F249" t="s">
        <v>7</v>
      </c>
      <c r="G249" t="s">
        <v>8</v>
      </c>
      <c r="H249" t="s">
        <v>74</v>
      </c>
      <c r="I249" t="s">
        <v>82</v>
      </c>
      <c r="J249" t="s">
        <v>83</v>
      </c>
      <c r="K249" t="s">
        <v>73</v>
      </c>
      <c r="L249">
        <v>701000</v>
      </c>
      <c r="M249" t="s">
        <v>62</v>
      </c>
      <c r="N249" t="s">
        <v>33</v>
      </c>
      <c r="O249">
        <v>258</v>
      </c>
      <c r="P249">
        <v>18.53</v>
      </c>
      <c r="Q249">
        <v>4.78</v>
      </c>
      <c r="R249" t="s">
        <v>1200</v>
      </c>
      <c r="S249" t="s">
        <v>195</v>
      </c>
    </row>
    <row r="250" spans="1:19" x14ac:dyDescent="0.3">
      <c r="A250" t="s">
        <v>903</v>
      </c>
      <c r="B250" t="s">
        <v>23</v>
      </c>
      <c r="C250">
        <v>2026</v>
      </c>
      <c r="D250">
        <v>1</v>
      </c>
      <c r="E250" s="2">
        <v>46032</v>
      </c>
      <c r="F250" t="s">
        <v>7</v>
      </c>
      <c r="G250" t="s">
        <v>8</v>
      </c>
      <c r="H250" t="s">
        <v>74</v>
      </c>
      <c r="I250" t="s">
        <v>82</v>
      </c>
      <c r="J250" t="s">
        <v>83</v>
      </c>
      <c r="K250" t="s">
        <v>73</v>
      </c>
      <c r="L250">
        <v>701000</v>
      </c>
      <c r="M250" t="s">
        <v>62</v>
      </c>
      <c r="N250" t="s">
        <v>33</v>
      </c>
      <c r="O250">
        <v>89</v>
      </c>
      <c r="P250">
        <v>18.43</v>
      </c>
      <c r="Q250">
        <v>1.64</v>
      </c>
      <c r="R250" t="s">
        <v>1202</v>
      </c>
      <c r="S250" t="s">
        <v>195</v>
      </c>
    </row>
    <row r="251" spans="1:19" x14ac:dyDescent="0.3">
      <c r="A251" t="s">
        <v>904</v>
      </c>
      <c r="B251" t="s">
        <v>23</v>
      </c>
      <c r="C251">
        <v>2026</v>
      </c>
      <c r="D251">
        <v>1</v>
      </c>
      <c r="E251" s="2">
        <v>46032</v>
      </c>
      <c r="F251" t="s">
        <v>7</v>
      </c>
      <c r="G251" t="s">
        <v>8</v>
      </c>
      <c r="H251" t="s">
        <v>74</v>
      </c>
      <c r="I251" t="s">
        <v>82</v>
      </c>
      <c r="J251" t="s">
        <v>83</v>
      </c>
      <c r="K251" t="s">
        <v>73</v>
      </c>
      <c r="L251">
        <v>701000</v>
      </c>
      <c r="M251" t="s">
        <v>62</v>
      </c>
      <c r="N251" t="s">
        <v>33</v>
      </c>
      <c r="O251">
        <v>219</v>
      </c>
      <c r="P251">
        <v>18.489999999999998</v>
      </c>
      <c r="Q251">
        <v>4.05</v>
      </c>
      <c r="R251" t="s">
        <v>1203</v>
      </c>
      <c r="S251" t="s">
        <v>195</v>
      </c>
    </row>
    <row r="252" spans="1:19" x14ac:dyDescent="0.3">
      <c r="A252" t="s">
        <v>295</v>
      </c>
      <c r="B252" t="s">
        <v>23</v>
      </c>
      <c r="C252">
        <v>2026</v>
      </c>
      <c r="D252">
        <v>1</v>
      </c>
      <c r="E252" s="2">
        <v>46033</v>
      </c>
      <c r="F252" t="s">
        <v>7</v>
      </c>
      <c r="G252" t="s">
        <v>8</v>
      </c>
      <c r="H252" t="s">
        <v>70</v>
      </c>
      <c r="I252" t="s">
        <v>84</v>
      </c>
      <c r="J252" t="s">
        <v>85</v>
      </c>
      <c r="K252" t="s">
        <v>73</v>
      </c>
      <c r="L252">
        <v>701000</v>
      </c>
      <c r="M252" t="s">
        <v>62</v>
      </c>
      <c r="N252" t="s">
        <v>33</v>
      </c>
      <c r="O252">
        <v>1891</v>
      </c>
      <c r="P252">
        <v>0.95</v>
      </c>
      <c r="Q252">
        <v>1.8</v>
      </c>
      <c r="R252" t="s">
        <v>1199</v>
      </c>
      <c r="S252" t="s">
        <v>195</v>
      </c>
    </row>
    <row r="253" spans="1:19" x14ac:dyDescent="0.3">
      <c r="A253" t="s">
        <v>296</v>
      </c>
      <c r="B253" t="s">
        <v>23</v>
      </c>
      <c r="C253">
        <v>2026</v>
      </c>
      <c r="D253">
        <v>1</v>
      </c>
      <c r="E253" s="2">
        <v>46033</v>
      </c>
      <c r="F253" t="s">
        <v>7</v>
      </c>
      <c r="G253" t="s">
        <v>8</v>
      </c>
      <c r="H253" t="s">
        <v>70</v>
      </c>
      <c r="I253" t="s">
        <v>84</v>
      </c>
      <c r="J253" t="s">
        <v>85</v>
      </c>
      <c r="K253" t="s">
        <v>73</v>
      </c>
      <c r="L253">
        <v>701000</v>
      </c>
      <c r="M253" t="s">
        <v>62</v>
      </c>
      <c r="N253" t="s">
        <v>33</v>
      </c>
      <c r="O253">
        <v>2265</v>
      </c>
      <c r="P253">
        <v>0.95</v>
      </c>
      <c r="Q253">
        <v>2.15</v>
      </c>
      <c r="R253" t="s">
        <v>1205</v>
      </c>
      <c r="S253" t="s">
        <v>195</v>
      </c>
    </row>
    <row r="254" spans="1:19" x14ac:dyDescent="0.3">
      <c r="A254" t="s">
        <v>297</v>
      </c>
      <c r="B254" t="s">
        <v>23</v>
      </c>
      <c r="C254">
        <v>2026</v>
      </c>
      <c r="D254">
        <v>1</v>
      </c>
      <c r="E254" s="2">
        <v>46033</v>
      </c>
      <c r="F254" t="s">
        <v>7</v>
      </c>
      <c r="G254" t="s">
        <v>8</v>
      </c>
      <c r="H254" t="s">
        <v>70</v>
      </c>
      <c r="I254" t="s">
        <v>84</v>
      </c>
      <c r="J254" t="s">
        <v>85</v>
      </c>
      <c r="K254" t="s">
        <v>73</v>
      </c>
      <c r="L254">
        <v>701000</v>
      </c>
      <c r="M254" t="s">
        <v>62</v>
      </c>
      <c r="N254" t="s">
        <v>33</v>
      </c>
      <c r="O254">
        <v>1661</v>
      </c>
      <c r="P254">
        <v>0.95</v>
      </c>
      <c r="Q254">
        <v>1.58</v>
      </c>
      <c r="R254" t="s">
        <v>1202</v>
      </c>
      <c r="S254" t="s">
        <v>195</v>
      </c>
    </row>
    <row r="255" spans="1:19" x14ac:dyDescent="0.3">
      <c r="A255" t="s">
        <v>298</v>
      </c>
      <c r="B255" t="s">
        <v>23</v>
      </c>
      <c r="C255">
        <v>2026</v>
      </c>
      <c r="D255">
        <v>1</v>
      </c>
      <c r="E255" s="2">
        <v>46033</v>
      </c>
      <c r="F255" t="s">
        <v>7</v>
      </c>
      <c r="G255" t="s">
        <v>8</v>
      </c>
      <c r="H255" t="s">
        <v>70</v>
      </c>
      <c r="I255" t="s">
        <v>84</v>
      </c>
      <c r="J255" t="s">
        <v>85</v>
      </c>
      <c r="K255" t="s">
        <v>73</v>
      </c>
      <c r="L255">
        <v>701000</v>
      </c>
      <c r="M255" t="s">
        <v>62</v>
      </c>
      <c r="N255" t="s">
        <v>33</v>
      </c>
      <c r="O255">
        <v>3206</v>
      </c>
      <c r="P255">
        <v>0.95</v>
      </c>
      <c r="Q255">
        <v>3.04</v>
      </c>
      <c r="R255" t="s">
        <v>1197</v>
      </c>
      <c r="S255" t="s">
        <v>195</v>
      </c>
    </row>
    <row r="256" spans="1:19" x14ac:dyDescent="0.3">
      <c r="A256" t="s">
        <v>299</v>
      </c>
      <c r="B256" t="s">
        <v>23</v>
      </c>
      <c r="C256">
        <v>2026</v>
      </c>
      <c r="D256">
        <v>1</v>
      </c>
      <c r="E256" s="2">
        <v>46033</v>
      </c>
      <c r="F256" t="s">
        <v>7</v>
      </c>
      <c r="G256" t="s">
        <v>8</v>
      </c>
      <c r="H256" t="s">
        <v>70</v>
      </c>
      <c r="I256" t="s">
        <v>84</v>
      </c>
      <c r="J256" t="s">
        <v>85</v>
      </c>
      <c r="K256" t="s">
        <v>73</v>
      </c>
      <c r="L256">
        <v>701000</v>
      </c>
      <c r="M256" t="s">
        <v>62</v>
      </c>
      <c r="N256" t="s">
        <v>33</v>
      </c>
      <c r="O256">
        <v>2442</v>
      </c>
      <c r="P256">
        <v>0.95</v>
      </c>
      <c r="Q256">
        <v>2.3199999999999998</v>
      </c>
      <c r="R256" t="s">
        <v>1200</v>
      </c>
      <c r="S256" t="s">
        <v>195</v>
      </c>
    </row>
    <row r="257" spans="1:19" x14ac:dyDescent="0.3">
      <c r="A257" t="s">
        <v>475</v>
      </c>
      <c r="B257" t="s">
        <v>23</v>
      </c>
      <c r="C257">
        <v>2026</v>
      </c>
      <c r="D257">
        <v>1</v>
      </c>
      <c r="E257" s="2">
        <v>46033</v>
      </c>
      <c r="F257" t="s">
        <v>7</v>
      </c>
      <c r="G257" t="s">
        <v>8</v>
      </c>
      <c r="H257" t="s">
        <v>74</v>
      </c>
      <c r="I257" t="s">
        <v>71</v>
      </c>
      <c r="J257" t="s">
        <v>72</v>
      </c>
      <c r="K257" t="s">
        <v>73</v>
      </c>
      <c r="L257">
        <v>701000</v>
      </c>
      <c r="M257" t="s">
        <v>62</v>
      </c>
      <c r="N257" t="s">
        <v>33</v>
      </c>
      <c r="O257">
        <v>1550</v>
      </c>
      <c r="P257">
        <v>1.05</v>
      </c>
      <c r="Q257">
        <v>1.63</v>
      </c>
      <c r="R257" t="s">
        <v>1199</v>
      </c>
      <c r="S257" t="s">
        <v>195</v>
      </c>
    </row>
    <row r="258" spans="1:19" x14ac:dyDescent="0.3">
      <c r="A258" t="s">
        <v>476</v>
      </c>
      <c r="B258" t="s">
        <v>23</v>
      </c>
      <c r="C258">
        <v>2026</v>
      </c>
      <c r="D258">
        <v>1</v>
      </c>
      <c r="E258" s="2">
        <v>46033</v>
      </c>
      <c r="F258" t="s">
        <v>7</v>
      </c>
      <c r="G258" t="s">
        <v>8</v>
      </c>
      <c r="H258" t="s">
        <v>74</v>
      </c>
      <c r="I258" t="s">
        <v>71</v>
      </c>
      <c r="J258" t="s">
        <v>72</v>
      </c>
      <c r="K258" t="s">
        <v>73</v>
      </c>
      <c r="L258">
        <v>701000</v>
      </c>
      <c r="M258" t="s">
        <v>62</v>
      </c>
      <c r="N258" t="s">
        <v>33</v>
      </c>
      <c r="O258">
        <v>1965</v>
      </c>
      <c r="P258">
        <v>1.05</v>
      </c>
      <c r="Q258">
        <v>2.06</v>
      </c>
      <c r="R258" t="s">
        <v>1203</v>
      </c>
      <c r="S258" t="s">
        <v>195</v>
      </c>
    </row>
    <row r="259" spans="1:19" x14ac:dyDescent="0.3">
      <c r="A259" t="s">
        <v>477</v>
      </c>
      <c r="B259" t="s">
        <v>23</v>
      </c>
      <c r="C259">
        <v>2026</v>
      </c>
      <c r="D259">
        <v>1</v>
      </c>
      <c r="E259" s="2">
        <v>46033</v>
      </c>
      <c r="F259" t="s">
        <v>7</v>
      </c>
      <c r="G259" t="s">
        <v>8</v>
      </c>
      <c r="H259" t="s">
        <v>74</v>
      </c>
      <c r="I259" t="s">
        <v>71</v>
      </c>
      <c r="J259" t="s">
        <v>72</v>
      </c>
      <c r="K259" t="s">
        <v>73</v>
      </c>
      <c r="L259">
        <v>701000</v>
      </c>
      <c r="M259" t="s">
        <v>62</v>
      </c>
      <c r="N259" t="s">
        <v>33</v>
      </c>
      <c r="O259">
        <v>2151</v>
      </c>
      <c r="P259">
        <v>1.05</v>
      </c>
      <c r="Q259">
        <v>2.2599999999999998</v>
      </c>
      <c r="R259" t="s">
        <v>1202</v>
      </c>
      <c r="S259" t="s">
        <v>195</v>
      </c>
    </row>
    <row r="260" spans="1:19" x14ac:dyDescent="0.3">
      <c r="A260" t="s">
        <v>478</v>
      </c>
      <c r="B260" t="s">
        <v>23</v>
      </c>
      <c r="C260">
        <v>2026</v>
      </c>
      <c r="D260">
        <v>1</v>
      </c>
      <c r="E260" s="2">
        <v>46033</v>
      </c>
      <c r="F260" t="s">
        <v>7</v>
      </c>
      <c r="G260" t="s">
        <v>8</v>
      </c>
      <c r="H260" t="s">
        <v>74</v>
      </c>
      <c r="I260" t="s">
        <v>71</v>
      </c>
      <c r="J260" t="s">
        <v>72</v>
      </c>
      <c r="K260" t="s">
        <v>73</v>
      </c>
      <c r="L260">
        <v>701000</v>
      </c>
      <c r="M260" t="s">
        <v>62</v>
      </c>
      <c r="N260" t="s">
        <v>33</v>
      </c>
      <c r="O260">
        <v>1432</v>
      </c>
      <c r="P260">
        <v>1.05</v>
      </c>
      <c r="Q260">
        <v>1.5</v>
      </c>
      <c r="R260" t="s">
        <v>1197</v>
      </c>
      <c r="S260" t="s">
        <v>195</v>
      </c>
    </row>
    <row r="261" spans="1:19" x14ac:dyDescent="0.3">
      <c r="A261" t="s">
        <v>479</v>
      </c>
      <c r="B261" t="s">
        <v>23</v>
      </c>
      <c r="C261">
        <v>2026</v>
      </c>
      <c r="D261">
        <v>1</v>
      </c>
      <c r="E261" s="2">
        <v>46033</v>
      </c>
      <c r="F261" t="s">
        <v>7</v>
      </c>
      <c r="G261" t="s">
        <v>8</v>
      </c>
      <c r="H261" t="s">
        <v>74</v>
      </c>
      <c r="I261" t="s">
        <v>71</v>
      </c>
      <c r="J261" t="s">
        <v>72</v>
      </c>
      <c r="K261" t="s">
        <v>73</v>
      </c>
      <c r="L261">
        <v>701000</v>
      </c>
      <c r="M261" t="s">
        <v>62</v>
      </c>
      <c r="N261" t="s">
        <v>33</v>
      </c>
      <c r="O261">
        <v>673</v>
      </c>
      <c r="P261">
        <v>1.05</v>
      </c>
      <c r="Q261">
        <v>0.71</v>
      </c>
      <c r="R261" t="s">
        <v>1205</v>
      </c>
      <c r="S261" t="s">
        <v>195</v>
      </c>
    </row>
    <row r="262" spans="1:19" x14ac:dyDescent="0.3">
      <c r="A262" t="s">
        <v>235</v>
      </c>
      <c r="B262" t="s">
        <v>23</v>
      </c>
      <c r="C262">
        <v>2026</v>
      </c>
      <c r="D262">
        <v>1</v>
      </c>
      <c r="E262" s="2">
        <v>46034</v>
      </c>
      <c r="F262" t="s">
        <v>7</v>
      </c>
      <c r="G262" t="s">
        <v>8</v>
      </c>
      <c r="H262" t="s">
        <v>70</v>
      </c>
      <c r="I262" t="s">
        <v>84</v>
      </c>
      <c r="J262" t="s">
        <v>85</v>
      </c>
      <c r="K262" t="s">
        <v>73</v>
      </c>
      <c r="L262">
        <v>701000</v>
      </c>
      <c r="M262" t="s">
        <v>62</v>
      </c>
      <c r="N262" t="s">
        <v>33</v>
      </c>
      <c r="O262">
        <v>3745</v>
      </c>
      <c r="P262">
        <v>0.95</v>
      </c>
      <c r="Q262">
        <v>3.56</v>
      </c>
      <c r="R262" t="s">
        <v>1200</v>
      </c>
      <c r="S262" t="s">
        <v>195</v>
      </c>
    </row>
    <row r="263" spans="1:19" x14ac:dyDescent="0.3">
      <c r="A263" t="s">
        <v>236</v>
      </c>
      <c r="B263" t="s">
        <v>23</v>
      </c>
      <c r="C263">
        <v>2026</v>
      </c>
      <c r="D263">
        <v>1</v>
      </c>
      <c r="E263" s="2">
        <v>46034</v>
      </c>
      <c r="F263" t="s">
        <v>7</v>
      </c>
      <c r="G263" t="s">
        <v>8</v>
      </c>
      <c r="H263" t="s">
        <v>70</v>
      </c>
      <c r="I263" t="s">
        <v>84</v>
      </c>
      <c r="J263" t="s">
        <v>85</v>
      </c>
      <c r="K263" t="s">
        <v>73</v>
      </c>
      <c r="L263">
        <v>701000</v>
      </c>
      <c r="M263" t="s">
        <v>62</v>
      </c>
      <c r="N263" t="s">
        <v>33</v>
      </c>
      <c r="O263">
        <v>3342</v>
      </c>
      <c r="P263">
        <v>0.95</v>
      </c>
      <c r="Q263">
        <v>3.17</v>
      </c>
      <c r="R263" t="s">
        <v>1204</v>
      </c>
      <c r="S263" t="s">
        <v>195</v>
      </c>
    </row>
    <row r="264" spans="1:19" x14ac:dyDescent="0.3">
      <c r="A264" t="s">
        <v>237</v>
      </c>
      <c r="B264" t="s">
        <v>23</v>
      </c>
      <c r="C264">
        <v>2026</v>
      </c>
      <c r="D264">
        <v>1</v>
      </c>
      <c r="E264" s="2">
        <v>46034</v>
      </c>
      <c r="F264" t="s">
        <v>7</v>
      </c>
      <c r="G264" t="s">
        <v>8</v>
      </c>
      <c r="H264" t="s">
        <v>70</v>
      </c>
      <c r="I264" t="s">
        <v>84</v>
      </c>
      <c r="J264" t="s">
        <v>85</v>
      </c>
      <c r="K264" t="s">
        <v>73</v>
      </c>
      <c r="L264">
        <v>701000</v>
      </c>
      <c r="M264" t="s">
        <v>62</v>
      </c>
      <c r="N264" t="s">
        <v>33</v>
      </c>
      <c r="O264">
        <v>2887</v>
      </c>
      <c r="P264">
        <v>0.95</v>
      </c>
      <c r="Q264">
        <v>2.74</v>
      </c>
      <c r="R264" t="s">
        <v>1201</v>
      </c>
      <c r="S264" t="s">
        <v>195</v>
      </c>
    </row>
    <row r="265" spans="1:19" x14ac:dyDescent="0.3">
      <c r="A265" t="s">
        <v>238</v>
      </c>
      <c r="B265" t="s">
        <v>23</v>
      </c>
      <c r="C265">
        <v>2026</v>
      </c>
      <c r="D265">
        <v>1</v>
      </c>
      <c r="E265" s="2">
        <v>46034</v>
      </c>
      <c r="F265" t="s">
        <v>7</v>
      </c>
      <c r="G265" t="s">
        <v>8</v>
      </c>
      <c r="H265" t="s">
        <v>70</v>
      </c>
      <c r="I265" t="s">
        <v>84</v>
      </c>
      <c r="J265" t="s">
        <v>85</v>
      </c>
      <c r="K265" t="s">
        <v>73</v>
      </c>
      <c r="L265">
        <v>701000</v>
      </c>
      <c r="M265" t="s">
        <v>62</v>
      </c>
      <c r="N265" t="s">
        <v>33</v>
      </c>
      <c r="O265">
        <v>3101</v>
      </c>
      <c r="P265">
        <v>0.95</v>
      </c>
      <c r="Q265">
        <v>2.95</v>
      </c>
      <c r="R265" t="s">
        <v>1198</v>
      </c>
      <c r="S265" t="s">
        <v>195</v>
      </c>
    </row>
    <row r="266" spans="1:19" x14ac:dyDescent="0.3">
      <c r="A266" t="s">
        <v>239</v>
      </c>
      <c r="B266" t="s">
        <v>23</v>
      </c>
      <c r="C266">
        <v>2026</v>
      </c>
      <c r="D266">
        <v>1</v>
      </c>
      <c r="E266" s="2">
        <v>46034</v>
      </c>
      <c r="F266" t="s">
        <v>7</v>
      </c>
      <c r="G266" t="s">
        <v>8</v>
      </c>
      <c r="H266" t="s">
        <v>70</v>
      </c>
      <c r="I266" t="s">
        <v>84</v>
      </c>
      <c r="J266" t="s">
        <v>85</v>
      </c>
      <c r="K266" t="s">
        <v>73</v>
      </c>
      <c r="L266">
        <v>701000</v>
      </c>
      <c r="M266" t="s">
        <v>62</v>
      </c>
      <c r="N266" t="s">
        <v>33</v>
      </c>
      <c r="O266">
        <v>116</v>
      </c>
      <c r="P266">
        <v>0.95</v>
      </c>
      <c r="Q266">
        <v>0.11</v>
      </c>
      <c r="R266" t="s">
        <v>1205</v>
      </c>
      <c r="S266" t="s">
        <v>195</v>
      </c>
    </row>
    <row r="267" spans="1:19" x14ac:dyDescent="0.3">
      <c r="A267" t="s">
        <v>555</v>
      </c>
      <c r="B267" t="s">
        <v>23</v>
      </c>
      <c r="C267">
        <v>2026</v>
      </c>
      <c r="D267">
        <v>1</v>
      </c>
      <c r="E267" s="2">
        <v>46034</v>
      </c>
      <c r="F267" t="s">
        <v>7</v>
      </c>
      <c r="G267" t="s">
        <v>8</v>
      </c>
      <c r="H267" t="s">
        <v>74</v>
      </c>
      <c r="I267" t="s">
        <v>75</v>
      </c>
      <c r="J267" t="s">
        <v>76</v>
      </c>
      <c r="K267" t="s">
        <v>73</v>
      </c>
      <c r="L267">
        <v>701000</v>
      </c>
      <c r="M267" t="s">
        <v>62</v>
      </c>
      <c r="N267" t="s">
        <v>33</v>
      </c>
      <c r="O267">
        <v>973</v>
      </c>
      <c r="P267">
        <v>1.4</v>
      </c>
      <c r="Q267">
        <v>1.36</v>
      </c>
      <c r="R267" t="s">
        <v>1203</v>
      </c>
      <c r="S267" t="s">
        <v>195</v>
      </c>
    </row>
    <row r="268" spans="1:19" x14ac:dyDescent="0.3">
      <c r="A268" t="s">
        <v>556</v>
      </c>
      <c r="B268" t="s">
        <v>23</v>
      </c>
      <c r="C268">
        <v>2026</v>
      </c>
      <c r="D268">
        <v>1</v>
      </c>
      <c r="E268" s="2">
        <v>46034</v>
      </c>
      <c r="F268" t="s">
        <v>7</v>
      </c>
      <c r="G268" t="s">
        <v>8</v>
      </c>
      <c r="H268" t="s">
        <v>74</v>
      </c>
      <c r="I268" t="s">
        <v>75</v>
      </c>
      <c r="J268" t="s">
        <v>76</v>
      </c>
      <c r="K268" t="s">
        <v>73</v>
      </c>
      <c r="L268">
        <v>701000</v>
      </c>
      <c r="M268" t="s">
        <v>62</v>
      </c>
      <c r="N268" t="s">
        <v>33</v>
      </c>
      <c r="O268">
        <v>2930</v>
      </c>
      <c r="P268">
        <v>1.4</v>
      </c>
      <c r="Q268">
        <v>4.0999999999999996</v>
      </c>
      <c r="R268" t="s">
        <v>1198</v>
      </c>
      <c r="S268" t="s">
        <v>195</v>
      </c>
    </row>
    <row r="269" spans="1:19" x14ac:dyDescent="0.3">
      <c r="A269" t="s">
        <v>557</v>
      </c>
      <c r="B269" t="s">
        <v>23</v>
      </c>
      <c r="C269">
        <v>2026</v>
      </c>
      <c r="D269">
        <v>1</v>
      </c>
      <c r="E269" s="2">
        <v>46034</v>
      </c>
      <c r="F269" t="s">
        <v>7</v>
      </c>
      <c r="G269" t="s">
        <v>8</v>
      </c>
      <c r="H269" t="s">
        <v>74</v>
      </c>
      <c r="I269" t="s">
        <v>75</v>
      </c>
      <c r="J269" t="s">
        <v>76</v>
      </c>
      <c r="K269" t="s">
        <v>73</v>
      </c>
      <c r="L269">
        <v>701000</v>
      </c>
      <c r="M269" t="s">
        <v>62</v>
      </c>
      <c r="N269" t="s">
        <v>33</v>
      </c>
      <c r="O269">
        <v>2984</v>
      </c>
      <c r="P269">
        <v>1.4</v>
      </c>
      <c r="Q269">
        <v>4.18</v>
      </c>
      <c r="R269" t="s">
        <v>1205</v>
      </c>
      <c r="S269" t="s">
        <v>195</v>
      </c>
    </row>
    <row r="270" spans="1:19" x14ac:dyDescent="0.3">
      <c r="A270" t="s">
        <v>558</v>
      </c>
      <c r="B270" t="s">
        <v>23</v>
      </c>
      <c r="C270">
        <v>2026</v>
      </c>
      <c r="D270">
        <v>1</v>
      </c>
      <c r="E270" s="2">
        <v>46034</v>
      </c>
      <c r="F270" t="s">
        <v>7</v>
      </c>
      <c r="G270" t="s">
        <v>8</v>
      </c>
      <c r="H270" t="s">
        <v>74</v>
      </c>
      <c r="I270" t="s">
        <v>75</v>
      </c>
      <c r="J270" t="s">
        <v>76</v>
      </c>
      <c r="K270" t="s">
        <v>73</v>
      </c>
      <c r="L270">
        <v>701000</v>
      </c>
      <c r="M270" t="s">
        <v>62</v>
      </c>
      <c r="N270" t="s">
        <v>33</v>
      </c>
      <c r="O270">
        <v>157</v>
      </c>
      <c r="P270">
        <v>1.4</v>
      </c>
      <c r="Q270">
        <v>0.22</v>
      </c>
      <c r="R270" t="s">
        <v>1200</v>
      </c>
      <c r="S270" t="s">
        <v>195</v>
      </c>
    </row>
    <row r="271" spans="1:19" x14ac:dyDescent="0.3">
      <c r="A271" t="s">
        <v>559</v>
      </c>
      <c r="B271" t="s">
        <v>23</v>
      </c>
      <c r="C271">
        <v>2026</v>
      </c>
      <c r="D271">
        <v>1</v>
      </c>
      <c r="E271" s="2">
        <v>46034</v>
      </c>
      <c r="F271" t="s">
        <v>7</v>
      </c>
      <c r="G271" t="s">
        <v>8</v>
      </c>
      <c r="H271" t="s">
        <v>74</v>
      </c>
      <c r="I271" t="s">
        <v>75</v>
      </c>
      <c r="J271" t="s">
        <v>76</v>
      </c>
      <c r="K271" t="s">
        <v>73</v>
      </c>
      <c r="L271">
        <v>701000</v>
      </c>
      <c r="M271" t="s">
        <v>62</v>
      </c>
      <c r="N271" t="s">
        <v>33</v>
      </c>
      <c r="O271">
        <v>487</v>
      </c>
      <c r="P271">
        <v>1.4</v>
      </c>
      <c r="Q271">
        <v>0.68</v>
      </c>
      <c r="R271" t="s">
        <v>1204</v>
      </c>
      <c r="S271" t="s">
        <v>195</v>
      </c>
    </row>
    <row r="272" spans="1:19" x14ac:dyDescent="0.3">
      <c r="A272" t="s">
        <v>675</v>
      </c>
      <c r="B272" t="s">
        <v>23</v>
      </c>
      <c r="C272">
        <v>2026</v>
      </c>
      <c r="D272">
        <v>1</v>
      </c>
      <c r="E272" s="2">
        <v>46034</v>
      </c>
      <c r="F272" t="s">
        <v>7</v>
      </c>
      <c r="G272" t="s">
        <v>8</v>
      </c>
      <c r="H272" t="s">
        <v>70</v>
      </c>
      <c r="I272" t="s">
        <v>77</v>
      </c>
      <c r="J272" t="s">
        <v>78</v>
      </c>
      <c r="K272" t="s">
        <v>73</v>
      </c>
      <c r="L272">
        <v>701000</v>
      </c>
      <c r="M272" t="s">
        <v>62</v>
      </c>
      <c r="N272" t="s">
        <v>33</v>
      </c>
      <c r="O272">
        <v>1341</v>
      </c>
      <c r="P272">
        <v>1.8</v>
      </c>
      <c r="Q272">
        <v>2.42</v>
      </c>
      <c r="R272" t="s">
        <v>1199</v>
      </c>
      <c r="S272" t="s">
        <v>195</v>
      </c>
    </row>
    <row r="273" spans="1:19" x14ac:dyDescent="0.3">
      <c r="A273" t="s">
        <v>676</v>
      </c>
      <c r="B273" t="s">
        <v>23</v>
      </c>
      <c r="C273">
        <v>2026</v>
      </c>
      <c r="D273">
        <v>1</v>
      </c>
      <c r="E273" s="2">
        <v>46034</v>
      </c>
      <c r="F273" t="s">
        <v>7</v>
      </c>
      <c r="G273" t="s">
        <v>8</v>
      </c>
      <c r="H273" t="s">
        <v>70</v>
      </c>
      <c r="I273" t="s">
        <v>77</v>
      </c>
      <c r="J273" t="s">
        <v>78</v>
      </c>
      <c r="K273" t="s">
        <v>73</v>
      </c>
      <c r="L273">
        <v>701000</v>
      </c>
      <c r="M273" t="s">
        <v>62</v>
      </c>
      <c r="N273" t="s">
        <v>33</v>
      </c>
      <c r="O273">
        <v>580</v>
      </c>
      <c r="P273">
        <v>1.79</v>
      </c>
      <c r="Q273">
        <v>1.04</v>
      </c>
      <c r="R273" t="s">
        <v>1202</v>
      </c>
      <c r="S273" t="s">
        <v>195</v>
      </c>
    </row>
    <row r="274" spans="1:19" x14ac:dyDescent="0.3">
      <c r="A274" t="s">
        <v>677</v>
      </c>
      <c r="B274" t="s">
        <v>23</v>
      </c>
      <c r="C274">
        <v>2026</v>
      </c>
      <c r="D274">
        <v>1</v>
      </c>
      <c r="E274" s="2">
        <v>46034</v>
      </c>
      <c r="F274" t="s">
        <v>7</v>
      </c>
      <c r="G274" t="s">
        <v>8</v>
      </c>
      <c r="H274" t="s">
        <v>70</v>
      </c>
      <c r="I274" t="s">
        <v>77</v>
      </c>
      <c r="J274" t="s">
        <v>78</v>
      </c>
      <c r="K274" t="s">
        <v>73</v>
      </c>
      <c r="L274">
        <v>701000</v>
      </c>
      <c r="M274" t="s">
        <v>62</v>
      </c>
      <c r="N274" t="s">
        <v>33</v>
      </c>
      <c r="O274">
        <v>3728</v>
      </c>
      <c r="P274">
        <v>1.8</v>
      </c>
      <c r="Q274">
        <v>6.71</v>
      </c>
      <c r="R274" t="s">
        <v>1197</v>
      </c>
      <c r="S274" t="s">
        <v>195</v>
      </c>
    </row>
    <row r="275" spans="1:19" x14ac:dyDescent="0.3">
      <c r="A275" t="s">
        <v>678</v>
      </c>
      <c r="B275" t="s">
        <v>23</v>
      </c>
      <c r="C275">
        <v>2026</v>
      </c>
      <c r="D275">
        <v>1</v>
      </c>
      <c r="E275" s="2">
        <v>46034</v>
      </c>
      <c r="F275" t="s">
        <v>7</v>
      </c>
      <c r="G275" t="s">
        <v>8</v>
      </c>
      <c r="H275" t="s">
        <v>70</v>
      </c>
      <c r="I275" t="s">
        <v>77</v>
      </c>
      <c r="J275" t="s">
        <v>78</v>
      </c>
      <c r="K275" t="s">
        <v>73</v>
      </c>
      <c r="L275">
        <v>701000</v>
      </c>
      <c r="M275" t="s">
        <v>62</v>
      </c>
      <c r="N275" t="s">
        <v>33</v>
      </c>
      <c r="O275">
        <v>1341</v>
      </c>
      <c r="P275">
        <v>1.8</v>
      </c>
      <c r="Q275">
        <v>2.42</v>
      </c>
      <c r="R275" t="s">
        <v>1204</v>
      </c>
      <c r="S275" t="s">
        <v>195</v>
      </c>
    </row>
    <row r="276" spans="1:19" x14ac:dyDescent="0.3">
      <c r="A276" t="s">
        <v>679</v>
      </c>
      <c r="B276" t="s">
        <v>23</v>
      </c>
      <c r="C276">
        <v>2026</v>
      </c>
      <c r="D276">
        <v>1</v>
      </c>
      <c r="E276" s="2">
        <v>46034</v>
      </c>
      <c r="F276" t="s">
        <v>7</v>
      </c>
      <c r="G276" t="s">
        <v>8</v>
      </c>
      <c r="H276" t="s">
        <v>70</v>
      </c>
      <c r="I276" t="s">
        <v>77</v>
      </c>
      <c r="J276" t="s">
        <v>78</v>
      </c>
      <c r="K276" t="s">
        <v>73</v>
      </c>
      <c r="L276">
        <v>701000</v>
      </c>
      <c r="M276" t="s">
        <v>62</v>
      </c>
      <c r="N276" t="s">
        <v>33</v>
      </c>
      <c r="O276">
        <v>1230</v>
      </c>
      <c r="P276">
        <v>1.8</v>
      </c>
      <c r="Q276">
        <v>2.21</v>
      </c>
      <c r="R276" t="s">
        <v>1201</v>
      </c>
      <c r="S276" t="s">
        <v>195</v>
      </c>
    </row>
    <row r="277" spans="1:19" x14ac:dyDescent="0.3">
      <c r="A277" t="s">
        <v>680</v>
      </c>
      <c r="B277" t="s">
        <v>23</v>
      </c>
      <c r="C277">
        <v>2026</v>
      </c>
      <c r="D277">
        <v>1</v>
      </c>
      <c r="E277" s="2">
        <v>46034</v>
      </c>
      <c r="F277" t="s">
        <v>7</v>
      </c>
      <c r="G277" t="s">
        <v>8</v>
      </c>
      <c r="H277" t="s">
        <v>70</v>
      </c>
      <c r="I277" t="s">
        <v>77</v>
      </c>
      <c r="J277" t="s">
        <v>78</v>
      </c>
      <c r="K277" t="s">
        <v>73</v>
      </c>
      <c r="L277">
        <v>701000</v>
      </c>
      <c r="M277" t="s">
        <v>62</v>
      </c>
      <c r="N277" t="s">
        <v>33</v>
      </c>
      <c r="O277">
        <v>1324</v>
      </c>
      <c r="P277">
        <v>1.8</v>
      </c>
      <c r="Q277">
        <v>2.38</v>
      </c>
      <c r="R277" t="s">
        <v>1199</v>
      </c>
      <c r="S277" t="s">
        <v>195</v>
      </c>
    </row>
    <row r="278" spans="1:19" x14ac:dyDescent="0.3">
      <c r="A278" t="s">
        <v>681</v>
      </c>
      <c r="B278" t="s">
        <v>23</v>
      </c>
      <c r="C278">
        <v>2026</v>
      </c>
      <c r="D278">
        <v>1</v>
      </c>
      <c r="E278" s="2">
        <v>46034</v>
      </c>
      <c r="F278" t="s">
        <v>7</v>
      </c>
      <c r="G278" t="s">
        <v>8</v>
      </c>
      <c r="H278" t="s">
        <v>70</v>
      </c>
      <c r="I278" t="s">
        <v>77</v>
      </c>
      <c r="J278" t="s">
        <v>78</v>
      </c>
      <c r="K278" t="s">
        <v>73</v>
      </c>
      <c r="L278">
        <v>701000</v>
      </c>
      <c r="M278" t="s">
        <v>62</v>
      </c>
      <c r="N278" t="s">
        <v>33</v>
      </c>
      <c r="O278">
        <v>1898</v>
      </c>
      <c r="P278">
        <v>1.8</v>
      </c>
      <c r="Q278">
        <v>3.42</v>
      </c>
      <c r="R278" t="s">
        <v>1202</v>
      </c>
      <c r="S278" t="s">
        <v>195</v>
      </c>
    </row>
    <row r="279" spans="1:19" x14ac:dyDescent="0.3">
      <c r="A279" t="s">
        <v>682</v>
      </c>
      <c r="B279" t="s">
        <v>23</v>
      </c>
      <c r="C279">
        <v>2026</v>
      </c>
      <c r="D279">
        <v>1</v>
      </c>
      <c r="E279" s="2">
        <v>46034</v>
      </c>
      <c r="F279" t="s">
        <v>7</v>
      </c>
      <c r="G279" t="s">
        <v>8</v>
      </c>
      <c r="H279" t="s">
        <v>70</v>
      </c>
      <c r="I279" t="s">
        <v>77</v>
      </c>
      <c r="J279" t="s">
        <v>78</v>
      </c>
      <c r="K279" t="s">
        <v>73</v>
      </c>
      <c r="L279">
        <v>701000</v>
      </c>
      <c r="M279" t="s">
        <v>62</v>
      </c>
      <c r="N279" t="s">
        <v>33</v>
      </c>
      <c r="O279">
        <v>2816</v>
      </c>
      <c r="P279">
        <v>1.8</v>
      </c>
      <c r="Q279">
        <v>5.07</v>
      </c>
      <c r="R279" t="s">
        <v>1201</v>
      </c>
      <c r="S279" t="s">
        <v>195</v>
      </c>
    </row>
    <row r="280" spans="1:19" x14ac:dyDescent="0.3">
      <c r="A280" t="s">
        <v>683</v>
      </c>
      <c r="B280" t="s">
        <v>23</v>
      </c>
      <c r="C280">
        <v>2026</v>
      </c>
      <c r="D280">
        <v>1</v>
      </c>
      <c r="E280" s="2">
        <v>46034</v>
      </c>
      <c r="F280" t="s">
        <v>7</v>
      </c>
      <c r="G280" t="s">
        <v>8</v>
      </c>
      <c r="H280" t="s">
        <v>70</v>
      </c>
      <c r="I280" t="s">
        <v>77</v>
      </c>
      <c r="J280" t="s">
        <v>78</v>
      </c>
      <c r="K280" t="s">
        <v>73</v>
      </c>
      <c r="L280">
        <v>701000</v>
      </c>
      <c r="M280" t="s">
        <v>62</v>
      </c>
      <c r="N280" t="s">
        <v>33</v>
      </c>
      <c r="O280">
        <v>1295</v>
      </c>
      <c r="P280">
        <v>1.8</v>
      </c>
      <c r="Q280">
        <v>2.33</v>
      </c>
      <c r="R280" t="s">
        <v>1205</v>
      </c>
      <c r="S280" t="s">
        <v>195</v>
      </c>
    </row>
    <row r="281" spans="1:19" x14ac:dyDescent="0.3">
      <c r="A281" t="s">
        <v>684</v>
      </c>
      <c r="B281" t="s">
        <v>23</v>
      </c>
      <c r="C281">
        <v>2026</v>
      </c>
      <c r="D281">
        <v>1</v>
      </c>
      <c r="E281" s="2">
        <v>46034</v>
      </c>
      <c r="F281" t="s">
        <v>7</v>
      </c>
      <c r="G281" t="s">
        <v>8</v>
      </c>
      <c r="H281" t="s">
        <v>70</v>
      </c>
      <c r="I281" t="s">
        <v>77</v>
      </c>
      <c r="J281" t="s">
        <v>78</v>
      </c>
      <c r="K281" t="s">
        <v>73</v>
      </c>
      <c r="L281">
        <v>701000</v>
      </c>
      <c r="M281" t="s">
        <v>62</v>
      </c>
      <c r="N281" t="s">
        <v>33</v>
      </c>
      <c r="O281">
        <v>1386</v>
      </c>
      <c r="P281">
        <v>1.8</v>
      </c>
      <c r="Q281">
        <v>2.4900000000000002</v>
      </c>
      <c r="R281" t="s">
        <v>1198</v>
      </c>
      <c r="S281" t="s">
        <v>195</v>
      </c>
    </row>
    <row r="282" spans="1:19" x14ac:dyDescent="0.3">
      <c r="A282" t="s">
        <v>710</v>
      </c>
      <c r="B282" t="s">
        <v>23</v>
      </c>
      <c r="C282">
        <v>2026</v>
      </c>
      <c r="D282">
        <v>1</v>
      </c>
      <c r="E282" s="2">
        <v>46034</v>
      </c>
      <c r="F282" t="s">
        <v>7</v>
      </c>
      <c r="G282" t="s">
        <v>8</v>
      </c>
      <c r="H282" t="s">
        <v>70</v>
      </c>
      <c r="I282" t="s">
        <v>77</v>
      </c>
      <c r="J282" t="s">
        <v>78</v>
      </c>
      <c r="K282" t="s">
        <v>73</v>
      </c>
      <c r="L282">
        <v>701000</v>
      </c>
      <c r="M282" t="s">
        <v>62</v>
      </c>
      <c r="N282" t="s">
        <v>33</v>
      </c>
      <c r="O282">
        <v>887</v>
      </c>
      <c r="P282">
        <v>1.8</v>
      </c>
      <c r="Q282">
        <v>1.6</v>
      </c>
      <c r="R282" t="s">
        <v>1197</v>
      </c>
      <c r="S282" t="s">
        <v>195</v>
      </c>
    </row>
    <row r="283" spans="1:19" x14ac:dyDescent="0.3">
      <c r="A283" t="s">
        <v>711</v>
      </c>
      <c r="B283" t="s">
        <v>23</v>
      </c>
      <c r="C283">
        <v>2026</v>
      </c>
      <c r="D283">
        <v>1</v>
      </c>
      <c r="E283" s="2">
        <v>46034</v>
      </c>
      <c r="F283" t="s">
        <v>7</v>
      </c>
      <c r="G283" t="s">
        <v>8</v>
      </c>
      <c r="H283" t="s">
        <v>70</v>
      </c>
      <c r="I283" t="s">
        <v>77</v>
      </c>
      <c r="J283" t="s">
        <v>78</v>
      </c>
      <c r="K283" t="s">
        <v>73</v>
      </c>
      <c r="L283">
        <v>701000</v>
      </c>
      <c r="M283" t="s">
        <v>62</v>
      </c>
      <c r="N283" t="s">
        <v>33</v>
      </c>
      <c r="O283">
        <v>339</v>
      </c>
      <c r="P283">
        <v>1.8</v>
      </c>
      <c r="Q283">
        <v>0.61</v>
      </c>
      <c r="R283" t="s">
        <v>1200</v>
      </c>
      <c r="S283" t="s">
        <v>195</v>
      </c>
    </row>
    <row r="284" spans="1:19" x14ac:dyDescent="0.3">
      <c r="A284" t="s">
        <v>712</v>
      </c>
      <c r="B284" t="s">
        <v>23</v>
      </c>
      <c r="C284">
        <v>2026</v>
      </c>
      <c r="D284">
        <v>1</v>
      </c>
      <c r="E284" s="2">
        <v>46034</v>
      </c>
      <c r="F284" t="s">
        <v>7</v>
      </c>
      <c r="G284" t="s">
        <v>8</v>
      </c>
      <c r="H284" t="s">
        <v>70</v>
      </c>
      <c r="I284" t="s">
        <v>77</v>
      </c>
      <c r="J284" t="s">
        <v>78</v>
      </c>
      <c r="K284" t="s">
        <v>73</v>
      </c>
      <c r="L284">
        <v>701000</v>
      </c>
      <c r="M284" t="s">
        <v>62</v>
      </c>
      <c r="N284" t="s">
        <v>33</v>
      </c>
      <c r="O284">
        <v>2708</v>
      </c>
      <c r="P284">
        <v>1.8</v>
      </c>
      <c r="Q284">
        <v>4.87</v>
      </c>
      <c r="R284" t="s">
        <v>1201</v>
      </c>
      <c r="S284" t="s">
        <v>195</v>
      </c>
    </row>
    <row r="285" spans="1:19" x14ac:dyDescent="0.3">
      <c r="A285" t="s">
        <v>713</v>
      </c>
      <c r="B285" t="s">
        <v>23</v>
      </c>
      <c r="C285">
        <v>2026</v>
      </c>
      <c r="D285">
        <v>1</v>
      </c>
      <c r="E285" s="2">
        <v>46034</v>
      </c>
      <c r="F285" t="s">
        <v>7</v>
      </c>
      <c r="G285" t="s">
        <v>8</v>
      </c>
      <c r="H285" t="s">
        <v>70</v>
      </c>
      <c r="I285" t="s">
        <v>77</v>
      </c>
      <c r="J285" t="s">
        <v>78</v>
      </c>
      <c r="K285" t="s">
        <v>73</v>
      </c>
      <c r="L285">
        <v>701000</v>
      </c>
      <c r="M285" t="s">
        <v>62</v>
      </c>
      <c r="N285" t="s">
        <v>33</v>
      </c>
      <c r="O285">
        <v>1006</v>
      </c>
      <c r="P285">
        <v>1.8</v>
      </c>
      <c r="Q285">
        <v>1.81</v>
      </c>
      <c r="R285" t="s">
        <v>1203</v>
      </c>
      <c r="S285" t="s">
        <v>195</v>
      </c>
    </row>
    <row r="286" spans="1:19" x14ac:dyDescent="0.3">
      <c r="A286" t="s">
        <v>714</v>
      </c>
      <c r="B286" t="s">
        <v>23</v>
      </c>
      <c r="C286">
        <v>2026</v>
      </c>
      <c r="D286">
        <v>1</v>
      </c>
      <c r="E286" s="2">
        <v>46034</v>
      </c>
      <c r="F286" t="s">
        <v>7</v>
      </c>
      <c r="G286" t="s">
        <v>8</v>
      </c>
      <c r="H286" t="s">
        <v>70</v>
      </c>
      <c r="I286" t="s">
        <v>77</v>
      </c>
      <c r="J286" t="s">
        <v>78</v>
      </c>
      <c r="K286" t="s">
        <v>73</v>
      </c>
      <c r="L286">
        <v>701000</v>
      </c>
      <c r="M286" t="s">
        <v>62</v>
      </c>
      <c r="N286" t="s">
        <v>33</v>
      </c>
      <c r="O286">
        <v>3998</v>
      </c>
      <c r="P286">
        <v>1.8</v>
      </c>
      <c r="Q286">
        <v>7.2</v>
      </c>
      <c r="R286" t="s">
        <v>1199</v>
      </c>
      <c r="S286" t="s">
        <v>195</v>
      </c>
    </row>
    <row r="287" spans="1:19" x14ac:dyDescent="0.3">
      <c r="A287" t="s">
        <v>970</v>
      </c>
      <c r="B287" t="s">
        <v>23</v>
      </c>
      <c r="C287">
        <v>2026</v>
      </c>
      <c r="D287">
        <v>1</v>
      </c>
      <c r="E287" s="2">
        <v>46034</v>
      </c>
      <c r="F287" t="s">
        <v>7</v>
      </c>
      <c r="G287" t="s">
        <v>8</v>
      </c>
      <c r="H287" t="s">
        <v>74</v>
      </c>
      <c r="I287" t="s">
        <v>82</v>
      </c>
      <c r="J287" t="s">
        <v>83</v>
      </c>
      <c r="K287" t="s">
        <v>73</v>
      </c>
      <c r="L287">
        <v>701000</v>
      </c>
      <c r="M287" t="s">
        <v>62</v>
      </c>
      <c r="N287" t="s">
        <v>33</v>
      </c>
      <c r="O287">
        <v>93</v>
      </c>
      <c r="P287">
        <v>18.39</v>
      </c>
      <c r="Q287">
        <v>1.71</v>
      </c>
      <c r="R287" t="s">
        <v>1199</v>
      </c>
      <c r="S287" t="s">
        <v>195</v>
      </c>
    </row>
    <row r="288" spans="1:19" x14ac:dyDescent="0.3">
      <c r="A288" t="s">
        <v>971</v>
      </c>
      <c r="B288" t="s">
        <v>23</v>
      </c>
      <c r="C288">
        <v>2026</v>
      </c>
      <c r="D288">
        <v>1</v>
      </c>
      <c r="E288" s="2">
        <v>46034</v>
      </c>
      <c r="F288" t="s">
        <v>7</v>
      </c>
      <c r="G288" t="s">
        <v>8</v>
      </c>
      <c r="H288" t="s">
        <v>74</v>
      </c>
      <c r="I288" t="s">
        <v>82</v>
      </c>
      <c r="J288" t="s">
        <v>83</v>
      </c>
      <c r="K288" t="s">
        <v>73</v>
      </c>
      <c r="L288">
        <v>701000</v>
      </c>
      <c r="M288" t="s">
        <v>62</v>
      </c>
      <c r="N288" t="s">
        <v>33</v>
      </c>
      <c r="O288">
        <v>139</v>
      </c>
      <c r="P288">
        <v>18.420000000000002</v>
      </c>
      <c r="Q288">
        <v>2.56</v>
      </c>
      <c r="R288" t="s">
        <v>1198</v>
      </c>
      <c r="S288" t="s">
        <v>195</v>
      </c>
    </row>
    <row r="289" spans="1:19" x14ac:dyDescent="0.3">
      <c r="A289" t="s">
        <v>972</v>
      </c>
      <c r="B289" t="s">
        <v>23</v>
      </c>
      <c r="C289">
        <v>2026</v>
      </c>
      <c r="D289">
        <v>1</v>
      </c>
      <c r="E289" s="2">
        <v>46034</v>
      </c>
      <c r="F289" t="s">
        <v>7</v>
      </c>
      <c r="G289" t="s">
        <v>8</v>
      </c>
      <c r="H289" t="s">
        <v>74</v>
      </c>
      <c r="I289" t="s">
        <v>82</v>
      </c>
      <c r="J289" t="s">
        <v>83</v>
      </c>
      <c r="K289" t="s">
        <v>73</v>
      </c>
      <c r="L289">
        <v>701000</v>
      </c>
      <c r="M289" t="s">
        <v>62</v>
      </c>
      <c r="N289" t="s">
        <v>33</v>
      </c>
      <c r="O289">
        <v>204</v>
      </c>
      <c r="P289">
        <v>18.48</v>
      </c>
      <c r="Q289">
        <v>3.77</v>
      </c>
      <c r="R289" t="s">
        <v>1202</v>
      </c>
      <c r="S289" t="s">
        <v>195</v>
      </c>
    </row>
    <row r="290" spans="1:19" x14ac:dyDescent="0.3">
      <c r="A290" t="s">
        <v>973</v>
      </c>
      <c r="B290" t="s">
        <v>23</v>
      </c>
      <c r="C290">
        <v>2026</v>
      </c>
      <c r="D290">
        <v>1</v>
      </c>
      <c r="E290" s="2">
        <v>46034</v>
      </c>
      <c r="F290" t="s">
        <v>7</v>
      </c>
      <c r="G290" t="s">
        <v>8</v>
      </c>
      <c r="H290" t="s">
        <v>74</v>
      </c>
      <c r="I290" t="s">
        <v>82</v>
      </c>
      <c r="J290" t="s">
        <v>83</v>
      </c>
      <c r="K290" t="s">
        <v>73</v>
      </c>
      <c r="L290">
        <v>701000</v>
      </c>
      <c r="M290" t="s">
        <v>62</v>
      </c>
      <c r="N290" t="s">
        <v>33</v>
      </c>
      <c r="O290">
        <v>285</v>
      </c>
      <c r="P290">
        <v>18.53</v>
      </c>
      <c r="Q290">
        <v>5.28</v>
      </c>
      <c r="R290" t="s">
        <v>1203</v>
      </c>
      <c r="S290" t="s">
        <v>195</v>
      </c>
    </row>
    <row r="291" spans="1:19" x14ac:dyDescent="0.3">
      <c r="A291" t="s">
        <v>974</v>
      </c>
      <c r="B291" t="s">
        <v>23</v>
      </c>
      <c r="C291">
        <v>2026</v>
      </c>
      <c r="D291">
        <v>1</v>
      </c>
      <c r="E291" s="2">
        <v>46034</v>
      </c>
      <c r="F291" t="s">
        <v>7</v>
      </c>
      <c r="G291" t="s">
        <v>8</v>
      </c>
      <c r="H291" t="s">
        <v>74</v>
      </c>
      <c r="I291" t="s">
        <v>82</v>
      </c>
      <c r="J291" t="s">
        <v>83</v>
      </c>
      <c r="K291" t="s">
        <v>73</v>
      </c>
      <c r="L291">
        <v>701000</v>
      </c>
      <c r="M291" t="s">
        <v>62</v>
      </c>
      <c r="N291" t="s">
        <v>33</v>
      </c>
      <c r="O291">
        <v>158</v>
      </c>
      <c r="P291">
        <v>18.670000000000002</v>
      </c>
      <c r="Q291">
        <v>2.95</v>
      </c>
      <c r="R291" t="s">
        <v>1205</v>
      </c>
      <c r="S291" t="s">
        <v>195</v>
      </c>
    </row>
    <row r="292" spans="1:19" x14ac:dyDescent="0.3">
      <c r="A292" t="s">
        <v>245</v>
      </c>
      <c r="B292" t="s">
        <v>23</v>
      </c>
      <c r="C292">
        <v>2026</v>
      </c>
      <c r="D292">
        <v>1</v>
      </c>
      <c r="E292" s="2">
        <v>46035</v>
      </c>
      <c r="F292" t="s">
        <v>7</v>
      </c>
      <c r="G292" t="s">
        <v>8</v>
      </c>
      <c r="H292" t="s">
        <v>74</v>
      </c>
      <c r="I292" t="s">
        <v>84</v>
      </c>
      <c r="J292" t="s">
        <v>85</v>
      </c>
      <c r="K292" t="s">
        <v>73</v>
      </c>
      <c r="L292">
        <v>701000</v>
      </c>
      <c r="M292" t="s">
        <v>62</v>
      </c>
      <c r="N292" t="s">
        <v>33</v>
      </c>
      <c r="O292">
        <v>1713</v>
      </c>
      <c r="P292">
        <v>0.95</v>
      </c>
      <c r="Q292">
        <v>1.63</v>
      </c>
      <c r="R292" t="s">
        <v>1200</v>
      </c>
      <c r="S292" t="s">
        <v>195</v>
      </c>
    </row>
    <row r="293" spans="1:19" x14ac:dyDescent="0.3">
      <c r="A293" t="s">
        <v>246</v>
      </c>
      <c r="B293" t="s">
        <v>23</v>
      </c>
      <c r="C293">
        <v>2026</v>
      </c>
      <c r="D293">
        <v>1</v>
      </c>
      <c r="E293" s="2">
        <v>46035</v>
      </c>
      <c r="F293" t="s">
        <v>7</v>
      </c>
      <c r="G293" t="s">
        <v>8</v>
      </c>
      <c r="H293" t="s">
        <v>74</v>
      </c>
      <c r="I293" t="s">
        <v>84</v>
      </c>
      <c r="J293" t="s">
        <v>85</v>
      </c>
      <c r="K293" t="s">
        <v>73</v>
      </c>
      <c r="L293">
        <v>701000</v>
      </c>
      <c r="M293" t="s">
        <v>62</v>
      </c>
      <c r="N293" t="s">
        <v>33</v>
      </c>
      <c r="O293">
        <v>3932</v>
      </c>
      <c r="P293">
        <v>0.95</v>
      </c>
      <c r="Q293">
        <v>3.74</v>
      </c>
      <c r="R293" t="s">
        <v>1199</v>
      </c>
      <c r="S293" t="s">
        <v>195</v>
      </c>
    </row>
    <row r="294" spans="1:19" x14ac:dyDescent="0.3">
      <c r="A294" t="s">
        <v>247</v>
      </c>
      <c r="B294" t="s">
        <v>23</v>
      </c>
      <c r="C294">
        <v>2026</v>
      </c>
      <c r="D294">
        <v>1</v>
      </c>
      <c r="E294" s="2">
        <v>46035</v>
      </c>
      <c r="F294" t="s">
        <v>7</v>
      </c>
      <c r="G294" t="s">
        <v>8</v>
      </c>
      <c r="H294" t="s">
        <v>74</v>
      </c>
      <c r="I294" t="s">
        <v>84</v>
      </c>
      <c r="J294" t="s">
        <v>85</v>
      </c>
      <c r="K294" t="s">
        <v>73</v>
      </c>
      <c r="L294">
        <v>701000</v>
      </c>
      <c r="M294" t="s">
        <v>62</v>
      </c>
      <c r="N294" t="s">
        <v>33</v>
      </c>
      <c r="O294">
        <v>4600</v>
      </c>
      <c r="P294">
        <v>0.95</v>
      </c>
      <c r="Q294">
        <v>4.37</v>
      </c>
      <c r="R294" t="s">
        <v>1202</v>
      </c>
      <c r="S294" t="s">
        <v>195</v>
      </c>
    </row>
    <row r="295" spans="1:19" x14ac:dyDescent="0.3">
      <c r="A295" t="s">
        <v>248</v>
      </c>
      <c r="B295" t="s">
        <v>23</v>
      </c>
      <c r="C295">
        <v>2026</v>
      </c>
      <c r="D295">
        <v>1</v>
      </c>
      <c r="E295" s="2">
        <v>46035</v>
      </c>
      <c r="F295" t="s">
        <v>7</v>
      </c>
      <c r="G295" t="s">
        <v>8</v>
      </c>
      <c r="H295" t="s">
        <v>74</v>
      </c>
      <c r="I295" t="s">
        <v>84</v>
      </c>
      <c r="J295" t="s">
        <v>85</v>
      </c>
      <c r="K295" t="s">
        <v>73</v>
      </c>
      <c r="L295">
        <v>701000</v>
      </c>
      <c r="M295" t="s">
        <v>62</v>
      </c>
      <c r="N295" t="s">
        <v>33</v>
      </c>
      <c r="O295">
        <v>2547</v>
      </c>
      <c r="P295">
        <v>0.95</v>
      </c>
      <c r="Q295">
        <v>2.42</v>
      </c>
      <c r="R295" t="s">
        <v>1204</v>
      </c>
      <c r="S295" t="s">
        <v>195</v>
      </c>
    </row>
    <row r="296" spans="1:19" x14ac:dyDescent="0.3">
      <c r="A296" t="s">
        <v>249</v>
      </c>
      <c r="B296" t="s">
        <v>23</v>
      </c>
      <c r="C296">
        <v>2026</v>
      </c>
      <c r="D296">
        <v>1</v>
      </c>
      <c r="E296" s="2">
        <v>46035</v>
      </c>
      <c r="F296" t="s">
        <v>7</v>
      </c>
      <c r="G296" t="s">
        <v>8</v>
      </c>
      <c r="H296" t="s">
        <v>74</v>
      </c>
      <c r="I296" t="s">
        <v>84</v>
      </c>
      <c r="J296" t="s">
        <v>85</v>
      </c>
      <c r="K296" t="s">
        <v>73</v>
      </c>
      <c r="L296">
        <v>701000</v>
      </c>
      <c r="M296" t="s">
        <v>62</v>
      </c>
      <c r="N296" t="s">
        <v>33</v>
      </c>
      <c r="O296">
        <v>3343</v>
      </c>
      <c r="P296">
        <v>0.95</v>
      </c>
      <c r="Q296">
        <v>3.17</v>
      </c>
      <c r="R296" t="s">
        <v>1197</v>
      </c>
      <c r="S296" t="s">
        <v>195</v>
      </c>
    </row>
    <row r="297" spans="1:19" x14ac:dyDescent="0.3">
      <c r="A297" t="s">
        <v>435</v>
      </c>
      <c r="B297" t="s">
        <v>23</v>
      </c>
      <c r="C297">
        <v>2026</v>
      </c>
      <c r="D297">
        <v>1</v>
      </c>
      <c r="E297" s="2">
        <v>46035</v>
      </c>
      <c r="F297" t="s">
        <v>7</v>
      </c>
      <c r="G297" t="s">
        <v>8</v>
      </c>
      <c r="H297" t="s">
        <v>70</v>
      </c>
      <c r="I297" t="s">
        <v>71</v>
      </c>
      <c r="J297" t="s">
        <v>72</v>
      </c>
      <c r="K297" t="s">
        <v>73</v>
      </c>
      <c r="L297">
        <v>701000</v>
      </c>
      <c r="M297" t="s">
        <v>62</v>
      </c>
      <c r="N297" t="s">
        <v>33</v>
      </c>
      <c r="O297">
        <v>607</v>
      </c>
      <c r="P297">
        <v>1.05</v>
      </c>
      <c r="Q297">
        <v>0.64</v>
      </c>
      <c r="R297" t="s">
        <v>1203</v>
      </c>
      <c r="S297" t="s">
        <v>195</v>
      </c>
    </row>
    <row r="298" spans="1:19" x14ac:dyDescent="0.3">
      <c r="A298" t="s">
        <v>436</v>
      </c>
      <c r="B298" t="s">
        <v>23</v>
      </c>
      <c r="C298">
        <v>2026</v>
      </c>
      <c r="D298">
        <v>1</v>
      </c>
      <c r="E298" s="2">
        <v>46035</v>
      </c>
      <c r="F298" t="s">
        <v>7</v>
      </c>
      <c r="G298" t="s">
        <v>8</v>
      </c>
      <c r="H298" t="s">
        <v>70</v>
      </c>
      <c r="I298" t="s">
        <v>71</v>
      </c>
      <c r="J298" t="s">
        <v>72</v>
      </c>
      <c r="K298" t="s">
        <v>73</v>
      </c>
      <c r="L298">
        <v>701000</v>
      </c>
      <c r="M298" t="s">
        <v>62</v>
      </c>
      <c r="N298" t="s">
        <v>33</v>
      </c>
      <c r="O298">
        <v>4568</v>
      </c>
      <c r="P298">
        <v>1.05</v>
      </c>
      <c r="Q298">
        <v>4.79</v>
      </c>
      <c r="R298" t="s">
        <v>1198</v>
      </c>
      <c r="S298" t="s">
        <v>195</v>
      </c>
    </row>
    <row r="299" spans="1:19" x14ac:dyDescent="0.3">
      <c r="A299" t="s">
        <v>437</v>
      </c>
      <c r="B299" t="s">
        <v>23</v>
      </c>
      <c r="C299">
        <v>2026</v>
      </c>
      <c r="D299">
        <v>1</v>
      </c>
      <c r="E299" s="2">
        <v>46035</v>
      </c>
      <c r="F299" t="s">
        <v>7</v>
      </c>
      <c r="G299" t="s">
        <v>8</v>
      </c>
      <c r="H299" t="s">
        <v>70</v>
      </c>
      <c r="I299" t="s">
        <v>71</v>
      </c>
      <c r="J299" t="s">
        <v>72</v>
      </c>
      <c r="K299" t="s">
        <v>73</v>
      </c>
      <c r="L299">
        <v>701000</v>
      </c>
      <c r="M299" t="s">
        <v>62</v>
      </c>
      <c r="N299" t="s">
        <v>33</v>
      </c>
      <c r="O299">
        <v>1380</v>
      </c>
      <c r="P299">
        <v>1.05</v>
      </c>
      <c r="Q299">
        <v>1.45</v>
      </c>
      <c r="R299" t="s">
        <v>1200</v>
      </c>
      <c r="S299" t="s">
        <v>195</v>
      </c>
    </row>
    <row r="300" spans="1:19" x14ac:dyDescent="0.3">
      <c r="A300" t="s">
        <v>438</v>
      </c>
      <c r="B300" t="s">
        <v>23</v>
      </c>
      <c r="C300">
        <v>2026</v>
      </c>
      <c r="D300">
        <v>1</v>
      </c>
      <c r="E300" s="2">
        <v>46035</v>
      </c>
      <c r="F300" t="s">
        <v>7</v>
      </c>
      <c r="G300" t="s">
        <v>8</v>
      </c>
      <c r="H300" t="s">
        <v>70</v>
      </c>
      <c r="I300" t="s">
        <v>71</v>
      </c>
      <c r="J300" t="s">
        <v>72</v>
      </c>
      <c r="K300" t="s">
        <v>73</v>
      </c>
      <c r="L300">
        <v>701000</v>
      </c>
      <c r="M300" t="s">
        <v>62</v>
      </c>
      <c r="N300" t="s">
        <v>33</v>
      </c>
      <c r="O300">
        <v>986</v>
      </c>
      <c r="P300">
        <v>1.05</v>
      </c>
      <c r="Q300">
        <v>1.04</v>
      </c>
      <c r="R300" t="s">
        <v>1199</v>
      </c>
      <c r="S300" t="s">
        <v>195</v>
      </c>
    </row>
    <row r="301" spans="1:19" x14ac:dyDescent="0.3">
      <c r="A301" t="s">
        <v>439</v>
      </c>
      <c r="B301" t="s">
        <v>23</v>
      </c>
      <c r="C301">
        <v>2026</v>
      </c>
      <c r="D301">
        <v>1</v>
      </c>
      <c r="E301" s="2">
        <v>46035</v>
      </c>
      <c r="F301" t="s">
        <v>7</v>
      </c>
      <c r="G301" t="s">
        <v>8</v>
      </c>
      <c r="H301" t="s">
        <v>70</v>
      </c>
      <c r="I301" t="s">
        <v>71</v>
      </c>
      <c r="J301" t="s">
        <v>72</v>
      </c>
      <c r="K301" t="s">
        <v>73</v>
      </c>
      <c r="L301">
        <v>701000</v>
      </c>
      <c r="M301" t="s">
        <v>62</v>
      </c>
      <c r="N301" t="s">
        <v>33</v>
      </c>
      <c r="O301">
        <v>1777</v>
      </c>
      <c r="P301">
        <v>1.05</v>
      </c>
      <c r="Q301">
        <v>1.86</v>
      </c>
      <c r="R301" t="s">
        <v>1197</v>
      </c>
      <c r="S301" t="s">
        <v>195</v>
      </c>
    </row>
    <row r="302" spans="1:19" x14ac:dyDescent="0.3">
      <c r="A302" t="s">
        <v>480</v>
      </c>
      <c r="B302" t="s">
        <v>23</v>
      </c>
      <c r="C302">
        <v>2026</v>
      </c>
      <c r="D302">
        <v>1</v>
      </c>
      <c r="E302" s="2">
        <v>46035</v>
      </c>
      <c r="F302" t="s">
        <v>7</v>
      </c>
      <c r="G302" t="s">
        <v>8</v>
      </c>
      <c r="H302" t="s">
        <v>70</v>
      </c>
      <c r="I302" t="s">
        <v>71</v>
      </c>
      <c r="J302" t="s">
        <v>72</v>
      </c>
      <c r="K302" t="s">
        <v>73</v>
      </c>
      <c r="L302">
        <v>701000</v>
      </c>
      <c r="M302" t="s">
        <v>62</v>
      </c>
      <c r="N302" t="s">
        <v>33</v>
      </c>
      <c r="O302">
        <v>2219</v>
      </c>
      <c r="P302">
        <v>1.05</v>
      </c>
      <c r="Q302">
        <v>2.33</v>
      </c>
      <c r="R302" t="s">
        <v>1202</v>
      </c>
      <c r="S302" t="s">
        <v>195</v>
      </c>
    </row>
    <row r="303" spans="1:19" x14ac:dyDescent="0.3">
      <c r="A303" t="s">
        <v>481</v>
      </c>
      <c r="B303" t="s">
        <v>23</v>
      </c>
      <c r="C303">
        <v>2026</v>
      </c>
      <c r="D303">
        <v>1</v>
      </c>
      <c r="E303" s="2">
        <v>46035</v>
      </c>
      <c r="F303" t="s">
        <v>7</v>
      </c>
      <c r="G303" t="s">
        <v>8</v>
      </c>
      <c r="H303" t="s">
        <v>70</v>
      </c>
      <c r="I303" t="s">
        <v>71</v>
      </c>
      <c r="J303" t="s">
        <v>72</v>
      </c>
      <c r="K303" t="s">
        <v>73</v>
      </c>
      <c r="L303">
        <v>701000</v>
      </c>
      <c r="M303" t="s">
        <v>62</v>
      </c>
      <c r="N303" t="s">
        <v>33</v>
      </c>
      <c r="O303">
        <v>744</v>
      </c>
      <c r="P303">
        <v>1.05</v>
      </c>
      <c r="Q303">
        <v>0.78</v>
      </c>
      <c r="R303" t="s">
        <v>1197</v>
      </c>
      <c r="S303" t="s">
        <v>195</v>
      </c>
    </row>
    <row r="304" spans="1:19" x14ac:dyDescent="0.3">
      <c r="A304" t="s">
        <v>482</v>
      </c>
      <c r="B304" t="s">
        <v>23</v>
      </c>
      <c r="C304">
        <v>2026</v>
      </c>
      <c r="D304">
        <v>1</v>
      </c>
      <c r="E304" s="2">
        <v>46035</v>
      </c>
      <c r="F304" t="s">
        <v>7</v>
      </c>
      <c r="G304" t="s">
        <v>8</v>
      </c>
      <c r="H304" t="s">
        <v>70</v>
      </c>
      <c r="I304" t="s">
        <v>71</v>
      </c>
      <c r="J304" t="s">
        <v>72</v>
      </c>
      <c r="K304" t="s">
        <v>73</v>
      </c>
      <c r="L304">
        <v>701000</v>
      </c>
      <c r="M304" t="s">
        <v>62</v>
      </c>
      <c r="N304" t="s">
        <v>33</v>
      </c>
      <c r="O304">
        <v>1068</v>
      </c>
      <c r="P304">
        <v>1.05</v>
      </c>
      <c r="Q304">
        <v>1.1200000000000001</v>
      </c>
      <c r="R304" t="s">
        <v>1200</v>
      </c>
      <c r="S304" t="s">
        <v>195</v>
      </c>
    </row>
    <row r="305" spans="1:19" x14ac:dyDescent="0.3">
      <c r="A305" t="s">
        <v>483</v>
      </c>
      <c r="B305" t="s">
        <v>23</v>
      </c>
      <c r="C305">
        <v>2026</v>
      </c>
      <c r="D305">
        <v>1</v>
      </c>
      <c r="E305" s="2">
        <v>46035</v>
      </c>
      <c r="F305" t="s">
        <v>7</v>
      </c>
      <c r="G305" t="s">
        <v>8</v>
      </c>
      <c r="H305" t="s">
        <v>70</v>
      </c>
      <c r="I305" t="s">
        <v>71</v>
      </c>
      <c r="J305" t="s">
        <v>72</v>
      </c>
      <c r="K305" t="s">
        <v>73</v>
      </c>
      <c r="L305">
        <v>701000</v>
      </c>
      <c r="M305" t="s">
        <v>62</v>
      </c>
      <c r="N305" t="s">
        <v>33</v>
      </c>
      <c r="O305">
        <v>2198</v>
      </c>
      <c r="P305">
        <v>1.05</v>
      </c>
      <c r="Q305">
        <v>2.31</v>
      </c>
      <c r="R305" t="s">
        <v>1201</v>
      </c>
      <c r="S305" t="s">
        <v>195</v>
      </c>
    </row>
    <row r="306" spans="1:19" x14ac:dyDescent="0.3">
      <c r="A306" t="s">
        <v>484</v>
      </c>
      <c r="B306" t="s">
        <v>23</v>
      </c>
      <c r="C306">
        <v>2026</v>
      </c>
      <c r="D306">
        <v>1</v>
      </c>
      <c r="E306" s="2">
        <v>46035</v>
      </c>
      <c r="F306" t="s">
        <v>7</v>
      </c>
      <c r="G306" t="s">
        <v>8</v>
      </c>
      <c r="H306" t="s">
        <v>70</v>
      </c>
      <c r="I306" t="s">
        <v>71</v>
      </c>
      <c r="J306" t="s">
        <v>72</v>
      </c>
      <c r="K306" t="s">
        <v>73</v>
      </c>
      <c r="L306">
        <v>701000</v>
      </c>
      <c r="M306" t="s">
        <v>62</v>
      </c>
      <c r="N306" t="s">
        <v>33</v>
      </c>
      <c r="O306">
        <v>1778</v>
      </c>
      <c r="P306">
        <v>1.05</v>
      </c>
      <c r="Q306">
        <v>1.87</v>
      </c>
      <c r="R306" t="s">
        <v>1204</v>
      </c>
      <c r="S306" t="s">
        <v>195</v>
      </c>
    </row>
    <row r="307" spans="1:19" x14ac:dyDescent="0.3">
      <c r="A307" t="s">
        <v>915</v>
      </c>
      <c r="B307" t="s">
        <v>23</v>
      </c>
      <c r="C307">
        <v>2026</v>
      </c>
      <c r="D307">
        <v>1</v>
      </c>
      <c r="E307" s="2">
        <v>46035</v>
      </c>
      <c r="F307" t="s">
        <v>7</v>
      </c>
      <c r="G307" t="s">
        <v>8</v>
      </c>
      <c r="H307" t="s">
        <v>70</v>
      </c>
      <c r="I307" t="s">
        <v>82</v>
      </c>
      <c r="J307" t="s">
        <v>83</v>
      </c>
      <c r="K307" t="s">
        <v>73</v>
      </c>
      <c r="L307">
        <v>701000</v>
      </c>
      <c r="M307" t="s">
        <v>62</v>
      </c>
      <c r="N307" t="s">
        <v>33</v>
      </c>
      <c r="O307">
        <v>148</v>
      </c>
      <c r="P307">
        <v>18.510000000000002</v>
      </c>
      <c r="Q307">
        <v>2.74</v>
      </c>
      <c r="R307" t="s">
        <v>1205</v>
      </c>
      <c r="S307" t="s">
        <v>195</v>
      </c>
    </row>
    <row r="308" spans="1:19" x14ac:dyDescent="0.3">
      <c r="A308" t="s">
        <v>916</v>
      </c>
      <c r="B308" t="s">
        <v>23</v>
      </c>
      <c r="C308">
        <v>2026</v>
      </c>
      <c r="D308">
        <v>1</v>
      </c>
      <c r="E308" s="2">
        <v>46035</v>
      </c>
      <c r="F308" t="s">
        <v>7</v>
      </c>
      <c r="G308" t="s">
        <v>8</v>
      </c>
      <c r="H308" t="s">
        <v>70</v>
      </c>
      <c r="I308" t="s">
        <v>82</v>
      </c>
      <c r="J308" t="s">
        <v>83</v>
      </c>
      <c r="K308" t="s">
        <v>73</v>
      </c>
      <c r="L308">
        <v>701000</v>
      </c>
      <c r="M308" t="s">
        <v>62</v>
      </c>
      <c r="N308" t="s">
        <v>33</v>
      </c>
      <c r="O308">
        <v>125</v>
      </c>
      <c r="P308">
        <v>18.559999999999999</v>
      </c>
      <c r="Q308">
        <v>2.3199999999999998</v>
      </c>
      <c r="R308" t="s">
        <v>1200</v>
      </c>
      <c r="S308" t="s">
        <v>195</v>
      </c>
    </row>
    <row r="309" spans="1:19" x14ac:dyDescent="0.3">
      <c r="A309" t="s">
        <v>917</v>
      </c>
      <c r="B309" t="s">
        <v>23</v>
      </c>
      <c r="C309">
        <v>2026</v>
      </c>
      <c r="D309">
        <v>1</v>
      </c>
      <c r="E309" s="2">
        <v>46035</v>
      </c>
      <c r="F309" t="s">
        <v>7</v>
      </c>
      <c r="G309" t="s">
        <v>8</v>
      </c>
      <c r="H309" t="s">
        <v>70</v>
      </c>
      <c r="I309" t="s">
        <v>82</v>
      </c>
      <c r="J309" t="s">
        <v>83</v>
      </c>
      <c r="K309" t="s">
        <v>73</v>
      </c>
      <c r="L309">
        <v>701000</v>
      </c>
      <c r="M309" t="s">
        <v>62</v>
      </c>
      <c r="N309" t="s">
        <v>33</v>
      </c>
      <c r="O309">
        <v>98</v>
      </c>
      <c r="P309">
        <v>18.47</v>
      </c>
      <c r="Q309">
        <v>1.81</v>
      </c>
      <c r="R309" t="s">
        <v>1204</v>
      </c>
      <c r="S309" t="s">
        <v>195</v>
      </c>
    </row>
    <row r="310" spans="1:19" x14ac:dyDescent="0.3">
      <c r="A310" t="s">
        <v>918</v>
      </c>
      <c r="B310" t="s">
        <v>23</v>
      </c>
      <c r="C310">
        <v>2026</v>
      </c>
      <c r="D310">
        <v>1</v>
      </c>
      <c r="E310" s="2">
        <v>46035</v>
      </c>
      <c r="F310" t="s">
        <v>7</v>
      </c>
      <c r="G310" t="s">
        <v>8</v>
      </c>
      <c r="H310" t="s">
        <v>70</v>
      </c>
      <c r="I310" t="s">
        <v>82</v>
      </c>
      <c r="J310" t="s">
        <v>83</v>
      </c>
      <c r="K310" t="s">
        <v>73</v>
      </c>
      <c r="L310">
        <v>701000</v>
      </c>
      <c r="M310" t="s">
        <v>62</v>
      </c>
      <c r="N310" t="s">
        <v>33</v>
      </c>
      <c r="O310">
        <v>185</v>
      </c>
      <c r="P310">
        <v>18.489999999999998</v>
      </c>
      <c r="Q310">
        <v>3.42</v>
      </c>
      <c r="R310" t="s">
        <v>1199</v>
      </c>
      <c r="S310" t="s">
        <v>195</v>
      </c>
    </row>
    <row r="311" spans="1:19" x14ac:dyDescent="0.3">
      <c r="A311" t="s">
        <v>919</v>
      </c>
      <c r="B311" t="s">
        <v>23</v>
      </c>
      <c r="C311">
        <v>2026</v>
      </c>
      <c r="D311">
        <v>1</v>
      </c>
      <c r="E311" s="2">
        <v>46035</v>
      </c>
      <c r="F311" t="s">
        <v>7</v>
      </c>
      <c r="G311" t="s">
        <v>8</v>
      </c>
      <c r="H311" t="s">
        <v>70</v>
      </c>
      <c r="I311" t="s">
        <v>82</v>
      </c>
      <c r="J311" t="s">
        <v>83</v>
      </c>
      <c r="K311" t="s">
        <v>73</v>
      </c>
      <c r="L311">
        <v>701000</v>
      </c>
      <c r="M311" t="s">
        <v>62</v>
      </c>
      <c r="N311" t="s">
        <v>33</v>
      </c>
      <c r="O311">
        <v>129</v>
      </c>
      <c r="P311">
        <v>18.45</v>
      </c>
      <c r="Q311">
        <v>2.38</v>
      </c>
      <c r="R311" t="s">
        <v>1203</v>
      </c>
      <c r="S311" t="s">
        <v>195</v>
      </c>
    </row>
    <row r="312" spans="1:19" x14ac:dyDescent="0.3">
      <c r="A312" t="s">
        <v>215</v>
      </c>
      <c r="B312" t="s">
        <v>23</v>
      </c>
      <c r="C312">
        <v>2026</v>
      </c>
      <c r="D312">
        <v>1</v>
      </c>
      <c r="E312" s="2">
        <v>46036</v>
      </c>
      <c r="F312" t="s">
        <v>7</v>
      </c>
      <c r="G312" t="s">
        <v>8</v>
      </c>
      <c r="H312" t="s">
        <v>74</v>
      </c>
      <c r="I312" t="s">
        <v>84</v>
      </c>
      <c r="J312" t="s">
        <v>85</v>
      </c>
      <c r="K312" t="s">
        <v>73</v>
      </c>
      <c r="L312">
        <v>701000</v>
      </c>
      <c r="M312" t="s">
        <v>62</v>
      </c>
      <c r="N312" t="s">
        <v>33</v>
      </c>
      <c r="O312">
        <v>3865</v>
      </c>
      <c r="P312">
        <v>0.95</v>
      </c>
      <c r="Q312">
        <v>3.67</v>
      </c>
      <c r="R312" t="s">
        <v>1197</v>
      </c>
      <c r="S312" t="s">
        <v>195</v>
      </c>
    </row>
    <row r="313" spans="1:19" x14ac:dyDescent="0.3">
      <c r="A313" t="s">
        <v>216</v>
      </c>
      <c r="B313" t="s">
        <v>23</v>
      </c>
      <c r="C313">
        <v>2026</v>
      </c>
      <c r="D313">
        <v>1</v>
      </c>
      <c r="E313" s="2">
        <v>46036</v>
      </c>
      <c r="F313" t="s">
        <v>7</v>
      </c>
      <c r="G313" t="s">
        <v>8</v>
      </c>
      <c r="H313" t="s">
        <v>74</v>
      </c>
      <c r="I313" t="s">
        <v>84</v>
      </c>
      <c r="J313" t="s">
        <v>85</v>
      </c>
      <c r="K313" t="s">
        <v>73</v>
      </c>
      <c r="L313">
        <v>701000</v>
      </c>
      <c r="M313" t="s">
        <v>62</v>
      </c>
      <c r="N313" t="s">
        <v>33</v>
      </c>
      <c r="O313">
        <v>1741</v>
      </c>
      <c r="P313">
        <v>0.95</v>
      </c>
      <c r="Q313">
        <v>1.65</v>
      </c>
      <c r="R313" t="s">
        <v>1199</v>
      </c>
      <c r="S313" t="s">
        <v>195</v>
      </c>
    </row>
    <row r="314" spans="1:19" x14ac:dyDescent="0.3">
      <c r="A314" t="s">
        <v>217</v>
      </c>
      <c r="B314" t="s">
        <v>23</v>
      </c>
      <c r="C314">
        <v>2026</v>
      </c>
      <c r="D314">
        <v>1</v>
      </c>
      <c r="E314" s="2">
        <v>46036</v>
      </c>
      <c r="F314" t="s">
        <v>7</v>
      </c>
      <c r="G314" t="s">
        <v>8</v>
      </c>
      <c r="H314" t="s">
        <v>74</v>
      </c>
      <c r="I314" t="s">
        <v>84</v>
      </c>
      <c r="J314" t="s">
        <v>85</v>
      </c>
      <c r="K314" t="s">
        <v>73</v>
      </c>
      <c r="L314">
        <v>701000</v>
      </c>
      <c r="M314" t="s">
        <v>62</v>
      </c>
      <c r="N314" t="s">
        <v>33</v>
      </c>
      <c r="O314">
        <v>1702</v>
      </c>
      <c r="P314">
        <v>0.95</v>
      </c>
      <c r="Q314">
        <v>1.62</v>
      </c>
      <c r="R314" t="s">
        <v>1203</v>
      </c>
      <c r="S314" t="s">
        <v>195</v>
      </c>
    </row>
    <row r="315" spans="1:19" x14ac:dyDescent="0.3">
      <c r="A315" t="s">
        <v>218</v>
      </c>
      <c r="B315" t="s">
        <v>23</v>
      </c>
      <c r="C315">
        <v>2026</v>
      </c>
      <c r="D315">
        <v>1</v>
      </c>
      <c r="E315" s="2">
        <v>46036</v>
      </c>
      <c r="F315" t="s">
        <v>7</v>
      </c>
      <c r="G315" t="s">
        <v>8</v>
      </c>
      <c r="H315" t="s">
        <v>74</v>
      </c>
      <c r="I315" t="s">
        <v>84</v>
      </c>
      <c r="J315" t="s">
        <v>85</v>
      </c>
      <c r="K315" t="s">
        <v>73</v>
      </c>
      <c r="L315">
        <v>701000</v>
      </c>
      <c r="M315" t="s">
        <v>62</v>
      </c>
      <c r="N315" t="s">
        <v>33</v>
      </c>
      <c r="O315">
        <v>1892</v>
      </c>
      <c r="P315">
        <v>0.95</v>
      </c>
      <c r="Q315">
        <v>1.8</v>
      </c>
      <c r="R315" t="s">
        <v>1198</v>
      </c>
      <c r="S315" t="s">
        <v>195</v>
      </c>
    </row>
    <row r="316" spans="1:19" x14ac:dyDescent="0.3">
      <c r="A316" t="s">
        <v>219</v>
      </c>
      <c r="B316" t="s">
        <v>23</v>
      </c>
      <c r="C316">
        <v>2026</v>
      </c>
      <c r="D316">
        <v>1</v>
      </c>
      <c r="E316" s="2">
        <v>46036</v>
      </c>
      <c r="F316" t="s">
        <v>7</v>
      </c>
      <c r="G316" t="s">
        <v>8</v>
      </c>
      <c r="H316" t="s">
        <v>74</v>
      </c>
      <c r="I316" t="s">
        <v>84</v>
      </c>
      <c r="J316" t="s">
        <v>85</v>
      </c>
      <c r="K316" t="s">
        <v>73</v>
      </c>
      <c r="L316">
        <v>701000</v>
      </c>
      <c r="M316" t="s">
        <v>62</v>
      </c>
      <c r="N316" t="s">
        <v>33</v>
      </c>
      <c r="O316">
        <v>5586</v>
      </c>
      <c r="P316">
        <v>0.95</v>
      </c>
      <c r="Q316">
        <v>5.31</v>
      </c>
      <c r="R316" t="s">
        <v>1204</v>
      </c>
      <c r="S316" t="s">
        <v>195</v>
      </c>
    </row>
    <row r="317" spans="1:19" x14ac:dyDescent="0.3">
      <c r="A317" t="s">
        <v>225</v>
      </c>
      <c r="B317" t="s">
        <v>23</v>
      </c>
      <c r="C317">
        <v>2026</v>
      </c>
      <c r="D317">
        <v>1</v>
      </c>
      <c r="E317" s="2">
        <v>46036</v>
      </c>
      <c r="F317" t="s">
        <v>7</v>
      </c>
      <c r="G317" t="s">
        <v>8</v>
      </c>
      <c r="H317" t="s">
        <v>70</v>
      </c>
      <c r="I317" t="s">
        <v>84</v>
      </c>
      <c r="J317" t="s">
        <v>85</v>
      </c>
      <c r="K317" t="s">
        <v>73</v>
      </c>
      <c r="L317">
        <v>701000</v>
      </c>
      <c r="M317" t="s">
        <v>62</v>
      </c>
      <c r="N317" t="s">
        <v>33</v>
      </c>
      <c r="O317">
        <v>760</v>
      </c>
      <c r="P317">
        <v>0.95</v>
      </c>
      <c r="Q317">
        <v>0.72</v>
      </c>
      <c r="R317" t="s">
        <v>1201</v>
      </c>
      <c r="S317" t="s">
        <v>195</v>
      </c>
    </row>
    <row r="318" spans="1:19" x14ac:dyDescent="0.3">
      <c r="A318" t="s">
        <v>226</v>
      </c>
      <c r="B318" t="s">
        <v>23</v>
      </c>
      <c r="C318">
        <v>2026</v>
      </c>
      <c r="D318">
        <v>1</v>
      </c>
      <c r="E318" s="2">
        <v>46036</v>
      </c>
      <c r="F318" t="s">
        <v>7</v>
      </c>
      <c r="G318" t="s">
        <v>8</v>
      </c>
      <c r="H318" t="s">
        <v>70</v>
      </c>
      <c r="I318" t="s">
        <v>84</v>
      </c>
      <c r="J318" t="s">
        <v>85</v>
      </c>
      <c r="K318" t="s">
        <v>73</v>
      </c>
      <c r="L318">
        <v>701000</v>
      </c>
      <c r="M318" t="s">
        <v>62</v>
      </c>
      <c r="N318" t="s">
        <v>33</v>
      </c>
      <c r="O318">
        <v>3248</v>
      </c>
      <c r="P318">
        <v>0.95</v>
      </c>
      <c r="Q318">
        <v>3.08</v>
      </c>
      <c r="R318" t="s">
        <v>1205</v>
      </c>
      <c r="S318" t="s">
        <v>195</v>
      </c>
    </row>
    <row r="319" spans="1:19" x14ac:dyDescent="0.3">
      <c r="A319" t="s">
        <v>227</v>
      </c>
      <c r="B319" t="s">
        <v>23</v>
      </c>
      <c r="C319">
        <v>2026</v>
      </c>
      <c r="D319">
        <v>1</v>
      </c>
      <c r="E319" s="2">
        <v>46036</v>
      </c>
      <c r="F319" t="s">
        <v>7</v>
      </c>
      <c r="G319" t="s">
        <v>8</v>
      </c>
      <c r="H319" t="s">
        <v>70</v>
      </c>
      <c r="I319" t="s">
        <v>84</v>
      </c>
      <c r="J319" t="s">
        <v>85</v>
      </c>
      <c r="K319" t="s">
        <v>73</v>
      </c>
      <c r="L319">
        <v>701000</v>
      </c>
      <c r="M319" t="s">
        <v>62</v>
      </c>
      <c r="N319" t="s">
        <v>33</v>
      </c>
      <c r="O319">
        <v>111</v>
      </c>
      <c r="P319">
        <v>0.99</v>
      </c>
      <c r="Q319">
        <v>0.11</v>
      </c>
      <c r="R319" t="s">
        <v>1199</v>
      </c>
      <c r="S319" t="s">
        <v>195</v>
      </c>
    </row>
    <row r="320" spans="1:19" x14ac:dyDescent="0.3">
      <c r="A320" t="s">
        <v>228</v>
      </c>
      <c r="B320" t="s">
        <v>23</v>
      </c>
      <c r="C320">
        <v>2026</v>
      </c>
      <c r="D320">
        <v>1</v>
      </c>
      <c r="E320" s="2">
        <v>46036</v>
      </c>
      <c r="F320" t="s">
        <v>7</v>
      </c>
      <c r="G320" t="s">
        <v>8</v>
      </c>
      <c r="H320" t="s">
        <v>70</v>
      </c>
      <c r="I320" t="s">
        <v>84</v>
      </c>
      <c r="J320" t="s">
        <v>85</v>
      </c>
      <c r="K320" t="s">
        <v>73</v>
      </c>
      <c r="L320">
        <v>701000</v>
      </c>
      <c r="M320" t="s">
        <v>62</v>
      </c>
      <c r="N320" t="s">
        <v>33</v>
      </c>
      <c r="O320">
        <v>4036</v>
      </c>
      <c r="P320">
        <v>0.95</v>
      </c>
      <c r="Q320">
        <v>3.83</v>
      </c>
      <c r="R320" t="s">
        <v>1204</v>
      </c>
      <c r="S320" t="s">
        <v>195</v>
      </c>
    </row>
    <row r="321" spans="1:19" x14ac:dyDescent="0.3">
      <c r="A321" t="s">
        <v>229</v>
      </c>
      <c r="B321" t="s">
        <v>23</v>
      </c>
      <c r="C321">
        <v>2026</v>
      </c>
      <c r="D321">
        <v>1</v>
      </c>
      <c r="E321" s="2">
        <v>46036</v>
      </c>
      <c r="F321" t="s">
        <v>7</v>
      </c>
      <c r="G321" t="s">
        <v>8</v>
      </c>
      <c r="H321" t="s">
        <v>70</v>
      </c>
      <c r="I321" t="s">
        <v>84</v>
      </c>
      <c r="J321" t="s">
        <v>85</v>
      </c>
      <c r="K321" t="s">
        <v>73</v>
      </c>
      <c r="L321">
        <v>701000</v>
      </c>
      <c r="M321" t="s">
        <v>62</v>
      </c>
      <c r="N321" t="s">
        <v>33</v>
      </c>
      <c r="O321">
        <v>3943</v>
      </c>
      <c r="P321">
        <v>0.95</v>
      </c>
      <c r="Q321">
        <v>3.75</v>
      </c>
      <c r="R321" t="s">
        <v>1203</v>
      </c>
      <c r="S321" t="s">
        <v>195</v>
      </c>
    </row>
    <row r="322" spans="1:19" x14ac:dyDescent="0.3">
      <c r="A322" t="s">
        <v>330</v>
      </c>
      <c r="B322" t="s">
        <v>23</v>
      </c>
      <c r="C322">
        <v>2026</v>
      </c>
      <c r="D322">
        <v>1</v>
      </c>
      <c r="E322" s="2">
        <v>46036</v>
      </c>
      <c r="F322" t="s">
        <v>7</v>
      </c>
      <c r="G322" t="s">
        <v>8</v>
      </c>
      <c r="H322" t="s">
        <v>74</v>
      </c>
      <c r="I322" t="s">
        <v>84</v>
      </c>
      <c r="J322" t="s">
        <v>85</v>
      </c>
      <c r="K322" t="s">
        <v>73</v>
      </c>
      <c r="L322">
        <v>701000</v>
      </c>
      <c r="M322" t="s">
        <v>62</v>
      </c>
      <c r="N322" t="s">
        <v>33</v>
      </c>
      <c r="O322">
        <v>3921</v>
      </c>
      <c r="P322">
        <v>0.95</v>
      </c>
      <c r="Q322">
        <v>3.72</v>
      </c>
      <c r="R322" t="s">
        <v>1197</v>
      </c>
      <c r="S322" t="s">
        <v>195</v>
      </c>
    </row>
    <row r="323" spans="1:19" x14ac:dyDescent="0.3">
      <c r="A323" t="s">
        <v>331</v>
      </c>
      <c r="B323" t="s">
        <v>23</v>
      </c>
      <c r="C323">
        <v>2026</v>
      </c>
      <c r="D323">
        <v>1</v>
      </c>
      <c r="E323" s="2">
        <v>46036</v>
      </c>
      <c r="F323" t="s">
        <v>7</v>
      </c>
      <c r="G323" t="s">
        <v>8</v>
      </c>
      <c r="H323" t="s">
        <v>74</v>
      </c>
      <c r="I323" t="s">
        <v>84</v>
      </c>
      <c r="J323" t="s">
        <v>85</v>
      </c>
      <c r="K323" t="s">
        <v>73</v>
      </c>
      <c r="L323">
        <v>701000</v>
      </c>
      <c r="M323" t="s">
        <v>62</v>
      </c>
      <c r="N323" t="s">
        <v>33</v>
      </c>
      <c r="O323">
        <v>2364</v>
      </c>
      <c r="P323">
        <v>0.95</v>
      </c>
      <c r="Q323">
        <v>2.2400000000000002</v>
      </c>
      <c r="R323" t="s">
        <v>1198</v>
      </c>
      <c r="S323" t="s">
        <v>195</v>
      </c>
    </row>
    <row r="324" spans="1:19" x14ac:dyDescent="0.3">
      <c r="A324" t="s">
        <v>332</v>
      </c>
      <c r="B324" t="s">
        <v>23</v>
      </c>
      <c r="C324">
        <v>2026</v>
      </c>
      <c r="D324">
        <v>1</v>
      </c>
      <c r="E324" s="2">
        <v>46036</v>
      </c>
      <c r="F324" t="s">
        <v>7</v>
      </c>
      <c r="G324" t="s">
        <v>8</v>
      </c>
      <c r="H324" t="s">
        <v>74</v>
      </c>
      <c r="I324" t="s">
        <v>84</v>
      </c>
      <c r="J324" t="s">
        <v>85</v>
      </c>
      <c r="K324" t="s">
        <v>73</v>
      </c>
      <c r="L324">
        <v>701000</v>
      </c>
      <c r="M324" t="s">
        <v>62</v>
      </c>
      <c r="N324" t="s">
        <v>33</v>
      </c>
      <c r="O324">
        <v>3711</v>
      </c>
      <c r="P324">
        <v>0.95</v>
      </c>
      <c r="Q324">
        <v>3.52</v>
      </c>
      <c r="R324" t="s">
        <v>1205</v>
      </c>
      <c r="S324" t="s">
        <v>195</v>
      </c>
    </row>
    <row r="325" spans="1:19" x14ac:dyDescent="0.3">
      <c r="A325" t="s">
        <v>333</v>
      </c>
      <c r="B325" t="s">
        <v>23</v>
      </c>
      <c r="C325">
        <v>2026</v>
      </c>
      <c r="D325">
        <v>1</v>
      </c>
      <c r="E325" s="2">
        <v>46036</v>
      </c>
      <c r="F325" t="s">
        <v>7</v>
      </c>
      <c r="G325" t="s">
        <v>8</v>
      </c>
      <c r="H325" t="s">
        <v>74</v>
      </c>
      <c r="I325" t="s">
        <v>84</v>
      </c>
      <c r="J325" t="s">
        <v>85</v>
      </c>
      <c r="K325" t="s">
        <v>73</v>
      </c>
      <c r="L325">
        <v>701000</v>
      </c>
      <c r="M325" t="s">
        <v>62</v>
      </c>
      <c r="N325" t="s">
        <v>33</v>
      </c>
      <c r="O325">
        <v>2467</v>
      </c>
      <c r="P325">
        <v>0.95</v>
      </c>
      <c r="Q325">
        <v>2.34</v>
      </c>
      <c r="R325" t="s">
        <v>1199</v>
      </c>
      <c r="S325" t="s">
        <v>195</v>
      </c>
    </row>
    <row r="326" spans="1:19" x14ac:dyDescent="0.3">
      <c r="A326" t="s">
        <v>334</v>
      </c>
      <c r="B326" t="s">
        <v>23</v>
      </c>
      <c r="C326">
        <v>2026</v>
      </c>
      <c r="D326">
        <v>1</v>
      </c>
      <c r="E326" s="2">
        <v>46036</v>
      </c>
      <c r="F326" t="s">
        <v>7</v>
      </c>
      <c r="G326" t="s">
        <v>8</v>
      </c>
      <c r="H326" t="s">
        <v>74</v>
      </c>
      <c r="I326" t="s">
        <v>84</v>
      </c>
      <c r="J326" t="s">
        <v>85</v>
      </c>
      <c r="K326" t="s">
        <v>73</v>
      </c>
      <c r="L326">
        <v>701000</v>
      </c>
      <c r="M326" t="s">
        <v>62</v>
      </c>
      <c r="N326" t="s">
        <v>33</v>
      </c>
      <c r="O326">
        <v>2774</v>
      </c>
      <c r="P326">
        <v>0.96</v>
      </c>
      <c r="Q326">
        <v>2.65</v>
      </c>
      <c r="R326" t="s">
        <v>1203</v>
      </c>
      <c r="S326" t="s">
        <v>195</v>
      </c>
    </row>
    <row r="327" spans="1:19" x14ac:dyDescent="0.3">
      <c r="A327" t="s">
        <v>420</v>
      </c>
      <c r="B327" t="s">
        <v>23</v>
      </c>
      <c r="C327">
        <v>2026</v>
      </c>
      <c r="D327">
        <v>1</v>
      </c>
      <c r="E327" s="2">
        <v>46036</v>
      </c>
      <c r="F327" t="s">
        <v>7</v>
      </c>
      <c r="G327" t="s">
        <v>8</v>
      </c>
      <c r="H327" t="s">
        <v>70</v>
      </c>
      <c r="I327" t="s">
        <v>71</v>
      </c>
      <c r="J327" t="s">
        <v>72</v>
      </c>
      <c r="K327" t="s">
        <v>73</v>
      </c>
      <c r="L327">
        <v>701000</v>
      </c>
      <c r="M327" t="s">
        <v>62</v>
      </c>
      <c r="N327" t="s">
        <v>33</v>
      </c>
      <c r="O327">
        <v>748</v>
      </c>
      <c r="P327">
        <v>1.06</v>
      </c>
      <c r="Q327">
        <v>0.79</v>
      </c>
      <c r="R327" t="s">
        <v>1198</v>
      </c>
      <c r="S327" t="s">
        <v>195</v>
      </c>
    </row>
    <row r="328" spans="1:19" x14ac:dyDescent="0.3">
      <c r="A328" t="s">
        <v>421</v>
      </c>
      <c r="B328" t="s">
        <v>23</v>
      </c>
      <c r="C328">
        <v>2026</v>
      </c>
      <c r="D328">
        <v>1</v>
      </c>
      <c r="E328" s="2">
        <v>46036</v>
      </c>
      <c r="F328" t="s">
        <v>7</v>
      </c>
      <c r="G328" t="s">
        <v>8</v>
      </c>
      <c r="H328" t="s">
        <v>70</v>
      </c>
      <c r="I328" t="s">
        <v>71</v>
      </c>
      <c r="J328" t="s">
        <v>72</v>
      </c>
      <c r="K328" t="s">
        <v>73</v>
      </c>
      <c r="L328">
        <v>701000</v>
      </c>
      <c r="M328" t="s">
        <v>62</v>
      </c>
      <c r="N328" t="s">
        <v>33</v>
      </c>
      <c r="O328">
        <v>1556</v>
      </c>
      <c r="P328">
        <v>1.05</v>
      </c>
      <c r="Q328">
        <v>1.63</v>
      </c>
      <c r="R328" t="s">
        <v>1199</v>
      </c>
      <c r="S328" t="s">
        <v>195</v>
      </c>
    </row>
    <row r="329" spans="1:19" x14ac:dyDescent="0.3">
      <c r="A329" t="s">
        <v>422</v>
      </c>
      <c r="B329" t="s">
        <v>23</v>
      </c>
      <c r="C329">
        <v>2026</v>
      </c>
      <c r="D329">
        <v>1</v>
      </c>
      <c r="E329" s="2">
        <v>46036</v>
      </c>
      <c r="F329" t="s">
        <v>7</v>
      </c>
      <c r="G329" t="s">
        <v>8</v>
      </c>
      <c r="H329" t="s">
        <v>70</v>
      </c>
      <c r="I329" t="s">
        <v>71</v>
      </c>
      <c r="J329" t="s">
        <v>72</v>
      </c>
      <c r="K329" t="s">
        <v>73</v>
      </c>
      <c r="L329">
        <v>701000</v>
      </c>
      <c r="M329" t="s">
        <v>62</v>
      </c>
      <c r="N329" t="s">
        <v>33</v>
      </c>
      <c r="O329">
        <v>2552</v>
      </c>
      <c r="P329">
        <v>1.05</v>
      </c>
      <c r="Q329">
        <v>2.68</v>
      </c>
      <c r="R329" t="s">
        <v>1203</v>
      </c>
      <c r="S329" t="s">
        <v>195</v>
      </c>
    </row>
    <row r="330" spans="1:19" x14ac:dyDescent="0.3">
      <c r="A330" t="s">
        <v>423</v>
      </c>
      <c r="B330" t="s">
        <v>23</v>
      </c>
      <c r="C330">
        <v>2026</v>
      </c>
      <c r="D330">
        <v>1</v>
      </c>
      <c r="E330" s="2">
        <v>46036</v>
      </c>
      <c r="F330" t="s">
        <v>7</v>
      </c>
      <c r="G330" t="s">
        <v>8</v>
      </c>
      <c r="H330" t="s">
        <v>70</v>
      </c>
      <c r="I330" t="s">
        <v>71</v>
      </c>
      <c r="J330" t="s">
        <v>72</v>
      </c>
      <c r="K330" t="s">
        <v>73</v>
      </c>
      <c r="L330">
        <v>701000</v>
      </c>
      <c r="M330" t="s">
        <v>62</v>
      </c>
      <c r="N330" t="s">
        <v>33</v>
      </c>
      <c r="O330">
        <v>1172</v>
      </c>
      <c r="P330">
        <v>1.05</v>
      </c>
      <c r="Q330">
        <v>1.23</v>
      </c>
      <c r="R330" t="s">
        <v>1201</v>
      </c>
      <c r="S330" t="s">
        <v>195</v>
      </c>
    </row>
    <row r="331" spans="1:19" x14ac:dyDescent="0.3">
      <c r="A331" t="s">
        <v>424</v>
      </c>
      <c r="B331" t="s">
        <v>23</v>
      </c>
      <c r="C331">
        <v>2026</v>
      </c>
      <c r="D331">
        <v>1</v>
      </c>
      <c r="E331" s="2">
        <v>46036</v>
      </c>
      <c r="F331" t="s">
        <v>7</v>
      </c>
      <c r="G331" t="s">
        <v>8</v>
      </c>
      <c r="H331" t="s">
        <v>70</v>
      </c>
      <c r="I331" t="s">
        <v>71</v>
      </c>
      <c r="J331" t="s">
        <v>72</v>
      </c>
      <c r="K331" t="s">
        <v>73</v>
      </c>
      <c r="L331">
        <v>701000</v>
      </c>
      <c r="M331" t="s">
        <v>62</v>
      </c>
      <c r="N331" t="s">
        <v>33</v>
      </c>
      <c r="O331">
        <v>1143</v>
      </c>
      <c r="P331">
        <v>1.05</v>
      </c>
      <c r="Q331">
        <v>1.2</v>
      </c>
      <c r="R331" t="s">
        <v>1205</v>
      </c>
      <c r="S331" t="s">
        <v>195</v>
      </c>
    </row>
    <row r="332" spans="1:19" x14ac:dyDescent="0.3">
      <c r="A332" t="s">
        <v>445</v>
      </c>
      <c r="B332" t="s">
        <v>23</v>
      </c>
      <c r="C332">
        <v>2026</v>
      </c>
      <c r="D332">
        <v>1</v>
      </c>
      <c r="E332" s="2">
        <v>46036</v>
      </c>
      <c r="F332" t="s">
        <v>7</v>
      </c>
      <c r="G332" t="s">
        <v>8</v>
      </c>
      <c r="H332" t="s">
        <v>74</v>
      </c>
      <c r="I332" t="s">
        <v>71</v>
      </c>
      <c r="J332" t="s">
        <v>72</v>
      </c>
      <c r="K332" t="s">
        <v>73</v>
      </c>
      <c r="L332">
        <v>701000</v>
      </c>
      <c r="M332" t="s">
        <v>62</v>
      </c>
      <c r="N332" t="s">
        <v>33</v>
      </c>
      <c r="O332">
        <v>3231</v>
      </c>
      <c r="P332">
        <v>1.05</v>
      </c>
      <c r="Q332">
        <v>3.39</v>
      </c>
      <c r="R332" t="s">
        <v>1201</v>
      </c>
      <c r="S332" t="s">
        <v>195</v>
      </c>
    </row>
    <row r="333" spans="1:19" x14ac:dyDescent="0.3">
      <c r="A333" t="s">
        <v>446</v>
      </c>
      <c r="B333" t="s">
        <v>23</v>
      </c>
      <c r="C333">
        <v>2026</v>
      </c>
      <c r="D333">
        <v>1</v>
      </c>
      <c r="E333" s="2">
        <v>46036</v>
      </c>
      <c r="F333" t="s">
        <v>7</v>
      </c>
      <c r="G333" t="s">
        <v>8</v>
      </c>
      <c r="H333" t="s">
        <v>74</v>
      </c>
      <c r="I333" t="s">
        <v>71</v>
      </c>
      <c r="J333" t="s">
        <v>72</v>
      </c>
      <c r="K333" t="s">
        <v>73</v>
      </c>
      <c r="L333">
        <v>701000</v>
      </c>
      <c r="M333" t="s">
        <v>62</v>
      </c>
      <c r="N333" t="s">
        <v>33</v>
      </c>
      <c r="O333">
        <v>860</v>
      </c>
      <c r="P333">
        <v>1.05</v>
      </c>
      <c r="Q333">
        <v>0.9</v>
      </c>
      <c r="R333" t="s">
        <v>1197</v>
      </c>
      <c r="S333" t="s">
        <v>195</v>
      </c>
    </row>
    <row r="334" spans="1:19" x14ac:dyDescent="0.3">
      <c r="A334" t="s">
        <v>447</v>
      </c>
      <c r="B334" t="s">
        <v>23</v>
      </c>
      <c r="C334">
        <v>2026</v>
      </c>
      <c r="D334">
        <v>1</v>
      </c>
      <c r="E334" s="2">
        <v>46036</v>
      </c>
      <c r="F334" t="s">
        <v>7</v>
      </c>
      <c r="G334" t="s">
        <v>8</v>
      </c>
      <c r="H334" t="s">
        <v>74</v>
      </c>
      <c r="I334" t="s">
        <v>71</v>
      </c>
      <c r="J334" t="s">
        <v>72</v>
      </c>
      <c r="K334" t="s">
        <v>73</v>
      </c>
      <c r="L334">
        <v>701000</v>
      </c>
      <c r="M334" t="s">
        <v>62</v>
      </c>
      <c r="N334" t="s">
        <v>33</v>
      </c>
      <c r="O334">
        <v>1480</v>
      </c>
      <c r="P334">
        <v>1.05</v>
      </c>
      <c r="Q334">
        <v>1.55</v>
      </c>
      <c r="R334" t="s">
        <v>1199</v>
      </c>
      <c r="S334" t="s">
        <v>195</v>
      </c>
    </row>
    <row r="335" spans="1:19" x14ac:dyDescent="0.3">
      <c r="A335" t="s">
        <v>448</v>
      </c>
      <c r="B335" t="s">
        <v>23</v>
      </c>
      <c r="C335">
        <v>2026</v>
      </c>
      <c r="D335">
        <v>1</v>
      </c>
      <c r="E335" s="2">
        <v>46036</v>
      </c>
      <c r="F335" t="s">
        <v>7</v>
      </c>
      <c r="G335" t="s">
        <v>8</v>
      </c>
      <c r="H335" t="s">
        <v>74</v>
      </c>
      <c r="I335" t="s">
        <v>71</v>
      </c>
      <c r="J335" t="s">
        <v>72</v>
      </c>
      <c r="K335" t="s">
        <v>73</v>
      </c>
      <c r="L335">
        <v>701000</v>
      </c>
      <c r="M335" t="s">
        <v>62</v>
      </c>
      <c r="N335" t="s">
        <v>33</v>
      </c>
      <c r="O335">
        <v>1767</v>
      </c>
      <c r="P335">
        <v>1.05</v>
      </c>
      <c r="Q335">
        <v>1.86</v>
      </c>
      <c r="R335" t="s">
        <v>1200</v>
      </c>
      <c r="S335" t="s">
        <v>195</v>
      </c>
    </row>
    <row r="336" spans="1:19" x14ac:dyDescent="0.3">
      <c r="A336" t="s">
        <v>449</v>
      </c>
      <c r="B336" t="s">
        <v>23</v>
      </c>
      <c r="C336">
        <v>2026</v>
      </c>
      <c r="D336">
        <v>1</v>
      </c>
      <c r="E336" s="2">
        <v>46036</v>
      </c>
      <c r="F336" t="s">
        <v>7</v>
      </c>
      <c r="G336" t="s">
        <v>8</v>
      </c>
      <c r="H336" t="s">
        <v>74</v>
      </c>
      <c r="I336" t="s">
        <v>71</v>
      </c>
      <c r="J336" t="s">
        <v>72</v>
      </c>
      <c r="K336" t="s">
        <v>73</v>
      </c>
      <c r="L336">
        <v>701000</v>
      </c>
      <c r="M336" t="s">
        <v>62</v>
      </c>
      <c r="N336" t="s">
        <v>33</v>
      </c>
      <c r="O336">
        <v>2555</v>
      </c>
      <c r="P336">
        <v>1.05</v>
      </c>
      <c r="Q336">
        <v>2.69</v>
      </c>
      <c r="R336" t="s">
        <v>1198</v>
      </c>
      <c r="S336" t="s">
        <v>195</v>
      </c>
    </row>
    <row r="337" spans="1:19" x14ac:dyDescent="0.3">
      <c r="A337" t="s">
        <v>660</v>
      </c>
      <c r="B337" t="s">
        <v>23</v>
      </c>
      <c r="C337">
        <v>2026</v>
      </c>
      <c r="D337">
        <v>1</v>
      </c>
      <c r="E337" s="2">
        <v>46036</v>
      </c>
      <c r="F337" t="s">
        <v>7</v>
      </c>
      <c r="G337" t="s">
        <v>8</v>
      </c>
      <c r="H337" t="s">
        <v>70</v>
      </c>
      <c r="I337" t="s">
        <v>75</v>
      </c>
      <c r="J337" t="s">
        <v>76</v>
      </c>
      <c r="K337" t="s">
        <v>73</v>
      </c>
      <c r="L337">
        <v>701000</v>
      </c>
      <c r="M337" t="s">
        <v>62</v>
      </c>
      <c r="N337" t="s">
        <v>33</v>
      </c>
      <c r="O337">
        <v>1147</v>
      </c>
      <c r="P337">
        <v>1.4</v>
      </c>
      <c r="Q337">
        <v>1.61</v>
      </c>
      <c r="R337" t="s">
        <v>1204</v>
      </c>
      <c r="S337" t="s">
        <v>195</v>
      </c>
    </row>
    <row r="338" spans="1:19" x14ac:dyDescent="0.3">
      <c r="A338" t="s">
        <v>661</v>
      </c>
      <c r="B338" t="s">
        <v>23</v>
      </c>
      <c r="C338">
        <v>2026</v>
      </c>
      <c r="D338">
        <v>1</v>
      </c>
      <c r="E338" s="2">
        <v>46036</v>
      </c>
      <c r="F338" t="s">
        <v>7</v>
      </c>
      <c r="G338" t="s">
        <v>8</v>
      </c>
      <c r="H338" t="s">
        <v>70</v>
      </c>
      <c r="I338" t="s">
        <v>75</v>
      </c>
      <c r="J338" t="s">
        <v>76</v>
      </c>
      <c r="K338" t="s">
        <v>73</v>
      </c>
      <c r="L338">
        <v>701000</v>
      </c>
      <c r="M338" t="s">
        <v>62</v>
      </c>
      <c r="N338" t="s">
        <v>33</v>
      </c>
      <c r="O338">
        <v>693</v>
      </c>
      <c r="P338">
        <v>1.4</v>
      </c>
      <c r="Q338">
        <v>0.97</v>
      </c>
      <c r="R338" t="s">
        <v>1201</v>
      </c>
      <c r="S338" t="s">
        <v>195</v>
      </c>
    </row>
    <row r="339" spans="1:19" x14ac:dyDescent="0.3">
      <c r="A339" t="s">
        <v>662</v>
      </c>
      <c r="B339" t="s">
        <v>23</v>
      </c>
      <c r="C339">
        <v>2026</v>
      </c>
      <c r="D339">
        <v>1</v>
      </c>
      <c r="E339" s="2">
        <v>46036</v>
      </c>
      <c r="F339" t="s">
        <v>7</v>
      </c>
      <c r="G339" t="s">
        <v>8</v>
      </c>
      <c r="H339" t="s">
        <v>70</v>
      </c>
      <c r="I339" t="s">
        <v>75</v>
      </c>
      <c r="J339" t="s">
        <v>76</v>
      </c>
      <c r="K339" t="s">
        <v>73</v>
      </c>
      <c r="L339">
        <v>701000</v>
      </c>
      <c r="M339" t="s">
        <v>62</v>
      </c>
      <c r="N339" t="s">
        <v>33</v>
      </c>
      <c r="O339">
        <v>546</v>
      </c>
      <c r="P339">
        <v>1.39</v>
      </c>
      <c r="Q339">
        <v>0.76</v>
      </c>
      <c r="R339" t="s">
        <v>1198</v>
      </c>
      <c r="S339" t="s">
        <v>195</v>
      </c>
    </row>
    <row r="340" spans="1:19" x14ac:dyDescent="0.3">
      <c r="A340" t="s">
        <v>663</v>
      </c>
      <c r="B340" t="s">
        <v>23</v>
      </c>
      <c r="C340">
        <v>2026</v>
      </c>
      <c r="D340">
        <v>1</v>
      </c>
      <c r="E340" s="2">
        <v>46036</v>
      </c>
      <c r="F340" t="s">
        <v>7</v>
      </c>
      <c r="G340" t="s">
        <v>8</v>
      </c>
      <c r="H340" t="s">
        <v>70</v>
      </c>
      <c r="I340" t="s">
        <v>75</v>
      </c>
      <c r="J340" t="s">
        <v>76</v>
      </c>
      <c r="K340" t="s">
        <v>73</v>
      </c>
      <c r="L340">
        <v>701000</v>
      </c>
      <c r="M340" t="s">
        <v>62</v>
      </c>
      <c r="N340" t="s">
        <v>33</v>
      </c>
      <c r="O340">
        <v>2329</v>
      </c>
      <c r="P340">
        <v>1.4</v>
      </c>
      <c r="Q340">
        <v>3.26</v>
      </c>
      <c r="R340" t="s">
        <v>1203</v>
      </c>
      <c r="S340" t="s">
        <v>195</v>
      </c>
    </row>
    <row r="341" spans="1:19" x14ac:dyDescent="0.3">
      <c r="A341" t="s">
        <v>664</v>
      </c>
      <c r="B341" t="s">
        <v>23</v>
      </c>
      <c r="C341">
        <v>2026</v>
      </c>
      <c r="D341">
        <v>1</v>
      </c>
      <c r="E341" s="2">
        <v>46036</v>
      </c>
      <c r="F341" t="s">
        <v>7</v>
      </c>
      <c r="G341" t="s">
        <v>8</v>
      </c>
      <c r="H341" t="s">
        <v>70</v>
      </c>
      <c r="I341" t="s">
        <v>75</v>
      </c>
      <c r="J341" t="s">
        <v>76</v>
      </c>
      <c r="K341" t="s">
        <v>73</v>
      </c>
      <c r="L341">
        <v>701000</v>
      </c>
      <c r="M341" t="s">
        <v>62</v>
      </c>
      <c r="N341" t="s">
        <v>33</v>
      </c>
      <c r="O341">
        <v>2609</v>
      </c>
      <c r="P341">
        <v>1.4</v>
      </c>
      <c r="Q341">
        <v>3.65</v>
      </c>
      <c r="R341" t="s">
        <v>1200</v>
      </c>
      <c r="S341" t="s">
        <v>195</v>
      </c>
    </row>
    <row r="342" spans="1:19" x14ac:dyDescent="0.3">
      <c r="A342" t="s">
        <v>850</v>
      </c>
      <c r="B342" t="s">
        <v>23</v>
      </c>
      <c r="C342">
        <v>2026</v>
      </c>
      <c r="D342">
        <v>1</v>
      </c>
      <c r="E342" s="2">
        <v>46036</v>
      </c>
      <c r="F342" t="s">
        <v>7</v>
      </c>
      <c r="G342" t="s">
        <v>8</v>
      </c>
      <c r="H342" t="s">
        <v>70</v>
      </c>
      <c r="I342" t="s">
        <v>79</v>
      </c>
      <c r="J342" t="s">
        <v>80</v>
      </c>
      <c r="K342" t="s">
        <v>73</v>
      </c>
      <c r="L342">
        <v>701000</v>
      </c>
      <c r="M342" t="s">
        <v>62</v>
      </c>
      <c r="N342" t="s">
        <v>33</v>
      </c>
      <c r="O342">
        <v>709</v>
      </c>
      <c r="P342">
        <v>2.6</v>
      </c>
      <c r="Q342">
        <v>1.84</v>
      </c>
      <c r="R342" t="s">
        <v>1205</v>
      </c>
      <c r="S342" t="s">
        <v>195</v>
      </c>
    </row>
    <row r="343" spans="1:19" x14ac:dyDescent="0.3">
      <c r="A343" t="s">
        <v>851</v>
      </c>
      <c r="B343" t="s">
        <v>23</v>
      </c>
      <c r="C343">
        <v>2026</v>
      </c>
      <c r="D343">
        <v>1</v>
      </c>
      <c r="E343" s="2">
        <v>46036</v>
      </c>
      <c r="F343" t="s">
        <v>7</v>
      </c>
      <c r="G343" t="s">
        <v>8</v>
      </c>
      <c r="H343" t="s">
        <v>70</v>
      </c>
      <c r="I343" t="s">
        <v>79</v>
      </c>
      <c r="J343" t="s">
        <v>80</v>
      </c>
      <c r="K343" t="s">
        <v>73</v>
      </c>
      <c r="L343">
        <v>701000</v>
      </c>
      <c r="M343" t="s">
        <v>62</v>
      </c>
      <c r="N343" t="s">
        <v>33</v>
      </c>
      <c r="O343">
        <v>1369</v>
      </c>
      <c r="P343">
        <v>2.6</v>
      </c>
      <c r="Q343">
        <v>3.56</v>
      </c>
      <c r="R343" t="s">
        <v>1197</v>
      </c>
      <c r="S343" t="s">
        <v>195</v>
      </c>
    </row>
    <row r="344" spans="1:19" x14ac:dyDescent="0.3">
      <c r="A344" t="s">
        <v>852</v>
      </c>
      <c r="B344" t="s">
        <v>23</v>
      </c>
      <c r="C344">
        <v>2026</v>
      </c>
      <c r="D344">
        <v>1</v>
      </c>
      <c r="E344" s="2">
        <v>46036</v>
      </c>
      <c r="F344" t="s">
        <v>7</v>
      </c>
      <c r="G344" t="s">
        <v>8</v>
      </c>
      <c r="H344" t="s">
        <v>70</v>
      </c>
      <c r="I344" t="s">
        <v>79</v>
      </c>
      <c r="J344" t="s">
        <v>80</v>
      </c>
      <c r="K344" t="s">
        <v>73</v>
      </c>
      <c r="L344">
        <v>701000</v>
      </c>
      <c r="M344" t="s">
        <v>62</v>
      </c>
      <c r="N344" t="s">
        <v>33</v>
      </c>
      <c r="O344">
        <v>1917</v>
      </c>
      <c r="P344">
        <v>2.6</v>
      </c>
      <c r="Q344">
        <v>4.9800000000000004</v>
      </c>
      <c r="R344" t="s">
        <v>1201</v>
      </c>
      <c r="S344" t="s">
        <v>195</v>
      </c>
    </row>
    <row r="345" spans="1:19" x14ac:dyDescent="0.3">
      <c r="A345" t="s">
        <v>853</v>
      </c>
      <c r="B345" t="s">
        <v>23</v>
      </c>
      <c r="C345">
        <v>2026</v>
      </c>
      <c r="D345">
        <v>1</v>
      </c>
      <c r="E345" s="2">
        <v>46036</v>
      </c>
      <c r="F345" t="s">
        <v>7</v>
      </c>
      <c r="G345" t="s">
        <v>8</v>
      </c>
      <c r="H345" t="s">
        <v>70</v>
      </c>
      <c r="I345" t="s">
        <v>79</v>
      </c>
      <c r="J345" t="s">
        <v>80</v>
      </c>
      <c r="K345" t="s">
        <v>73</v>
      </c>
      <c r="L345">
        <v>701000</v>
      </c>
      <c r="M345" t="s">
        <v>62</v>
      </c>
      <c r="N345" t="s">
        <v>33</v>
      </c>
      <c r="O345">
        <v>1201</v>
      </c>
      <c r="P345">
        <v>2.6</v>
      </c>
      <c r="Q345">
        <v>3.12</v>
      </c>
      <c r="R345" t="s">
        <v>1202</v>
      </c>
      <c r="S345" t="s">
        <v>195</v>
      </c>
    </row>
    <row r="346" spans="1:19" x14ac:dyDescent="0.3">
      <c r="A346" t="s">
        <v>854</v>
      </c>
      <c r="B346" t="s">
        <v>23</v>
      </c>
      <c r="C346">
        <v>2026</v>
      </c>
      <c r="D346">
        <v>1</v>
      </c>
      <c r="E346" s="2">
        <v>46036</v>
      </c>
      <c r="F346" t="s">
        <v>7</v>
      </c>
      <c r="G346" t="s">
        <v>8</v>
      </c>
      <c r="H346" t="s">
        <v>70</v>
      </c>
      <c r="I346" t="s">
        <v>79</v>
      </c>
      <c r="J346" t="s">
        <v>80</v>
      </c>
      <c r="K346" t="s">
        <v>73</v>
      </c>
      <c r="L346">
        <v>701000</v>
      </c>
      <c r="M346" t="s">
        <v>62</v>
      </c>
      <c r="N346" t="s">
        <v>33</v>
      </c>
      <c r="O346">
        <v>1735</v>
      </c>
      <c r="P346">
        <v>2.61</v>
      </c>
      <c r="Q346">
        <v>4.5199999999999996</v>
      </c>
      <c r="R346" t="s">
        <v>1204</v>
      </c>
      <c r="S346" t="s">
        <v>195</v>
      </c>
    </row>
    <row r="347" spans="1:19" x14ac:dyDescent="0.3">
      <c r="A347" t="s">
        <v>1000</v>
      </c>
      <c r="B347" t="s">
        <v>23</v>
      </c>
      <c r="C347">
        <v>2026</v>
      </c>
      <c r="D347">
        <v>1</v>
      </c>
      <c r="E347" s="2">
        <v>46036</v>
      </c>
      <c r="F347" t="s">
        <v>7</v>
      </c>
      <c r="G347" t="s">
        <v>8</v>
      </c>
      <c r="H347" t="s">
        <v>74</v>
      </c>
      <c r="I347" t="s">
        <v>82</v>
      </c>
      <c r="J347" t="s">
        <v>83</v>
      </c>
      <c r="K347" t="s">
        <v>73</v>
      </c>
      <c r="L347">
        <v>701000</v>
      </c>
      <c r="M347" t="s">
        <v>62</v>
      </c>
      <c r="N347" t="s">
        <v>33</v>
      </c>
      <c r="O347">
        <v>230</v>
      </c>
      <c r="P347">
        <v>18.52</v>
      </c>
      <c r="Q347">
        <v>4.26</v>
      </c>
      <c r="R347" t="s">
        <v>1204</v>
      </c>
      <c r="S347" t="s">
        <v>195</v>
      </c>
    </row>
    <row r="348" spans="1:19" x14ac:dyDescent="0.3">
      <c r="A348" t="s">
        <v>1001</v>
      </c>
      <c r="B348" t="s">
        <v>23</v>
      </c>
      <c r="C348">
        <v>2026</v>
      </c>
      <c r="D348">
        <v>1</v>
      </c>
      <c r="E348" s="2">
        <v>46036</v>
      </c>
      <c r="F348" t="s">
        <v>7</v>
      </c>
      <c r="G348" t="s">
        <v>8</v>
      </c>
      <c r="H348" t="s">
        <v>74</v>
      </c>
      <c r="I348" t="s">
        <v>82</v>
      </c>
      <c r="J348" t="s">
        <v>83</v>
      </c>
      <c r="K348" t="s">
        <v>73</v>
      </c>
      <c r="L348">
        <v>701000</v>
      </c>
      <c r="M348" t="s">
        <v>62</v>
      </c>
      <c r="N348" t="s">
        <v>33</v>
      </c>
      <c r="O348">
        <v>95</v>
      </c>
      <c r="P348">
        <v>18.420000000000002</v>
      </c>
      <c r="Q348">
        <v>1.75</v>
      </c>
      <c r="R348" t="s">
        <v>1197</v>
      </c>
      <c r="S348" t="s">
        <v>195</v>
      </c>
    </row>
    <row r="349" spans="1:19" x14ac:dyDescent="0.3">
      <c r="A349" t="s">
        <v>1002</v>
      </c>
      <c r="B349" t="s">
        <v>23</v>
      </c>
      <c r="C349">
        <v>2026</v>
      </c>
      <c r="D349">
        <v>1</v>
      </c>
      <c r="E349" s="2">
        <v>46036</v>
      </c>
      <c r="F349" t="s">
        <v>7</v>
      </c>
      <c r="G349" t="s">
        <v>8</v>
      </c>
      <c r="H349" t="s">
        <v>74</v>
      </c>
      <c r="I349" t="s">
        <v>82</v>
      </c>
      <c r="J349" t="s">
        <v>83</v>
      </c>
      <c r="K349" t="s">
        <v>73</v>
      </c>
      <c r="L349">
        <v>701000</v>
      </c>
      <c r="M349" t="s">
        <v>62</v>
      </c>
      <c r="N349" t="s">
        <v>33</v>
      </c>
      <c r="O349">
        <v>103</v>
      </c>
      <c r="P349">
        <v>18.54</v>
      </c>
      <c r="Q349">
        <v>1.91</v>
      </c>
      <c r="R349" t="s">
        <v>1198</v>
      </c>
      <c r="S349" t="s">
        <v>195</v>
      </c>
    </row>
    <row r="350" spans="1:19" x14ac:dyDescent="0.3">
      <c r="A350" t="s">
        <v>1003</v>
      </c>
      <c r="B350" t="s">
        <v>23</v>
      </c>
      <c r="C350">
        <v>2026</v>
      </c>
      <c r="D350">
        <v>1</v>
      </c>
      <c r="E350" s="2">
        <v>46036</v>
      </c>
      <c r="F350" t="s">
        <v>7</v>
      </c>
      <c r="G350" t="s">
        <v>8</v>
      </c>
      <c r="H350" t="s">
        <v>74</v>
      </c>
      <c r="I350" t="s">
        <v>82</v>
      </c>
      <c r="J350" t="s">
        <v>83</v>
      </c>
      <c r="K350" t="s">
        <v>73</v>
      </c>
      <c r="L350">
        <v>701000</v>
      </c>
      <c r="M350" t="s">
        <v>62</v>
      </c>
      <c r="N350" t="s">
        <v>33</v>
      </c>
      <c r="O350">
        <v>200</v>
      </c>
      <c r="P350">
        <v>18.45</v>
      </c>
      <c r="Q350">
        <v>3.69</v>
      </c>
      <c r="R350" t="s">
        <v>1200</v>
      </c>
      <c r="S350" t="s">
        <v>195</v>
      </c>
    </row>
    <row r="351" spans="1:19" x14ac:dyDescent="0.3">
      <c r="A351" t="s">
        <v>1004</v>
      </c>
      <c r="B351" t="s">
        <v>23</v>
      </c>
      <c r="C351">
        <v>2026</v>
      </c>
      <c r="D351">
        <v>1</v>
      </c>
      <c r="E351" s="2">
        <v>46036</v>
      </c>
      <c r="F351" t="s">
        <v>7</v>
      </c>
      <c r="G351" t="s">
        <v>8</v>
      </c>
      <c r="H351" t="s">
        <v>74</v>
      </c>
      <c r="I351" t="s">
        <v>82</v>
      </c>
      <c r="J351" t="s">
        <v>83</v>
      </c>
      <c r="K351" t="s">
        <v>73</v>
      </c>
      <c r="L351">
        <v>701000</v>
      </c>
      <c r="M351" t="s">
        <v>62</v>
      </c>
      <c r="N351" t="s">
        <v>33</v>
      </c>
      <c r="O351">
        <v>191</v>
      </c>
      <c r="P351">
        <v>18.53</v>
      </c>
      <c r="Q351">
        <v>3.54</v>
      </c>
      <c r="R351" t="s">
        <v>1203</v>
      </c>
      <c r="S351" t="s">
        <v>195</v>
      </c>
    </row>
    <row r="352" spans="1:19" x14ac:dyDescent="0.3">
      <c r="A352" t="s">
        <v>265</v>
      </c>
      <c r="B352" t="s">
        <v>23</v>
      </c>
      <c r="C352">
        <v>2026</v>
      </c>
      <c r="D352">
        <v>1</v>
      </c>
      <c r="E352" s="2">
        <v>46037</v>
      </c>
      <c r="F352" t="s">
        <v>7</v>
      </c>
      <c r="G352" t="s">
        <v>8</v>
      </c>
      <c r="H352" t="s">
        <v>70</v>
      </c>
      <c r="I352" t="s">
        <v>84</v>
      </c>
      <c r="J352" t="s">
        <v>85</v>
      </c>
      <c r="K352" t="s">
        <v>73</v>
      </c>
      <c r="L352">
        <v>701000</v>
      </c>
      <c r="M352" t="s">
        <v>62</v>
      </c>
      <c r="N352" t="s">
        <v>33</v>
      </c>
      <c r="O352">
        <v>1202</v>
      </c>
      <c r="P352">
        <v>0.95</v>
      </c>
      <c r="Q352">
        <v>1.1399999999999999</v>
      </c>
      <c r="R352" t="s">
        <v>1202</v>
      </c>
      <c r="S352" t="s">
        <v>195</v>
      </c>
    </row>
    <row r="353" spans="1:19" x14ac:dyDescent="0.3">
      <c r="A353" t="s">
        <v>266</v>
      </c>
      <c r="B353" t="s">
        <v>23</v>
      </c>
      <c r="C353">
        <v>2026</v>
      </c>
      <c r="D353">
        <v>1</v>
      </c>
      <c r="E353" s="2">
        <v>46037</v>
      </c>
      <c r="F353" t="s">
        <v>7</v>
      </c>
      <c r="G353" t="s">
        <v>8</v>
      </c>
      <c r="H353" t="s">
        <v>70</v>
      </c>
      <c r="I353" t="s">
        <v>84</v>
      </c>
      <c r="J353" t="s">
        <v>85</v>
      </c>
      <c r="K353" t="s">
        <v>73</v>
      </c>
      <c r="L353">
        <v>701000</v>
      </c>
      <c r="M353" t="s">
        <v>62</v>
      </c>
      <c r="N353" t="s">
        <v>33</v>
      </c>
      <c r="O353">
        <v>3665</v>
      </c>
      <c r="P353">
        <v>0.95</v>
      </c>
      <c r="Q353">
        <v>3.48</v>
      </c>
      <c r="R353" t="s">
        <v>1205</v>
      </c>
      <c r="S353" t="s">
        <v>195</v>
      </c>
    </row>
    <row r="354" spans="1:19" x14ac:dyDescent="0.3">
      <c r="A354" t="s">
        <v>267</v>
      </c>
      <c r="B354" t="s">
        <v>23</v>
      </c>
      <c r="C354">
        <v>2026</v>
      </c>
      <c r="D354">
        <v>1</v>
      </c>
      <c r="E354" s="2">
        <v>46037</v>
      </c>
      <c r="F354" t="s">
        <v>7</v>
      </c>
      <c r="G354" t="s">
        <v>8</v>
      </c>
      <c r="H354" t="s">
        <v>70</v>
      </c>
      <c r="I354" t="s">
        <v>84</v>
      </c>
      <c r="J354" t="s">
        <v>85</v>
      </c>
      <c r="K354" t="s">
        <v>73</v>
      </c>
      <c r="L354">
        <v>701000</v>
      </c>
      <c r="M354" t="s">
        <v>62</v>
      </c>
      <c r="N354" t="s">
        <v>33</v>
      </c>
      <c r="O354">
        <v>3130</v>
      </c>
      <c r="P354">
        <v>0.95</v>
      </c>
      <c r="Q354">
        <v>2.97</v>
      </c>
      <c r="R354" t="s">
        <v>1200</v>
      </c>
      <c r="S354" t="s">
        <v>195</v>
      </c>
    </row>
    <row r="355" spans="1:19" x14ac:dyDescent="0.3">
      <c r="A355" t="s">
        <v>268</v>
      </c>
      <c r="B355" t="s">
        <v>23</v>
      </c>
      <c r="C355">
        <v>2026</v>
      </c>
      <c r="D355">
        <v>1</v>
      </c>
      <c r="E355" s="2">
        <v>46037</v>
      </c>
      <c r="F355" t="s">
        <v>7</v>
      </c>
      <c r="G355" t="s">
        <v>8</v>
      </c>
      <c r="H355" t="s">
        <v>70</v>
      </c>
      <c r="I355" t="s">
        <v>84</v>
      </c>
      <c r="J355" t="s">
        <v>85</v>
      </c>
      <c r="K355" t="s">
        <v>73</v>
      </c>
      <c r="L355">
        <v>701000</v>
      </c>
      <c r="M355" t="s">
        <v>62</v>
      </c>
      <c r="N355" t="s">
        <v>33</v>
      </c>
      <c r="O355">
        <v>3424</v>
      </c>
      <c r="P355">
        <v>0.95</v>
      </c>
      <c r="Q355">
        <v>3.25</v>
      </c>
      <c r="R355" t="s">
        <v>1204</v>
      </c>
      <c r="S355" t="s">
        <v>195</v>
      </c>
    </row>
    <row r="356" spans="1:19" x14ac:dyDescent="0.3">
      <c r="A356" t="s">
        <v>269</v>
      </c>
      <c r="B356" t="s">
        <v>23</v>
      </c>
      <c r="C356">
        <v>2026</v>
      </c>
      <c r="D356">
        <v>1</v>
      </c>
      <c r="E356" s="2">
        <v>46037</v>
      </c>
      <c r="F356" t="s">
        <v>7</v>
      </c>
      <c r="G356" t="s">
        <v>8</v>
      </c>
      <c r="H356" t="s">
        <v>70</v>
      </c>
      <c r="I356" t="s">
        <v>84</v>
      </c>
      <c r="J356" t="s">
        <v>85</v>
      </c>
      <c r="K356" t="s">
        <v>73</v>
      </c>
      <c r="L356">
        <v>701000</v>
      </c>
      <c r="M356" t="s">
        <v>62</v>
      </c>
      <c r="N356" t="s">
        <v>33</v>
      </c>
      <c r="O356">
        <v>1771</v>
      </c>
      <c r="P356">
        <v>0.95</v>
      </c>
      <c r="Q356">
        <v>1.69</v>
      </c>
      <c r="R356" t="s">
        <v>1199</v>
      </c>
      <c r="S356" t="s">
        <v>195</v>
      </c>
    </row>
    <row r="357" spans="1:19" x14ac:dyDescent="0.3">
      <c r="A357" t="s">
        <v>280</v>
      </c>
      <c r="B357" t="s">
        <v>23</v>
      </c>
      <c r="C357">
        <v>2026</v>
      </c>
      <c r="D357">
        <v>1</v>
      </c>
      <c r="E357" s="2">
        <v>46037</v>
      </c>
      <c r="F357" t="s">
        <v>7</v>
      </c>
      <c r="G357" t="s">
        <v>8</v>
      </c>
      <c r="H357" t="s">
        <v>70</v>
      </c>
      <c r="I357" t="s">
        <v>84</v>
      </c>
      <c r="J357" t="s">
        <v>85</v>
      </c>
      <c r="K357" t="s">
        <v>73</v>
      </c>
      <c r="L357">
        <v>701000</v>
      </c>
      <c r="M357" t="s">
        <v>62</v>
      </c>
      <c r="N357" t="s">
        <v>33</v>
      </c>
      <c r="O357">
        <v>1646</v>
      </c>
      <c r="P357">
        <v>0.95</v>
      </c>
      <c r="Q357">
        <v>1.56</v>
      </c>
      <c r="R357" t="s">
        <v>1197</v>
      </c>
      <c r="S357" t="s">
        <v>195</v>
      </c>
    </row>
    <row r="358" spans="1:19" x14ac:dyDescent="0.3">
      <c r="A358" t="s">
        <v>281</v>
      </c>
      <c r="B358" t="s">
        <v>23</v>
      </c>
      <c r="C358">
        <v>2026</v>
      </c>
      <c r="D358">
        <v>1</v>
      </c>
      <c r="E358" s="2">
        <v>46037</v>
      </c>
      <c r="F358" t="s">
        <v>7</v>
      </c>
      <c r="G358" t="s">
        <v>8</v>
      </c>
      <c r="H358" t="s">
        <v>70</v>
      </c>
      <c r="I358" t="s">
        <v>84</v>
      </c>
      <c r="J358" t="s">
        <v>85</v>
      </c>
      <c r="K358" t="s">
        <v>73</v>
      </c>
      <c r="L358">
        <v>701000</v>
      </c>
      <c r="M358" t="s">
        <v>62</v>
      </c>
      <c r="N358" t="s">
        <v>33</v>
      </c>
      <c r="O358">
        <v>1960</v>
      </c>
      <c r="P358">
        <v>0.95</v>
      </c>
      <c r="Q358">
        <v>1.86</v>
      </c>
      <c r="R358" t="s">
        <v>1205</v>
      </c>
      <c r="S358" t="s">
        <v>195</v>
      </c>
    </row>
    <row r="359" spans="1:19" x14ac:dyDescent="0.3">
      <c r="A359" t="s">
        <v>282</v>
      </c>
      <c r="B359" t="s">
        <v>23</v>
      </c>
      <c r="C359">
        <v>2026</v>
      </c>
      <c r="D359">
        <v>1</v>
      </c>
      <c r="E359" s="2">
        <v>46037</v>
      </c>
      <c r="F359" t="s">
        <v>7</v>
      </c>
      <c r="G359" t="s">
        <v>8</v>
      </c>
      <c r="H359" t="s">
        <v>70</v>
      </c>
      <c r="I359" t="s">
        <v>84</v>
      </c>
      <c r="J359" t="s">
        <v>85</v>
      </c>
      <c r="K359" t="s">
        <v>73</v>
      </c>
      <c r="L359">
        <v>701000</v>
      </c>
      <c r="M359" t="s">
        <v>62</v>
      </c>
      <c r="N359" t="s">
        <v>33</v>
      </c>
      <c r="O359">
        <v>6168</v>
      </c>
      <c r="P359">
        <v>0.95</v>
      </c>
      <c r="Q359">
        <v>5.86</v>
      </c>
      <c r="R359" t="s">
        <v>1202</v>
      </c>
      <c r="S359" t="s">
        <v>195</v>
      </c>
    </row>
    <row r="360" spans="1:19" x14ac:dyDescent="0.3">
      <c r="A360" t="s">
        <v>283</v>
      </c>
      <c r="B360" t="s">
        <v>23</v>
      </c>
      <c r="C360">
        <v>2026</v>
      </c>
      <c r="D360">
        <v>1</v>
      </c>
      <c r="E360" s="2">
        <v>46037</v>
      </c>
      <c r="F360" t="s">
        <v>7</v>
      </c>
      <c r="G360" t="s">
        <v>8</v>
      </c>
      <c r="H360" t="s">
        <v>70</v>
      </c>
      <c r="I360" t="s">
        <v>84</v>
      </c>
      <c r="J360" t="s">
        <v>85</v>
      </c>
      <c r="K360" t="s">
        <v>73</v>
      </c>
      <c r="L360">
        <v>701000</v>
      </c>
      <c r="M360" t="s">
        <v>62</v>
      </c>
      <c r="N360" t="s">
        <v>33</v>
      </c>
      <c r="O360">
        <v>1426</v>
      </c>
      <c r="P360">
        <v>0.95</v>
      </c>
      <c r="Q360">
        <v>1.35</v>
      </c>
      <c r="R360" t="s">
        <v>1201</v>
      </c>
      <c r="S360" t="s">
        <v>195</v>
      </c>
    </row>
    <row r="361" spans="1:19" x14ac:dyDescent="0.3">
      <c r="A361" t="s">
        <v>284</v>
      </c>
      <c r="B361" t="s">
        <v>23</v>
      </c>
      <c r="C361">
        <v>2026</v>
      </c>
      <c r="D361">
        <v>1</v>
      </c>
      <c r="E361" s="2">
        <v>46037</v>
      </c>
      <c r="F361" t="s">
        <v>7</v>
      </c>
      <c r="G361" t="s">
        <v>8</v>
      </c>
      <c r="H361" t="s">
        <v>70</v>
      </c>
      <c r="I361" t="s">
        <v>84</v>
      </c>
      <c r="J361" t="s">
        <v>85</v>
      </c>
      <c r="K361" t="s">
        <v>73</v>
      </c>
      <c r="L361">
        <v>701000</v>
      </c>
      <c r="M361" t="s">
        <v>62</v>
      </c>
      <c r="N361" t="s">
        <v>33</v>
      </c>
      <c r="O361">
        <v>1320</v>
      </c>
      <c r="P361">
        <v>0.95</v>
      </c>
      <c r="Q361">
        <v>1.26</v>
      </c>
      <c r="R361" t="s">
        <v>1198</v>
      </c>
      <c r="S361" t="s">
        <v>195</v>
      </c>
    </row>
    <row r="362" spans="1:19" x14ac:dyDescent="0.3">
      <c r="A362" t="s">
        <v>335</v>
      </c>
      <c r="B362" t="s">
        <v>23</v>
      </c>
      <c r="C362">
        <v>2026</v>
      </c>
      <c r="D362">
        <v>1</v>
      </c>
      <c r="E362" s="2">
        <v>46037</v>
      </c>
      <c r="F362" t="s">
        <v>7</v>
      </c>
      <c r="G362" t="s">
        <v>8</v>
      </c>
      <c r="H362" t="s">
        <v>70</v>
      </c>
      <c r="I362" t="s">
        <v>84</v>
      </c>
      <c r="J362" t="s">
        <v>85</v>
      </c>
      <c r="K362" t="s">
        <v>73</v>
      </c>
      <c r="L362">
        <v>706000</v>
      </c>
      <c r="M362" t="s">
        <v>63</v>
      </c>
      <c r="N362" t="s">
        <v>33</v>
      </c>
      <c r="O362">
        <v>4838</v>
      </c>
      <c r="P362">
        <v>0.95</v>
      </c>
      <c r="Q362">
        <v>4.5999999999999996</v>
      </c>
      <c r="R362" t="s">
        <v>1198</v>
      </c>
      <c r="S362" t="s">
        <v>195</v>
      </c>
    </row>
    <row r="363" spans="1:19" x14ac:dyDescent="0.3">
      <c r="A363" t="s">
        <v>336</v>
      </c>
      <c r="B363" t="s">
        <v>23</v>
      </c>
      <c r="C363">
        <v>2026</v>
      </c>
      <c r="D363">
        <v>1</v>
      </c>
      <c r="E363" s="2">
        <v>46037</v>
      </c>
      <c r="F363" t="s">
        <v>7</v>
      </c>
      <c r="G363" t="s">
        <v>8</v>
      </c>
      <c r="H363" t="s">
        <v>70</v>
      </c>
      <c r="I363" t="s">
        <v>84</v>
      </c>
      <c r="J363" t="s">
        <v>85</v>
      </c>
      <c r="K363" t="s">
        <v>73</v>
      </c>
      <c r="L363">
        <v>706000</v>
      </c>
      <c r="M363" t="s">
        <v>63</v>
      </c>
      <c r="N363" t="s">
        <v>33</v>
      </c>
      <c r="O363">
        <v>2046</v>
      </c>
      <c r="P363">
        <v>0.95</v>
      </c>
      <c r="Q363">
        <v>1.94</v>
      </c>
      <c r="R363" t="s">
        <v>1199</v>
      </c>
      <c r="S363" t="s">
        <v>195</v>
      </c>
    </row>
    <row r="364" spans="1:19" x14ac:dyDescent="0.3">
      <c r="A364" t="s">
        <v>337</v>
      </c>
      <c r="B364" t="s">
        <v>23</v>
      </c>
      <c r="C364">
        <v>2026</v>
      </c>
      <c r="D364">
        <v>1</v>
      </c>
      <c r="E364" s="2">
        <v>46037</v>
      </c>
      <c r="F364" t="s">
        <v>7</v>
      </c>
      <c r="G364" t="s">
        <v>8</v>
      </c>
      <c r="H364" t="s">
        <v>70</v>
      </c>
      <c r="I364" t="s">
        <v>84</v>
      </c>
      <c r="J364" t="s">
        <v>85</v>
      </c>
      <c r="K364" t="s">
        <v>73</v>
      </c>
      <c r="L364">
        <v>706000</v>
      </c>
      <c r="M364" t="s">
        <v>63</v>
      </c>
      <c r="N364" t="s">
        <v>33</v>
      </c>
      <c r="O364">
        <v>2089</v>
      </c>
      <c r="P364">
        <v>0.95</v>
      </c>
      <c r="Q364">
        <v>1.98</v>
      </c>
      <c r="R364" t="s">
        <v>1204</v>
      </c>
      <c r="S364" t="s">
        <v>195</v>
      </c>
    </row>
    <row r="365" spans="1:19" x14ac:dyDescent="0.3">
      <c r="A365" t="s">
        <v>338</v>
      </c>
      <c r="B365" t="s">
        <v>23</v>
      </c>
      <c r="C365">
        <v>2026</v>
      </c>
      <c r="D365">
        <v>1</v>
      </c>
      <c r="E365" s="2">
        <v>46037</v>
      </c>
      <c r="F365" t="s">
        <v>7</v>
      </c>
      <c r="G365" t="s">
        <v>8</v>
      </c>
      <c r="H365" t="s">
        <v>70</v>
      </c>
      <c r="I365" t="s">
        <v>84</v>
      </c>
      <c r="J365" t="s">
        <v>85</v>
      </c>
      <c r="K365" t="s">
        <v>73</v>
      </c>
      <c r="L365">
        <v>706000</v>
      </c>
      <c r="M365" t="s">
        <v>63</v>
      </c>
      <c r="N365" t="s">
        <v>33</v>
      </c>
      <c r="O365">
        <v>2959</v>
      </c>
      <c r="P365">
        <v>0.95</v>
      </c>
      <c r="Q365">
        <v>2.81</v>
      </c>
      <c r="R365" t="s">
        <v>1197</v>
      </c>
      <c r="S365" t="s">
        <v>195</v>
      </c>
    </row>
    <row r="366" spans="1:19" x14ac:dyDescent="0.3">
      <c r="A366" t="s">
        <v>339</v>
      </c>
      <c r="B366" t="s">
        <v>23</v>
      </c>
      <c r="C366">
        <v>2026</v>
      </c>
      <c r="D366">
        <v>1</v>
      </c>
      <c r="E366" s="2">
        <v>46037</v>
      </c>
      <c r="F366" t="s">
        <v>7</v>
      </c>
      <c r="G366" t="s">
        <v>8</v>
      </c>
      <c r="H366" t="s">
        <v>70</v>
      </c>
      <c r="I366" t="s">
        <v>84</v>
      </c>
      <c r="J366" t="s">
        <v>85</v>
      </c>
      <c r="K366" t="s">
        <v>73</v>
      </c>
      <c r="L366">
        <v>706000</v>
      </c>
      <c r="M366" t="s">
        <v>63</v>
      </c>
      <c r="N366" t="s">
        <v>33</v>
      </c>
      <c r="O366">
        <v>2331</v>
      </c>
      <c r="P366">
        <v>0.95</v>
      </c>
      <c r="Q366">
        <v>2.2200000000000002</v>
      </c>
      <c r="R366" t="s">
        <v>1200</v>
      </c>
      <c r="S366" t="s">
        <v>195</v>
      </c>
    </row>
    <row r="367" spans="1:19" x14ac:dyDescent="0.3">
      <c r="A367" t="s">
        <v>350</v>
      </c>
      <c r="B367" t="s">
        <v>23</v>
      </c>
      <c r="C367">
        <v>2026</v>
      </c>
      <c r="D367">
        <v>1</v>
      </c>
      <c r="E367" s="2">
        <v>46037</v>
      </c>
      <c r="F367" t="s">
        <v>7</v>
      </c>
      <c r="G367" t="s">
        <v>8</v>
      </c>
      <c r="H367" t="s">
        <v>74</v>
      </c>
      <c r="I367" t="s">
        <v>84</v>
      </c>
      <c r="J367" t="s">
        <v>85</v>
      </c>
      <c r="K367" t="s">
        <v>73</v>
      </c>
      <c r="L367">
        <v>707000</v>
      </c>
      <c r="M367" t="s">
        <v>81</v>
      </c>
      <c r="N367" t="s">
        <v>33</v>
      </c>
      <c r="O367">
        <v>327</v>
      </c>
      <c r="P367">
        <v>0.95</v>
      </c>
      <c r="Q367">
        <v>0.31</v>
      </c>
      <c r="R367" t="s">
        <v>1197</v>
      </c>
      <c r="S367" t="s">
        <v>195</v>
      </c>
    </row>
    <row r="368" spans="1:19" x14ac:dyDescent="0.3">
      <c r="A368" t="s">
        <v>351</v>
      </c>
      <c r="B368" t="s">
        <v>23</v>
      </c>
      <c r="C368">
        <v>2026</v>
      </c>
      <c r="D368">
        <v>1</v>
      </c>
      <c r="E368" s="2">
        <v>46037</v>
      </c>
      <c r="F368" t="s">
        <v>7</v>
      </c>
      <c r="G368" t="s">
        <v>8</v>
      </c>
      <c r="H368" t="s">
        <v>74</v>
      </c>
      <c r="I368" t="s">
        <v>84</v>
      </c>
      <c r="J368" t="s">
        <v>85</v>
      </c>
      <c r="K368" t="s">
        <v>73</v>
      </c>
      <c r="L368">
        <v>707000</v>
      </c>
      <c r="M368" t="s">
        <v>81</v>
      </c>
      <c r="N368" t="s">
        <v>33</v>
      </c>
      <c r="O368">
        <v>3533</v>
      </c>
      <c r="P368">
        <v>0.95</v>
      </c>
      <c r="Q368">
        <v>3.36</v>
      </c>
      <c r="R368" t="s">
        <v>1203</v>
      </c>
      <c r="S368" t="s">
        <v>195</v>
      </c>
    </row>
    <row r="369" spans="1:19" x14ac:dyDescent="0.3">
      <c r="A369" t="s">
        <v>352</v>
      </c>
      <c r="B369" t="s">
        <v>23</v>
      </c>
      <c r="C369">
        <v>2026</v>
      </c>
      <c r="D369">
        <v>1</v>
      </c>
      <c r="E369" s="2">
        <v>46037</v>
      </c>
      <c r="F369" t="s">
        <v>7</v>
      </c>
      <c r="G369" t="s">
        <v>8</v>
      </c>
      <c r="H369" t="s">
        <v>74</v>
      </c>
      <c r="I369" t="s">
        <v>84</v>
      </c>
      <c r="J369" t="s">
        <v>85</v>
      </c>
      <c r="K369" t="s">
        <v>73</v>
      </c>
      <c r="L369">
        <v>707000</v>
      </c>
      <c r="M369" t="s">
        <v>81</v>
      </c>
      <c r="N369" t="s">
        <v>33</v>
      </c>
      <c r="O369">
        <v>3455</v>
      </c>
      <c r="P369">
        <v>0.95</v>
      </c>
      <c r="Q369">
        <v>3.28</v>
      </c>
      <c r="R369" t="s">
        <v>1201</v>
      </c>
      <c r="S369" t="s">
        <v>195</v>
      </c>
    </row>
    <row r="370" spans="1:19" x14ac:dyDescent="0.3">
      <c r="A370" t="s">
        <v>353</v>
      </c>
      <c r="B370" t="s">
        <v>23</v>
      </c>
      <c r="C370">
        <v>2026</v>
      </c>
      <c r="D370">
        <v>1</v>
      </c>
      <c r="E370" s="2">
        <v>46037</v>
      </c>
      <c r="F370" t="s">
        <v>7</v>
      </c>
      <c r="G370" t="s">
        <v>8</v>
      </c>
      <c r="H370" t="s">
        <v>74</v>
      </c>
      <c r="I370" t="s">
        <v>84</v>
      </c>
      <c r="J370" t="s">
        <v>85</v>
      </c>
      <c r="K370" t="s">
        <v>73</v>
      </c>
      <c r="L370">
        <v>707000</v>
      </c>
      <c r="M370" t="s">
        <v>81</v>
      </c>
      <c r="N370" t="s">
        <v>33</v>
      </c>
      <c r="O370">
        <v>3461</v>
      </c>
      <c r="P370">
        <v>0.95</v>
      </c>
      <c r="Q370">
        <v>3.29</v>
      </c>
      <c r="R370" t="s">
        <v>1199</v>
      </c>
      <c r="S370" t="s">
        <v>195</v>
      </c>
    </row>
    <row r="371" spans="1:19" x14ac:dyDescent="0.3">
      <c r="A371" t="s">
        <v>354</v>
      </c>
      <c r="B371" t="s">
        <v>23</v>
      </c>
      <c r="C371">
        <v>2026</v>
      </c>
      <c r="D371">
        <v>1</v>
      </c>
      <c r="E371" s="2">
        <v>46037</v>
      </c>
      <c r="F371" t="s">
        <v>7</v>
      </c>
      <c r="G371" t="s">
        <v>8</v>
      </c>
      <c r="H371" t="s">
        <v>74</v>
      </c>
      <c r="I371" t="s">
        <v>84</v>
      </c>
      <c r="J371" t="s">
        <v>85</v>
      </c>
      <c r="K371" t="s">
        <v>73</v>
      </c>
      <c r="L371">
        <v>707000</v>
      </c>
      <c r="M371" t="s">
        <v>81</v>
      </c>
      <c r="N371" t="s">
        <v>33</v>
      </c>
      <c r="O371">
        <v>2687</v>
      </c>
      <c r="P371">
        <v>0.95</v>
      </c>
      <c r="Q371">
        <v>2.5499999999999998</v>
      </c>
      <c r="R371" t="s">
        <v>1198</v>
      </c>
      <c r="S371" t="s">
        <v>195</v>
      </c>
    </row>
    <row r="372" spans="1:19" x14ac:dyDescent="0.3">
      <c r="A372" t="s">
        <v>545</v>
      </c>
      <c r="B372" t="s">
        <v>23</v>
      </c>
      <c r="C372">
        <v>2026</v>
      </c>
      <c r="D372">
        <v>1</v>
      </c>
      <c r="E372" s="2">
        <v>46037</v>
      </c>
      <c r="F372" t="s">
        <v>7</v>
      </c>
      <c r="G372" t="s">
        <v>8</v>
      </c>
      <c r="H372" t="s">
        <v>74</v>
      </c>
      <c r="I372" t="s">
        <v>75</v>
      </c>
      <c r="J372" t="s">
        <v>76</v>
      </c>
      <c r="K372" t="s">
        <v>73</v>
      </c>
      <c r="L372">
        <v>701000</v>
      </c>
      <c r="M372" t="s">
        <v>62</v>
      </c>
      <c r="N372" t="s">
        <v>33</v>
      </c>
      <c r="O372">
        <v>700</v>
      </c>
      <c r="P372">
        <v>1.4</v>
      </c>
      <c r="Q372">
        <v>0.98</v>
      </c>
      <c r="R372" t="s">
        <v>1204</v>
      </c>
      <c r="S372" t="s">
        <v>195</v>
      </c>
    </row>
    <row r="373" spans="1:19" x14ac:dyDescent="0.3">
      <c r="A373" t="s">
        <v>546</v>
      </c>
      <c r="B373" t="s">
        <v>23</v>
      </c>
      <c r="C373">
        <v>2026</v>
      </c>
      <c r="D373">
        <v>1</v>
      </c>
      <c r="E373" s="2">
        <v>46037</v>
      </c>
      <c r="F373" t="s">
        <v>7</v>
      </c>
      <c r="G373" t="s">
        <v>8</v>
      </c>
      <c r="H373" t="s">
        <v>74</v>
      </c>
      <c r="I373" t="s">
        <v>75</v>
      </c>
      <c r="J373" t="s">
        <v>76</v>
      </c>
      <c r="K373" t="s">
        <v>73</v>
      </c>
      <c r="L373">
        <v>701000</v>
      </c>
      <c r="M373" t="s">
        <v>62</v>
      </c>
      <c r="N373" t="s">
        <v>33</v>
      </c>
      <c r="O373">
        <v>2198</v>
      </c>
      <c r="P373">
        <v>1.4</v>
      </c>
      <c r="Q373">
        <v>3.08</v>
      </c>
      <c r="R373" t="s">
        <v>1198</v>
      </c>
      <c r="S373" t="s">
        <v>195</v>
      </c>
    </row>
    <row r="374" spans="1:19" x14ac:dyDescent="0.3">
      <c r="A374" t="s">
        <v>547</v>
      </c>
      <c r="B374" t="s">
        <v>23</v>
      </c>
      <c r="C374">
        <v>2026</v>
      </c>
      <c r="D374">
        <v>1</v>
      </c>
      <c r="E374" s="2">
        <v>46037</v>
      </c>
      <c r="F374" t="s">
        <v>7</v>
      </c>
      <c r="G374" t="s">
        <v>8</v>
      </c>
      <c r="H374" t="s">
        <v>74</v>
      </c>
      <c r="I374" t="s">
        <v>75</v>
      </c>
      <c r="J374" t="s">
        <v>76</v>
      </c>
      <c r="K374" t="s">
        <v>73</v>
      </c>
      <c r="L374">
        <v>701000</v>
      </c>
      <c r="M374" t="s">
        <v>62</v>
      </c>
      <c r="N374" t="s">
        <v>33</v>
      </c>
      <c r="O374">
        <v>216</v>
      </c>
      <c r="P374">
        <v>1.39</v>
      </c>
      <c r="Q374">
        <v>0.3</v>
      </c>
      <c r="R374" t="s">
        <v>1203</v>
      </c>
      <c r="S374" t="s">
        <v>195</v>
      </c>
    </row>
    <row r="375" spans="1:19" x14ac:dyDescent="0.3">
      <c r="A375" t="s">
        <v>548</v>
      </c>
      <c r="B375" t="s">
        <v>23</v>
      </c>
      <c r="C375">
        <v>2026</v>
      </c>
      <c r="D375">
        <v>1</v>
      </c>
      <c r="E375" s="2">
        <v>46037</v>
      </c>
      <c r="F375" t="s">
        <v>7</v>
      </c>
      <c r="G375" t="s">
        <v>8</v>
      </c>
      <c r="H375" t="s">
        <v>74</v>
      </c>
      <c r="I375" t="s">
        <v>75</v>
      </c>
      <c r="J375" t="s">
        <v>76</v>
      </c>
      <c r="K375" t="s">
        <v>73</v>
      </c>
      <c r="L375">
        <v>701000</v>
      </c>
      <c r="M375" t="s">
        <v>62</v>
      </c>
      <c r="N375" t="s">
        <v>33</v>
      </c>
      <c r="O375">
        <v>1663</v>
      </c>
      <c r="P375">
        <v>1.4</v>
      </c>
      <c r="Q375">
        <v>2.33</v>
      </c>
      <c r="R375" t="s">
        <v>1201</v>
      </c>
      <c r="S375" t="s">
        <v>195</v>
      </c>
    </row>
    <row r="376" spans="1:19" x14ac:dyDescent="0.3">
      <c r="A376" t="s">
        <v>549</v>
      </c>
      <c r="B376" t="s">
        <v>23</v>
      </c>
      <c r="C376">
        <v>2026</v>
      </c>
      <c r="D376">
        <v>1</v>
      </c>
      <c r="E376" s="2">
        <v>46037</v>
      </c>
      <c r="F376" t="s">
        <v>7</v>
      </c>
      <c r="G376" t="s">
        <v>8</v>
      </c>
      <c r="H376" t="s">
        <v>74</v>
      </c>
      <c r="I376" t="s">
        <v>75</v>
      </c>
      <c r="J376" t="s">
        <v>76</v>
      </c>
      <c r="K376" t="s">
        <v>73</v>
      </c>
      <c r="L376">
        <v>701000</v>
      </c>
      <c r="M376" t="s">
        <v>62</v>
      </c>
      <c r="N376" t="s">
        <v>33</v>
      </c>
      <c r="O376">
        <v>995</v>
      </c>
      <c r="P376">
        <v>1.4</v>
      </c>
      <c r="Q376">
        <v>1.39</v>
      </c>
      <c r="R376" t="s">
        <v>1205</v>
      </c>
      <c r="S376" t="s">
        <v>195</v>
      </c>
    </row>
    <row r="377" spans="1:19" x14ac:dyDescent="0.3">
      <c r="A377" t="s">
        <v>810</v>
      </c>
      <c r="B377" t="s">
        <v>23</v>
      </c>
      <c r="C377">
        <v>2026</v>
      </c>
      <c r="D377">
        <v>1</v>
      </c>
      <c r="E377" s="2">
        <v>46037</v>
      </c>
      <c r="F377" t="s">
        <v>7</v>
      </c>
      <c r="G377" t="s">
        <v>8</v>
      </c>
      <c r="H377" t="s">
        <v>74</v>
      </c>
      <c r="I377" t="s">
        <v>79</v>
      </c>
      <c r="J377" t="s">
        <v>80</v>
      </c>
      <c r="K377" t="s">
        <v>73</v>
      </c>
      <c r="L377">
        <v>701000</v>
      </c>
      <c r="M377" t="s">
        <v>62</v>
      </c>
      <c r="N377" t="s">
        <v>33</v>
      </c>
      <c r="O377">
        <v>420</v>
      </c>
      <c r="P377">
        <v>2.6</v>
      </c>
      <c r="Q377">
        <v>1.0900000000000001</v>
      </c>
      <c r="R377" t="s">
        <v>1204</v>
      </c>
      <c r="S377" t="s">
        <v>195</v>
      </c>
    </row>
    <row r="378" spans="1:19" x14ac:dyDescent="0.3">
      <c r="A378" t="s">
        <v>811</v>
      </c>
      <c r="B378" t="s">
        <v>23</v>
      </c>
      <c r="C378">
        <v>2026</v>
      </c>
      <c r="D378">
        <v>1</v>
      </c>
      <c r="E378" s="2">
        <v>46037</v>
      </c>
      <c r="F378" t="s">
        <v>7</v>
      </c>
      <c r="G378" t="s">
        <v>8</v>
      </c>
      <c r="H378" t="s">
        <v>74</v>
      </c>
      <c r="I378" t="s">
        <v>79</v>
      </c>
      <c r="J378" t="s">
        <v>80</v>
      </c>
      <c r="K378" t="s">
        <v>73</v>
      </c>
      <c r="L378">
        <v>701000</v>
      </c>
      <c r="M378" t="s">
        <v>62</v>
      </c>
      <c r="N378" t="s">
        <v>33</v>
      </c>
      <c r="O378">
        <v>1437</v>
      </c>
      <c r="P378">
        <v>2.6</v>
      </c>
      <c r="Q378">
        <v>3.74</v>
      </c>
      <c r="R378" t="s">
        <v>1201</v>
      </c>
      <c r="S378" t="s">
        <v>195</v>
      </c>
    </row>
    <row r="379" spans="1:19" x14ac:dyDescent="0.3">
      <c r="A379" t="s">
        <v>812</v>
      </c>
      <c r="B379" t="s">
        <v>23</v>
      </c>
      <c r="C379">
        <v>2026</v>
      </c>
      <c r="D379">
        <v>1</v>
      </c>
      <c r="E379" s="2">
        <v>46037</v>
      </c>
      <c r="F379" t="s">
        <v>7</v>
      </c>
      <c r="G379" t="s">
        <v>8</v>
      </c>
      <c r="H379" t="s">
        <v>74</v>
      </c>
      <c r="I379" t="s">
        <v>79</v>
      </c>
      <c r="J379" t="s">
        <v>80</v>
      </c>
      <c r="K379" t="s">
        <v>73</v>
      </c>
      <c r="L379">
        <v>701000</v>
      </c>
      <c r="M379" t="s">
        <v>62</v>
      </c>
      <c r="N379" t="s">
        <v>33</v>
      </c>
      <c r="O379">
        <v>749</v>
      </c>
      <c r="P379">
        <v>2.6</v>
      </c>
      <c r="Q379">
        <v>1.95</v>
      </c>
      <c r="R379" t="s">
        <v>1197</v>
      </c>
      <c r="S379" t="s">
        <v>195</v>
      </c>
    </row>
    <row r="380" spans="1:19" x14ac:dyDescent="0.3">
      <c r="A380" t="s">
        <v>813</v>
      </c>
      <c r="B380" t="s">
        <v>23</v>
      </c>
      <c r="C380">
        <v>2026</v>
      </c>
      <c r="D380">
        <v>1</v>
      </c>
      <c r="E380" s="2">
        <v>46037</v>
      </c>
      <c r="F380" t="s">
        <v>7</v>
      </c>
      <c r="G380" t="s">
        <v>8</v>
      </c>
      <c r="H380" t="s">
        <v>74</v>
      </c>
      <c r="I380" t="s">
        <v>79</v>
      </c>
      <c r="J380" t="s">
        <v>80</v>
      </c>
      <c r="K380" t="s">
        <v>73</v>
      </c>
      <c r="L380">
        <v>701000</v>
      </c>
      <c r="M380" t="s">
        <v>62</v>
      </c>
      <c r="N380" t="s">
        <v>33</v>
      </c>
      <c r="O380">
        <v>2070</v>
      </c>
      <c r="P380">
        <v>2.6</v>
      </c>
      <c r="Q380">
        <v>5.38</v>
      </c>
      <c r="R380" t="s">
        <v>1199</v>
      </c>
      <c r="S380" t="s">
        <v>195</v>
      </c>
    </row>
    <row r="381" spans="1:19" x14ac:dyDescent="0.3">
      <c r="A381" t="s">
        <v>814</v>
      </c>
      <c r="B381" t="s">
        <v>23</v>
      </c>
      <c r="C381">
        <v>2026</v>
      </c>
      <c r="D381">
        <v>1</v>
      </c>
      <c r="E381" s="2">
        <v>46037</v>
      </c>
      <c r="F381" t="s">
        <v>7</v>
      </c>
      <c r="G381" t="s">
        <v>8</v>
      </c>
      <c r="H381" t="s">
        <v>74</v>
      </c>
      <c r="I381" t="s">
        <v>79</v>
      </c>
      <c r="J381" t="s">
        <v>80</v>
      </c>
      <c r="K381" t="s">
        <v>73</v>
      </c>
      <c r="L381">
        <v>701000</v>
      </c>
      <c r="M381" t="s">
        <v>62</v>
      </c>
      <c r="N381" t="s">
        <v>33</v>
      </c>
      <c r="O381">
        <v>1522</v>
      </c>
      <c r="P381">
        <v>2.6</v>
      </c>
      <c r="Q381">
        <v>3.95</v>
      </c>
      <c r="R381" t="s">
        <v>1200</v>
      </c>
      <c r="S381" t="s">
        <v>195</v>
      </c>
    </row>
    <row r="382" spans="1:19" x14ac:dyDescent="0.3">
      <c r="A382" t="s">
        <v>880</v>
      </c>
      <c r="B382" t="s">
        <v>23</v>
      </c>
      <c r="C382">
        <v>2026</v>
      </c>
      <c r="D382">
        <v>1</v>
      </c>
      <c r="E382" s="2">
        <v>46037</v>
      </c>
      <c r="F382" t="s">
        <v>7</v>
      </c>
      <c r="G382" t="s">
        <v>8</v>
      </c>
      <c r="H382" t="s">
        <v>74</v>
      </c>
      <c r="I382" t="s">
        <v>82</v>
      </c>
      <c r="J382" t="s">
        <v>83</v>
      </c>
      <c r="K382" t="s">
        <v>73</v>
      </c>
      <c r="L382">
        <v>701000</v>
      </c>
      <c r="M382" t="s">
        <v>62</v>
      </c>
      <c r="N382" t="s">
        <v>33</v>
      </c>
      <c r="O382">
        <v>139</v>
      </c>
      <c r="P382">
        <v>18.559999999999999</v>
      </c>
      <c r="Q382">
        <v>2.58</v>
      </c>
      <c r="R382" t="s">
        <v>1203</v>
      </c>
      <c r="S382" t="s">
        <v>195</v>
      </c>
    </row>
    <row r="383" spans="1:19" x14ac:dyDescent="0.3">
      <c r="A383" t="s">
        <v>881</v>
      </c>
      <c r="B383" t="s">
        <v>23</v>
      </c>
      <c r="C383">
        <v>2026</v>
      </c>
      <c r="D383">
        <v>1</v>
      </c>
      <c r="E383" s="2">
        <v>46037</v>
      </c>
      <c r="F383" t="s">
        <v>7</v>
      </c>
      <c r="G383" t="s">
        <v>8</v>
      </c>
      <c r="H383" t="s">
        <v>74</v>
      </c>
      <c r="I383" t="s">
        <v>82</v>
      </c>
      <c r="J383" t="s">
        <v>83</v>
      </c>
      <c r="K383" t="s">
        <v>73</v>
      </c>
      <c r="L383">
        <v>701000</v>
      </c>
      <c r="M383" t="s">
        <v>62</v>
      </c>
      <c r="N383" t="s">
        <v>33</v>
      </c>
      <c r="O383">
        <v>240</v>
      </c>
      <c r="P383">
        <v>18.5</v>
      </c>
      <c r="Q383">
        <v>4.4400000000000004</v>
      </c>
      <c r="R383" t="s">
        <v>1200</v>
      </c>
      <c r="S383" t="s">
        <v>195</v>
      </c>
    </row>
    <row r="384" spans="1:19" x14ac:dyDescent="0.3">
      <c r="A384" t="s">
        <v>882</v>
      </c>
      <c r="B384" t="s">
        <v>23</v>
      </c>
      <c r="C384">
        <v>2026</v>
      </c>
      <c r="D384">
        <v>1</v>
      </c>
      <c r="E384" s="2">
        <v>46037</v>
      </c>
      <c r="F384" t="s">
        <v>7</v>
      </c>
      <c r="G384" t="s">
        <v>8</v>
      </c>
      <c r="H384" t="s">
        <v>74</v>
      </c>
      <c r="I384" t="s">
        <v>82</v>
      </c>
      <c r="J384" t="s">
        <v>83</v>
      </c>
      <c r="K384" t="s">
        <v>73</v>
      </c>
      <c r="L384">
        <v>701000</v>
      </c>
      <c r="M384" t="s">
        <v>62</v>
      </c>
      <c r="N384" t="s">
        <v>33</v>
      </c>
      <c r="O384">
        <v>90</v>
      </c>
      <c r="P384">
        <v>18.559999999999999</v>
      </c>
      <c r="Q384">
        <v>1.67</v>
      </c>
      <c r="R384" t="s">
        <v>1199</v>
      </c>
      <c r="S384" t="s">
        <v>195</v>
      </c>
    </row>
    <row r="385" spans="1:19" x14ac:dyDescent="0.3">
      <c r="A385" t="s">
        <v>883</v>
      </c>
      <c r="B385" t="s">
        <v>23</v>
      </c>
      <c r="C385">
        <v>2026</v>
      </c>
      <c r="D385">
        <v>1</v>
      </c>
      <c r="E385" s="2">
        <v>46037</v>
      </c>
      <c r="F385" t="s">
        <v>7</v>
      </c>
      <c r="G385" t="s">
        <v>8</v>
      </c>
      <c r="H385" t="s">
        <v>74</v>
      </c>
      <c r="I385" t="s">
        <v>82</v>
      </c>
      <c r="J385" t="s">
        <v>83</v>
      </c>
      <c r="K385" t="s">
        <v>73</v>
      </c>
      <c r="L385">
        <v>701000</v>
      </c>
      <c r="M385" t="s">
        <v>62</v>
      </c>
      <c r="N385" t="s">
        <v>33</v>
      </c>
      <c r="O385">
        <v>191</v>
      </c>
      <c r="P385">
        <v>18.53</v>
      </c>
      <c r="Q385">
        <v>3.54</v>
      </c>
      <c r="R385" t="s">
        <v>1201</v>
      </c>
      <c r="S385" t="s">
        <v>195</v>
      </c>
    </row>
    <row r="386" spans="1:19" x14ac:dyDescent="0.3">
      <c r="A386" t="s">
        <v>884</v>
      </c>
      <c r="B386" t="s">
        <v>23</v>
      </c>
      <c r="C386">
        <v>2026</v>
      </c>
      <c r="D386">
        <v>1</v>
      </c>
      <c r="E386" s="2">
        <v>46037</v>
      </c>
      <c r="F386" t="s">
        <v>7</v>
      </c>
      <c r="G386" t="s">
        <v>8</v>
      </c>
      <c r="H386" t="s">
        <v>74</v>
      </c>
      <c r="I386" t="s">
        <v>82</v>
      </c>
      <c r="J386" t="s">
        <v>83</v>
      </c>
      <c r="K386" t="s">
        <v>73</v>
      </c>
      <c r="L386">
        <v>701000</v>
      </c>
      <c r="M386" t="s">
        <v>62</v>
      </c>
      <c r="N386" t="s">
        <v>33</v>
      </c>
      <c r="O386">
        <v>78</v>
      </c>
      <c r="P386">
        <v>18.329999999999998</v>
      </c>
      <c r="Q386">
        <v>1.43</v>
      </c>
      <c r="R386" t="s">
        <v>1197</v>
      </c>
      <c r="S386" t="s">
        <v>195</v>
      </c>
    </row>
    <row r="387" spans="1:19" x14ac:dyDescent="0.3">
      <c r="A387" t="s">
        <v>985</v>
      </c>
      <c r="B387" t="s">
        <v>23</v>
      </c>
      <c r="C387">
        <v>2026</v>
      </c>
      <c r="D387">
        <v>1</v>
      </c>
      <c r="E387" s="2">
        <v>46037</v>
      </c>
      <c r="F387" t="s">
        <v>7</v>
      </c>
      <c r="G387" t="s">
        <v>8</v>
      </c>
      <c r="H387" t="s">
        <v>70</v>
      </c>
      <c r="I387" t="s">
        <v>82</v>
      </c>
      <c r="J387" t="s">
        <v>83</v>
      </c>
      <c r="K387" t="s">
        <v>73</v>
      </c>
      <c r="L387">
        <v>701000</v>
      </c>
      <c r="M387" t="s">
        <v>62</v>
      </c>
      <c r="N387" t="s">
        <v>33</v>
      </c>
      <c r="O387">
        <v>100</v>
      </c>
      <c r="P387">
        <v>18.5</v>
      </c>
      <c r="Q387">
        <v>1.85</v>
      </c>
      <c r="R387" t="s">
        <v>1199</v>
      </c>
      <c r="S387" t="s">
        <v>195</v>
      </c>
    </row>
    <row r="388" spans="1:19" x14ac:dyDescent="0.3">
      <c r="A388" t="s">
        <v>986</v>
      </c>
      <c r="B388" t="s">
        <v>23</v>
      </c>
      <c r="C388">
        <v>2026</v>
      </c>
      <c r="D388">
        <v>1</v>
      </c>
      <c r="E388" s="2">
        <v>46037</v>
      </c>
      <c r="F388" t="s">
        <v>7</v>
      </c>
      <c r="G388" t="s">
        <v>8</v>
      </c>
      <c r="H388" t="s">
        <v>70</v>
      </c>
      <c r="I388" t="s">
        <v>82</v>
      </c>
      <c r="J388" t="s">
        <v>83</v>
      </c>
      <c r="K388" t="s">
        <v>73</v>
      </c>
      <c r="L388">
        <v>701000</v>
      </c>
      <c r="M388" t="s">
        <v>62</v>
      </c>
      <c r="N388" t="s">
        <v>33</v>
      </c>
      <c r="O388">
        <v>151</v>
      </c>
      <c r="P388">
        <v>18.48</v>
      </c>
      <c r="Q388">
        <v>2.79</v>
      </c>
      <c r="R388" t="s">
        <v>1198</v>
      </c>
      <c r="S388" t="s">
        <v>195</v>
      </c>
    </row>
    <row r="389" spans="1:19" x14ac:dyDescent="0.3">
      <c r="A389" t="s">
        <v>987</v>
      </c>
      <c r="B389" t="s">
        <v>23</v>
      </c>
      <c r="C389">
        <v>2026</v>
      </c>
      <c r="D389">
        <v>1</v>
      </c>
      <c r="E389" s="2">
        <v>46037</v>
      </c>
      <c r="F389" t="s">
        <v>7</v>
      </c>
      <c r="G389" t="s">
        <v>8</v>
      </c>
      <c r="H389" t="s">
        <v>70</v>
      </c>
      <c r="I389" t="s">
        <v>82</v>
      </c>
      <c r="J389" t="s">
        <v>83</v>
      </c>
      <c r="K389" t="s">
        <v>73</v>
      </c>
      <c r="L389">
        <v>701000</v>
      </c>
      <c r="M389" t="s">
        <v>62</v>
      </c>
      <c r="N389" t="s">
        <v>33</v>
      </c>
      <c r="O389">
        <v>239</v>
      </c>
      <c r="P389">
        <v>18.489999999999998</v>
      </c>
      <c r="Q389">
        <v>4.42</v>
      </c>
      <c r="R389" t="s">
        <v>1197</v>
      </c>
      <c r="S389" t="s">
        <v>195</v>
      </c>
    </row>
    <row r="390" spans="1:19" x14ac:dyDescent="0.3">
      <c r="A390" t="s">
        <v>988</v>
      </c>
      <c r="B390" t="s">
        <v>23</v>
      </c>
      <c r="C390">
        <v>2026</v>
      </c>
      <c r="D390">
        <v>1</v>
      </c>
      <c r="E390" s="2">
        <v>46037</v>
      </c>
      <c r="F390" t="s">
        <v>7</v>
      </c>
      <c r="G390" t="s">
        <v>8</v>
      </c>
      <c r="H390" t="s">
        <v>70</v>
      </c>
      <c r="I390" t="s">
        <v>82</v>
      </c>
      <c r="J390" t="s">
        <v>83</v>
      </c>
      <c r="K390" t="s">
        <v>73</v>
      </c>
      <c r="L390">
        <v>701000</v>
      </c>
      <c r="M390" t="s">
        <v>62</v>
      </c>
      <c r="N390" t="s">
        <v>33</v>
      </c>
      <c r="O390">
        <v>76</v>
      </c>
      <c r="P390">
        <v>18.420000000000002</v>
      </c>
      <c r="Q390">
        <v>1.4</v>
      </c>
      <c r="R390" t="s">
        <v>1203</v>
      </c>
      <c r="S390" t="s">
        <v>195</v>
      </c>
    </row>
    <row r="391" spans="1:19" x14ac:dyDescent="0.3">
      <c r="A391" t="s">
        <v>989</v>
      </c>
      <c r="B391" t="s">
        <v>23</v>
      </c>
      <c r="C391">
        <v>2026</v>
      </c>
      <c r="D391">
        <v>1</v>
      </c>
      <c r="E391" s="2">
        <v>46037</v>
      </c>
      <c r="F391" t="s">
        <v>7</v>
      </c>
      <c r="G391" t="s">
        <v>8</v>
      </c>
      <c r="H391" t="s">
        <v>70</v>
      </c>
      <c r="I391" t="s">
        <v>82</v>
      </c>
      <c r="J391" t="s">
        <v>83</v>
      </c>
      <c r="K391" t="s">
        <v>73</v>
      </c>
      <c r="L391">
        <v>701000</v>
      </c>
      <c r="M391" t="s">
        <v>62</v>
      </c>
      <c r="N391" t="s">
        <v>33</v>
      </c>
      <c r="O391">
        <v>363</v>
      </c>
      <c r="P391">
        <v>18.54</v>
      </c>
      <c r="Q391">
        <v>6.73</v>
      </c>
      <c r="R391" t="s">
        <v>1205</v>
      </c>
      <c r="S391" t="s">
        <v>195</v>
      </c>
    </row>
    <row r="392" spans="1:19" x14ac:dyDescent="0.3">
      <c r="A392" t="s">
        <v>990</v>
      </c>
      <c r="B392" t="s">
        <v>23</v>
      </c>
      <c r="C392">
        <v>2026</v>
      </c>
      <c r="D392">
        <v>1</v>
      </c>
      <c r="E392" s="2">
        <v>46037</v>
      </c>
      <c r="F392" t="s">
        <v>7</v>
      </c>
      <c r="G392" t="s">
        <v>8</v>
      </c>
      <c r="H392" t="s">
        <v>74</v>
      </c>
      <c r="I392" t="s">
        <v>82</v>
      </c>
      <c r="J392" t="s">
        <v>83</v>
      </c>
      <c r="K392" t="s">
        <v>73</v>
      </c>
      <c r="L392">
        <v>701000</v>
      </c>
      <c r="M392" t="s">
        <v>62</v>
      </c>
      <c r="N392" t="s">
        <v>33</v>
      </c>
      <c r="O392">
        <v>65</v>
      </c>
      <c r="P392">
        <v>18.62</v>
      </c>
      <c r="Q392">
        <v>1.21</v>
      </c>
      <c r="R392" t="s">
        <v>1205</v>
      </c>
      <c r="S392" t="s">
        <v>195</v>
      </c>
    </row>
    <row r="393" spans="1:19" x14ac:dyDescent="0.3">
      <c r="A393" t="s">
        <v>991</v>
      </c>
      <c r="B393" t="s">
        <v>23</v>
      </c>
      <c r="C393">
        <v>2026</v>
      </c>
      <c r="D393">
        <v>1</v>
      </c>
      <c r="E393" s="2">
        <v>46037</v>
      </c>
      <c r="F393" t="s">
        <v>7</v>
      </c>
      <c r="G393" t="s">
        <v>8</v>
      </c>
      <c r="H393" t="s">
        <v>74</v>
      </c>
      <c r="I393" t="s">
        <v>82</v>
      </c>
      <c r="J393" t="s">
        <v>83</v>
      </c>
      <c r="K393" t="s">
        <v>73</v>
      </c>
      <c r="L393">
        <v>701000</v>
      </c>
      <c r="M393" t="s">
        <v>62</v>
      </c>
      <c r="N393" t="s">
        <v>33</v>
      </c>
      <c r="O393">
        <v>244</v>
      </c>
      <c r="P393">
        <v>18.48</v>
      </c>
      <c r="Q393">
        <v>4.51</v>
      </c>
      <c r="R393" t="s">
        <v>1201</v>
      </c>
      <c r="S393" t="s">
        <v>195</v>
      </c>
    </row>
    <row r="394" spans="1:19" x14ac:dyDescent="0.3">
      <c r="A394" t="s">
        <v>992</v>
      </c>
      <c r="B394" t="s">
        <v>23</v>
      </c>
      <c r="C394">
        <v>2026</v>
      </c>
      <c r="D394">
        <v>1</v>
      </c>
      <c r="E394" s="2">
        <v>46037</v>
      </c>
      <c r="F394" t="s">
        <v>7</v>
      </c>
      <c r="G394" t="s">
        <v>8</v>
      </c>
      <c r="H394" t="s">
        <v>74</v>
      </c>
      <c r="I394" t="s">
        <v>82</v>
      </c>
      <c r="J394" t="s">
        <v>83</v>
      </c>
      <c r="K394" t="s">
        <v>73</v>
      </c>
      <c r="L394">
        <v>701000</v>
      </c>
      <c r="M394" t="s">
        <v>62</v>
      </c>
      <c r="N394" t="s">
        <v>33</v>
      </c>
      <c r="O394">
        <v>338</v>
      </c>
      <c r="P394">
        <v>18.489999999999998</v>
      </c>
      <c r="Q394">
        <v>6.25</v>
      </c>
      <c r="R394" t="s">
        <v>1200</v>
      </c>
      <c r="S394" t="s">
        <v>195</v>
      </c>
    </row>
    <row r="395" spans="1:19" x14ac:dyDescent="0.3">
      <c r="A395" t="s">
        <v>993</v>
      </c>
      <c r="B395" t="s">
        <v>23</v>
      </c>
      <c r="C395">
        <v>2026</v>
      </c>
      <c r="D395">
        <v>1</v>
      </c>
      <c r="E395" s="2">
        <v>46037</v>
      </c>
      <c r="F395" t="s">
        <v>7</v>
      </c>
      <c r="G395" t="s">
        <v>8</v>
      </c>
      <c r="H395" t="s">
        <v>74</v>
      </c>
      <c r="I395" t="s">
        <v>82</v>
      </c>
      <c r="J395" t="s">
        <v>83</v>
      </c>
      <c r="K395" t="s">
        <v>73</v>
      </c>
      <c r="L395">
        <v>701000</v>
      </c>
      <c r="M395" t="s">
        <v>62</v>
      </c>
      <c r="N395" t="s">
        <v>33</v>
      </c>
      <c r="O395">
        <v>146</v>
      </c>
      <c r="P395">
        <v>18.559999999999999</v>
      </c>
      <c r="Q395">
        <v>2.71</v>
      </c>
      <c r="R395" t="s">
        <v>1204</v>
      </c>
      <c r="S395" t="s">
        <v>195</v>
      </c>
    </row>
    <row r="396" spans="1:19" x14ac:dyDescent="0.3">
      <c r="A396" t="s">
        <v>994</v>
      </c>
      <c r="B396" t="s">
        <v>23</v>
      </c>
      <c r="C396">
        <v>2026</v>
      </c>
      <c r="D396">
        <v>1</v>
      </c>
      <c r="E396" s="2">
        <v>46037</v>
      </c>
      <c r="F396" t="s">
        <v>7</v>
      </c>
      <c r="G396" t="s">
        <v>8</v>
      </c>
      <c r="H396" t="s">
        <v>74</v>
      </c>
      <c r="I396" t="s">
        <v>82</v>
      </c>
      <c r="J396" t="s">
        <v>83</v>
      </c>
      <c r="K396" t="s">
        <v>73</v>
      </c>
      <c r="L396">
        <v>701000</v>
      </c>
      <c r="M396" t="s">
        <v>62</v>
      </c>
      <c r="N396" t="s">
        <v>33</v>
      </c>
      <c r="O396">
        <v>85</v>
      </c>
      <c r="P396">
        <v>18.350000000000001</v>
      </c>
      <c r="Q396">
        <v>1.56</v>
      </c>
      <c r="R396" t="s">
        <v>1198</v>
      </c>
      <c r="S396" t="s">
        <v>195</v>
      </c>
    </row>
    <row r="397" spans="1:19" x14ac:dyDescent="0.3">
      <c r="A397" t="s">
        <v>450</v>
      </c>
      <c r="B397" t="s">
        <v>23</v>
      </c>
      <c r="C397">
        <v>2026</v>
      </c>
      <c r="D397">
        <v>1</v>
      </c>
      <c r="E397" s="2">
        <v>46038</v>
      </c>
      <c r="F397" t="s">
        <v>7</v>
      </c>
      <c r="G397" t="s">
        <v>8</v>
      </c>
      <c r="H397" t="s">
        <v>74</v>
      </c>
      <c r="I397" t="s">
        <v>71</v>
      </c>
      <c r="J397" t="s">
        <v>72</v>
      </c>
      <c r="K397" t="s">
        <v>73</v>
      </c>
      <c r="L397">
        <v>701000</v>
      </c>
      <c r="M397" t="s">
        <v>62</v>
      </c>
      <c r="N397" t="s">
        <v>33</v>
      </c>
      <c r="O397">
        <v>646</v>
      </c>
      <c r="P397">
        <v>1.05</v>
      </c>
      <c r="Q397">
        <v>0.68</v>
      </c>
      <c r="R397" t="s">
        <v>1200</v>
      </c>
      <c r="S397" t="s">
        <v>195</v>
      </c>
    </row>
    <row r="398" spans="1:19" x14ac:dyDescent="0.3">
      <c r="A398" t="s">
        <v>451</v>
      </c>
      <c r="B398" t="s">
        <v>23</v>
      </c>
      <c r="C398">
        <v>2026</v>
      </c>
      <c r="D398">
        <v>1</v>
      </c>
      <c r="E398" s="2">
        <v>46038</v>
      </c>
      <c r="F398" t="s">
        <v>7</v>
      </c>
      <c r="G398" t="s">
        <v>8</v>
      </c>
      <c r="H398" t="s">
        <v>74</v>
      </c>
      <c r="I398" t="s">
        <v>71</v>
      </c>
      <c r="J398" t="s">
        <v>72</v>
      </c>
      <c r="K398" t="s">
        <v>73</v>
      </c>
      <c r="L398">
        <v>701000</v>
      </c>
      <c r="M398" t="s">
        <v>62</v>
      </c>
      <c r="N398" t="s">
        <v>33</v>
      </c>
      <c r="O398">
        <v>2245</v>
      </c>
      <c r="P398">
        <v>1.05</v>
      </c>
      <c r="Q398">
        <v>2.36</v>
      </c>
      <c r="R398" t="s">
        <v>1199</v>
      </c>
      <c r="S398" t="s">
        <v>195</v>
      </c>
    </row>
    <row r="399" spans="1:19" x14ac:dyDescent="0.3">
      <c r="A399" t="s">
        <v>452</v>
      </c>
      <c r="B399" t="s">
        <v>23</v>
      </c>
      <c r="C399">
        <v>2026</v>
      </c>
      <c r="D399">
        <v>1</v>
      </c>
      <c r="E399" s="2">
        <v>46038</v>
      </c>
      <c r="F399" t="s">
        <v>7</v>
      </c>
      <c r="G399" t="s">
        <v>8</v>
      </c>
      <c r="H399" t="s">
        <v>74</v>
      </c>
      <c r="I399" t="s">
        <v>71</v>
      </c>
      <c r="J399" t="s">
        <v>72</v>
      </c>
      <c r="K399" t="s">
        <v>73</v>
      </c>
      <c r="L399">
        <v>701000</v>
      </c>
      <c r="M399" t="s">
        <v>62</v>
      </c>
      <c r="N399" t="s">
        <v>33</v>
      </c>
      <c r="O399">
        <v>1664</v>
      </c>
      <c r="P399">
        <v>1.05</v>
      </c>
      <c r="Q399">
        <v>1.75</v>
      </c>
      <c r="R399" t="s">
        <v>1197</v>
      </c>
      <c r="S399" t="s">
        <v>195</v>
      </c>
    </row>
    <row r="400" spans="1:19" x14ac:dyDescent="0.3">
      <c r="A400" t="s">
        <v>453</v>
      </c>
      <c r="B400" t="s">
        <v>23</v>
      </c>
      <c r="C400">
        <v>2026</v>
      </c>
      <c r="D400">
        <v>1</v>
      </c>
      <c r="E400" s="2">
        <v>46038</v>
      </c>
      <c r="F400" t="s">
        <v>7</v>
      </c>
      <c r="G400" t="s">
        <v>8</v>
      </c>
      <c r="H400" t="s">
        <v>74</v>
      </c>
      <c r="I400" t="s">
        <v>71</v>
      </c>
      <c r="J400" t="s">
        <v>72</v>
      </c>
      <c r="K400" t="s">
        <v>73</v>
      </c>
      <c r="L400">
        <v>701000</v>
      </c>
      <c r="M400" t="s">
        <v>62</v>
      </c>
      <c r="N400" t="s">
        <v>33</v>
      </c>
      <c r="O400">
        <v>1147</v>
      </c>
      <c r="P400">
        <v>1.05</v>
      </c>
      <c r="Q400">
        <v>1.2</v>
      </c>
      <c r="R400" t="s">
        <v>1204</v>
      </c>
      <c r="S400" t="s">
        <v>195</v>
      </c>
    </row>
    <row r="401" spans="1:19" x14ac:dyDescent="0.3">
      <c r="A401" t="s">
        <v>454</v>
      </c>
      <c r="B401" t="s">
        <v>23</v>
      </c>
      <c r="C401">
        <v>2026</v>
      </c>
      <c r="D401">
        <v>1</v>
      </c>
      <c r="E401" s="2">
        <v>46038</v>
      </c>
      <c r="F401" t="s">
        <v>7</v>
      </c>
      <c r="G401" t="s">
        <v>8</v>
      </c>
      <c r="H401" t="s">
        <v>74</v>
      </c>
      <c r="I401" t="s">
        <v>71</v>
      </c>
      <c r="J401" t="s">
        <v>72</v>
      </c>
      <c r="K401" t="s">
        <v>73</v>
      </c>
      <c r="L401">
        <v>701000</v>
      </c>
      <c r="M401" t="s">
        <v>62</v>
      </c>
      <c r="N401" t="s">
        <v>33</v>
      </c>
      <c r="O401">
        <v>2108</v>
      </c>
      <c r="P401">
        <v>1.05</v>
      </c>
      <c r="Q401">
        <v>2.21</v>
      </c>
      <c r="R401" t="s">
        <v>1198</v>
      </c>
      <c r="S401" t="s">
        <v>195</v>
      </c>
    </row>
    <row r="402" spans="1:19" x14ac:dyDescent="0.3">
      <c r="A402" t="s">
        <v>505</v>
      </c>
      <c r="B402" t="s">
        <v>23</v>
      </c>
      <c r="C402">
        <v>2026</v>
      </c>
      <c r="D402">
        <v>1</v>
      </c>
      <c r="E402" s="2">
        <v>46038</v>
      </c>
      <c r="F402" t="s">
        <v>7</v>
      </c>
      <c r="G402" t="s">
        <v>8</v>
      </c>
      <c r="H402" t="s">
        <v>74</v>
      </c>
      <c r="I402" t="s">
        <v>71</v>
      </c>
      <c r="J402" t="s">
        <v>72</v>
      </c>
      <c r="K402" t="s">
        <v>73</v>
      </c>
      <c r="L402">
        <v>701000</v>
      </c>
      <c r="M402" t="s">
        <v>62</v>
      </c>
      <c r="N402" t="s">
        <v>33</v>
      </c>
      <c r="O402">
        <v>729</v>
      </c>
      <c r="P402">
        <v>1.06</v>
      </c>
      <c r="Q402">
        <v>0.77</v>
      </c>
      <c r="R402" t="s">
        <v>1200</v>
      </c>
      <c r="S402" t="s">
        <v>195</v>
      </c>
    </row>
    <row r="403" spans="1:19" x14ac:dyDescent="0.3">
      <c r="A403" t="s">
        <v>506</v>
      </c>
      <c r="B403" t="s">
        <v>23</v>
      </c>
      <c r="C403">
        <v>2026</v>
      </c>
      <c r="D403">
        <v>1</v>
      </c>
      <c r="E403" s="2">
        <v>46038</v>
      </c>
      <c r="F403" t="s">
        <v>7</v>
      </c>
      <c r="G403" t="s">
        <v>8</v>
      </c>
      <c r="H403" t="s">
        <v>74</v>
      </c>
      <c r="I403" t="s">
        <v>71</v>
      </c>
      <c r="J403" t="s">
        <v>72</v>
      </c>
      <c r="K403" t="s">
        <v>73</v>
      </c>
      <c r="L403">
        <v>701000</v>
      </c>
      <c r="M403" t="s">
        <v>62</v>
      </c>
      <c r="N403" t="s">
        <v>33</v>
      </c>
      <c r="O403">
        <v>1714</v>
      </c>
      <c r="P403">
        <v>1.05</v>
      </c>
      <c r="Q403">
        <v>1.8</v>
      </c>
      <c r="R403" t="s">
        <v>1197</v>
      </c>
      <c r="S403" t="s">
        <v>195</v>
      </c>
    </row>
    <row r="404" spans="1:19" x14ac:dyDescent="0.3">
      <c r="A404" t="s">
        <v>507</v>
      </c>
      <c r="B404" t="s">
        <v>23</v>
      </c>
      <c r="C404">
        <v>2026</v>
      </c>
      <c r="D404">
        <v>1</v>
      </c>
      <c r="E404" s="2">
        <v>46038</v>
      </c>
      <c r="F404" t="s">
        <v>7</v>
      </c>
      <c r="G404" t="s">
        <v>8</v>
      </c>
      <c r="H404" t="s">
        <v>74</v>
      </c>
      <c r="I404" t="s">
        <v>71</v>
      </c>
      <c r="J404" t="s">
        <v>72</v>
      </c>
      <c r="K404" t="s">
        <v>73</v>
      </c>
      <c r="L404">
        <v>701000</v>
      </c>
      <c r="M404" t="s">
        <v>62</v>
      </c>
      <c r="N404" t="s">
        <v>33</v>
      </c>
      <c r="O404">
        <v>1214</v>
      </c>
      <c r="P404">
        <v>1.05</v>
      </c>
      <c r="Q404">
        <v>1.27</v>
      </c>
      <c r="R404" t="s">
        <v>1201</v>
      </c>
      <c r="S404" t="s">
        <v>195</v>
      </c>
    </row>
    <row r="405" spans="1:19" x14ac:dyDescent="0.3">
      <c r="A405" t="s">
        <v>508</v>
      </c>
      <c r="B405" t="s">
        <v>23</v>
      </c>
      <c r="C405">
        <v>2026</v>
      </c>
      <c r="D405">
        <v>1</v>
      </c>
      <c r="E405" s="2">
        <v>46038</v>
      </c>
      <c r="F405" t="s">
        <v>7</v>
      </c>
      <c r="G405" t="s">
        <v>8</v>
      </c>
      <c r="H405" t="s">
        <v>74</v>
      </c>
      <c r="I405" t="s">
        <v>71</v>
      </c>
      <c r="J405" t="s">
        <v>72</v>
      </c>
      <c r="K405" t="s">
        <v>73</v>
      </c>
      <c r="L405">
        <v>701000</v>
      </c>
      <c r="M405" t="s">
        <v>62</v>
      </c>
      <c r="N405" t="s">
        <v>33</v>
      </c>
      <c r="O405">
        <v>3187</v>
      </c>
      <c r="P405">
        <v>1.05</v>
      </c>
      <c r="Q405">
        <v>3.35</v>
      </c>
      <c r="R405" t="s">
        <v>1198</v>
      </c>
      <c r="S405" t="s">
        <v>195</v>
      </c>
    </row>
    <row r="406" spans="1:19" x14ac:dyDescent="0.3">
      <c r="A406" t="s">
        <v>509</v>
      </c>
      <c r="B406" t="s">
        <v>23</v>
      </c>
      <c r="C406">
        <v>2026</v>
      </c>
      <c r="D406">
        <v>1</v>
      </c>
      <c r="E406" s="2">
        <v>46038</v>
      </c>
      <c r="F406" t="s">
        <v>7</v>
      </c>
      <c r="G406" t="s">
        <v>8</v>
      </c>
      <c r="H406" t="s">
        <v>74</v>
      </c>
      <c r="I406" t="s">
        <v>71</v>
      </c>
      <c r="J406" t="s">
        <v>72</v>
      </c>
      <c r="K406" t="s">
        <v>73</v>
      </c>
      <c r="L406">
        <v>701000</v>
      </c>
      <c r="M406" t="s">
        <v>62</v>
      </c>
      <c r="N406" t="s">
        <v>33</v>
      </c>
      <c r="O406">
        <v>860</v>
      </c>
      <c r="P406">
        <v>1.05</v>
      </c>
      <c r="Q406">
        <v>0.9</v>
      </c>
      <c r="R406" t="s">
        <v>1205</v>
      </c>
      <c r="S406" t="s">
        <v>195</v>
      </c>
    </row>
    <row r="407" spans="1:19" x14ac:dyDescent="0.3">
      <c r="A407" t="s">
        <v>610</v>
      </c>
      <c r="B407" t="s">
        <v>23</v>
      </c>
      <c r="C407">
        <v>2026</v>
      </c>
      <c r="D407">
        <v>1</v>
      </c>
      <c r="E407" s="2">
        <v>46038</v>
      </c>
      <c r="F407" t="s">
        <v>7</v>
      </c>
      <c r="G407" t="s">
        <v>8</v>
      </c>
      <c r="H407" t="s">
        <v>70</v>
      </c>
      <c r="I407" t="s">
        <v>75</v>
      </c>
      <c r="J407" t="s">
        <v>76</v>
      </c>
      <c r="K407" t="s">
        <v>73</v>
      </c>
      <c r="L407">
        <v>701000</v>
      </c>
      <c r="M407" t="s">
        <v>62</v>
      </c>
      <c r="N407" t="s">
        <v>33</v>
      </c>
      <c r="O407">
        <v>1731</v>
      </c>
      <c r="P407">
        <v>1.4</v>
      </c>
      <c r="Q407">
        <v>2.42</v>
      </c>
      <c r="R407" t="s">
        <v>1204</v>
      </c>
      <c r="S407" t="s">
        <v>195</v>
      </c>
    </row>
    <row r="408" spans="1:19" x14ac:dyDescent="0.3">
      <c r="A408" t="s">
        <v>611</v>
      </c>
      <c r="B408" t="s">
        <v>23</v>
      </c>
      <c r="C408">
        <v>2026</v>
      </c>
      <c r="D408">
        <v>1</v>
      </c>
      <c r="E408" s="2">
        <v>46038</v>
      </c>
      <c r="F408" t="s">
        <v>7</v>
      </c>
      <c r="G408" t="s">
        <v>8</v>
      </c>
      <c r="H408" t="s">
        <v>70</v>
      </c>
      <c r="I408" t="s">
        <v>75</v>
      </c>
      <c r="J408" t="s">
        <v>76</v>
      </c>
      <c r="K408" t="s">
        <v>73</v>
      </c>
      <c r="L408">
        <v>701000</v>
      </c>
      <c r="M408" t="s">
        <v>62</v>
      </c>
      <c r="N408" t="s">
        <v>33</v>
      </c>
      <c r="O408">
        <v>782</v>
      </c>
      <c r="P408">
        <v>1.39</v>
      </c>
      <c r="Q408">
        <v>1.0900000000000001</v>
      </c>
      <c r="R408" t="s">
        <v>1197</v>
      </c>
      <c r="S408" t="s">
        <v>195</v>
      </c>
    </row>
    <row r="409" spans="1:19" x14ac:dyDescent="0.3">
      <c r="A409" t="s">
        <v>612</v>
      </c>
      <c r="B409" t="s">
        <v>23</v>
      </c>
      <c r="C409">
        <v>2026</v>
      </c>
      <c r="D409">
        <v>1</v>
      </c>
      <c r="E409" s="2">
        <v>46038</v>
      </c>
      <c r="F409" t="s">
        <v>7</v>
      </c>
      <c r="G409" t="s">
        <v>8</v>
      </c>
      <c r="H409" t="s">
        <v>70</v>
      </c>
      <c r="I409" t="s">
        <v>75</v>
      </c>
      <c r="J409" t="s">
        <v>76</v>
      </c>
      <c r="K409" t="s">
        <v>73</v>
      </c>
      <c r="L409">
        <v>701000</v>
      </c>
      <c r="M409" t="s">
        <v>62</v>
      </c>
      <c r="N409" t="s">
        <v>33</v>
      </c>
      <c r="O409">
        <v>3337</v>
      </c>
      <c r="P409">
        <v>1.4</v>
      </c>
      <c r="Q409">
        <v>4.67</v>
      </c>
      <c r="R409" t="s">
        <v>1199</v>
      </c>
      <c r="S409" t="s">
        <v>195</v>
      </c>
    </row>
    <row r="410" spans="1:19" x14ac:dyDescent="0.3">
      <c r="A410" t="s">
        <v>613</v>
      </c>
      <c r="B410" t="s">
        <v>23</v>
      </c>
      <c r="C410">
        <v>2026</v>
      </c>
      <c r="D410">
        <v>1</v>
      </c>
      <c r="E410" s="2">
        <v>46038</v>
      </c>
      <c r="F410" t="s">
        <v>7</v>
      </c>
      <c r="G410" t="s">
        <v>8</v>
      </c>
      <c r="H410" t="s">
        <v>70</v>
      </c>
      <c r="I410" t="s">
        <v>75</v>
      </c>
      <c r="J410" t="s">
        <v>76</v>
      </c>
      <c r="K410" t="s">
        <v>73</v>
      </c>
      <c r="L410">
        <v>701000</v>
      </c>
      <c r="M410" t="s">
        <v>62</v>
      </c>
      <c r="N410" t="s">
        <v>33</v>
      </c>
      <c r="O410">
        <v>305</v>
      </c>
      <c r="P410">
        <v>1.41</v>
      </c>
      <c r="Q410">
        <v>0.43</v>
      </c>
      <c r="R410" t="s">
        <v>1202</v>
      </c>
      <c r="S410" t="s">
        <v>195</v>
      </c>
    </row>
    <row r="411" spans="1:19" x14ac:dyDescent="0.3">
      <c r="A411" t="s">
        <v>614</v>
      </c>
      <c r="B411" t="s">
        <v>23</v>
      </c>
      <c r="C411">
        <v>2026</v>
      </c>
      <c r="D411">
        <v>1</v>
      </c>
      <c r="E411" s="2">
        <v>46038</v>
      </c>
      <c r="F411" t="s">
        <v>7</v>
      </c>
      <c r="G411" t="s">
        <v>8</v>
      </c>
      <c r="H411" t="s">
        <v>70</v>
      </c>
      <c r="I411" t="s">
        <v>75</v>
      </c>
      <c r="J411" t="s">
        <v>76</v>
      </c>
      <c r="K411" t="s">
        <v>73</v>
      </c>
      <c r="L411">
        <v>701000</v>
      </c>
      <c r="M411" t="s">
        <v>62</v>
      </c>
      <c r="N411" t="s">
        <v>33</v>
      </c>
      <c r="O411">
        <v>839</v>
      </c>
      <c r="P411">
        <v>1.41</v>
      </c>
      <c r="Q411">
        <v>1.18</v>
      </c>
      <c r="R411" t="s">
        <v>1198</v>
      </c>
      <c r="S411" t="s">
        <v>195</v>
      </c>
    </row>
    <row r="412" spans="1:19" x14ac:dyDescent="0.3">
      <c r="A412" t="s">
        <v>840</v>
      </c>
      <c r="B412" t="s">
        <v>23</v>
      </c>
      <c r="C412">
        <v>2026</v>
      </c>
      <c r="D412">
        <v>1</v>
      </c>
      <c r="E412" s="2">
        <v>46038</v>
      </c>
      <c r="F412" t="s">
        <v>7</v>
      </c>
      <c r="G412" t="s">
        <v>8</v>
      </c>
      <c r="H412" t="s">
        <v>74</v>
      </c>
      <c r="I412" t="s">
        <v>79</v>
      </c>
      <c r="J412" t="s">
        <v>80</v>
      </c>
      <c r="K412" t="s">
        <v>73</v>
      </c>
      <c r="L412">
        <v>706000</v>
      </c>
      <c r="M412" t="s">
        <v>63</v>
      </c>
      <c r="N412" t="s">
        <v>33</v>
      </c>
      <c r="O412">
        <v>645</v>
      </c>
      <c r="P412">
        <v>2.6</v>
      </c>
      <c r="Q412">
        <v>1.68</v>
      </c>
      <c r="R412" t="s">
        <v>1204</v>
      </c>
      <c r="S412" t="s">
        <v>195</v>
      </c>
    </row>
    <row r="413" spans="1:19" x14ac:dyDescent="0.3">
      <c r="A413" t="s">
        <v>841</v>
      </c>
      <c r="B413" t="s">
        <v>23</v>
      </c>
      <c r="C413">
        <v>2026</v>
      </c>
      <c r="D413">
        <v>1</v>
      </c>
      <c r="E413" s="2">
        <v>46038</v>
      </c>
      <c r="F413" t="s">
        <v>7</v>
      </c>
      <c r="G413" t="s">
        <v>8</v>
      </c>
      <c r="H413" t="s">
        <v>74</v>
      </c>
      <c r="I413" t="s">
        <v>79</v>
      </c>
      <c r="J413" t="s">
        <v>80</v>
      </c>
      <c r="K413" t="s">
        <v>73</v>
      </c>
      <c r="L413">
        <v>706000</v>
      </c>
      <c r="M413" t="s">
        <v>63</v>
      </c>
      <c r="N413" t="s">
        <v>33</v>
      </c>
      <c r="O413">
        <v>2894</v>
      </c>
      <c r="P413">
        <v>2.6</v>
      </c>
      <c r="Q413">
        <v>7.52</v>
      </c>
      <c r="R413" t="s">
        <v>1201</v>
      </c>
      <c r="S413" t="s">
        <v>195</v>
      </c>
    </row>
    <row r="414" spans="1:19" x14ac:dyDescent="0.3">
      <c r="A414" t="s">
        <v>842</v>
      </c>
      <c r="B414" t="s">
        <v>23</v>
      </c>
      <c r="C414">
        <v>2026</v>
      </c>
      <c r="D414">
        <v>1</v>
      </c>
      <c r="E414" s="2">
        <v>46038</v>
      </c>
      <c r="F414" t="s">
        <v>7</v>
      </c>
      <c r="G414" t="s">
        <v>8</v>
      </c>
      <c r="H414" t="s">
        <v>74</v>
      </c>
      <c r="I414" t="s">
        <v>79</v>
      </c>
      <c r="J414" t="s">
        <v>80</v>
      </c>
      <c r="K414" t="s">
        <v>73</v>
      </c>
      <c r="L414">
        <v>706000</v>
      </c>
      <c r="M414" t="s">
        <v>63</v>
      </c>
      <c r="N414" t="s">
        <v>33</v>
      </c>
      <c r="O414">
        <v>1479</v>
      </c>
      <c r="P414">
        <v>2.6</v>
      </c>
      <c r="Q414">
        <v>3.85</v>
      </c>
      <c r="R414" t="s">
        <v>1200</v>
      </c>
      <c r="S414" t="s">
        <v>195</v>
      </c>
    </row>
    <row r="415" spans="1:19" x14ac:dyDescent="0.3">
      <c r="A415" t="s">
        <v>843</v>
      </c>
      <c r="B415" t="s">
        <v>23</v>
      </c>
      <c r="C415">
        <v>2026</v>
      </c>
      <c r="D415">
        <v>1</v>
      </c>
      <c r="E415" s="2">
        <v>46038</v>
      </c>
      <c r="F415" t="s">
        <v>7</v>
      </c>
      <c r="G415" t="s">
        <v>8</v>
      </c>
      <c r="H415" t="s">
        <v>74</v>
      </c>
      <c r="I415" t="s">
        <v>79</v>
      </c>
      <c r="J415" t="s">
        <v>80</v>
      </c>
      <c r="K415" t="s">
        <v>73</v>
      </c>
      <c r="L415">
        <v>706000</v>
      </c>
      <c r="M415" t="s">
        <v>63</v>
      </c>
      <c r="N415" t="s">
        <v>33</v>
      </c>
      <c r="O415">
        <v>362</v>
      </c>
      <c r="P415">
        <v>2.6</v>
      </c>
      <c r="Q415">
        <v>0.94</v>
      </c>
      <c r="R415" t="s">
        <v>1203</v>
      </c>
      <c r="S415" t="s">
        <v>195</v>
      </c>
    </row>
    <row r="416" spans="1:19" x14ac:dyDescent="0.3">
      <c r="A416" t="s">
        <v>844</v>
      </c>
      <c r="B416" t="s">
        <v>23</v>
      </c>
      <c r="C416">
        <v>2026</v>
      </c>
      <c r="D416">
        <v>1</v>
      </c>
      <c r="E416" s="2">
        <v>46038</v>
      </c>
      <c r="F416" t="s">
        <v>7</v>
      </c>
      <c r="G416" t="s">
        <v>8</v>
      </c>
      <c r="H416" t="s">
        <v>74</v>
      </c>
      <c r="I416" t="s">
        <v>79</v>
      </c>
      <c r="J416" t="s">
        <v>80</v>
      </c>
      <c r="K416" t="s">
        <v>73</v>
      </c>
      <c r="L416">
        <v>706000</v>
      </c>
      <c r="M416" t="s">
        <v>63</v>
      </c>
      <c r="N416" t="s">
        <v>33</v>
      </c>
      <c r="O416">
        <v>1840</v>
      </c>
      <c r="P416">
        <v>2.6</v>
      </c>
      <c r="Q416">
        <v>4.78</v>
      </c>
      <c r="R416" t="s">
        <v>1205</v>
      </c>
      <c r="S416" t="s">
        <v>195</v>
      </c>
    </row>
    <row r="417" spans="1:19" x14ac:dyDescent="0.3">
      <c r="A417" t="s">
        <v>940</v>
      </c>
      <c r="B417" t="s">
        <v>23</v>
      </c>
      <c r="C417">
        <v>2026</v>
      </c>
      <c r="D417">
        <v>1</v>
      </c>
      <c r="E417" s="2">
        <v>46038</v>
      </c>
      <c r="F417" t="s">
        <v>7</v>
      </c>
      <c r="G417" t="s">
        <v>8</v>
      </c>
      <c r="H417" t="s">
        <v>70</v>
      </c>
      <c r="I417" t="s">
        <v>82</v>
      </c>
      <c r="J417" t="s">
        <v>83</v>
      </c>
      <c r="K417" t="s">
        <v>73</v>
      </c>
      <c r="L417">
        <v>701000</v>
      </c>
      <c r="M417" t="s">
        <v>62</v>
      </c>
      <c r="N417" t="s">
        <v>33</v>
      </c>
      <c r="O417">
        <v>91</v>
      </c>
      <c r="P417">
        <v>18.57</v>
      </c>
      <c r="Q417">
        <v>1.69</v>
      </c>
      <c r="R417" t="s">
        <v>1198</v>
      </c>
      <c r="S417" t="s">
        <v>195</v>
      </c>
    </row>
    <row r="418" spans="1:19" x14ac:dyDescent="0.3">
      <c r="A418" t="s">
        <v>941</v>
      </c>
      <c r="B418" t="s">
        <v>23</v>
      </c>
      <c r="C418">
        <v>2026</v>
      </c>
      <c r="D418">
        <v>1</v>
      </c>
      <c r="E418" s="2">
        <v>46038</v>
      </c>
      <c r="F418" t="s">
        <v>7</v>
      </c>
      <c r="G418" t="s">
        <v>8</v>
      </c>
      <c r="H418" t="s">
        <v>70</v>
      </c>
      <c r="I418" t="s">
        <v>82</v>
      </c>
      <c r="J418" t="s">
        <v>83</v>
      </c>
      <c r="K418" t="s">
        <v>73</v>
      </c>
      <c r="L418">
        <v>701000</v>
      </c>
      <c r="M418" t="s">
        <v>62</v>
      </c>
      <c r="N418" t="s">
        <v>33</v>
      </c>
      <c r="O418">
        <v>170</v>
      </c>
      <c r="P418">
        <v>18.47</v>
      </c>
      <c r="Q418">
        <v>3.14</v>
      </c>
      <c r="R418" t="s">
        <v>1203</v>
      </c>
      <c r="S418" t="s">
        <v>195</v>
      </c>
    </row>
    <row r="419" spans="1:19" x14ac:dyDescent="0.3">
      <c r="A419" t="s">
        <v>942</v>
      </c>
      <c r="B419" t="s">
        <v>23</v>
      </c>
      <c r="C419">
        <v>2026</v>
      </c>
      <c r="D419">
        <v>1</v>
      </c>
      <c r="E419" s="2">
        <v>46038</v>
      </c>
      <c r="F419" t="s">
        <v>7</v>
      </c>
      <c r="G419" t="s">
        <v>8</v>
      </c>
      <c r="H419" t="s">
        <v>70</v>
      </c>
      <c r="I419" t="s">
        <v>82</v>
      </c>
      <c r="J419" t="s">
        <v>83</v>
      </c>
      <c r="K419" t="s">
        <v>73</v>
      </c>
      <c r="L419">
        <v>701000</v>
      </c>
      <c r="M419" t="s">
        <v>62</v>
      </c>
      <c r="N419" t="s">
        <v>33</v>
      </c>
      <c r="O419">
        <v>153</v>
      </c>
      <c r="P419">
        <v>18.5</v>
      </c>
      <c r="Q419">
        <v>2.83</v>
      </c>
      <c r="R419" t="s">
        <v>1205</v>
      </c>
      <c r="S419" t="s">
        <v>195</v>
      </c>
    </row>
    <row r="420" spans="1:19" x14ac:dyDescent="0.3">
      <c r="A420" t="s">
        <v>943</v>
      </c>
      <c r="B420" t="s">
        <v>23</v>
      </c>
      <c r="C420">
        <v>2026</v>
      </c>
      <c r="D420">
        <v>1</v>
      </c>
      <c r="E420" s="2">
        <v>46038</v>
      </c>
      <c r="F420" t="s">
        <v>7</v>
      </c>
      <c r="G420" t="s">
        <v>8</v>
      </c>
      <c r="H420" t="s">
        <v>70</v>
      </c>
      <c r="I420" t="s">
        <v>82</v>
      </c>
      <c r="J420" t="s">
        <v>83</v>
      </c>
      <c r="K420" t="s">
        <v>73</v>
      </c>
      <c r="L420">
        <v>701000</v>
      </c>
      <c r="M420" t="s">
        <v>62</v>
      </c>
      <c r="N420" t="s">
        <v>33</v>
      </c>
      <c r="O420">
        <v>115</v>
      </c>
      <c r="P420">
        <v>18.43</v>
      </c>
      <c r="Q420">
        <v>2.12</v>
      </c>
      <c r="R420" t="s">
        <v>1200</v>
      </c>
      <c r="S420" t="s">
        <v>195</v>
      </c>
    </row>
    <row r="421" spans="1:19" x14ac:dyDescent="0.3">
      <c r="A421" t="s">
        <v>944</v>
      </c>
      <c r="B421" t="s">
        <v>23</v>
      </c>
      <c r="C421">
        <v>2026</v>
      </c>
      <c r="D421">
        <v>1</v>
      </c>
      <c r="E421" s="2">
        <v>46038</v>
      </c>
      <c r="F421" t="s">
        <v>7</v>
      </c>
      <c r="G421" t="s">
        <v>8</v>
      </c>
      <c r="H421" t="s">
        <v>70</v>
      </c>
      <c r="I421" t="s">
        <v>82</v>
      </c>
      <c r="J421" t="s">
        <v>83</v>
      </c>
      <c r="K421" t="s">
        <v>73</v>
      </c>
      <c r="L421">
        <v>701000</v>
      </c>
      <c r="M421" t="s">
        <v>62</v>
      </c>
      <c r="N421" t="s">
        <v>33</v>
      </c>
      <c r="O421">
        <v>260</v>
      </c>
      <c r="P421">
        <v>18.54</v>
      </c>
      <c r="Q421">
        <v>4.82</v>
      </c>
      <c r="R421" t="s">
        <v>1201</v>
      </c>
      <c r="S421" t="s">
        <v>195</v>
      </c>
    </row>
    <row r="422" spans="1:19" x14ac:dyDescent="0.3">
      <c r="A422" t="s">
        <v>690</v>
      </c>
      <c r="B422" t="s">
        <v>23</v>
      </c>
      <c r="C422">
        <v>2026</v>
      </c>
      <c r="D422">
        <v>1</v>
      </c>
      <c r="E422" s="2">
        <v>46039</v>
      </c>
      <c r="F422" t="s">
        <v>7</v>
      </c>
      <c r="G422" t="s">
        <v>8</v>
      </c>
      <c r="H422" t="s">
        <v>74</v>
      </c>
      <c r="I422" t="s">
        <v>77</v>
      </c>
      <c r="J422" t="s">
        <v>78</v>
      </c>
      <c r="K422" t="s">
        <v>73</v>
      </c>
      <c r="L422">
        <v>707000</v>
      </c>
      <c r="M422" t="s">
        <v>81</v>
      </c>
      <c r="N422" t="s">
        <v>33</v>
      </c>
      <c r="O422">
        <v>2221</v>
      </c>
      <c r="P422">
        <v>1.8</v>
      </c>
      <c r="Q422">
        <v>4</v>
      </c>
      <c r="R422" t="s">
        <v>1204</v>
      </c>
      <c r="S422" t="s">
        <v>195</v>
      </c>
    </row>
    <row r="423" spans="1:19" x14ac:dyDescent="0.3">
      <c r="A423" t="s">
        <v>691</v>
      </c>
      <c r="B423" t="s">
        <v>23</v>
      </c>
      <c r="C423">
        <v>2026</v>
      </c>
      <c r="D423">
        <v>1</v>
      </c>
      <c r="E423" s="2">
        <v>46039</v>
      </c>
      <c r="F423" t="s">
        <v>7</v>
      </c>
      <c r="G423" t="s">
        <v>8</v>
      </c>
      <c r="H423" t="s">
        <v>74</v>
      </c>
      <c r="I423" t="s">
        <v>77</v>
      </c>
      <c r="J423" t="s">
        <v>78</v>
      </c>
      <c r="K423" t="s">
        <v>73</v>
      </c>
      <c r="L423">
        <v>707000</v>
      </c>
      <c r="M423" t="s">
        <v>81</v>
      </c>
      <c r="N423" t="s">
        <v>33</v>
      </c>
      <c r="O423">
        <v>1805</v>
      </c>
      <c r="P423">
        <v>1.8</v>
      </c>
      <c r="Q423">
        <v>3.25</v>
      </c>
      <c r="R423" t="s">
        <v>1202</v>
      </c>
      <c r="S423" t="s">
        <v>195</v>
      </c>
    </row>
    <row r="424" spans="1:19" x14ac:dyDescent="0.3">
      <c r="A424" t="s">
        <v>692</v>
      </c>
      <c r="B424" t="s">
        <v>23</v>
      </c>
      <c r="C424">
        <v>2026</v>
      </c>
      <c r="D424">
        <v>1</v>
      </c>
      <c r="E424" s="2">
        <v>46039</v>
      </c>
      <c r="F424" t="s">
        <v>7</v>
      </c>
      <c r="G424" t="s">
        <v>8</v>
      </c>
      <c r="H424" t="s">
        <v>74</v>
      </c>
      <c r="I424" t="s">
        <v>77</v>
      </c>
      <c r="J424" t="s">
        <v>78</v>
      </c>
      <c r="K424" t="s">
        <v>73</v>
      </c>
      <c r="L424">
        <v>707000</v>
      </c>
      <c r="M424" t="s">
        <v>81</v>
      </c>
      <c r="N424" t="s">
        <v>33</v>
      </c>
      <c r="O424">
        <v>1369</v>
      </c>
      <c r="P424">
        <v>1.8</v>
      </c>
      <c r="Q424">
        <v>2.46</v>
      </c>
      <c r="R424" t="s">
        <v>1203</v>
      </c>
      <c r="S424" t="s">
        <v>195</v>
      </c>
    </row>
    <row r="425" spans="1:19" x14ac:dyDescent="0.3">
      <c r="A425" t="s">
        <v>693</v>
      </c>
      <c r="B425" t="s">
        <v>23</v>
      </c>
      <c r="C425">
        <v>2026</v>
      </c>
      <c r="D425">
        <v>1</v>
      </c>
      <c r="E425" s="2">
        <v>46039</v>
      </c>
      <c r="F425" t="s">
        <v>7</v>
      </c>
      <c r="G425" t="s">
        <v>8</v>
      </c>
      <c r="H425" t="s">
        <v>74</v>
      </c>
      <c r="I425" t="s">
        <v>77</v>
      </c>
      <c r="J425" t="s">
        <v>78</v>
      </c>
      <c r="K425" t="s">
        <v>73</v>
      </c>
      <c r="L425">
        <v>707000</v>
      </c>
      <c r="M425" t="s">
        <v>81</v>
      </c>
      <c r="N425" t="s">
        <v>33</v>
      </c>
      <c r="O425">
        <v>1169</v>
      </c>
      <c r="P425">
        <v>1.8</v>
      </c>
      <c r="Q425">
        <v>2.1</v>
      </c>
      <c r="R425" t="s">
        <v>1200</v>
      </c>
      <c r="S425" t="s">
        <v>195</v>
      </c>
    </row>
    <row r="426" spans="1:19" x14ac:dyDescent="0.3">
      <c r="A426" t="s">
        <v>694</v>
      </c>
      <c r="B426" t="s">
        <v>23</v>
      </c>
      <c r="C426">
        <v>2026</v>
      </c>
      <c r="D426">
        <v>1</v>
      </c>
      <c r="E426" s="2">
        <v>46039</v>
      </c>
      <c r="F426" t="s">
        <v>7</v>
      </c>
      <c r="G426" t="s">
        <v>8</v>
      </c>
      <c r="H426" t="s">
        <v>74</v>
      </c>
      <c r="I426" t="s">
        <v>77</v>
      </c>
      <c r="J426" t="s">
        <v>78</v>
      </c>
      <c r="K426" t="s">
        <v>73</v>
      </c>
      <c r="L426">
        <v>707000</v>
      </c>
      <c r="M426" t="s">
        <v>81</v>
      </c>
      <c r="N426" t="s">
        <v>33</v>
      </c>
      <c r="O426">
        <v>870</v>
      </c>
      <c r="P426">
        <v>1.8</v>
      </c>
      <c r="Q426">
        <v>1.57</v>
      </c>
      <c r="R426" t="s">
        <v>1205</v>
      </c>
      <c r="S426" t="s">
        <v>195</v>
      </c>
    </row>
    <row r="427" spans="1:19" x14ac:dyDescent="0.3">
      <c r="A427" t="s">
        <v>715</v>
      </c>
      <c r="B427" t="s">
        <v>23</v>
      </c>
      <c r="C427">
        <v>2026</v>
      </c>
      <c r="D427">
        <v>1</v>
      </c>
      <c r="E427" s="2">
        <v>46039</v>
      </c>
      <c r="F427" t="s">
        <v>7</v>
      </c>
      <c r="G427" t="s">
        <v>8</v>
      </c>
      <c r="H427" t="s">
        <v>70</v>
      </c>
      <c r="I427" t="s">
        <v>77</v>
      </c>
      <c r="J427" t="s">
        <v>78</v>
      </c>
      <c r="K427" t="s">
        <v>73</v>
      </c>
      <c r="L427">
        <v>701000</v>
      </c>
      <c r="M427" t="s">
        <v>62</v>
      </c>
      <c r="N427" t="s">
        <v>33</v>
      </c>
      <c r="O427">
        <v>687</v>
      </c>
      <c r="P427">
        <v>1.8</v>
      </c>
      <c r="Q427">
        <v>1.24</v>
      </c>
      <c r="R427" t="s">
        <v>1205</v>
      </c>
      <c r="S427" t="s">
        <v>195</v>
      </c>
    </row>
    <row r="428" spans="1:19" x14ac:dyDescent="0.3">
      <c r="A428" t="s">
        <v>716</v>
      </c>
      <c r="B428" t="s">
        <v>23</v>
      </c>
      <c r="C428">
        <v>2026</v>
      </c>
      <c r="D428">
        <v>1</v>
      </c>
      <c r="E428" s="2">
        <v>46039</v>
      </c>
      <c r="F428" t="s">
        <v>7</v>
      </c>
      <c r="G428" t="s">
        <v>8</v>
      </c>
      <c r="H428" t="s">
        <v>70</v>
      </c>
      <c r="I428" t="s">
        <v>77</v>
      </c>
      <c r="J428" t="s">
        <v>78</v>
      </c>
      <c r="K428" t="s">
        <v>73</v>
      </c>
      <c r="L428">
        <v>701000</v>
      </c>
      <c r="M428" t="s">
        <v>62</v>
      </c>
      <c r="N428" t="s">
        <v>33</v>
      </c>
      <c r="O428">
        <v>1426</v>
      </c>
      <c r="P428">
        <v>1.8</v>
      </c>
      <c r="Q428">
        <v>2.57</v>
      </c>
      <c r="R428" t="s">
        <v>1204</v>
      </c>
      <c r="S428" t="s">
        <v>195</v>
      </c>
    </row>
    <row r="429" spans="1:19" x14ac:dyDescent="0.3">
      <c r="A429" t="s">
        <v>717</v>
      </c>
      <c r="B429" t="s">
        <v>23</v>
      </c>
      <c r="C429">
        <v>2026</v>
      </c>
      <c r="D429">
        <v>1</v>
      </c>
      <c r="E429" s="2">
        <v>46039</v>
      </c>
      <c r="F429" t="s">
        <v>7</v>
      </c>
      <c r="G429" t="s">
        <v>8</v>
      </c>
      <c r="H429" t="s">
        <v>70</v>
      </c>
      <c r="I429" t="s">
        <v>77</v>
      </c>
      <c r="J429" t="s">
        <v>78</v>
      </c>
      <c r="K429" t="s">
        <v>73</v>
      </c>
      <c r="L429">
        <v>701000</v>
      </c>
      <c r="M429" t="s">
        <v>62</v>
      </c>
      <c r="N429" t="s">
        <v>33</v>
      </c>
      <c r="O429">
        <v>1955</v>
      </c>
      <c r="P429">
        <v>1.8</v>
      </c>
      <c r="Q429">
        <v>3.52</v>
      </c>
      <c r="R429" t="s">
        <v>1200</v>
      </c>
      <c r="S429" t="s">
        <v>195</v>
      </c>
    </row>
    <row r="430" spans="1:19" x14ac:dyDescent="0.3">
      <c r="A430" t="s">
        <v>718</v>
      </c>
      <c r="B430" t="s">
        <v>23</v>
      </c>
      <c r="C430">
        <v>2026</v>
      </c>
      <c r="D430">
        <v>1</v>
      </c>
      <c r="E430" s="2">
        <v>46039</v>
      </c>
      <c r="F430" t="s">
        <v>7</v>
      </c>
      <c r="G430" t="s">
        <v>8</v>
      </c>
      <c r="H430" t="s">
        <v>70</v>
      </c>
      <c r="I430" t="s">
        <v>77</v>
      </c>
      <c r="J430" t="s">
        <v>78</v>
      </c>
      <c r="K430" t="s">
        <v>73</v>
      </c>
      <c r="L430">
        <v>701000</v>
      </c>
      <c r="M430" t="s">
        <v>62</v>
      </c>
      <c r="N430" t="s">
        <v>33</v>
      </c>
      <c r="O430">
        <v>2732</v>
      </c>
      <c r="P430">
        <v>1.8</v>
      </c>
      <c r="Q430">
        <v>4.92</v>
      </c>
      <c r="R430" t="s">
        <v>1203</v>
      </c>
      <c r="S430" t="s">
        <v>195</v>
      </c>
    </row>
    <row r="431" spans="1:19" x14ac:dyDescent="0.3">
      <c r="A431" t="s">
        <v>719</v>
      </c>
      <c r="B431" t="s">
        <v>23</v>
      </c>
      <c r="C431">
        <v>2026</v>
      </c>
      <c r="D431">
        <v>1</v>
      </c>
      <c r="E431" s="2">
        <v>46039</v>
      </c>
      <c r="F431" t="s">
        <v>7</v>
      </c>
      <c r="G431" t="s">
        <v>8</v>
      </c>
      <c r="H431" t="s">
        <v>70</v>
      </c>
      <c r="I431" t="s">
        <v>77</v>
      </c>
      <c r="J431" t="s">
        <v>78</v>
      </c>
      <c r="K431" t="s">
        <v>73</v>
      </c>
      <c r="L431">
        <v>701000</v>
      </c>
      <c r="M431" t="s">
        <v>62</v>
      </c>
      <c r="N431" t="s">
        <v>33</v>
      </c>
      <c r="O431">
        <v>1099</v>
      </c>
      <c r="P431">
        <v>1.79</v>
      </c>
      <c r="Q431">
        <v>1.97</v>
      </c>
      <c r="R431" t="s">
        <v>1197</v>
      </c>
      <c r="S431" t="s">
        <v>195</v>
      </c>
    </row>
    <row r="432" spans="1:19" x14ac:dyDescent="0.3">
      <c r="A432" t="s">
        <v>725</v>
      </c>
      <c r="B432" t="s">
        <v>23</v>
      </c>
      <c r="C432">
        <v>2026</v>
      </c>
      <c r="D432">
        <v>1</v>
      </c>
      <c r="E432" s="2">
        <v>46039</v>
      </c>
      <c r="F432" t="s">
        <v>7</v>
      </c>
      <c r="G432" t="s">
        <v>8</v>
      </c>
      <c r="H432" t="s">
        <v>70</v>
      </c>
      <c r="I432" t="s">
        <v>77</v>
      </c>
      <c r="J432" t="s">
        <v>78</v>
      </c>
      <c r="K432" t="s">
        <v>73</v>
      </c>
      <c r="L432">
        <v>707000</v>
      </c>
      <c r="M432" t="s">
        <v>81</v>
      </c>
      <c r="N432" t="s">
        <v>33</v>
      </c>
      <c r="O432">
        <v>1666</v>
      </c>
      <c r="P432">
        <v>1.8</v>
      </c>
      <c r="Q432">
        <v>3</v>
      </c>
      <c r="R432" t="s">
        <v>1201</v>
      </c>
      <c r="S432" t="s">
        <v>195</v>
      </c>
    </row>
    <row r="433" spans="1:19" x14ac:dyDescent="0.3">
      <c r="A433" t="s">
        <v>726</v>
      </c>
      <c r="B433" t="s">
        <v>23</v>
      </c>
      <c r="C433">
        <v>2026</v>
      </c>
      <c r="D433">
        <v>1</v>
      </c>
      <c r="E433" s="2">
        <v>46039</v>
      </c>
      <c r="F433" t="s">
        <v>7</v>
      </c>
      <c r="G433" t="s">
        <v>8</v>
      </c>
      <c r="H433" t="s">
        <v>70</v>
      </c>
      <c r="I433" t="s">
        <v>77</v>
      </c>
      <c r="J433" t="s">
        <v>78</v>
      </c>
      <c r="K433" t="s">
        <v>73</v>
      </c>
      <c r="L433">
        <v>707000</v>
      </c>
      <c r="M433" t="s">
        <v>81</v>
      </c>
      <c r="N433" t="s">
        <v>33</v>
      </c>
      <c r="O433">
        <v>583</v>
      </c>
      <c r="P433">
        <v>1.8</v>
      </c>
      <c r="Q433">
        <v>1.05</v>
      </c>
      <c r="R433" t="s">
        <v>1200</v>
      </c>
      <c r="S433" t="s">
        <v>195</v>
      </c>
    </row>
    <row r="434" spans="1:19" x14ac:dyDescent="0.3">
      <c r="A434" t="s">
        <v>727</v>
      </c>
      <c r="B434" t="s">
        <v>23</v>
      </c>
      <c r="C434">
        <v>2026</v>
      </c>
      <c r="D434">
        <v>1</v>
      </c>
      <c r="E434" s="2">
        <v>46039</v>
      </c>
      <c r="F434" t="s">
        <v>7</v>
      </c>
      <c r="G434" t="s">
        <v>8</v>
      </c>
      <c r="H434" t="s">
        <v>70</v>
      </c>
      <c r="I434" t="s">
        <v>77</v>
      </c>
      <c r="J434" t="s">
        <v>78</v>
      </c>
      <c r="K434" t="s">
        <v>73</v>
      </c>
      <c r="L434">
        <v>707000</v>
      </c>
      <c r="M434" t="s">
        <v>81</v>
      </c>
      <c r="N434" t="s">
        <v>33</v>
      </c>
      <c r="O434">
        <v>999</v>
      </c>
      <c r="P434">
        <v>1.8</v>
      </c>
      <c r="Q434">
        <v>1.8</v>
      </c>
      <c r="R434" t="s">
        <v>1204</v>
      </c>
      <c r="S434" t="s">
        <v>195</v>
      </c>
    </row>
    <row r="435" spans="1:19" x14ac:dyDescent="0.3">
      <c r="A435" t="s">
        <v>728</v>
      </c>
      <c r="B435" t="s">
        <v>23</v>
      </c>
      <c r="C435">
        <v>2026</v>
      </c>
      <c r="D435">
        <v>1</v>
      </c>
      <c r="E435" s="2">
        <v>46039</v>
      </c>
      <c r="F435" t="s">
        <v>7</v>
      </c>
      <c r="G435" t="s">
        <v>8</v>
      </c>
      <c r="H435" t="s">
        <v>70</v>
      </c>
      <c r="I435" t="s">
        <v>77</v>
      </c>
      <c r="J435" t="s">
        <v>78</v>
      </c>
      <c r="K435" t="s">
        <v>73</v>
      </c>
      <c r="L435">
        <v>707000</v>
      </c>
      <c r="M435" t="s">
        <v>81</v>
      </c>
      <c r="N435" t="s">
        <v>33</v>
      </c>
      <c r="O435">
        <v>2324</v>
      </c>
      <c r="P435">
        <v>1.8</v>
      </c>
      <c r="Q435">
        <v>4.18</v>
      </c>
      <c r="R435" t="s">
        <v>1198</v>
      </c>
      <c r="S435" t="s">
        <v>195</v>
      </c>
    </row>
    <row r="436" spans="1:19" x14ac:dyDescent="0.3">
      <c r="A436" t="s">
        <v>729</v>
      </c>
      <c r="B436" t="s">
        <v>23</v>
      </c>
      <c r="C436">
        <v>2026</v>
      </c>
      <c r="D436">
        <v>1</v>
      </c>
      <c r="E436" s="2">
        <v>46039</v>
      </c>
      <c r="F436" t="s">
        <v>7</v>
      </c>
      <c r="G436" t="s">
        <v>8</v>
      </c>
      <c r="H436" t="s">
        <v>70</v>
      </c>
      <c r="I436" t="s">
        <v>77</v>
      </c>
      <c r="J436" t="s">
        <v>78</v>
      </c>
      <c r="K436" t="s">
        <v>73</v>
      </c>
      <c r="L436">
        <v>707000</v>
      </c>
      <c r="M436" t="s">
        <v>81</v>
      </c>
      <c r="N436" t="s">
        <v>33</v>
      </c>
      <c r="O436">
        <v>1253</v>
      </c>
      <c r="P436">
        <v>1.8</v>
      </c>
      <c r="Q436">
        <v>2.25</v>
      </c>
      <c r="R436" t="s">
        <v>1203</v>
      </c>
      <c r="S436" t="s">
        <v>195</v>
      </c>
    </row>
    <row r="437" spans="1:19" x14ac:dyDescent="0.3">
      <c r="A437" t="s">
        <v>885</v>
      </c>
      <c r="B437" t="s">
        <v>23</v>
      </c>
      <c r="C437">
        <v>2026</v>
      </c>
      <c r="D437">
        <v>1</v>
      </c>
      <c r="E437" s="2">
        <v>46039</v>
      </c>
      <c r="F437" t="s">
        <v>7</v>
      </c>
      <c r="G437" t="s">
        <v>8</v>
      </c>
      <c r="H437" t="s">
        <v>70</v>
      </c>
      <c r="I437" t="s">
        <v>82</v>
      </c>
      <c r="J437" t="s">
        <v>83</v>
      </c>
      <c r="K437" t="s">
        <v>73</v>
      </c>
      <c r="L437">
        <v>701000</v>
      </c>
      <c r="M437" t="s">
        <v>62</v>
      </c>
      <c r="N437" t="s">
        <v>33</v>
      </c>
      <c r="O437">
        <v>141</v>
      </c>
      <c r="P437">
        <v>18.579999999999998</v>
      </c>
      <c r="Q437">
        <v>2.62</v>
      </c>
      <c r="R437" t="s">
        <v>1205</v>
      </c>
      <c r="S437" t="s">
        <v>195</v>
      </c>
    </row>
    <row r="438" spans="1:19" x14ac:dyDescent="0.3">
      <c r="A438" t="s">
        <v>886</v>
      </c>
      <c r="B438" t="s">
        <v>23</v>
      </c>
      <c r="C438">
        <v>2026</v>
      </c>
      <c r="D438">
        <v>1</v>
      </c>
      <c r="E438" s="2">
        <v>46039</v>
      </c>
      <c r="F438" t="s">
        <v>7</v>
      </c>
      <c r="G438" t="s">
        <v>8</v>
      </c>
      <c r="H438" t="s">
        <v>70</v>
      </c>
      <c r="I438" t="s">
        <v>82</v>
      </c>
      <c r="J438" t="s">
        <v>83</v>
      </c>
      <c r="K438" t="s">
        <v>73</v>
      </c>
      <c r="L438">
        <v>701000</v>
      </c>
      <c r="M438" t="s">
        <v>62</v>
      </c>
      <c r="N438" t="s">
        <v>33</v>
      </c>
      <c r="O438">
        <v>518</v>
      </c>
      <c r="P438">
        <v>18.489999999999998</v>
      </c>
      <c r="Q438">
        <v>9.58</v>
      </c>
      <c r="R438" t="s">
        <v>1202</v>
      </c>
      <c r="S438" t="s">
        <v>195</v>
      </c>
    </row>
    <row r="439" spans="1:19" x14ac:dyDescent="0.3">
      <c r="A439" t="s">
        <v>887</v>
      </c>
      <c r="B439" t="s">
        <v>23</v>
      </c>
      <c r="C439">
        <v>2026</v>
      </c>
      <c r="D439">
        <v>1</v>
      </c>
      <c r="E439" s="2">
        <v>46039</v>
      </c>
      <c r="F439" t="s">
        <v>7</v>
      </c>
      <c r="G439" t="s">
        <v>8</v>
      </c>
      <c r="H439" t="s">
        <v>70</v>
      </c>
      <c r="I439" t="s">
        <v>82</v>
      </c>
      <c r="J439" t="s">
        <v>83</v>
      </c>
      <c r="K439" t="s">
        <v>73</v>
      </c>
      <c r="L439">
        <v>701000</v>
      </c>
      <c r="M439" t="s">
        <v>62</v>
      </c>
      <c r="N439" t="s">
        <v>33</v>
      </c>
      <c r="O439">
        <v>78</v>
      </c>
      <c r="P439">
        <v>18.46</v>
      </c>
      <c r="Q439">
        <v>1.44</v>
      </c>
      <c r="R439" t="s">
        <v>1198</v>
      </c>
      <c r="S439" t="s">
        <v>195</v>
      </c>
    </row>
    <row r="440" spans="1:19" x14ac:dyDescent="0.3">
      <c r="A440" t="s">
        <v>888</v>
      </c>
      <c r="B440" t="s">
        <v>23</v>
      </c>
      <c r="C440">
        <v>2026</v>
      </c>
      <c r="D440">
        <v>1</v>
      </c>
      <c r="E440" s="2">
        <v>46039</v>
      </c>
      <c r="F440" t="s">
        <v>7</v>
      </c>
      <c r="G440" t="s">
        <v>8</v>
      </c>
      <c r="H440" t="s">
        <v>70</v>
      </c>
      <c r="I440" t="s">
        <v>82</v>
      </c>
      <c r="J440" t="s">
        <v>83</v>
      </c>
      <c r="K440" t="s">
        <v>73</v>
      </c>
      <c r="L440">
        <v>701000</v>
      </c>
      <c r="M440" t="s">
        <v>62</v>
      </c>
      <c r="N440" t="s">
        <v>33</v>
      </c>
      <c r="O440">
        <v>55</v>
      </c>
      <c r="P440">
        <v>18.36</v>
      </c>
      <c r="Q440">
        <v>1.01</v>
      </c>
      <c r="R440" t="s">
        <v>1200</v>
      </c>
      <c r="S440" t="s">
        <v>195</v>
      </c>
    </row>
    <row r="441" spans="1:19" x14ac:dyDescent="0.3">
      <c r="A441" t="s">
        <v>889</v>
      </c>
      <c r="B441" t="s">
        <v>23</v>
      </c>
      <c r="C441">
        <v>2026</v>
      </c>
      <c r="D441">
        <v>1</v>
      </c>
      <c r="E441" s="2">
        <v>46039</v>
      </c>
      <c r="F441" t="s">
        <v>7</v>
      </c>
      <c r="G441" t="s">
        <v>8</v>
      </c>
      <c r="H441" t="s">
        <v>70</v>
      </c>
      <c r="I441" t="s">
        <v>82</v>
      </c>
      <c r="J441" t="s">
        <v>83</v>
      </c>
      <c r="K441" t="s">
        <v>73</v>
      </c>
      <c r="L441">
        <v>701000</v>
      </c>
      <c r="M441" t="s">
        <v>62</v>
      </c>
      <c r="N441" t="s">
        <v>33</v>
      </c>
      <c r="O441">
        <v>99</v>
      </c>
      <c r="P441">
        <v>18.48</v>
      </c>
      <c r="Q441">
        <v>1.83</v>
      </c>
      <c r="R441" t="s">
        <v>1204</v>
      </c>
      <c r="S441" t="s">
        <v>195</v>
      </c>
    </row>
    <row r="442" spans="1:19" x14ac:dyDescent="0.3">
      <c r="A442" t="s">
        <v>210</v>
      </c>
      <c r="B442" t="s">
        <v>23</v>
      </c>
      <c r="C442">
        <v>2026</v>
      </c>
      <c r="D442">
        <v>1</v>
      </c>
      <c r="E442" s="2">
        <v>46040</v>
      </c>
      <c r="F442" t="s">
        <v>7</v>
      </c>
      <c r="G442" t="s">
        <v>8</v>
      </c>
      <c r="H442" t="s">
        <v>74</v>
      </c>
      <c r="I442" t="s">
        <v>84</v>
      </c>
      <c r="J442" t="s">
        <v>85</v>
      </c>
      <c r="K442" t="s">
        <v>73</v>
      </c>
      <c r="L442">
        <v>701000</v>
      </c>
      <c r="M442" t="s">
        <v>62</v>
      </c>
      <c r="N442" t="s">
        <v>33</v>
      </c>
      <c r="O442">
        <v>2070</v>
      </c>
      <c r="P442">
        <v>0.95</v>
      </c>
      <c r="Q442">
        <v>1.97</v>
      </c>
      <c r="R442" t="s">
        <v>1203</v>
      </c>
      <c r="S442" t="s">
        <v>195</v>
      </c>
    </row>
    <row r="443" spans="1:19" x14ac:dyDescent="0.3">
      <c r="A443" t="s">
        <v>211</v>
      </c>
      <c r="B443" t="s">
        <v>23</v>
      </c>
      <c r="C443">
        <v>2026</v>
      </c>
      <c r="D443">
        <v>1</v>
      </c>
      <c r="E443" s="2">
        <v>46040</v>
      </c>
      <c r="F443" t="s">
        <v>7</v>
      </c>
      <c r="G443" t="s">
        <v>8</v>
      </c>
      <c r="H443" t="s">
        <v>74</v>
      </c>
      <c r="I443" t="s">
        <v>84</v>
      </c>
      <c r="J443" t="s">
        <v>85</v>
      </c>
      <c r="K443" t="s">
        <v>73</v>
      </c>
      <c r="L443">
        <v>701000</v>
      </c>
      <c r="M443" t="s">
        <v>62</v>
      </c>
      <c r="N443" t="s">
        <v>33</v>
      </c>
      <c r="O443">
        <v>2181</v>
      </c>
      <c r="P443">
        <v>0.95</v>
      </c>
      <c r="Q443">
        <v>2.0699999999999998</v>
      </c>
      <c r="R443" t="s">
        <v>1198</v>
      </c>
      <c r="S443" t="s">
        <v>195</v>
      </c>
    </row>
    <row r="444" spans="1:19" x14ac:dyDescent="0.3">
      <c r="A444" t="s">
        <v>212</v>
      </c>
      <c r="B444" t="s">
        <v>23</v>
      </c>
      <c r="C444">
        <v>2026</v>
      </c>
      <c r="D444">
        <v>1</v>
      </c>
      <c r="E444" s="2">
        <v>46040</v>
      </c>
      <c r="F444" t="s">
        <v>7</v>
      </c>
      <c r="G444" t="s">
        <v>8</v>
      </c>
      <c r="H444" t="s">
        <v>74</v>
      </c>
      <c r="I444" t="s">
        <v>84</v>
      </c>
      <c r="J444" t="s">
        <v>85</v>
      </c>
      <c r="K444" t="s">
        <v>73</v>
      </c>
      <c r="L444">
        <v>701000</v>
      </c>
      <c r="M444" t="s">
        <v>62</v>
      </c>
      <c r="N444" t="s">
        <v>33</v>
      </c>
      <c r="O444">
        <v>3036</v>
      </c>
      <c r="P444">
        <v>0.95</v>
      </c>
      <c r="Q444">
        <v>2.88</v>
      </c>
      <c r="R444" t="s">
        <v>1205</v>
      </c>
      <c r="S444" t="s">
        <v>195</v>
      </c>
    </row>
    <row r="445" spans="1:19" x14ac:dyDescent="0.3">
      <c r="A445" t="s">
        <v>213</v>
      </c>
      <c r="B445" t="s">
        <v>23</v>
      </c>
      <c r="C445">
        <v>2026</v>
      </c>
      <c r="D445">
        <v>1</v>
      </c>
      <c r="E445" s="2">
        <v>46040</v>
      </c>
      <c r="F445" t="s">
        <v>7</v>
      </c>
      <c r="G445" t="s">
        <v>8</v>
      </c>
      <c r="H445" t="s">
        <v>74</v>
      </c>
      <c r="I445" t="s">
        <v>84</v>
      </c>
      <c r="J445" t="s">
        <v>85</v>
      </c>
      <c r="K445" t="s">
        <v>73</v>
      </c>
      <c r="L445">
        <v>701000</v>
      </c>
      <c r="M445" t="s">
        <v>62</v>
      </c>
      <c r="N445" t="s">
        <v>33</v>
      </c>
      <c r="O445">
        <v>5471</v>
      </c>
      <c r="P445">
        <v>0.95</v>
      </c>
      <c r="Q445">
        <v>5.2</v>
      </c>
      <c r="R445" t="s">
        <v>1202</v>
      </c>
      <c r="S445" t="s">
        <v>195</v>
      </c>
    </row>
    <row r="446" spans="1:19" x14ac:dyDescent="0.3">
      <c r="A446" t="s">
        <v>214</v>
      </c>
      <c r="B446" t="s">
        <v>23</v>
      </c>
      <c r="C446">
        <v>2026</v>
      </c>
      <c r="D446">
        <v>1</v>
      </c>
      <c r="E446" s="2">
        <v>46040</v>
      </c>
      <c r="F446" t="s">
        <v>7</v>
      </c>
      <c r="G446" t="s">
        <v>8</v>
      </c>
      <c r="H446" t="s">
        <v>74</v>
      </c>
      <c r="I446" t="s">
        <v>84</v>
      </c>
      <c r="J446" t="s">
        <v>85</v>
      </c>
      <c r="K446" t="s">
        <v>73</v>
      </c>
      <c r="L446">
        <v>701000</v>
      </c>
      <c r="M446" t="s">
        <v>62</v>
      </c>
      <c r="N446" t="s">
        <v>33</v>
      </c>
      <c r="O446">
        <v>1535</v>
      </c>
      <c r="P446">
        <v>0.95</v>
      </c>
      <c r="Q446">
        <v>1.46</v>
      </c>
      <c r="R446" t="s">
        <v>1197</v>
      </c>
      <c r="S446" t="s">
        <v>195</v>
      </c>
    </row>
    <row r="447" spans="1:19" x14ac:dyDescent="0.3">
      <c r="A447" t="s">
        <v>410</v>
      </c>
      <c r="B447" t="s">
        <v>23</v>
      </c>
      <c r="C447">
        <v>2026</v>
      </c>
      <c r="D447">
        <v>1</v>
      </c>
      <c r="E447" s="2">
        <v>46040</v>
      </c>
      <c r="F447" t="s">
        <v>7</v>
      </c>
      <c r="G447" t="s">
        <v>8</v>
      </c>
      <c r="H447" t="s">
        <v>74</v>
      </c>
      <c r="I447" t="s">
        <v>71</v>
      </c>
      <c r="J447" t="s">
        <v>72</v>
      </c>
      <c r="K447" t="s">
        <v>73</v>
      </c>
      <c r="L447">
        <v>701000</v>
      </c>
      <c r="M447" t="s">
        <v>62</v>
      </c>
      <c r="N447" t="s">
        <v>33</v>
      </c>
      <c r="O447">
        <v>1458</v>
      </c>
      <c r="P447">
        <v>1.05</v>
      </c>
      <c r="Q447">
        <v>1.53</v>
      </c>
      <c r="R447" t="s">
        <v>1204</v>
      </c>
      <c r="S447" t="s">
        <v>195</v>
      </c>
    </row>
    <row r="448" spans="1:19" x14ac:dyDescent="0.3">
      <c r="A448" t="s">
        <v>411</v>
      </c>
      <c r="B448" t="s">
        <v>23</v>
      </c>
      <c r="C448">
        <v>2026</v>
      </c>
      <c r="D448">
        <v>1</v>
      </c>
      <c r="E448" s="2">
        <v>46040</v>
      </c>
      <c r="F448" t="s">
        <v>7</v>
      </c>
      <c r="G448" t="s">
        <v>8</v>
      </c>
      <c r="H448" t="s">
        <v>74</v>
      </c>
      <c r="I448" t="s">
        <v>71</v>
      </c>
      <c r="J448" t="s">
        <v>72</v>
      </c>
      <c r="K448" t="s">
        <v>73</v>
      </c>
      <c r="L448">
        <v>701000</v>
      </c>
      <c r="M448" t="s">
        <v>62</v>
      </c>
      <c r="N448" t="s">
        <v>33</v>
      </c>
      <c r="O448">
        <v>1116</v>
      </c>
      <c r="P448">
        <v>1.05</v>
      </c>
      <c r="Q448">
        <v>1.17</v>
      </c>
      <c r="R448" t="s">
        <v>1200</v>
      </c>
      <c r="S448" t="s">
        <v>195</v>
      </c>
    </row>
    <row r="449" spans="1:19" x14ac:dyDescent="0.3">
      <c r="A449" t="s">
        <v>412</v>
      </c>
      <c r="B449" t="s">
        <v>23</v>
      </c>
      <c r="C449">
        <v>2026</v>
      </c>
      <c r="D449">
        <v>1</v>
      </c>
      <c r="E449" s="2">
        <v>46040</v>
      </c>
      <c r="F449" t="s">
        <v>7</v>
      </c>
      <c r="G449" t="s">
        <v>8</v>
      </c>
      <c r="H449" t="s">
        <v>74</v>
      </c>
      <c r="I449" t="s">
        <v>71</v>
      </c>
      <c r="J449" t="s">
        <v>72</v>
      </c>
      <c r="K449" t="s">
        <v>73</v>
      </c>
      <c r="L449">
        <v>701000</v>
      </c>
      <c r="M449" t="s">
        <v>62</v>
      </c>
      <c r="N449" t="s">
        <v>33</v>
      </c>
      <c r="O449">
        <v>2032</v>
      </c>
      <c r="P449">
        <v>1.05</v>
      </c>
      <c r="Q449">
        <v>2.13</v>
      </c>
      <c r="R449" t="s">
        <v>1198</v>
      </c>
      <c r="S449" t="s">
        <v>195</v>
      </c>
    </row>
    <row r="450" spans="1:19" x14ac:dyDescent="0.3">
      <c r="A450" t="s">
        <v>413</v>
      </c>
      <c r="B450" t="s">
        <v>23</v>
      </c>
      <c r="C450">
        <v>2026</v>
      </c>
      <c r="D450">
        <v>1</v>
      </c>
      <c r="E450" s="2">
        <v>46040</v>
      </c>
      <c r="F450" t="s">
        <v>7</v>
      </c>
      <c r="G450" t="s">
        <v>8</v>
      </c>
      <c r="H450" t="s">
        <v>74</v>
      </c>
      <c r="I450" t="s">
        <v>71</v>
      </c>
      <c r="J450" t="s">
        <v>72</v>
      </c>
      <c r="K450" t="s">
        <v>73</v>
      </c>
      <c r="L450">
        <v>701000</v>
      </c>
      <c r="M450" t="s">
        <v>62</v>
      </c>
      <c r="N450" t="s">
        <v>33</v>
      </c>
      <c r="O450">
        <v>1912</v>
      </c>
      <c r="P450">
        <v>1.05</v>
      </c>
      <c r="Q450">
        <v>2.0099999999999998</v>
      </c>
      <c r="R450" t="s">
        <v>1205</v>
      </c>
      <c r="S450" t="s">
        <v>195</v>
      </c>
    </row>
    <row r="451" spans="1:19" x14ac:dyDescent="0.3">
      <c r="A451" t="s">
        <v>414</v>
      </c>
      <c r="B451" t="s">
        <v>23</v>
      </c>
      <c r="C451">
        <v>2026</v>
      </c>
      <c r="D451">
        <v>1</v>
      </c>
      <c r="E451" s="2">
        <v>46040</v>
      </c>
      <c r="F451" t="s">
        <v>7</v>
      </c>
      <c r="G451" t="s">
        <v>8</v>
      </c>
      <c r="H451" t="s">
        <v>74</v>
      </c>
      <c r="I451" t="s">
        <v>71</v>
      </c>
      <c r="J451" t="s">
        <v>72</v>
      </c>
      <c r="K451" t="s">
        <v>73</v>
      </c>
      <c r="L451">
        <v>701000</v>
      </c>
      <c r="M451" t="s">
        <v>62</v>
      </c>
      <c r="N451" t="s">
        <v>33</v>
      </c>
      <c r="O451">
        <v>1435</v>
      </c>
      <c r="P451">
        <v>1.05</v>
      </c>
      <c r="Q451">
        <v>1.51</v>
      </c>
      <c r="R451" t="s">
        <v>1202</v>
      </c>
      <c r="S451" t="s">
        <v>195</v>
      </c>
    </row>
    <row r="452" spans="1:19" x14ac:dyDescent="0.3">
      <c r="A452" t="s">
        <v>755</v>
      </c>
      <c r="B452" t="s">
        <v>23</v>
      </c>
      <c r="C452">
        <v>2026</v>
      </c>
      <c r="D452">
        <v>1</v>
      </c>
      <c r="E452" s="2">
        <v>46040</v>
      </c>
      <c r="F452" t="s">
        <v>7</v>
      </c>
      <c r="G452" t="s">
        <v>8</v>
      </c>
      <c r="H452" t="s">
        <v>70</v>
      </c>
      <c r="I452" t="s">
        <v>77</v>
      </c>
      <c r="J452" t="s">
        <v>78</v>
      </c>
      <c r="K452" t="s">
        <v>73</v>
      </c>
      <c r="L452">
        <v>701000</v>
      </c>
      <c r="M452" t="s">
        <v>62</v>
      </c>
      <c r="N452" t="s">
        <v>33</v>
      </c>
      <c r="O452">
        <v>3484</v>
      </c>
      <c r="P452">
        <v>1.8</v>
      </c>
      <c r="Q452">
        <v>6.27</v>
      </c>
      <c r="R452" t="s">
        <v>1199</v>
      </c>
      <c r="S452" t="s">
        <v>195</v>
      </c>
    </row>
    <row r="453" spans="1:19" x14ac:dyDescent="0.3">
      <c r="A453" t="s">
        <v>756</v>
      </c>
      <c r="B453" t="s">
        <v>23</v>
      </c>
      <c r="C453">
        <v>2026</v>
      </c>
      <c r="D453">
        <v>1</v>
      </c>
      <c r="E453" s="2">
        <v>46040</v>
      </c>
      <c r="F453" t="s">
        <v>7</v>
      </c>
      <c r="G453" t="s">
        <v>8</v>
      </c>
      <c r="H453" t="s">
        <v>70</v>
      </c>
      <c r="I453" t="s">
        <v>77</v>
      </c>
      <c r="J453" t="s">
        <v>78</v>
      </c>
      <c r="K453" t="s">
        <v>73</v>
      </c>
      <c r="L453">
        <v>701000</v>
      </c>
      <c r="M453" t="s">
        <v>62</v>
      </c>
      <c r="N453" t="s">
        <v>33</v>
      </c>
      <c r="O453">
        <v>1614</v>
      </c>
      <c r="P453">
        <v>1.8</v>
      </c>
      <c r="Q453">
        <v>2.9</v>
      </c>
      <c r="R453" t="s">
        <v>1203</v>
      </c>
      <c r="S453" t="s">
        <v>195</v>
      </c>
    </row>
    <row r="454" spans="1:19" x14ac:dyDescent="0.3">
      <c r="A454" t="s">
        <v>757</v>
      </c>
      <c r="B454" t="s">
        <v>23</v>
      </c>
      <c r="C454">
        <v>2026</v>
      </c>
      <c r="D454">
        <v>1</v>
      </c>
      <c r="E454" s="2">
        <v>46040</v>
      </c>
      <c r="F454" t="s">
        <v>7</v>
      </c>
      <c r="G454" t="s">
        <v>8</v>
      </c>
      <c r="H454" t="s">
        <v>70</v>
      </c>
      <c r="I454" t="s">
        <v>77</v>
      </c>
      <c r="J454" t="s">
        <v>78</v>
      </c>
      <c r="K454" t="s">
        <v>73</v>
      </c>
      <c r="L454">
        <v>701000</v>
      </c>
      <c r="M454" t="s">
        <v>62</v>
      </c>
      <c r="N454" t="s">
        <v>33</v>
      </c>
      <c r="O454">
        <v>1222</v>
      </c>
      <c r="P454">
        <v>1.8</v>
      </c>
      <c r="Q454">
        <v>2.2000000000000002</v>
      </c>
      <c r="R454" t="s">
        <v>1200</v>
      </c>
      <c r="S454" t="s">
        <v>195</v>
      </c>
    </row>
    <row r="455" spans="1:19" x14ac:dyDescent="0.3">
      <c r="A455" t="s">
        <v>758</v>
      </c>
      <c r="B455" t="s">
        <v>23</v>
      </c>
      <c r="C455">
        <v>2026</v>
      </c>
      <c r="D455">
        <v>1</v>
      </c>
      <c r="E455" s="2">
        <v>46040</v>
      </c>
      <c r="F455" t="s">
        <v>7</v>
      </c>
      <c r="G455" t="s">
        <v>8</v>
      </c>
      <c r="H455" t="s">
        <v>70</v>
      </c>
      <c r="I455" t="s">
        <v>77</v>
      </c>
      <c r="J455" t="s">
        <v>78</v>
      </c>
      <c r="K455" t="s">
        <v>73</v>
      </c>
      <c r="L455">
        <v>701000</v>
      </c>
      <c r="M455" t="s">
        <v>62</v>
      </c>
      <c r="N455" t="s">
        <v>33</v>
      </c>
      <c r="O455">
        <v>334</v>
      </c>
      <c r="P455">
        <v>1.8</v>
      </c>
      <c r="Q455">
        <v>0.6</v>
      </c>
      <c r="R455" t="s">
        <v>1205</v>
      </c>
      <c r="S455" t="s">
        <v>195</v>
      </c>
    </row>
    <row r="456" spans="1:19" x14ac:dyDescent="0.3">
      <c r="A456" t="s">
        <v>759</v>
      </c>
      <c r="B456" t="s">
        <v>23</v>
      </c>
      <c r="C456">
        <v>2026</v>
      </c>
      <c r="D456">
        <v>1</v>
      </c>
      <c r="E456" s="2">
        <v>46040</v>
      </c>
      <c r="F456" t="s">
        <v>7</v>
      </c>
      <c r="G456" t="s">
        <v>8</v>
      </c>
      <c r="H456" t="s">
        <v>70</v>
      </c>
      <c r="I456" t="s">
        <v>77</v>
      </c>
      <c r="J456" t="s">
        <v>78</v>
      </c>
      <c r="K456" t="s">
        <v>73</v>
      </c>
      <c r="L456">
        <v>701000</v>
      </c>
      <c r="M456" t="s">
        <v>62</v>
      </c>
      <c r="N456" t="s">
        <v>33</v>
      </c>
      <c r="O456">
        <v>1621</v>
      </c>
      <c r="P456">
        <v>1.8</v>
      </c>
      <c r="Q456">
        <v>2.92</v>
      </c>
      <c r="R456" t="s">
        <v>1202</v>
      </c>
      <c r="S456" t="s">
        <v>195</v>
      </c>
    </row>
    <row r="457" spans="1:19" x14ac:dyDescent="0.3">
      <c r="A457" t="s">
        <v>835</v>
      </c>
      <c r="B457" t="s">
        <v>23</v>
      </c>
      <c r="C457">
        <v>2026</v>
      </c>
      <c r="D457">
        <v>1</v>
      </c>
      <c r="E457" s="2">
        <v>46040</v>
      </c>
      <c r="F457" t="s">
        <v>7</v>
      </c>
      <c r="G457" t="s">
        <v>8</v>
      </c>
      <c r="H457" t="s">
        <v>74</v>
      </c>
      <c r="I457" t="s">
        <v>79</v>
      </c>
      <c r="J457" t="s">
        <v>80</v>
      </c>
      <c r="K457" t="s">
        <v>73</v>
      </c>
      <c r="L457">
        <v>701000</v>
      </c>
      <c r="M457" t="s">
        <v>62</v>
      </c>
      <c r="N457" t="s">
        <v>33</v>
      </c>
      <c r="O457">
        <v>367</v>
      </c>
      <c r="P457">
        <v>2.59</v>
      </c>
      <c r="Q457">
        <v>0.95</v>
      </c>
      <c r="R457" t="s">
        <v>1204</v>
      </c>
      <c r="S457" t="s">
        <v>195</v>
      </c>
    </row>
    <row r="458" spans="1:19" x14ac:dyDescent="0.3">
      <c r="A458" t="s">
        <v>836</v>
      </c>
      <c r="B458" t="s">
        <v>23</v>
      </c>
      <c r="C458">
        <v>2026</v>
      </c>
      <c r="D458">
        <v>1</v>
      </c>
      <c r="E458" s="2">
        <v>46040</v>
      </c>
      <c r="F458" t="s">
        <v>7</v>
      </c>
      <c r="G458" t="s">
        <v>8</v>
      </c>
      <c r="H458" t="s">
        <v>74</v>
      </c>
      <c r="I458" t="s">
        <v>79</v>
      </c>
      <c r="J458" t="s">
        <v>80</v>
      </c>
      <c r="K458" t="s">
        <v>73</v>
      </c>
      <c r="L458">
        <v>701000</v>
      </c>
      <c r="M458" t="s">
        <v>62</v>
      </c>
      <c r="N458" t="s">
        <v>33</v>
      </c>
      <c r="O458">
        <v>1836</v>
      </c>
      <c r="P458">
        <v>2.6</v>
      </c>
      <c r="Q458">
        <v>4.78</v>
      </c>
      <c r="R458" t="s">
        <v>1205</v>
      </c>
      <c r="S458" t="s">
        <v>195</v>
      </c>
    </row>
    <row r="459" spans="1:19" x14ac:dyDescent="0.3">
      <c r="A459" t="s">
        <v>837</v>
      </c>
      <c r="B459" t="s">
        <v>23</v>
      </c>
      <c r="C459">
        <v>2026</v>
      </c>
      <c r="D459">
        <v>1</v>
      </c>
      <c r="E459" s="2">
        <v>46040</v>
      </c>
      <c r="F459" t="s">
        <v>7</v>
      </c>
      <c r="G459" t="s">
        <v>8</v>
      </c>
      <c r="H459" t="s">
        <v>74</v>
      </c>
      <c r="I459" t="s">
        <v>79</v>
      </c>
      <c r="J459" t="s">
        <v>80</v>
      </c>
      <c r="K459" t="s">
        <v>73</v>
      </c>
      <c r="L459">
        <v>701000</v>
      </c>
      <c r="M459" t="s">
        <v>62</v>
      </c>
      <c r="N459" t="s">
        <v>33</v>
      </c>
      <c r="O459">
        <v>1206</v>
      </c>
      <c r="P459">
        <v>2.6</v>
      </c>
      <c r="Q459">
        <v>3.14</v>
      </c>
      <c r="R459" t="s">
        <v>1197</v>
      </c>
      <c r="S459" t="s">
        <v>195</v>
      </c>
    </row>
    <row r="460" spans="1:19" x14ac:dyDescent="0.3">
      <c r="A460" t="s">
        <v>838</v>
      </c>
      <c r="B460" t="s">
        <v>23</v>
      </c>
      <c r="C460">
        <v>2026</v>
      </c>
      <c r="D460">
        <v>1</v>
      </c>
      <c r="E460" s="2">
        <v>46040</v>
      </c>
      <c r="F460" t="s">
        <v>7</v>
      </c>
      <c r="G460" t="s">
        <v>8</v>
      </c>
      <c r="H460" t="s">
        <v>74</v>
      </c>
      <c r="I460" t="s">
        <v>79</v>
      </c>
      <c r="J460" t="s">
        <v>80</v>
      </c>
      <c r="K460" t="s">
        <v>73</v>
      </c>
      <c r="L460">
        <v>701000</v>
      </c>
      <c r="M460" t="s">
        <v>62</v>
      </c>
      <c r="N460" t="s">
        <v>33</v>
      </c>
      <c r="O460">
        <v>2054</v>
      </c>
      <c r="P460">
        <v>2.6</v>
      </c>
      <c r="Q460">
        <v>5.34</v>
      </c>
      <c r="R460" t="s">
        <v>1201</v>
      </c>
      <c r="S460" t="s">
        <v>195</v>
      </c>
    </row>
    <row r="461" spans="1:19" x14ac:dyDescent="0.3">
      <c r="A461" t="s">
        <v>839</v>
      </c>
      <c r="B461" t="s">
        <v>23</v>
      </c>
      <c r="C461">
        <v>2026</v>
      </c>
      <c r="D461">
        <v>1</v>
      </c>
      <c r="E461" s="2">
        <v>46040</v>
      </c>
      <c r="F461" t="s">
        <v>7</v>
      </c>
      <c r="G461" t="s">
        <v>8</v>
      </c>
      <c r="H461" t="s">
        <v>74</v>
      </c>
      <c r="I461" t="s">
        <v>79</v>
      </c>
      <c r="J461" t="s">
        <v>80</v>
      </c>
      <c r="K461" t="s">
        <v>73</v>
      </c>
      <c r="L461">
        <v>701000</v>
      </c>
      <c r="M461" t="s">
        <v>62</v>
      </c>
      <c r="N461" t="s">
        <v>33</v>
      </c>
      <c r="O461">
        <v>1351</v>
      </c>
      <c r="P461">
        <v>2.6</v>
      </c>
      <c r="Q461">
        <v>3.51</v>
      </c>
      <c r="R461" t="s">
        <v>1199</v>
      </c>
      <c r="S461" t="s">
        <v>195</v>
      </c>
    </row>
    <row r="462" spans="1:19" x14ac:dyDescent="0.3">
      <c r="A462" t="s">
        <v>865</v>
      </c>
      <c r="B462" t="s">
        <v>23</v>
      </c>
      <c r="C462">
        <v>2026</v>
      </c>
      <c r="D462">
        <v>1</v>
      </c>
      <c r="E462" s="2">
        <v>46040</v>
      </c>
      <c r="F462" t="s">
        <v>7</v>
      </c>
      <c r="G462" t="s">
        <v>8</v>
      </c>
      <c r="H462" t="s">
        <v>70</v>
      </c>
      <c r="I462" t="s">
        <v>79</v>
      </c>
      <c r="J462" t="s">
        <v>80</v>
      </c>
      <c r="K462" t="s">
        <v>73</v>
      </c>
      <c r="L462">
        <v>706000</v>
      </c>
      <c r="M462" t="s">
        <v>63</v>
      </c>
      <c r="N462" t="s">
        <v>33</v>
      </c>
      <c r="O462">
        <v>4356</v>
      </c>
      <c r="P462">
        <v>2.6</v>
      </c>
      <c r="Q462">
        <v>11.33</v>
      </c>
      <c r="R462" t="s">
        <v>1202</v>
      </c>
      <c r="S462" t="s">
        <v>195</v>
      </c>
    </row>
    <row r="463" spans="1:19" x14ac:dyDescent="0.3">
      <c r="A463" t="s">
        <v>866</v>
      </c>
      <c r="B463" t="s">
        <v>23</v>
      </c>
      <c r="C463">
        <v>2026</v>
      </c>
      <c r="D463">
        <v>1</v>
      </c>
      <c r="E463" s="2">
        <v>46040</v>
      </c>
      <c r="F463" t="s">
        <v>7</v>
      </c>
      <c r="G463" t="s">
        <v>8</v>
      </c>
      <c r="H463" t="s">
        <v>70</v>
      </c>
      <c r="I463" t="s">
        <v>79</v>
      </c>
      <c r="J463" t="s">
        <v>80</v>
      </c>
      <c r="K463" t="s">
        <v>73</v>
      </c>
      <c r="L463">
        <v>706000</v>
      </c>
      <c r="M463" t="s">
        <v>63</v>
      </c>
      <c r="N463" t="s">
        <v>33</v>
      </c>
      <c r="O463">
        <v>469</v>
      </c>
      <c r="P463">
        <v>2.6</v>
      </c>
      <c r="Q463">
        <v>1.22</v>
      </c>
      <c r="R463" t="s">
        <v>1200</v>
      </c>
      <c r="S463" t="s">
        <v>195</v>
      </c>
    </row>
    <row r="464" spans="1:19" x14ac:dyDescent="0.3">
      <c r="A464" t="s">
        <v>867</v>
      </c>
      <c r="B464" t="s">
        <v>23</v>
      </c>
      <c r="C464">
        <v>2026</v>
      </c>
      <c r="D464">
        <v>1</v>
      </c>
      <c r="E464" s="2">
        <v>46040</v>
      </c>
      <c r="F464" t="s">
        <v>7</v>
      </c>
      <c r="G464" t="s">
        <v>8</v>
      </c>
      <c r="H464" t="s">
        <v>70</v>
      </c>
      <c r="I464" t="s">
        <v>79</v>
      </c>
      <c r="J464" t="s">
        <v>80</v>
      </c>
      <c r="K464" t="s">
        <v>73</v>
      </c>
      <c r="L464">
        <v>706000</v>
      </c>
      <c r="M464" t="s">
        <v>63</v>
      </c>
      <c r="N464" t="s">
        <v>33</v>
      </c>
      <c r="O464">
        <v>1633</v>
      </c>
      <c r="P464">
        <v>2.6</v>
      </c>
      <c r="Q464">
        <v>4.25</v>
      </c>
      <c r="R464" t="s">
        <v>1203</v>
      </c>
      <c r="S464" t="s">
        <v>195</v>
      </c>
    </row>
    <row r="465" spans="1:19" x14ac:dyDescent="0.3">
      <c r="A465" t="s">
        <v>868</v>
      </c>
      <c r="B465" t="s">
        <v>23</v>
      </c>
      <c r="C465">
        <v>2026</v>
      </c>
      <c r="D465">
        <v>1</v>
      </c>
      <c r="E465" s="2">
        <v>46040</v>
      </c>
      <c r="F465" t="s">
        <v>7</v>
      </c>
      <c r="G465" t="s">
        <v>8</v>
      </c>
      <c r="H465" t="s">
        <v>70</v>
      </c>
      <c r="I465" t="s">
        <v>79</v>
      </c>
      <c r="J465" t="s">
        <v>80</v>
      </c>
      <c r="K465" t="s">
        <v>73</v>
      </c>
      <c r="L465">
        <v>706000</v>
      </c>
      <c r="M465" t="s">
        <v>63</v>
      </c>
      <c r="N465" t="s">
        <v>33</v>
      </c>
      <c r="O465">
        <v>416</v>
      </c>
      <c r="P465">
        <v>2.6</v>
      </c>
      <c r="Q465">
        <v>1.08</v>
      </c>
      <c r="R465" t="s">
        <v>1204</v>
      </c>
      <c r="S465" t="s">
        <v>195</v>
      </c>
    </row>
    <row r="466" spans="1:19" x14ac:dyDescent="0.3">
      <c r="A466" t="s">
        <v>869</v>
      </c>
      <c r="B466" t="s">
        <v>23</v>
      </c>
      <c r="C466">
        <v>2026</v>
      </c>
      <c r="D466">
        <v>1</v>
      </c>
      <c r="E466" s="2">
        <v>46040</v>
      </c>
      <c r="F466" t="s">
        <v>7</v>
      </c>
      <c r="G466" t="s">
        <v>8</v>
      </c>
      <c r="H466" t="s">
        <v>70</v>
      </c>
      <c r="I466" t="s">
        <v>79</v>
      </c>
      <c r="J466" t="s">
        <v>80</v>
      </c>
      <c r="K466" t="s">
        <v>73</v>
      </c>
      <c r="L466">
        <v>706000</v>
      </c>
      <c r="M466" t="s">
        <v>63</v>
      </c>
      <c r="N466" t="s">
        <v>33</v>
      </c>
      <c r="O466">
        <v>1648</v>
      </c>
      <c r="P466">
        <v>2.6</v>
      </c>
      <c r="Q466">
        <v>4.28</v>
      </c>
      <c r="R466" t="s">
        <v>1197</v>
      </c>
      <c r="S466" t="s">
        <v>195</v>
      </c>
    </row>
    <row r="467" spans="1:19" x14ac:dyDescent="0.3">
      <c r="A467" t="s">
        <v>955</v>
      </c>
      <c r="B467" t="s">
        <v>23</v>
      </c>
      <c r="C467">
        <v>2026</v>
      </c>
      <c r="D467">
        <v>1</v>
      </c>
      <c r="E467" s="2">
        <v>46040</v>
      </c>
      <c r="F467" t="s">
        <v>7</v>
      </c>
      <c r="G467" t="s">
        <v>8</v>
      </c>
      <c r="H467" t="s">
        <v>70</v>
      </c>
      <c r="I467" t="s">
        <v>82</v>
      </c>
      <c r="J467" t="s">
        <v>83</v>
      </c>
      <c r="K467" t="s">
        <v>73</v>
      </c>
      <c r="L467">
        <v>701000</v>
      </c>
      <c r="M467" t="s">
        <v>62</v>
      </c>
      <c r="N467" t="s">
        <v>33</v>
      </c>
      <c r="O467">
        <v>68</v>
      </c>
      <c r="P467">
        <v>18.38</v>
      </c>
      <c r="Q467">
        <v>1.25</v>
      </c>
      <c r="R467" t="s">
        <v>1198</v>
      </c>
      <c r="S467" t="s">
        <v>195</v>
      </c>
    </row>
    <row r="468" spans="1:19" x14ac:dyDescent="0.3">
      <c r="A468" t="s">
        <v>956</v>
      </c>
      <c r="B468" t="s">
        <v>23</v>
      </c>
      <c r="C468">
        <v>2026</v>
      </c>
      <c r="D468">
        <v>1</v>
      </c>
      <c r="E468" s="2">
        <v>46040</v>
      </c>
      <c r="F468" t="s">
        <v>7</v>
      </c>
      <c r="G468" t="s">
        <v>8</v>
      </c>
      <c r="H468" t="s">
        <v>70</v>
      </c>
      <c r="I468" t="s">
        <v>82</v>
      </c>
      <c r="J468" t="s">
        <v>83</v>
      </c>
      <c r="K468" t="s">
        <v>73</v>
      </c>
      <c r="L468">
        <v>701000</v>
      </c>
      <c r="M468" t="s">
        <v>62</v>
      </c>
      <c r="N468" t="s">
        <v>33</v>
      </c>
      <c r="O468">
        <v>262</v>
      </c>
      <c r="P468">
        <v>18.47</v>
      </c>
      <c r="Q468">
        <v>4.84</v>
      </c>
      <c r="R468" t="s">
        <v>1200</v>
      </c>
      <c r="S468" t="s">
        <v>195</v>
      </c>
    </row>
    <row r="469" spans="1:19" x14ac:dyDescent="0.3">
      <c r="A469" t="s">
        <v>957</v>
      </c>
      <c r="B469" t="s">
        <v>23</v>
      </c>
      <c r="C469">
        <v>2026</v>
      </c>
      <c r="D469">
        <v>1</v>
      </c>
      <c r="E469" s="2">
        <v>46040</v>
      </c>
      <c r="F469" t="s">
        <v>7</v>
      </c>
      <c r="G469" t="s">
        <v>8</v>
      </c>
      <c r="H469" t="s">
        <v>70</v>
      </c>
      <c r="I469" t="s">
        <v>82</v>
      </c>
      <c r="J469" t="s">
        <v>83</v>
      </c>
      <c r="K469" t="s">
        <v>73</v>
      </c>
      <c r="L469">
        <v>701000</v>
      </c>
      <c r="M469" t="s">
        <v>62</v>
      </c>
      <c r="N469" t="s">
        <v>33</v>
      </c>
      <c r="O469">
        <v>114</v>
      </c>
      <c r="P469">
        <v>18.510000000000002</v>
      </c>
      <c r="Q469">
        <v>2.11</v>
      </c>
      <c r="R469" t="s">
        <v>1203</v>
      </c>
      <c r="S469" t="s">
        <v>195</v>
      </c>
    </row>
    <row r="470" spans="1:19" x14ac:dyDescent="0.3">
      <c r="A470" t="s">
        <v>958</v>
      </c>
      <c r="B470" t="s">
        <v>23</v>
      </c>
      <c r="C470">
        <v>2026</v>
      </c>
      <c r="D470">
        <v>1</v>
      </c>
      <c r="E470" s="2">
        <v>46040</v>
      </c>
      <c r="F470" t="s">
        <v>7</v>
      </c>
      <c r="G470" t="s">
        <v>8</v>
      </c>
      <c r="H470" t="s">
        <v>70</v>
      </c>
      <c r="I470" t="s">
        <v>82</v>
      </c>
      <c r="J470" t="s">
        <v>83</v>
      </c>
      <c r="K470" t="s">
        <v>73</v>
      </c>
      <c r="L470">
        <v>701000</v>
      </c>
      <c r="M470" t="s">
        <v>62</v>
      </c>
      <c r="N470" t="s">
        <v>33</v>
      </c>
      <c r="O470">
        <v>194</v>
      </c>
      <c r="P470">
        <v>18.45</v>
      </c>
      <c r="Q470">
        <v>3.58</v>
      </c>
      <c r="R470" t="s">
        <v>1199</v>
      </c>
      <c r="S470" t="s">
        <v>195</v>
      </c>
    </row>
    <row r="471" spans="1:19" x14ac:dyDescent="0.3">
      <c r="A471" t="s">
        <v>959</v>
      </c>
      <c r="B471" t="s">
        <v>23</v>
      </c>
      <c r="C471">
        <v>2026</v>
      </c>
      <c r="D471">
        <v>1</v>
      </c>
      <c r="E471" s="2">
        <v>46040</v>
      </c>
      <c r="F471" t="s">
        <v>7</v>
      </c>
      <c r="G471" t="s">
        <v>8</v>
      </c>
      <c r="H471" t="s">
        <v>70</v>
      </c>
      <c r="I471" t="s">
        <v>82</v>
      </c>
      <c r="J471" t="s">
        <v>83</v>
      </c>
      <c r="K471" t="s">
        <v>73</v>
      </c>
      <c r="L471">
        <v>701000</v>
      </c>
      <c r="M471" t="s">
        <v>62</v>
      </c>
      <c r="N471" t="s">
        <v>33</v>
      </c>
      <c r="O471">
        <v>86</v>
      </c>
      <c r="P471">
        <v>18.72</v>
      </c>
      <c r="Q471">
        <v>1.61</v>
      </c>
      <c r="R471" t="s">
        <v>1197</v>
      </c>
      <c r="S471" t="s">
        <v>195</v>
      </c>
    </row>
    <row r="472" spans="1:19" x14ac:dyDescent="0.3">
      <c r="A472" t="s">
        <v>300</v>
      </c>
      <c r="B472" t="s">
        <v>23</v>
      </c>
      <c r="C472">
        <v>2026</v>
      </c>
      <c r="D472">
        <v>1</v>
      </c>
      <c r="E472" s="2">
        <v>46041</v>
      </c>
      <c r="F472" t="s">
        <v>7</v>
      </c>
      <c r="G472" t="s">
        <v>8</v>
      </c>
      <c r="H472" t="s">
        <v>70</v>
      </c>
      <c r="I472" t="s">
        <v>84</v>
      </c>
      <c r="J472" t="s">
        <v>85</v>
      </c>
      <c r="K472" t="s">
        <v>73</v>
      </c>
      <c r="L472">
        <v>701000</v>
      </c>
      <c r="M472" t="s">
        <v>62</v>
      </c>
      <c r="N472" t="s">
        <v>33</v>
      </c>
      <c r="O472">
        <v>2144</v>
      </c>
      <c r="P472">
        <v>0.95</v>
      </c>
      <c r="Q472">
        <v>2.04</v>
      </c>
      <c r="R472" t="s">
        <v>1203</v>
      </c>
      <c r="S472" t="s">
        <v>195</v>
      </c>
    </row>
    <row r="473" spans="1:19" x14ac:dyDescent="0.3">
      <c r="A473" t="s">
        <v>301</v>
      </c>
      <c r="B473" t="s">
        <v>23</v>
      </c>
      <c r="C473">
        <v>2026</v>
      </c>
      <c r="D473">
        <v>1</v>
      </c>
      <c r="E473" s="2">
        <v>46041</v>
      </c>
      <c r="F473" t="s">
        <v>7</v>
      </c>
      <c r="G473" t="s">
        <v>8</v>
      </c>
      <c r="H473" t="s">
        <v>70</v>
      </c>
      <c r="I473" t="s">
        <v>84</v>
      </c>
      <c r="J473" t="s">
        <v>85</v>
      </c>
      <c r="K473" t="s">
        <v>73</v>
      </c>
      <c r="L473">
        <v>701000</v>
      </c>
      <c r="M473" t="s">
        <v>62</v>
      </c>
      <c r="N473" t="s">
        <v>33</v>
      </c>
      <c r="O473">
        <v>2725</v>
      </c>
      <c r="P473">
        <v>0.95</v>
      </c>
      <c r="Q473">
        <v>2.59</v>
      </c>
      <c r="R473" t="s">
        <v>1205</v>
      </c>
      <c r="S473" t="s">
        <v>195</v>
      </c>
    </row>
    <row r="474" spans="1:19" x14ac:dyDescent="0.3">
      <c r="A474" t="s">
        <v>302</v>
      </c>
      <c r="B474" t="s">
        <v>23</v>
      </c>
      <c r="C474">
        <v>2026</v>
      </c>
      <c r="D474">
        <v>1</v>
      </c>
      <c r="E474" s="2">
        <v>46041</v>
      </c>
      <c r="F474" t="s">
        <v>7</v>
      </c>
      <c r="G474" t="s">
        <v>8</v>
      </c>
      <c r="H474" t="s">
        <v>70</v>
      </c>
      <c r="I474" t="s">
        <v>84</v>
      </c>
      <c r="J474" t="s">
        <v>85</v>
      </c>
      <c r="K474" t="s">
        <v>73</v>
      </c>
      <c r="L474">
        <v>701000</v>
      </c>
      <c r="M474" t="s">
        <v>62</v>
      </c>
      <c r="N474" t="s">
        <v>33</v>
      </c>
      <c r="O474">
        <v>1313</v>
      </c>
      <c r="P474">
        <v>0.95</v>
      </c>
      <c r="Q474">
        <v>1.25</v>
      </c>
      <c r="R474" t="s">
        <v>1202</v>
      </c>
      <c r="S474" t="s">
        <v>195</v>
      </c>
    </row>
    <row r="475" spans="1:19" x14ac:dyDescent="0.3">
      <c r="A475" t="s">
        <v>303</v>
      </c>
      <c r="B475" t="s">
        <v>23</v>
      </c>
      <c r="C475">
        <v>2026</v>
      </c>
      <c r="D475">
        <v>1</v>
      </c>
      <c r="E475" s="2">
        <v>46041</v>
      </c>
      <c r="F475" t="s">
        <v>7</v>
      </c>
      <c r="G475" t="s">
        <v>8</v>
      </c>
      <c r="H475" t="s">
        <v>70</v>
      </c>
      <c r="I475" t="s">
        <v>84</v>
      </c>
      <c r="J475" t="s">
        <v>85</v>
      </c>
      <c r="K475" t="s">
        <v>73</v>
      </c>
      <c r="L475">
        <v>701000</v>
      </c>
      <c r="M475" t="s">
        <v>62</v>
      </c>
      <c r="N475" t="s">
        <v>33</v>
      </c>
      <c r="O475">
        <v>3652</v>
      </c>
      <c r="P475">
        <v>0.95</v>
      </c>
      <c r="Q475">
        <v>3.47</v>
      </c>
      <c r="R475" t="s">
        <v>1200</v>
      </c>
      <c r="S475" t="s">
        <v>195</v>
      </c>
    </row>
    <row r="476" spans="1:19" x14ac:dyDescent="0.3">
      <c r="A476" t="s">
        <v>304</v>
      </c>
      <c r="B476" t="s">
        <v>23</v>
      </c>
      <c r="C476">
        <v>2026</v>
      </c>
      <c r="D476">
        <v>1</v>
      </c>
      <c r="E476" s="2">
        <v>46041</v>
      </c>
      <c r="F476" t="s">
        <v>7</v>
      </c>
      <c r="G476" t="s">
        <v>8</v>
      </c>
      <c r="H476" t="s">
        <v>70</v>
      </c>
      <c r="I476" t="s">
        <v>84</v>
      </c>
      <c r="J476" t="s">
        <v>85</v>
      </c>
      <c r="K476" t="s">
        <v>73</v>
      </c>
      <c r="L476">
        <v>701000</v>
      </c>
      <c r="M476" t="s">
        <v>62</v>
      </c>
      <c r="N476" t="s">
        <v>33</v>
      </c>
      <c r="O476">
        <v>2519</v>
      </c>
      <c r="P476">
        <v>0.94</v>
      </c>
      <c r="Q476">
        <v>2.38</v>
      </c>
      <c r="R476" t="s">
        <v>1197</v>
      </c>
      <c r="S476" t="s">
        <v>195</v>
      </c>
    </row>
    <row r="477" spans="1:19" x14ac:dyDescent="0.3">
      <c r="A477" t="s">
        <v>315</v>
      </c>
      <c r="B477" t="s">
        <v>23</v>
      </c>
      <c r="C477">
        <v>2026</v>
      </c>
      <c r="D477">
        <v>1</v>
      </c>
      <c r="E477" s="2">
        <v>46041</v>
      </c>
      <c r="F477" t="s">
        <v>7</v>
      </c>
      <c r="G477" t="s">
        <v>8</v>
      </c>
      <c r="H477" t="s">
        <v>70</v>
      </c>
      <c r="I477" t="s">
        <v>84</v>
      </c>
      <c r="J477" t="s">
        <v>85</v>
      </c>
      <c r="K477" t="s">
        <v>73</v>
      </c>
      <c r="L477">
        <v>701000</v>
      </c>
      <c r="M477" t="s">
        <v>62</v>
      </c>
      <c r="N477" t="s">
        <v>33</v>
      </c>
      <c r="O477">
        <v>1613</v>
      </c>
      <c r="P477">
        <v>0.95</v>
      </c>
      <c r="Q477">
        <v>1.53</v>
      </c>
      <c r="R477" t="s">
        <v>1204</v>
      </c>
      <c r="S477" t="s">
        <v>195</v>
      </c>
    </row>
    <row r="478" spans="1:19" x14ac:dyDescent="0.3">
      <c r="A478" t="s">
        <v>316</v>
      </c>
      <c r="B478" t="s">
        <v>23</v>
      </c>
      <c r="C478">
        <v>2026</v>
      </c>
      <c r="D478">
        <v>1</v>
      </c>
      <c r="E478" s="2">
        <v>46041</v>
      </c>
      <c r="F478" t="s">
        <v>7</v>
      </c>
      <c r="G478" t="s">
        <v>8</v>
      </c>
      <c r="H478" t="s">
        <v>70</v>
      </c>
      <c r="I478" t="s">
        <v>84</v>
      </c>
      <c r="J478" t="s">
        <v>85</v>
      </c>
      <c r="K478" t="s">
        <v>73</v>
      </c>
      <c r="L478">
        <v>701000</v>
      </c>
      <c r="M478" t="s">
        <v>62</v>
      </c>
      <c r="N478" t="s">
        <v>33</v>
      </c>
      <c r="O478">
        <v>2592</v>
      </c>
      <c r="P478">
        <v>0.95</v>
      </c>
      <c r="Q478">
        <v>2.46</v>
      </c>
      <c r="R478" t="s">
        <v>1201</v>
      </c>
      <c r="S478" t="s">
        <v>195</v>
      </c>
    </row>
    <row r="479" spans="1:19" x14ac:dyDescent="0.3">
      <c r="A479" t="s">
        <v>317</v>
      </c>
      <c r="B479" t="s">
        <v>23</v>
      </c>
      <c r="C479">
        <v>2026</v>
      </c>
      <c r="D479">
        <v>1</v>
      </c>
      <c r="E479" s="2">
        <v>46041</v>
      </c>
      <c r="F479" t="s">
        <v>7</v>
      </c>
      <c r="G479" t="s">
        <v>8</v>
      </c>
      <c r="H479" t="s">
        <v>70</v>
      </c>
      <c r="I479" t="s">
        <v>84</v>
      </c>
      <c r="J479" t="s">
        <v>85</v>
      </c>
      <c r="K479" t="s">
        <v>73</v>
      </c>
      <c r="L479">
        <v>701000</v>
      </c>
      <c r="M479" t="s">
        <v>62</v>
      </c>
      <c r="N479" t="s">
        <v>33</v>
      </c>
      <c r="O479">
        <v>3672</v>
      </c>
      <c r="P479">
        <v>0.95</v>
      </c>
      <c r="Q479">
        <v>3.49</v>
      </c>
      <c r="R479" t="s">
        <v>1197</v>
      </c>
      <c r="S479" t="s">
        <v>195</v>
      </c>
    </row>
    <row r="480" spans="1:19" x14ac:dyDescent="0.3">
      <c r="A480" t="s">
        <v>318</v>
      </c>
      <c r="B480" t="s">
        <v>23</v>
      </c>
      <c r="C480">
        <v>2026</v>
      </c>
      <c r="D480">
        <v>1</v>
      </c>
      <c r="E480" s="2">
        <v>46041</v>
      </c>
      <c r="F480" t="s">
        <v>7</v>
      </c>
      <c r="G480" t="s">
        <v>8</v>
      </c>
      <c r="H480" t="s">
        <v>70</v>
      </c>
      <c r="I480" t="s">
        <v>84</v>
      </c>
      <c r="J480" t="s">
        <v>85</v>
      </c>
      <c r="K480" t="s">
        <v>73</v>
      </c>
      <c r="L480">
        <v>701000</v>
      </c>
      <c r="M480" t="s">
        <v>62</v>
      </c>
      <c r="N480" t="s">
        <v>33</v>
      </c>
      <c r="O480">
        <v>1110</v>
      </c>
      <c r="P480">
        <v>0.95</v>
      </c>
      <c r="Q480">
        <v>1.05</v>
      </c>
      <c r="R480" t="s">
        <v>1199</v>
      </c>
      <c r="S480" t="s">
        <v>195</v>
      </c>
    </row>
    <row r="481" spans="1:19" x14ac:dyDescent="0.3">
      <c r="A481" t="s">
        <v>319</v>
      </c>
      <c r="B481" t="s">
        <v>23</v>
      </c>
      <c r="C481">
        <v>2026</v>
      </c>
      <c r="D481">
        <v>1</v>
      </c>
      <c r="E481" s="2">
        <v>46041</v>
      </c>
      <c r="F481" t="s">
        <v>7</v>
      </c>
      <c r="G481" t="s">
        <v>8</v>
      </c>
      <c r="H481" t="s">
        <v>70</v>
      </c>
      <c r="I481" t="s">
        <v>84</v>
      </c>
      <c r="J481" t="s">
        <v>85</v>
      </c>
      <c r="K481" t="s">
        <v>73</v>
      </c>
      <c r="L481">
        <v>701000</v>
      </c>
      <c r="M481" t="s">
        <v>62</v>
      </c>
      <c r="N481" t="s">
        <v>33</v>
      </c>
      <c r="O481">
        <v>4445</v>
      </c>
      <c r="P481">
        <v>0.95</v>
      </c>
      <c r="Q481">
        <v>4.2300000000000004</v>
      </c>
      <c r="R481" t="s">
        <v>1198</v>
      </c>
      <c r="S481" t="s">
        <v>195</v>
      </c>
    </row>
    <row r="482" spans="1:19" x14ac:dyDescent="0.3">
      <c r="A482" t="s">
        <v>525</v>
      </c>
      <c r="B482" t="s">
        <v>23</v>
      </c>
      <c r="C482">
        <v>2026</v>
      </c>
      <c r="D482">
        <v>1</v>
      </c>
      <c r="E482" s="2">
        <v>46041</v>
      </c>
      <c r="F482" t="s">
        <v>7</v>
      </c>
      <c r="G482" t="s">
        <v>8</v>
      </c>
      <c r="H482" t="s">
        <v>70</v>
      </c>
      <c r="I482" t="s">
        <v>71</v>
      </c>
      <c r="J482" t="s">
        <v>72</v>
      </c>
      <c r="K482" t="s">
        <v>73</v>
      </c>
      <c r="L482">
        <v>701000</v>
      </c>
      <c r="M482" t="s">
        <v>62</v>
      </c>
      <c r="N482" t="s">
        <v>33</v>
      </c>
      <c r="O482">
        <v>2699</v>
      </c>
      <c r="P482">
        <v>1.05</v>
      </c>
      <c r="Q482">
        <v>2.83</v>
      </c>
      <c r="R482" t="s">
        <v>1201</v>
      </c>
      <c r="S482" t="s">
        <v>195</v>
      </c>
    </row>
    <row r="483" spans="1:19" x14ac:dyDescent="0.3">
      <c r="A483" t="s">
        <v>526</v>
      </c>
      <c r="B483" t="s">
        <v>23</v>
      </c>
      <c r="C483">
        <v>2026</v>
      </c>
      <c r="D483">
        <v>1</v>
      </c>
      <c r="E483" s="2">
        <v>46041</v>
      </c>
      <c r="F483" t="s">
        <v>7</v>
      </c>
      <c r="G483" t="s">
        <v>8</v>
      </c>
      <c r="H483" t="s">
        <v>70</v>
      </c>
      <c r="I483" t="s">
        <v>71</v>
      </c>
      <c r="J483" t="s">
        <v>72</v>
      </c>
      <c r="K483" t="s">
        <v>73</v>
      </c>
      <c r="L483">
        <v>701000</v>
      </c>
      <c r="M483" t="s">
        <v>62</v>
      </c>
      <c r="N483" t="s">
        <v>33</v>
      </c>
      <c r="O483">
        <v>2055</v>
      </c>
      <c r="P483">
        <v>1.05</v>
      </c>
      <c r="Q483">
        <v>2.16</v>
      </c>
      <c r="R483" t="s">
        <v>1202</v>
      </c>
      <c r="S483" t="s">
        <v>195</v>
      </c>
    </row>
    <row r="484" spans="1:19" x14ac:dyDescent="0.3">
      <c r="A484" t="s">
        <v>527</v>
      </c>
      <c r="B484" t="s">
        <v>23</v>
      </c>
      <c r="C484">
        <v>2026</v>
      </c>
      <c r="D484">
        <v>1</v>
      </c>
      <c r="E484" s="2">
        <v>46041</v>
      </c>
      <c r="F484" t="s">
        <v>7</v>
      </c>
      <c r="G484" t="s">
        <v>8</v>
      </c>
      <c r="H484" t="s">
        <v>70</v>
      </c>
      <c r="I484" t="s">
        <v>71</v>
      </c>
      <c r="J484" t="s">
        <v>72</v>
      </c>
      <c r="K484" t="s">
        <v>73</v>
      </c>
      <c r="L484">
        <v>701000</v>
      </c>
      <c r="M484" t="s">
        <v>62</v>
      </c>
      <c r="N484" t="s">
        <v>33</v>
      </c>
      <c r="O484">
        <v>1951</v>
      </c>
      <c r="P484">
        <v>1.05</v>
      </c>
      <c r="Q484">
        <v>2.0499999999999998</v>
      </c>
      <c r="R484" t="s">
        <v>1199</v>
      </c>
      <c r="S484" t="s">
        <v>195</v>
      </c>
    </row>
    <row r="485" spans="1:19" x14ac:dyDescent="0.3">
      <c r="A485" t="s">
        <v>528</v>
      </c>
      <c r="B485" t="s">
        <v>23</v>
      </c>
      <c r="C485">
        <v>2026</v>
      </c>
      <c r="D485">
        <v>1</v>
      </c>
      <c r="E485" s="2">
        <v>46041</v>
      </c>
      <c r="F485" t="s">
        <v>7</v>
      </c>
      <c r="G485" t="s">
        <v>8</v>
      </c>
      <c r="H485" t="s">
        <v>70</v>
      </c>
      <c r="I485" t="s">
        <v>71</v>
      </c>
      <c r="J485" t="s">
        <v>72</v>
      </c>
      <c r="K485" t="s">
        <v>73</v>
      </c>
      <c r="L485">
        <v>701000</v>
      </c>
      <c r="M485" t="s">
        <v>62</v>
      </c>
      <c r="N485" t="s">
        <v>33</v>
      </c>
      <c r="O485">
        <v>1345</v>
      </c>
      <c r="P485">
        <v>1.05</v>
      </c>
      <c r="Q485">
        <v>1.41</v>
      </c>
      <c r="R485" t="s">
        <v>1198</v>
      </c>
      <c r="S485" t="s">
        <v>195</v>
      </c>
    </row>
    <row r="486" spans="1:19" x14ac:dyDescent="0.3">
      <c r="A486" t="s">
        <v>529</v>
      </c>
      <c r="B486" t="s">
        <v>23</v>
      </c>
      <c r="C486">
        <v>2026</v>
      </c>
      <c r="D486">
        <v>1</v>
      </c>
      <c r="E486" s="2">
        <v>46041</v>
      </c>
      <c r="F486" t="s">
        <v>7</v>
      </c>
      <c r="G486" t="s">
        <v>8</v>
      </c>
      <c r="H486" t="s">
        <v>70</v>
      </c>
      <c r="I486" t="s">
        <v>71</v>
      </c>
      <c r="J486" t="s">
        <v>72</v>
      </c>
      <c r="K486" t="s">
        <v>73</v>
      </c>
      <c r="L486">
        <v>701000</v>
      </c>
      <c r="M486" t="s">
        <v>62</v>
      </c>
      <c r="N486" t="s">
        <v>33</v>
      </c>
      <c r="O486">
        <v>1768</v>
      </c>
      <c r="P486">
        <v>1.05</v>
      </c>
      <c r="Q486">
        <v>1.86</v>
      </c>
      <c r="R486" t="s">
        <v>1197</v>
      </c>
      <c r="S486" t="s">
        <v>195</v>
      </c>
    </row>
    <row r="487" spans="1:19" x14ac:dyDescent="0.3">
      <c r="A487" t="s">
        <v>600</v>
      </c>
      <c r="B487" t="s">
        <v>23</v>
      </c>
      <c r="C487">
        <v>2026</v>
      </c>
      <c r="D487">
        <v>1</v>
      </c>
      <c r="E487" s="2">
        <v>46041</v>
      </c>
      <c r="F487" t="s">
        <v>7</v>
      </c>
      <c r="G487" t="s">
        <v>8</v>
      </c>
      <c r="H487" t="s">
        <v>70</v>
      </c>
      <c r="I487" t="s">
        <v>75</v>
      </c>
      <c r="J487" t="s">
        <v>76</v>
      </c>
      <c r="K487" t="s">
        <v>73</v>
      </c>
      <c r="L487">
        <v>701000</v>
      </c>
      <c r="M487" t="s">
        <v>62</v>
      </c>
      <c r="N487" t="s">
        <v>33</v>
      </c>
      <c r="O487">
        <v>1145</v>
      </c>
      <c r="P487">
        <v>1.4</v>
      </c>
      <c r="Q487">
        <v>1.6</v>
      </c>
      <c r="R487" t="s">
        <v>1200</v>
      </c>
      <c r="S487" t="s">
        <v>195</v>
      </c>
    </row>
    <row r="488" spans="1:19" x14ac:dyDescent="0.3">
      <c r="A488" t="s">
        <v>601</v>
      </c>
      <c r="B488" t="s">
        <v>23</v>
      </c>
      <c r="C488">
        <v>2026</v>
      </c>
      <c r="D488">
        <v>1</v>
      </c>
      <c r="E488" s="2">
        <v>46041</v>
      </c>
      <c r="F488" t="s">
        <v>7</v>
      </c>
      <c r="G488" t="s">
        <v>8</v>
      </c>
      <c r="H488" t="s">
        <v>70</v>
      </c>
      <c r="I488" t="s">
        <v>75</v>
      </c>
      <c r="J488" t="s">
        <v>76</v>
      </c>
      <c r="K488" t="s">
        <v>73</v>
      </c>
      <c r="L488">
        <v>701000</v>
      </c>
      <c r="M488" t="s">
        <v>62</v>
      </c>
      <c r="N488" t="s">
        <v>33</v>
      </c>
      <c r="O488">
        <v>1824</v>
      </c>
      <c r="P488">
        <v>1.4</v>
      </c>
      <c r="Q488">
        <v>2.5499999999999998</v>
      </c>
      <c r="R488" t="s">
        <v>1203</v>
      </c>
      <c r="S488" t="s">
        <v>195</v>
      </c>
    </row>
    <row r="489" spans="1:19" x14ac:dyDescent="0.3">
      <c r="A489" t="s">
        <v>602</v>
      </c>
      <c r="B489" t="s">
        <v>23</v>
      </c>
      <c r="C489">
        <v>2026</v>
      </c>
      <c r="D489">
        <v>1</v>
      </c>
      <c r="E489" s="2">
        <v>46041</v>
      </c>
      <c r="F489" t="s">
        <v>7</v>
      </c>
      <c r="G489" t="s">
        <v>8</v>
      </c>
      <c r="H489" t="s">
        <v>70</v>
      </c>
      <c r="I489" t="s">
        <v>75</v>
      </c>
      <c r="J489" t="s">
        <v>76</v>
      </c>
      <c r="K489" t="s">
        <v>73</v>
      </c>
      <c r="L489">
        <v>701000</v>
      </c>
      <c r="M489" t="s">
        <v>62</v>
      </c>
      <c r="N489" t="s">
        <v>33</v>
      </c>
      <c r="O489">
        <v>1456</v>
      </c>
      <c r="P489">
        <v>1.4</v>
      </c>
      <c r="Q489">
        <v>2.04</v>
      </c>
      <c r="R489" t="s">
        <v>1198</v>
      </c>
      <c r="S489" t="s">
        <v>195</v>
      </c>
    </row>
    <row r="490" spans="1:19" x14ac:dyDescent="0.3">
      <c r="A490" t="s">
        <v>603</v>
      </c>
      <c r="B490" t="s">
        <v>23</v>
      </c>
      <c r="C490">
        <v>2026</v>
      </c>
      <c r="D490">
        <v>1</v>
      </c>
      <c r="E490" s="2">
        <v>46041</v>
      </c>
      <c r="F490" t="s">
        <v>7</v>
      </c>
      <c r="G490" t="s">
        <v>8</v>
      </c>
      <c r="H490" t="s">
        <v>70</v>
      </c>
      <c r="I490" t="s">
        <v>75</v>
      </c>
      <c r="J490" t="s">
        <v>76</v>
      </c>
      <c r="K490" t="s">
        <v>73</v>
      </c>
      <c r="L490">
        <v>701000</v>
      </c>
      <c r="M490" t="s">
        <v>62</v>
      </c>
      <c r="N490" t="s">
        <v>33</v>
      </c>
      <c r="O490">
        <v>1839</v>
      </c>
      <c r="P490">
        <v>1.4</v>
      </c>
      <c r="Q490">
        <v>2.57</v>
      </c>
      <c r="R490" t="s">
        <v>1205</v>
      </c>
      <c r="S490" t="s">
        <v>195</v>
      </c>
    </row>
    <row r="491" spans="1:19" x14ac:dyDescent="0.3">
      <c r="A491" t="s">
        <v>604</v>
      </c>
      <c r="B491" t="s">
        <v>23</v>
      </c>
      <c r="C491">
        <v>2026</v>
      </c>
      <c r="D491">
        <v>1</v>
      </c>
      <c r="E491" s="2">
        <v>46041</v>
      </c>
      <c r="F491" t="s">
        <v>7</v>
      </c>
      <c r="G491" t="s">
        <v>8</v>
      </c>
      <c r="H491" t="s">
        <v>70</v>
      </c>
      <c r="I491" t="s">
        <v>75</v>
      </c>
      <c r="J491" t="s">
        <v>76</v>
      </c>
      <c r="K491" t="s">
        <v>73</v>
      </c>
      <c r="L491">
        <v>701000</v>
      </c>
      <c r="M491" t="s">
        <v>62</v>
      </c>
      <c r="N491" t="s">
        <v>33</v>
      </c>
      <c r="O491">
        <v>829</v>
      </c>
      <c r="P491">
        <v>1.41</v>
      </c>
      <c r="Q491">
        <v>1.17</v>
      </c>
      <c r="R491" t="s">
        <v>1197</v>
      </c>
      <c r="S491" t="s">
        <v>195</v>
      </c>
    </row>
    <row r="492" spans="1:19" x14ac:dyDescent="0.3">
      <c r="A492" t="s">
        <v>890</v>
      </c>
      <c r="B492" t="s">
        <v>23</v>
      </c>
      <c r="C492">
        <v>2026</v>
      </c>
      <c r="D492">
        <v>1</v>
      </c>
      <c r="E492" s="2">
        <v>46041</v>
      </c>
      <c r="F492" t="s">
        <v>7</v>
      </c>
      <c r="G492" t="s">
        <v>8</v>
      </c>
      <c r="H492" t="s">
        <v>74</v>
      </c>
      <c r="I492" t="s">
        <v>82</v>
      </c>
      <c r="J492" t="s">
        <v>83</v>
      </c>
      <c r="K492" t="s">
        <v>73</v>
      </c>
      <c r="L492">
        <v>701000</v>
      </c>
      <c r="M492" t="s">
        <v>62</v>
      </c>
      <c r="N492" t="s">
        <v>33</v>
      </c>
      <c r="O492">
        <v>42</v>
      </c>
      <c r="P492">
        <v>18.329999999999998</v>
      </c>
      <c r="Q492">
        <v>0.77</v>
      </c>
      <c r="R492" t="s">
        <v>1203</v>
      </c>
      <c r="S492" t="s">
        <v>195</v>
      </c>
    </row>
    <row r="493" spans="1:19" x14ac:dyDescent="0.3">
      <c r="A493" t="s">
        <v>891</v>
      </c>
      <c r="B493" t="s">
        <v>23</v>
      </c>
      <c r="C493">
        <v>2026</v>
      </c>
      <c r="D493">
        <v>1</v>
      </c>
      <c r="E493" s="2">
        <v>46041</v>
      </c>
      <c r="F493" t="s">
        <v>7</v>
      </c>
      <c r="G493" t="s">
        <v>8</v>
      </c>
      <c r="H493" t="s">
        <v>74</v>
      </c>
      <c r="I493" t="s">
        <v>82</v>
      </c>
      <c r="J493" t="s">
        <v>83</v>
      </c>
      <c r="K493" t="s">
        <v>73</v>
      </c>
      <c r="L493">
        <v>701000</v>
      </c>
      <c r="M493" t="s">
        <v>62</v>
      </c>
      <c r="N493" t="s">
        <v>33</v>
      </c>
      <c r="O493">
        <v>111</v>
      </c>
      <c r="P493">
        <v>18.47</v>
      </c>
      <c r="Q493">
        <v>2.0499999999999998</v>
      </c>
      <c r="R493" t="s">
        <v>1200</v>
      </c>
      <c r="S493" t="s">
        <v>195</v>
      </c>
    </row>
    <row r="494" spans="1:19" x14ac:dyDescent="0.3">
      <c r="A494" t="s">
        <v>892</v>
      </c>
      <c r="B494" t="s">
        <v>23</v>
      </c>
      <c r="C494">
        <v>2026</v>
      </c>
      <c r="D494">
        <v>1</v>
      </c>
      <c r="E494" s="2">
        <v>46041</v>
      </c>
      <c r="F494" t="s">
        <v>7</v>
      </c>
      <c r="G494" t="s">
        <v>8</v>
      </c>
      <c r="H494" t="s">
        <v>74</v>
      </c>
      <c r="I494" t="s">
        <v>82</v>
      </c>
      <c r="J494" t="s">
        <v>83</v>
      </c>
      <c r="K494" t="s">
        <v>73</v>
      </c>
      <c r="L494">
        <v>701000</v>
      </c>
      <c r="M494" t="s">
        <v>62</v>
      </c>
      <c r="N494" t="s">
        <v>33</v>
      </c>
      <c r="O494">
        <v>166</v>
      </c>
      <c r="P494">
        <v>18.55</v>
      </c>
      <c r="Q494">
        <v>3.08</v>
      </c>
      <c r="R494" t="s">
        <v>1202</v>
      </c>
      <c r="S494" t="s">
        <v>195</v>
      </c>
    </row>
    <row r="495" spans="1:19" x14ac:dyDescent="0.3">
      <c r="A495" t="s">
        <v>893</v>
      </c>
      <c r="B495" t="s">
        <v>23</v>
      </c>
      <c r="C495">
        <v>2026</v>
      </c>
      <c r="D495">
        <v>1</v>
      </c>
      <c r="E495" s="2">
        <v>46041</v>
      </c>
      <c r="F495" t="s">
        <v>7</v>
      </c>
      <c r="G495" t="s">
        <v>8</v>
      </c>
      <c r="H495" t="s">
        <v>74</v>
      </c>
      <c r="I495" t="s">
        <v>82</v>
      </c>
      <c r="J495" t="s">
        <v>83</v>
      </c>
      <c r="K495" t="s">
        <v>73</v>
      </c>
      <c r="L495">
        <v>701000</v>
      </c>
      <c r="M495" t="s">
        <v>62</v>
      </c>
      <c r="N495" t="s">
        <v>33</v>
      </c>
      <c r="O495">
        <v>354</v>
      </c>
      <c r="P495">
        <v>18.5</v>
      </c>
      <c r="Q495">
        <v>6.55</v>
      </c>
      <c r="R495" t="s">
        <v>1204</v>
      </c>
      <c r="S495" t="s">
        <v>195</v>
      </c>
    </row>
    <row r="496" spans="1:19" x14ac:dyDescent="0.3">
      <c r="A496" t="s">
        <v>894</v>
      </c>
      <c r="B496" t="s">
        <v>23</v>
      </c>
      <c r="C496">
        <v>2026</v>
      </c>
      <c r="D496">
        <v>1</v>
      </c>
      <c r="E496" s="2">
        <v>46041</v>
      </c>
      <c r="F496" t="s">
        <v>7</v>
      </c>
      <c r="G496" t="s">
        <v>8</v>
      </c>
      <c r="H496" t="s">
        <v>74</v>
      </c>
      <c r="I496" t="s">
        <v>82</v>
      </c>
      <c r="J496" t="s">
        <v>83</v>
      </c>
      <c r="K496" t="s">
        <v>73</v>
      </c>
      <c r="L496">
        <v>701000</v>
      </c>
      <c r="M496" t="s">
        <v>62</v>
      </c>
      <c r="N496" t="s">
        <v>33</v>
      </c>
      <c r="O496">
        <v>146</v>
      </c>
      <c r="P496">
        <v>18.559999999999999</v>
      </c>
      <c r="Q496">
        <v>2.71</v>
      </c>
      <c r="R496" t="s">
        <v>1205</v>
      </c>
      <c r="S496" t="s">
        <v>195</v>
      </c>
    </row>
    <row r="497" spans="1:19" x14ac:dyDescent="0.3">
      <c r="A497" t="s">
        <v>250</v>
      </c>
      <c r="B497" t="s">
        <v>23</v>
      </c>
      <c r="C497">
        <v>2026</v>
      </c>
      <c r="D497">
        <v>1</v>
      </c>
      <c r="E497" s="2">
        <v>46042</v>
      </c>
      <c r="F497" t="s">
        <v>7</v>
      </c>
      <c r="G497" t="s">
        <v>8</v>
      </c>
      <c r="H497" t="s">
        <v>70</v>
      </c>
      <c r="I497" t="s">
        <v>84</v>
      </c>
      <c r="J497" t="s">
        <v>85</v>
      </c>
      <c r="K497" t="s">
        <v>73</v>
      </c>
      <c r="L497">
        <v>701000</v>
      </c>
      <c r="M497" t="s">
        <v>62</v>
      </c>
      <c r="N497" t="s">
        <v>33</v>
      </c>
      <c r="O497">
        <v>2246</v>
      </c>
      <c r="P497">
        <v>0.95</v>
      </c>
      <c r="Q497">
        <v>2.13</v>
      </c>
      <c r="R497" t="s">
        <v>1198</v>
      </c>
      <c r="S497" t="s">
        <v>195</v>
      </c>
    </row>
    <row r="498" spans="1:19" x14ac:dyDescent="0.3">
      <c r="A498" t="s">
        <v>251</v>
      </c>
      <c r="B498" t="s">
        <v>23</v>
      </c>
      <c r="C498">
        <v>2026</v>
      </c>
      <c r="D498">
        <v>1</v>
      </c>
      <c r="E498" s="2">
        <v>46042</v>
      </c>
      <c r="F498" t="s">
        <v>7</v>
      </c>
      <c r="G498" t="s">
        <v>8</v>
      </c>
      <c r="H498" t="s">
        <v>70</v>
      </c>
      <c r="I498" t="s">
        <v>84</v>
      </c>
      <c r="J498" t="s">
        <v>85</v>
      </c>
      <c r="K498" t="s">
        <v>73</v>
      </c>
      <c r="L498">
        <v>701000</v>
      </c>
      <c r="M498" t="s">
        <v>62</v>
      </c>
      <c r="N498" t="s">
        <v>33</v>
      </c>
      <c r="O498">
        <v>1976</v>
      </c>
      <c r="P498">
        <v>0.95</v>
      </c>
      <c r="Q498">
        <v>1.88</v>
      </c>
      <c r="R498" t="s">
        <v>1197</v>
      </c>
      <c r="S498" t="s">
        <v>195</v>
      </c>
    </row>
    <row r="499" spans="1:19" x14ac:dyDescent="0.3">
      <c r="A499" t="s">
        <v>252</v>
      </c>
      <c r="B499" t="s">
        <v>23</v>
      </c>
      <c r="C499">
        <v>2026</v>
      </c>
      <c r="D499">
        <v>1</v>
      </c>
      <c r="E499" s="2">
        <v>46042</v>
      </c>
      <c r="F499" t="s">
        <v>7</v>
      </c>
      <c r="G499" t="s">
        <v>8</v>
      </c>
      <c r="H499" t="s">
        <v>70</v>
      </c>
      <c r="I499" t="s">
        <v>84</v>
      </c>
      <c r="J499" t="s">
        <v>85</v>
      </c>
      <c r="K499" t="s">
        <v>73</v>
      </c>
      <c r="L499">
        <v>701000</v>
      </c>
      <c r="M499" t="s">
        <v>62</v>
      </c>
      <c r="N499" t="s">
        <v>33</v>
      </c>
      <c r="O499">
        <v>5054</v>
      </c>
      <c r="P499">
        <v>0.95</v>
      </c>
      <c r="Q499">
        <v>4.8</v>
      </c>
      <c r="R499" t="s">
        <v>1201</v>
      </c>
      <c r="S499" t="s">
        <v>195</v>
      </c>
    </row>
    <row r="500" spans="1:19" x14ac:dyDescent="0.3">
      <c r="A500" t="s">
        <v>253</v>
      </c>
      <c r="B500" t="s">
        <v>23</v>
      </c>
      <c r="C500">
        <v>2026</v>
      </c>
      <c r="D500">
        <v>1</v>
      </c>
      <c r="E500" s="2">
        <v>46042</v>
      </c>
      <c r="F500" t="s">
        <v>7</v>
      </c>
      <c r="G500" t="s">
        <v>8</v>
      </c>
      <c r="H500" t="s">
        <v>70</v>
      </c>
      <c r="I500" t="s">
        <v>84</v>
      </c>
      <c r="J500" t="s">
        <v>85</v>
      </c>
      <c r="K500" t="s">
        <v>73</v>
      </c>
      <c r="L500">
        <v>701000</v>
      </c>
      <c r="M500" t="s">
        <v>62</v>
      </c>
      <c r="N500" t="s">
        <v>33</v>
      </c>
      <c r="O500">
        <v>272</v>
      </c>
      <c r="P500">
        <v>0.96</v>
      </c>
      <c r="Q500">
        <v>0.26</v>
      </c>
      <c r="R500" t="s">
        <v>1204</v>
      </c>
      <c r="S500" t="s">
        <v>195</v>
      </c>
    </row>
    <row r="501" spans="1:19" x14ac:dyDescent="0.3">
      <c r="A501" t="s">
        <v>254</v>
      </c>
      <c r="B501" t="s">
        <v>23</v>
      </c>
      <c r="C501">
        <v>2026</v>
      </c>
      <c r="D501">
        <v>1</v>
      </c>
      <c r="E501" s="2">
        <v>46042</v>
      </c>
      <c r="F501" t="s">
        <v>7</v>
      </c>
      <c r="G501" t="s">
        <v>8</v>
      </c>
      <c r="H501" t="s">
        <v>70</v>
      </c>
      <c r="I501" t="s">
        <v>84</v>
      </c>
      <c r="J501" t="s">
        <v>85</v>
      </c>
      <c r="K501" t="s">
        <v>73</v>
      </c>
      <c r="L501">
        <v>701000</v>
      </c>
      <c r="M501" t="s">
        <v>62</v>
      </c>
      <c r="N501" t="s">
        <v>33</v>
      </c>
      <c r="O501">
        <v>5874</v>
      </c>
      <c r="P501">
        <v>0.95</v>
      </c>
      <c r="Q501">
        <v>5.58</v>
      </c>
      <c r="R501" t="s">
        <v>1200</v>
      </c>
      <c r="S501" t="s">
        <v>195</v>
      </c>
    </row>
    <row r="502" spans="1:19" x14ac:dyDescent="0.3">
      <c r="A502" t="s">
        <v>385</v>
      </c>
      <c r="B502" t="s">
        <v>23</v>
      </c>
      <c r="C502">
        <v>2026</v>
      </c>
      <c r="D502">
        <v>1</v>
      </c>
      <c r="E502" s="2">
        <v>46042</v>
      </c>
      <c r="F502" t="s">
        <v>7</v>
      </c>
      <c r="G502" t="s">
        <v>8</v>
      </c>
      <c r="H502" t="s">
        <v>70</v>
      </c>
      <c r="I502" t="s">
        <v>71</v>
      </c>
      <c r="J502" t="s">
        <v>72</v>
      </c>
      <c r="K502" t="s">
        <v>73</v>
      </c>
      <c r="L502">
        <v>701000</v>
      </c>
      <c r="M502" t="s">
        <v>62</v>
      </c>
      <c r="N502" t="s">
        <v>33</v>
      </c>
      <c r="O502">
        <v>3596</v>
      </c>
      <c r="P502">
        <v>1.05</v>
      </c>
      <c r="Q502">
        <v>3.78</v>
      </c>
      <c r="R502" t="s">
        <v>1198</v>
      </c>
      <c r="S502" t="s">
        <v>195</v>
      </c>
    </row>
    <row r="503" spans="1:19" x14ac:dyDescent="0.3">
      <c r="A503" t="s">
        <v>386</v>
      </c>
      <c r="B503" t="s">
        <v>23</v>
      </c>
      <c r="C503">
        <v>2026</v>
      </c>
      <c r="D503">
        <v>1</v>
      </c>
      <c r="E503" s="2">
        <v>46042</v>
      </c>
      <c r="F503" t="s">
        <v>7</v>
      </c>
      <c r="G503" t="s">
        <v>8</v>
      </c>
      <c r="H503" t="s">
        <v>70</v>
      </c>
      <c r="I503" t="s">
        <v>71</v>
      </c>
      <c r="J503" t="s">
        <v>72</v>
      </c>
      <c r="K503" t="s">
        <v>73</v>
      </c>
      <c r="L503">
        <v>701000</v>
      </c>
      <c r="M503" t="s">
        <v>62</v>
      </c>
      <c r="N503" t="s">
        <v>33</v>
      </c>
      <c r="O503">
        <v>1372</v>
      </c>
      <c r="P503">
        <v>1.05</v>
      </c>
      <c r="Q503">
        <v>1.44</v>
      </c>
      <c r="R503" t="s">
        <v>1205</v>
      </c>
      <c r="S503" t="s">
        <v>195</v>
      </c>
    </row>
    <row r="504" spans="1:19" x14ac:dyDescent="0.3">
      <c r="A504" t="s">
        <v>387</v>
      </c>
      <c r="B504" t="s">
        <v>23</v>
      </c>
      <c r="C504">
        <v>2026</v>
      </c>
      <c r="D504">
        <v>1</v>
      </c>
      <c r="E504" s="2">
        <v>46042</v>
      </c>
      <c r="F504" t="s">
        <v>7</v>
      </c>
      <c r="G504" t="s">
        <v>8</v>
      </c>
      <c r="H504" t="s">
        <v>70</v>
      </c>
      <c r="I504" t="s">
        <v>71</v>
      </c>
      <c r="J504" t="s">
        <v>72</v>
      </c>
      <c r="K504" t="s">
        <v>73</v>
      </c>
      <c r="L504">
        <v>701000</v>
      </c>
      <c r="M504" t="s">
        <v>62</v>
      </c>
      <c r="N504" t="s">
        <v>33</v>
      </c>
      <c r="O504">
        <v>465</v>
      </c>
      <c r="P504">
        <v>1.05</v>
      </c>
      <c r="Q504">
        <v>0.49</v>
      </c>
      <c r="R504" t="s">
        <v>1202</v>
      </c>
      <c r="S504" t="s">
        <v>195</v>
      </c>
    </row>
    <row r="505" spans="1:19" x14ac:dyDescent="0.3">
      <c r="A505" t="s">
        <v>388</v>
      </c>
      <c r="B505" t="s">
        <v>23</v>
      </c>
      <c r="C505">
        <v>2026</v>
      </c>
      <c r="D505">
        <v>1</v>
      </c>
      <c r="E505" s="2">
        <v>46042</v>
      </c>
      <c r="F505" t="s">
        <v>7</v>
      </c>
      <c r="G505" t="s">
        <v>8</v>
      </c>
      <c r="H505" t="s">
        <v>70</v>
      </c>
      <c r="I505" t="s">
        <v>71</v>
      </c>
      <c r="J505" t="s">
        <v>72</v>
      </c>
      <c r="K505" t="s">
        <v>73</v>
      </c>
      <c r="L505">
        <v>701000</v>
      </c>
      <c r="M505" t="s">
        <v>62</v>
      </c>
      <c r="N505" t="s">
        <v>33</v>
      </c>
      <c r="O505">
        <v>1217</v>
      </c>
      <c r="P505">
        <v>1.05</v>
      </c>
      <c r="Q505">
        <v>1.28</v>
      </c>
      <c r="R505" t="s">
        <v>1197</v>
      </c>
      <c r="S505" t="s">
        <v>195</v>
      </c>
    </row>
    <row r="506" spans="1:19" x14ac:dyDescent="0.3">
      <c r="A506" t="s">
        <v>389</v>
      </c>
      <c r="B506" t="s">
        <v>23</v>
      </c>
      <c r="C506">
        <v>2026</v>
      </c>
      <c r="D506">
        <v>1</v>
      </c>
      <c r="E506" s="2">
        <v>46042</v>
      </c>
      <c r="F506" t="s">
        <v>7</v>
      </c>
      <c r="G506" t="s">
        <v>8</v>
      </c>
      <c r="H506" t="s">
        <v>70</v>
      </c>
      <c r="I506" t="s">
        <v>71</v>
      </c>
      <c r="J506" t="s">
        <v>72</v>
      </c>
      <c r="K506" t="s">
        <v>73</v>
      </c>
      <c r="L506">
        <v>701000</v>
      </c>
      <c r="M506" t="s">
        <v>62</v>
      </c>
      <c r="N506" t="s">
        <v>33</v>
      </c>
      <c r="O506">
        <v>3053</v>
      </c>
      <c r="P506">
        <v>1.05</v>
      </c>
      <c r="Q506">
        <v>3.2</v>
      </c>
      <c r="R506" t="s">
        <v>1199</v>
      </c>
      <c r="S506" t="s">
        <v>195</v>
      </c>
    </row>
    <row r="507" spans="1:19" x14ac:dyDescent="0.3">
      <c r="A507" t="s">
        <v>515</v>
      </c>
      <c r="B507" t="s">
        <v>23</v>
      </c>
      <c r="C507">
        <v>2026</v>
      </c>
      <c r="D507">
        <v>1</v>
      </c>
      <c r="E507" s="2">
        <v>46042</v>
      </c>
      <c r="F507" t="s">
        <v>7</v>
      </c>
      <c r="G507" t="s">
        <v>8</v>
      </c>
      <c r="H507" t="s">
        <v>74</v>
      </c>
      <c r="I507" t="s">
        <v>71</v>
      </c>
      <c r="J507" t="s">
        <v>72</v>
      </c>
      <c r="K507" t="s">
        <v>73</v>
      </c>
      <c r="L507">
        <v>701000</v>
      </c>
      <c r="M507" t="s">
        <v>62</v>
      </c>
      <c r="N507" t="s">
        <v>33</v>
      </c>
      <c r="O507">
        <v>808</v>
      </c>
      <c r="P507">
        <v>1.05</v>
      </c>
      <c r="Q507">
        <v>0.85</v>
      </c>
      <c r="R507" t="s">
        <v>1202</v>
      </c>
      <c r="S507" t="s">
        <v>195</v>
      </c>
    </row>
    <row r="508" spans="1:19" x14ac:dyDescent="0.3">
      <c r="A508" t="s">
        <v>516</v>
      </c>
      <c r="B508" t="s">
        <v>23</v>
      </c>
      <c r="C508">
        <v>2026</v>
      </c>
      <c r="D508">
        <v>1</v>
      </c>
      <c r="E508" s="2">
        <v>46042</v>
      </c>
      <c r="F508" t="s">
        <v>7</v>
      </c>
      <c r="G508" t="s">
        <v>8</v>
      </c>
      <c r="H508" t="s">
        <v>74</v>
      </c>
      <c r="I508" t="s">
        <v>71</v>
      </c>
      <c r="J508" t="s">
        <v>72</v>
      </c>
      <c r="K508" t="s">
        <v>73</v>
      </c>
      <c r="L508">
        <v>701000</v>
      </c>
      <c r="M508" t="s">
        <v>62</v>
      </c>
      <c r="N508" t="s">
        <v>33</v>
      </c>
      <c r="O508">
        <v>1889</v>
      </c>
      <c r="P508">
        <v>1.05</v>
      </c>
      <c r="Q508">
        <v>1.98</v>
      </c>
      <c r="R508" t="s">
        <v>1198</v>
      </c>
      <c r="S508" t="s">
        <v>195</v>
      </c>
    </row>
    <row r="509" spans="1:19" x14ac:dyDescent="0.3">
      <c r="A509" t="s">
        <v>517</v>
      </c>
      <c r="B509" t="s">
        <v>23</v>
      </c>
      <c r="C509">
        <v>2026</v>
      </c>
      <c r="D509">
        <v>1</v>
      </c>
      <c r="E509" s="2">
        <v>46042</v>
      </c>
      <c r="F509" t="s">
        <v>7</v>
      </c>
      <c r="G509" t="s">
        <v>8</v>
      </c>
      <c r="H509" t="s">
        <v>74</v>
      </c>
      <c r="I509" t="s">
        <v>71</v>
      </c>
      <c r="J509" t="s">
        <v>72</v>
      </c>
      <c r="K509" t="s">
        <v>73</v>
      </c>
      <c r="L509">
        <v>701000</v>
      </c>
      <c r="M509" t="s">
        <v>62</v>
      </c>
      <c r="N509" t="s">
        <v>33</v>
      </c>
      <c r="O509">
        <v>1969</v>
      </c>
      <c r="P509">
        <v>1.05</v>
      </c>
      <c r="Q509">
        <v>2.0699999999999998</v>
      </c>
      <c r="R509" t="s">
        <v>1203</v>
      </c>
      <c r="S509" t="s">
        <v>195</v>
      </c>
    </row>
    <row r="510" spans="1:19" x14ac:dyDescent="0.3">
      <c r="A510" t="s">
        <v>518</v>
      </c>
      <c r="B510" t="s">
        <v>23</v>
      </c>
      <c r="C510">
        <v>2026</v>
      </c>
      <c r="D510">
        <v>1</v>
      </c>
      <c r="E510" s="2">
        <v>46042</v>
      </c>
      <c r="F510" t="s">
        <v>7</v>
      </c>
      <c r="G510" t="s">
        <v>8</v>
      </c>
      <c r="H510" t="s">
        <v>74</v>
      </c>
      <c r="I510" t="s">
        <v>71</v>
      </c>
      <c r="J510" t="s">
        <v>72</v>
      </c>
      <c r="K510" t="s">
        <v>73</v>
      </c>
      <c r="L510">
        <v>701000</v>
      </c>
      <c r="M510" t="s">
        <v>62</v>
      </c>
      <c r="N510" t="s">
        <v>33</v>
      </c>
      <c r="O510">
        <v>1009</v>
      </c>
      <c r="P510">
        <v>1.05</v>
      </c>
      <c r="Q510">
        <v>1.06</v>
      </c>
      <c r="R510" t="s">
        <v>1199</v>
      </c>
      <c r="S510" t="s">
        <v>195</v>
      </c>
    </row>
    <row r="511" spans="1:19" x14ac:dyDescent="0.3">
      <c r="A511" t="s">
        <v>519</v>
      </c>
      <c r="B511" t="s">
        <v>23</v>
      </c>
      <c r="C511">
        <v>2026</v>
      </c>
      <c r="D511">
        <v>1</v>
      </c>
      <c r="E511" s="2">
        <v>46042</v>
      </c>
      <c r="F511" t="s">
        <v>7</v>
      </c>
      <c r="G511" t="s">
        <v>8</v>
      </c>
      <c r="H511" t="s">
        <v>74</v>
      </c>
      <c r="I511" t="s">
        <v>71</v>
      </c>
      <c r="J511" t="s">
        <v>72</v>
      </c>
      <c r="K511" t="s">
        <v>73</v>
      </c>
      <c r="L511">
        <v>701000</v>
      </c>
      <c r="M511" t="s">
        <v>62</v>
      </c>
      <c r="N511" t="s">
        <v>33</v>
      </c>
      <c r="O511">
        <v>1813</v>
      </c>
      <c r="P511">
        <v>1.05</v>
      </c>
      <c r="Q511">
        <v>1.9</v>
      </c>
      <c r="R511" t="s">
        <v>1197</v>
      </c>
      <c r="S511" t="s">
        <v>195</v>
      </c>
    </row>
    <row r="512" spans="1:19" x14ac:dyDescent="0.3">
      <c r="A512" t="s">
        <v>695</v>
      </c>
      <c r="B512" t="s">
        <v>23</v>
      </c>
      <c r="C512">
        <v>2026</v>
      </c>
      <c r="D512">
        <v>1</v>
      </c>
      <c r="E512" s="2">
        <v>46042</v>
      </c>
      <c r="F512" t="s">
        <v>7</v>
      </c>
      <c r="G512" t="s">
        <v>8</v>
      </c>
      <c r="H512" t="s">
        <v>70</v>
      </c>
      <c r="I512" t="s">
        <v>77</v>
      </c>
      <c r="J512" t="s">
        <v>78</v>
      </c>
      <c r="K512" t="s">
        <v>73</v>
      </c>
      <c r="L512">
        <v>701000</v>
      </c>
      <c r="M512" t="s">
        <v>62</v>
      </c>
      <c r="N512" t="s">
        <v>33</v>
      </c>
      <c r="O512">
        <v>437</v>
      </c>
      <c r="P512">
        <v>1.81</v>
      </c>
      <c r="Q512">
        <v>0.79</v>
      </c>
      <c r="R512" t="s">
        <v>1203</v>
      </c>
      <c r="S512" t="s">
        <v>195</v>
      </c>
    </row>
    <row r="513" spans="1:19" x14ac:dyDescent="0.3">
      <c r="A513" t="s">
        <v>696</v>
      </c>
      <c r="B513" t="s">
        <v>23</v>
      </c>
      <c r="C513">
        <v>2026</v>
      </c>
      <c r="D513">
        <v>1</v>
      </c>
      <c r="E513" s="2">
        <v>46042</v>
      </c>
      <c r="F513" t="s">
        <v>7</v>
      </c>
      <c r="G513" t="s">
        <v>8</v>
      </c>
      <c r="H513" t="s">
        <v>70</v>
      </c>
      <c r="I513" t="s">
        <v>77</v>
      </c>
      <c r="J513" t="s">
        <v>78</v>
      </c>
      <c r="K513" t="s">
        <v>73</v>
      </c>
      <c r="L513">
        <v>701000</v>
      </c>
      <c r="M513" t="s">
        <v>62</v>
      </c>
      <c r="N513" t="s">
        <v>33</v>
      </c>
      <c r="O513">
        <v>577</v>
      </c>
      <c r="P513">
        <v>1.8</v>
      </c>
      <c r="Q513">
        <v>1.04</v>
      </c>
      <c r="R513" t="s">
        <v>1200</v>
      </c>
      <c r="S513" t="s">
        <v>195</v>
      </c>
    </row>
    <row r="514" spans="1:19" x14ac:dyDescent="0.3">
      <c r="A514" t="s">
        <v>697</v>
      </c>
      <c r="B514" t="s">
        <v>23</v>
      </c>
      <c r="C514">
        <v>2026</v>
      </c>
      <c r="D514">
        <v>1</v>
      </c>
      <c r="E514" s="2">
        <v>46042</v>
      </c>
      <c r="F514" t="s">
        <v>7</v>
      </c>
      <c r="G514" t="s">
        <v>8</v>
      </c>
      <c r="H514" t="s">
        <v>70</v>
      </c>
      <c r="I514" t="s">
        <v>77</v>
      </c>
      <c r="J514" t="s">
        <v>78</v>
      </c>
      <c r="K514" t="s">
        <v>73</v>
      </c>
      <c r="L514">
        <v>701000</v>
      </c>
      <c r="M514" t="s">
        <v>62</v>
      </c>
      <c r="N514" t="s">
        <v>33</v>
      </c>
      <c r="O514">
        <v>1838</v>
      </c>
      <c r="P514">
        <v>1.8</v>
      </c>
      <c r="Q514">
        <v>3.31</v>
      </c>
      <c r="R514" t="s">
        <v>1205</v>
      </c>
      <c r="S514" t="s">
        <v>195</v>
      </c>
    </row>
    <row r="515" spans="1:19" x14ac:dyDescent="0.3">
      <c r="A515" t="s">
        <v>698</v>
      </c>
      <c r="B515" t="s">
        <v>23</v>
      </c>
      <c r="C515">
        <v>2026</v>
      </c>
      <c r="D515">
        <v>1</v>
      </c>
      <c r="E515" s="2">
        <v>46042</v>
      </c>
      <c r="F515" t="s">
        <v>7</v>
      </c>
      <c r="G515" t="s">
        <v>8</v>
      </c>
      <c r="H515" t="s">
        <v>70</v>
      </c>
      <c r="I515" t="s">
        <v>77</v>
      </c>
      <c r="J515" t="s">
        <v>78</v>
      </c>
      <c r="K515" t="s">
        <v>73</v>
      </c>
      <c r="L515">
        <v>701000</v>
      </c>
      <c r="M515" t="s">
        <v>62</v>
      </c>
      <c r="N515" t="s">
        <v>33</v>
      </c>
      <c r="O515">
        <v>2080</v>
      </c>
      <c r="P515">
        <v>1.8</v>
      </c>
      <c r="Q515">
        <v>3.74</v>
      </c>
      <c r="R515" t="s">
        <v>1202</v>
      </c>
      <c r="S515" t="s">
        <v>195</v>
      </c>
    </row>
    <row r="516" spans="1:19" x14ac:dyDescent="0.3">
      <c r="A516" t="s">
        <v>699</v>
      </c>
      <c r="B516" t="s">
        <v>23</v>
      </c>
      <c r="C516">
        <v>2026</v>
      </c>
      <c r="D516">
        <v>1</v>
      </c>
      <c r="E516" s="2">
        <v>46042</v>
      </c>
      <c r="F516" t="s">
        <v>7</v>
      </c>
      <c r="G516" t="s">
        <v>8</v>
      </c>
      <c r="H516" t="s">
        <v>70</v>
      </c>
      <c r="I516" t="s">
        <v>77</v>
      </c>
      <c r="J516" t="s">
        <v>78</v>
      </c>
      <c r="K516" t="s">
        <v>73</v>
      </c>
      <c r="L516">
        <v>701000</v>
      </c>
      <c r="M516" t="s">
        <v>62</v>
      </c>
      <c r="N516" t="s">
        <v>33</v>
      </c>
      <c r="O516">
        <v>1773</v>
      </c>
      <c r="P516">
        <v>1.8</v>
      </c>
      <c r="Q516">
        <v>3.19</v>
      </c>
      <c r="R516" t="s">
        <v>1199</v>
      </c>
      <c r="S516" t="s">
        <v>195</v>
      </c>
    </row>
    <row r="517" spans="1:19" x14ac:dyDescent="0.3">
      <c r="A517" t="s">
        <v>735</v>
      </c>
      <c r="B517" t="s">
        <v>23</v>
      </c>
      <c r="C517">
        <v>2026</v>
      </c>
      <c r="D517">
        <v>1</v>
      </c>
      <c r="E517" s="2">
        <v>46042</v>
      </c>
      <c r="F517" t="s">
        <v>7</v>
      </c>
      <c r="G517" t="s">
        <v>8</v>
      </c>
      <c r="H517" t="s">
        <v>70</v>
      </c>
      <c r="I517" t="s">
        <v>77</v>
      </c>
      <c r="J517" t="s">
        <v>78</v>
      </c>
      <c r="K517" t="s">
        <v>73</v>
      </c>
      <c r="L517">
        <v>701000</v>
      </c>
      <c r="M517" t="s">
        <v>62</v>
      </c>
      <c r="N517" t="s">
        <v>33</v>
      </c>
      <c r="O517">
        <v>740</v>
      </c>
      <c r="P517">
        <v>1.8</v>
      </c>
      <c r="Q517">
        <v>1.33</v>
      </c>
      <c r="R517" t="s">
        <v>1199</v>
      </c>
      <c r="S517" t="s">
        <v>195</v>
      </c>
    </row>
    <row r="518" spans="1:19" x14ac:dyDescent="0.3">
      <c r="A518" t="s">
        <v>736</v>
      </c>
      <c r="B518" t="s">
        <v>23</v>
      </c>
      <c r="C518">
        <v>2026</v>
      </c>
      <c r="D518">
        <v>1</v>
      </c>
      <c r="E518" s="2">
        <v>46042</v>
      </c>
      <c r="F518" t="s">
        <v>7</v>
      </c>
      <c r="G518" t="s">
        <v>8</v>
      </c>
      <c r="H518" t="s">
        <v>70</v>
      </c>
      <c r="I518" t="s">
        <v>77</v>
      </c>
      <c r="J518" t="s">
        <v>78</v>
      </c>
      <c r="K518" t="s">
        <v>73</v>
      </c>
      <c r="L518">
        <v>701000</v>
      </c>
      <c r="M518" t="s">
        <v>62</v>
      </c>
      <c r="N518" t="s">
        <v>33</v>
      </c>
      <c r="O518">
        <v>2260</v>
      </c>
      <c r="P518">
        <v>1.8</v>
      </c>
      <c r="Q518">
        <v>4.07</v>
      </c>
      <c r="R518" t="s">
        <v>1198</v>
      </c>
      <c r="S518" t="s">
        <v>195</v>
      </c>
    </row>
    <row r="519" spans="1:19" x14ac:dyDescent="0.3">
      <c r="A519" t="s">
        <v>737</v>
      </c>
      <c r="B519" t="s">
        <v>23</v>
      </c>
      <c r="C519">
        <v>2026</v>
      </c>
      <c r="D519">
        <v>1</v>
      </c>
      <c r="E519" s="2">
        <v>46042</v>
      </c>
      <c r="F519" t="s">
        <v>7</v>
      </c>
      <c r="G519" t="s">
        <v>8</v>
      </c>
      <c r="H519" t="s">
        <v>70</v>
      </c>
      <c r="I519" t="s">
        <v>77</v>
      </c>
      <c r="J519" t="s">
        <v>78</v>
      </c>
      <c r="K519" t="s">
        <v>73</v>
      </c>
      <c r="L519">
        <v>701000</v>
      </c>
      <c r="M519" t="s">
        <v>62</v>
      </c>
      <c r="N519" t="s">
        <v>33</v>
      </c>
      <c r="O519">
        <v>1305</v>
      </c>
      <c r="P519">
        <v>1.8</v>
      </c>
      <c r="Q519">
        <v>2.35</v>
      </c>
      <c r="R519" t="s">
        <v>1202</v>
      </c>
      <c r="S519" t="s">
        <v>195</v>
      </c>
    </row>
    <row r="520" spans="1:19" x14ac:dyDescent="0.3">
      <c r="A520" t="s">
        <v>738</v>
      </c>
      <c r="B520" t="s">
        <v>23</v>
      </c>
      <c r="C520">
        <v>2026</v>
      </c>
      <c r="D520">
        <v>1</v>
      </c>
      <c r="E520" s="2">
        <v>46042</v>
      </c>
      <c r="F520" t="s">
        <v>7</v>
      </c>
      <c r="G520" t="s">
        <v>8</v>
      </c>
      <c r="H520" t="s">
        <v>70</v>
      </c>
      <c r="I520" t="s">
        <v>77</v>
      </c>
      <c r="J520" t="s">
        <v>78</v>
      </c>
      <c r="K520" t="s">
        <v>73</v>
      </c>
      <c r="L520">
        <v>701000</v>
      </c>
      <c r="M520" t="s">
        <v>62</v>
      </c>
      <c r="N520" t="s">
        <v>33</v>
      </c>
      <c r="O520">
        <v>152</v>
      </c>
      <c r="P520">
        <v>1.78</v>
      </c>
      <c r="Q520">
        <v>0.27</v>
      </c>
      <c r="R520" t="s">
        <v>1201</v>
      </c>
      <c r="S520" t="s">
        <v>195</v>
      </c>
    </row>
    <row r="521" spans="1:19" x14ac:dyDescent="0.3">
      <c r="A521" t="s">
        <v>739</v>
      </c>
      <c r="B521" t="s">
        <v>23</v>
      </c>
      <c r="C521">
        <v>2026</v>
      </c>
      <c r="D521">
        <v>1</v>
      </c>
      <c r="E521" s="2">
        <v>46042</v>
      </c>
      <c r="F521" t="s">
        <v>7</v>
      </c>
      <c r="G521" t="s">
        <v>8</v>
      </c>
      <c r="H521" t="s">
        <v>70</v>
      </c>
      <c r="I521" t="s">
        <v>77</v>
      </c>
      <c r="J521" t="s">
        <v>78</v>
      </c>
      <c r="K521" t="s">
        <v>73</v>
      </c>
      <c r="L521">
        <v>701000</v>
      </c>
      <c r="M521" t="s">
        <v>62</v>
      </c>
      <c r="N521" t="s">
        <v>33</v>
      </c>
      <c r="O521">
        <v>2447</v>
      </c>
      <c r="P521">
        <v>1.8</v>
      </c>
      <c r="Q521">
        <v>4.41</v>
      </c>
      <c r="R521" t="s">
        <v>1197</v>
      </c>
      <c r="S521" t="s">
        <v>195</v>
      </c>
    </row>
    <row r="522" spans="1:19" x14ac:dyDescent="0.3">
      <c r="A522" t="s">
        <v>795</v>
      </c>
      <c r="B522" t="s">
        <v>23</v>
      </c>
      <c r="C522">
        <v>2026</v>
      </c>
      <c r="D522">
        <v>1</v>
      </c>
      <c r="E522" s="2">
        <v>46042</v>
      </c>
      <c r="F522" t="s">
        <v>7</v>
      </c>
      <c r="G522" t="s">
        <v>8</v>
      </c>
      <c r="H522" t="s">
        <v>74</v>
      </c>
      <c r="I522" t="s">
        <v>79</v>
      </c>
      <c r="J522" t="s">
        <v>80</v>
      </c>
      <c r="K522" t="s">
        <v>73</v>
      </c>
      <c r="L522">
        <v>701000</v>
      </c>
      <c r="M522" t="s">
        <v>62</v>
      </c>
      <c r="N522" t="s">
        <v>33</v>
      </c>
      <c r="O522">
        <v>2198</v>
      </c>
      <c r="P522">
        <v>2.6</v>
      </c>
      <c r="Q522">
        <v>5.72</v>
      </c>
      <c r="R522" t="s">
        <v>1200</v>
      </c>
      <c r="S522" t="s">
        <v>195</v>
      </c>
    </row>
    <row r="523" spans="1:19" x14ac:dyDescent="0.3">
      <c r="A523" t="s">
        <v>796</v>
      </c>
      <c r="B523" t="s">
        <v>23</v>
      </c>
      <c r="C523">
        <v>2026</v>
      </c>
      <c r="D523">
        <v>1</v>
      </c>
      <c r="E523" s="2">
        <v>46042</v>
      </c>
      <c r="F523" t="s">
        <v>7</v>
      </c>
      <c r="G523" t="s">
        <v>8</v>
      </c>
      <c r="H523" t="s">
        <v>74</v>
      </c>
      <c r="I523" t="s">
        <v>79</v>
      </c>
      <c r="J523" t="s">
        <v>80</v>
      </c>
      <c r="K523" t="s">
        <v>73</v>
      </c>
      <c r="L523">
        <v>701000</v>
      </c>
      <c r="M523" t="s">
        <v>62</v>
      </c>
      <c r="N523" t="s">
        <v>33</v>
      </c>
      <c r="O523">
        <v>1086</v>
      </c>
      <c r="P523">
        <v>2.6</v>
      </c>
      <c r="Q523">
        <v>2.82</v>
      </c>
      <c r="R523" t="s">
        <v>1201</v>
      </c>
      <c r="S523" t="s">
        <v>195</v>
      </c>
    </row>
    <row r="524" spans="1:19" x14ac:dyDescent="0.3">
      <c r="A524" t="s">
        <v>797</v>
      </c>
      <c r="B524" t="s">
        <v>23</v>
      </c>
      <c r="C524">
        <v>2026</v>
      </c>
      <c r="D524">
        <v>1</v>
      </c>
      <c r="E524" s="2">
        <v>46042</v>
      </c>
      <c r="F524" t="s">
        <v>7</v>
      </c>
      <c r="G524" t="s">
        <v>8</v>
      </c>
      <c r="H524" t="s">
        <v>74</v>
      </c>
      <c r="I524" t="s">
        <v>79</v>
      </c>
      <c r="J524" t="s">
        <v>80</v>
      </c>
      <c r="K524" t="s">
        <v>73</v>
      </c>
      <c r="L524">
        <v>701000</v>
      </c>
      <c r="M524" t="s">
        <v>62</v>
      </c>
      <c r="N524" t="s">
        <v>33</v>
      </c>
      <c r="O524">
        <v>1208</v>
      </c>
      <c r="P524">
        <v>2.6</v>
      </c>
      <c r="Q524">
        <v>3.14</v>
      </c>
      <c r="R524" t="s">
        <v>1205</v>
      </c>
      <c r="S524" t="s">
        <v>195</v>
      </c>
    </row>
    <row r="525" spans="1:19" x14ac:dyDescent="0.3">
      <c r="A525" t="s">
        <v>798</v>
      </c>
      <c r="B525" t="s">
        <v>23</v>
      </c>
      <c r="C525">
        <v>2026</v>
      </c>
      <c r="D525">
        <v>1</v>
      </c>
      <c r="E525" s="2">
        <v>46042</v>
      </c>
      <c r="F525" t="s">
        <v>7</v>
      </c>
      <c r="G525" t="s">
        <v>8</v>
      </c>
      <c r="H525" t="s">
        <v>74</v>
      </c>
      <c r="I525" t="s">
        <v>79</v>
      </c>
      <c r="J525" t="s">
        <v>80</v>
      </c>
      <c r="K525" t="s">
        <v>73</v>
      </c>
      <c r="L525">
        <v>701000</v>
      </c>
      <c r="M525" t="s">
        <v>62</v>
      </c>
      <c r="N525" t="s">
        <v>33</v>
      </c>
      <c r="O525">
        <v>1220</v>
      </c>
      <c r="P525">
        <v>2.6</v>
      </c>
      <c r="Q525">
        <v>3.17</v>
      </c>
      <c r="R525" t="s">
        <v>1202</v>
      </c>
      <c r="S525" t="s">
        <v>195</v>
      </c>
    </row>
    <row r="526" spans="1:19" x14ac:dyDescent="0.3">
      <c r="A526" t="s">
        <v>799</v>
      </c>
      <c r="B526" t="s">
        <v>23</v>
      </c>
      <c r="C526">
        <v>2026</v>
      </c>
      <c r="D526">
        <v>1</v>
      </c>
      <c r="E526" s="2">
        <v>46042</v>
      </c>
      <c r="F526" t="s">
        <v>7</v>
      </c>
      <c r="G526" t="s">
        <v>8</v>
      </c>
      <c r="H526" t="s">
        <v>74</v>
      </c>
      <c r="I526" t="s">
        <v>79</v>
      </c>
      <c r="J526" t="s">
        <v>80</v>
      </c>
      <c r="K526" t="s">
        <v>73</v>
      </c>
      <c r="L526">
        <v>701000</v>
      </c>
      <c r="M526" t="s">
        <v>62</v>
      </c>
      <c r="N526" t="s">
        <v>33</v>
      </c>
      <c r="O526">
        <v>2130</v>
      </c>
      <c r="P526">
        <v>2.6</v>
      </c>
      <c r="Q526">
        <v>5.54</v>
      </c>
      <c r="R526" t="s">
        <v>1198</v>
      </c>
      <c r="S526" t="s">
        <v>195</v>
      </c>
    </row>
    <row r="527" spans="1:19" x14ac:dyDescent="0.3">
      <c r="A527" t="s">
        <v>800</v>
      </c>
      <c r="B527" t="s">
        <v>23</v>
      </c>
      <c r="C527">
        <v>2026</v>
      </c>
      <c r="D527">
        <v>1</v>
      </c>
      <c r="E527" s="2">
        <v>46042</v>
      </c>
      <c r="F527" t="s">
        <v>7</v>
      </c>
      <c r="G527" t="s">
        <v>8</v>
      </c>
      <c r="H527" t="s">
        <v>74</v>
      </c>
      <c r="I527" t="s">
        <v>79</v>
      </c>
      <c r="J527" t="s">
        <v>80</v>
      </c>
      <c r="K527" t="s">
        <v>73</v>
      </c>
      <c r="L527">
        <v>701000</v>
      </c>
      <c r="M527" t="s">
        <v>62</v>
      </c>
      <c r="N527" t="s">
        <v>33</v>
      </c>
      <c r="O527">
        <v>974</v>
      </c>
      <c r="P527">
        <v>2.6</v>
      </c>
      <c r="Q527">
        <v>2.5299999999999998</v>
      </c>
      <c r="R527" t="s">
        <v>1198</v>
      </c>
      <c r="S527" t="s">
        <v>195</v>
      </c>
    </row>
    <row r="528" spans="1:19" x14ac:dyDescent="0.3">
      <c r="A528" t="s">
        <v>801</v>
      </c>
      <c r="B528" t="s">
        <v>23</v>
      </c>
      <c r="C528">
        <v>2026</v>
      </c>
      <c r="D528">
        <v>1</v>
      </c>
      <c r="E528" s="2">
        <v>46042</v>
      </c>
      <c r="F528" t="s">
        <v>7</v>
      </c>
      <c r="G528" t="s">
        <v>8</v>
      </c>
      <c r="H528" t="s">
        <v>74</v>
      </c>
      <c r="I528" t="s">
        <v>79</v>
      </c>
      <c r="J528" t="s">
        <v>80</v>
      </c>
      <c r="K528" t="s">
        <v>73</v>
      </c>
      <c r="L528">
        <v>701000</v>
      </c>
      <c r="M528" t="s">
        <v>62</v>
      </c>
      <c r="N528" t="s">
        <v>33</v>
      </c>
      <c r="O528">
        <v>1514</v>
      </c>
      <c r="P528">
        <v>2.6</v>
      </c>
      <c r="Q528">
        <v>3.93</v>
      </c>
      <c r="R528" t="s">
        <v>1197</v>
      </c>
      <c r="S528" t="s">
        <v>195</v>
      </c>
    </row>
    <row r="529" spans="1:19" x14ac:dyDescent="0.3">
      <c r="A529" t="s">
        <v>802</v>
      </c>
      <c r="B529" t="s">
        <v>23</v>
      </c>
      <c r="C529">
        <v>2026</v>
      </c>
      <c r="D529">
        <v>1</v>
      </c>
      <c r="E529" s="2">
        <v>46042</v>
      </c>
      <c r="F529" t="s">
        <v>7</v>
      </c>
      <c r="G529" t="s">
        <v>8</v>
      </c>
      <c r="H529" t="s">
        <v>74</v>
      </c>
      <c r="I529" t="s">
        <v>79</v>
      </c>
      <c r="J529" t="s">
        <v>80</v>
      </c>
      <c r="K529" t="s">
        <v>73</v>
      </c>
      <c r="L529">
        <v>701000</v>
      </c>
      <c r="M529" t="s">
        <v>62</v>
      </c>
      <c r="N529" t="s">
        <v>33</v>
      </c>
      <c r="O529">
        <v>564</v>
      </c>
      <c r="P529">
        <v>2.61</v>
      </c>
      <c r="Q529">
        <v>1.47</v>
      </c>
      <c r="R529" t="s">
        <v>1201</v>
      </c>
      <c r="S529" t="s">
        <v>195</v>
      </c>
    </row>
    <row r="530" spans="1:19" x14ac:dyDescent="0.3">
      <c r="A530" t="s">
        <v>803</v>
      </c>
      <c r="B530" t="s">
        <v>23</v>
      </c>
      <c r="C530">
        <v>2026</v>
      </c>
      <c r="D530">
        <v>1</v>
      </c>
      <c r="E530" s="2">
        <v>46042</v>
      </c>
      <c r="F530" t="s">
        <v>7</v>
      </c>
      <c r="G530" t="s">
        <v>8</v>
      </c>
      <c r="H530" t="s">
        <v>74</v>
      </c>
      <c r="I530" t="s">
        <v>79</v>
      </c>
      <c r="J530" t="s">
        <v>80</v>
      </c>
      <c r="K530" t="s">
        <v>73</v>
      </c>
      <c r="L530">
        <v>701000</v>
      </c>
      <c r="M530" t="s">
        <v>62</v>
      </c>
      <c r="N530" t="s">
        <v>33</v>
      </c>
      <c r="O530">
        <v>2492</v>
      </c>
      <c r="P530">
        <v>2.6</v>
      </c>
      <c r="Q530">
        <v>6.48</v>
      </c>
      <c r="R530" t="s">
        <v>1199</v>
      </c>
      <c r="S530" t="s">
        <v>195</v>
      </c>
    </row>
    <row r="531" spans="1:19" x14ac:dyDescent="0.3">
      <c r="A531" t="s">
        <v>804</v>
      </c>
      <c r="B531" t="s">
        <v>23</v>
      </c>
      <c r="C531">
        <v>2026</v>
      </c>
      <c r="D531">
        <v>1</v>
      </c>
      <c r="E531" s="2">
        <v>46042</v>
      </c>
      <c r="F531" t="s">
        <v>7</v>
      </c>
      <c r="G531" t="s">
        <v>8</v>
      </c>
      <c r="H531" t="s">
        <v>74</v>
      </c>
      <c r="I531" t="s">
        <v>79</v>
      </c>
      <c r="J531" t="s">
        <v>80</v>
      </c>
      <c r="K531" t="s">
        <v>73</v>
      </c>
      <c r="L531">
        <v>701000</v>
      </c>
      <c r="M531" t="s">
        <v>62</v>
      </c>
      <c r="N531" t="s">
        <v>33</v>
      </c>
      <c r="O531">
        <v>716</v>
      </c>
      <c r="P531">
        <v>2.6</v>
      </c>
      <c r="Q531">
        <v>1.86</v>
      </c>
      <c r="R531" t="s">
        <v>1204</v>
      </c>
      <c r="S531" t="s">
        <v>195</v>
      </c>
    </row>
    <row r="532" spans="1:19" x14ac:dyDescent="0.3">
      <c r="A532" t="s">
        <v>895</v>
      </c>
      <c r="B532" t="s">
        <v>23</v>
      </c>
      <c r="C532">
        <v>2026</v>
      </c>
      <c r="D532">
        <v>1</v>
      </c>
      <c r="E532" s="2">
        <v>46042</v>
      </c>
      <c r="F532" t="s">
        <v>7</v>
      </c>
      <c r="G532" t="s">
        <v>8</v>
      </c>
      <c r="H532" t="s">
        <v>74</v>
      </c>
      <c r="I532" t="s">
        <v>82</v>
      </c>
      <c r="J532" t="s">
        <v>83</v>
      </c>
      <c r="K532" t="s">
        <v>73</v>
      </c>
      <c r="L532">
        <v>701000</v>
      </c>
      <c r="M532" t="s">
        <v>62</v>
      </c>
      <c r="N532" t="s">
        <v>33</v>
      </c>
      <c r="O532">
        <v>201</v>
      </c>
      <c r="P532">
        <v>18.510000000000002</v>
      </c>
      <c r="Q532">
        <v>3.72</v>
      </c>
      <c r="R532" t="s">
        <v>1199</v>
      </c>
      <c r="S532" t="s">
        <v>195</v>
      </c>
    </row>
    <row r="533" spans="1:19" x14ac:dyDescent="0.3">
      <c r="A533" t="s">
        <v>896</v>
      </c>
      <c r="B533" t="s">
        <v>23</v>
      </c>
      <c r="C533">
        <v>2026</v>
      </c>
      <c r="D533">
        <v>1</v>
      </c>
      <c r="E533" s="2">
        <v>46042</v>
      </c>
      <c r="F533" t="s">
        <v>7</v>
      </c>
      <c r="G533" t="s">
        <v>8</v>
      </c>
      <c r="H533" t="s">
        <v>74</v>
      </c>
      <c r="I533" t="s">
        <v>82</v>
      </c>
      <c r="J533" t="s">
        <v>83</v>
      </c>
      <c r="K533" t="s">
        <v>73</v>
      </c>
      <c r="L533">
        <v>701000</v>
      </c>
      <c r="M533" t="s">
        <v>62</v>
      </c>
      <c r="N533" t="s">
        <v>33</v>
      </c>
      <c r="O533">
        <v>199</v>
      </c>
      <c r="P533">
        <v>18.54</v>
      </c>
      <c r="Q533">
        <v>3.69</v>
      </c>
      <c r="R533" t="s">
        <v>1200</v>
      </c>
      <c r="S533" t="s">
        <v>195</v>
      </c>
    </row>
    <row r="534" spans="1:19" x14ac:dyDescent="0.3">
      <c r="A534" t="s">
        <v>897</v>
      </c>
      <c r="B534" t="s">
        <v>23</v>
      </c>
      <c r="C534">
        <v>2026</v>
      </c>
      <c r="D534">
        <v>1</v>
      </c>
      <c r="E534" s="2">
        <v>46042</v>
      </c>
      <c r="F534" t="s">
        <v>7</v>
      </c>
      <c r="G534" t="s">
        <v>8</v>
      </c>
      <c r="H534" t="s">
        <v>74</v>
      </c>
      <c r="I534" t="s">
        <v>82</v>
      </c>
      <c r="J534" t="s">
        <v>83</v>
      </c>
      <c r="K534" t="s">
        <v>73</v>
      </c>
      <c r="L534">
        <v>701000</v>
      </c>
      <c r="M534" t="s">
        <v>62</v>
      </c>
      <c r="N534" t="s">
        <v>33</v>
      </c>
      <c r="O534">
        <v>223</v>
      </c>
      <c r="P534">
        <v>18.48</v>
      </c>
      <c r="Q534">
        <v>4.12</v>
      </c>
      <c r="R534" t="s">
        <v>1197</v>
      </c>
      <c r="S534" t="s">
        <v>195</v>
      </c>
    </row>
    <row r="535" spans="1:19" x14ac:dyDescent="0.3">
      <c r="A535" t="s">
        <v>898</v>
      </c>
      <c r="B535" t="s">
        <v>23</v>
      </c>
      <c r="C535">
        <v>2026</v>
      </c>
      <c r="D535">
        <v>1</v>
      </c>
      <c r="E535" s="2">
        <v>46042</v>
      </c>
      <c r="F535" t="s">
        <v>7</v>
      </c>
      <c r="G535" t="s">
        <v>8</v>
      </c>
      <c r="H535" t="s">
        <v>74</v>
      </c>
      <c r="I535" t="s">
        <v>82</v>
      </c>
      <c r="J535" t="s">
        <v>83</v>
      </c>
      <c r="K535" t="s">
        <v>73</v>
      </c>
      <c r="L535">
        <v>701000</v>
      </c>
      <c r="M535" t="s">
        <v>62</v>
      </c>
      <c r="N535" t="s">
        <v>33</v>
      </c>
      <c r="O535">
        <v>101</v>
      </c>
      <c r="P535">
        <v>18.61</v>
      </c>
      <c r="Q535">
        <v>1.88</v>
      </c>
      <c r="R535" t="s">
        <v>1203</v>
      </c>
      <c r="S535" t="s">
        <v>195</v>
      </c>
    </row>
    <row r="536" spans="1:19" x14ac:dyDescent="0.3">
      <c r="A536" t="s">
        <v>899</v>
      </c>
      <c r="B536" t="s">
        <v>23</v>
      </c>
      <c r="C536">
        <v>2026</v>
      </c>
      <c r="D536">
        <v>1</v>
      </c>
      <c r="E536" s="2">
        <v>46042</v>
      </c>
      <c r="F536" t="s">
        <v>7</v>
      </c>
      <c r="G536" t="s">
        <v>8</v>
      </c>
      <c r="H536" t="s">
        <v>74</v>
      </c>
      <c r="I536" t="s">
        <v>82</v>
      </c>
      <c r="J536" t="s">
        <v>83</v>
      </c>
      <c r="K536" t="s">
        <v>73</v>
      </c>
      <c r="L536">
        <v>701000</v>
      </c>
      <c r="M536" t="s">
        <v>62</v>
      </c>
      <c r="N536" t="s">
        <v>33</v>
      </c>
      <c r="O536">
        <v>162</v>
      </c>
      <c r="P536">
        <v>18.399999999999999</v>
      </c>
      <c r="Q536">
        <v>2.98</v>
      </c>
      <c r="R536" t="s">
        <v>1204</v>
      </c>
      <c r="S536" t="s">
        <v>195</v>
      </c>
    </row>
    <row r="537" spans="1:19" x14ac:dyDescent="0.3">
      <c r="A537" t="s">
        <v>305</v>
      </c>
      <c r="B537" t="s">
        <v>23</v>
      </c>
      <c r="C537">
        <v>2026</v>
      </c>
      <c r="D537">
        <v>1</v>
      </c>
      <c r="E537" s="2">
        <v>46043</v>
      </c>
      <c r="F537" t="s">
        <v>7</v>
      </c>
      <c r="G537" t="s">
        <v>8</v>
      </c>
      <c r="H537" t="s">
        <v>70</v>
      </c>
      <c r="I537" t="s">
        <v>84</v>
      </c>
      <c r="J537" t="s">
        <v>85</v>
      </c>
      <c r="K537" t="s">
        <v>73</v>
      </c>
      <c r="L537">
        <v>701000</v>
      </c>
      <c r="M537" t="s">
        <v>62</v>
      </c>
      <c r="N537" t="s">
        <v>33</v>
      </c>
      <c r="O537">
        <v>2227</v>
      </c>
      <c r="P537">
        <v>0.95</v>
      </c>
      <c r="Q537">
        <v>2.12</v>
      </c>
      <c r="R537" t="s">
        <v>1203</v>
      </c>
      <c r="S537" t="s">
        <v>195</v>
      </c>
    </row>
    <row r="538" spans="1:19" x14ac:dyDescent="0.3">
      <c r="A538" t="s">
        <v>306</v>
      </c>
      <c r="B538" t="s">
        <v>23</v>
      </c>
      <c r="C538">
        <v>2026</v>
      </c>
      <c r="D538">
        <v>1</v>
      </c>
      <c r="E538" s="2">
        <v>46043</v>
      </c>
      <c r="F538" t="s">
        <v>7</v>
      </c>
      <c r="G538" t="s">
        <v>8</v>
      </c>
      <c r="H538" t="s">
        <v>70</v>
      </c>
      <c r="I538" t="s">
        <v>84</v>
      </c>
      <c r="J538" t="s">
        <v>85</v>
      </c>
      <c r="K538" t="s">
        <v>73</v>
      </c>
      <c r="L538">
        <v>701000</v>
      </c>
      <c r="M538" t="s">
        <v>62</v>
      </c>
      <c r="N538" t="s">
        <v>33</v>
      </c>
      <c r="O538">
        <v>2738</v>
      </c>
      <c r="P538">
        <v>0.95</v>
      </c>
      <c r="Q538">
        <v>2.6</v>
      </c>
      <c r="R538" t="s">
        <v>1204</v>
      </c>
      <c r="S538" t="s">
        <v>195</v>
      </c>
    </row>
    <row r="539" spans="1:19" x14ac:dyDescent="0.3">
      <c r="A539" t="s">
        <v>307</v>
      </c>
      <c r="B539" t="s">
        <v>23</v>
      </c>
      <c r="C539">
        <v>2026</v>
      </c>
      <c r="D539">
        <v>1</v>
      </c>
      <c r="E539" s="2">
        <v>46043</v>
      </c>
      <c r="F539" t="s">
        <v>7</v>
      </c>
      <c r="G539" t="s">
        <v>8</v>
      </c>
      <c r="H539" t="s">
        <v>70</v>
      </c>
      <c r="I539" t="s">
        <v>84</v>
      </c>
      <c r="J539" t="s">
        <v>85</v>
      </c>
      <c r="K539" t="s">
        <v>73</v>
      </c>
      <c r="L539">
        <v>701000</v>
      </c>
      <c r="M539" t="s">
        <v>62</v>
      </c>
      <c r="N539" t="s">
        <v>33</v>
      </c>
      <c r="O539">
        <v>1521</v>
      </c>
      <c r="P539">
        <v>0.95</v>
      </c>
      <c r="Q539">
        <v>1.44</v>
      </c>
      <c r="R539" t="s">
        <v>1201</v>
      </c>
      <c r="S539" t="s">
        <v>195</v>
      </c>
    </row>
    <row r="540" spans="1:19" x14ac:dyDescent="0.3">
      <c r="A540" t="s">
        <v>308</v>
      </c>
      <c r="B540" t="s">
        <v>23</v>
      </c>
      <c r="C540">
        <v>2026</v>
      </c>
      <c r="D540">
        <v>1</v>
      </c>
      <c r="E540" s="2">
        <v>46043</v>
      </c>
      <c r="F540" t="s">
        <v>7</v>
      </c>
      <c r="G540" t="s">
        <v>8</v>
      </c>
      <c r="H540" t="s">
        <v>70</v>
      </c>
      <c r="I540" t="s">
        <v>84</v>
      </c>
      <c r="J540" t="s">
        <v>85</v>
      </c>
      <c r="K540" t="s">
        <v>73</v>
      </c>
      <c r="L540">
        <v>701000</v>
      </c>
      <c r="M540" t="s">
        <v>62</v>
      </c>
      <c r="N540" t="s">
        <v>33</v>
      </c>
      <c r="O540">
        <v>2243</v>
      </c>
      <c r="P540">
        <v>0.95</v>
      </c>
      <c r="Q540">
        <v>2.13</v>
      </c>
      <c r="R540" t="s">
        <v>1197</v>
      </c>
      <c r="S540" t="s">
        <v>195</v>
      </c>
    </row>
    <row r="541" spans="1:19" x14ac:dyDescent="0.3">
      <c r="A541" t="s">
        <v>309</v>
      </c>
      <c r="B541" t="s">
        <v>23</v>
      </c>
      <c r="C541">
        <v>2026</v>
      </c>
      <c r="D541">
        <v>1</v>
      </c>
      <c r="E541" s="2">
        <v>46043</v>
      </c>
      <c r="F541" t="s">
        <v>7</v>
      </c>
      <c r="G541" t="s">
        <v>8</v>
      </c>
      <c r="H541" t="s">
        <v>70</v>
      </c>
      <c r="I541" t="s">
        <v>84</v>
      </c>
      <c r="J541" t="s">
        <v>85</v>
      </c>
      <c r="K541" t="s">
        <v>73</v>
      </c>
      <c r="L541">
        <v>701000</v>
      </c>
      <c r="M541" t="s">
        <v>62</v>
      </c>
      <c r="N541" t="s">
        <v>33</v>
      </c>
      <c r="O541">
        <v>5054</v>
      </c>
      <c r="P541">
        <v>0.95</v>
      </c>
      <c r="Q541">
        <v>4.8</v>
      </c>
      <c r="R541" t="s">
        <v>1198</v>
      </c>
      <c r="S541" t="s">
        <v>195</v>
      </c>
    </row>
    <row r="542" spans="1:19" x14ac:dyDescent="0.3">
      <c r="A542" t="s">
        <v>360</v>
      </c>
      <c r="B542" t="s">
        <v>23</v>
      </c>
      <c r="C542">
        <v>2026</v>
      </c>
      <c r="D542">
        <v>1</v>
      </c>
      <c r="E542" s="2">
        <v>46043</v>
      </c>
      <c r="F542" t="s">
        <v>7</v>
      </c>
      <c r="G542" t="s">
        <v>8</v>
      </c>
      <c r="H542" t="s">
        <v>70</v>
      </c>
      <c r="I542" t="s">
        <v>84</v>
      </c>
      <c r="J542" t="s">
        <v>85</v>
      </c>
      <c r="K542" t="s">
        <v>73</v>
      </c>
      <c r="L542">
        <v>701000</v>
      </c>
      <c r="M542" t="s">
        <v>62</v>
      </c>
      <c r="N542" t="s">
        <v>33</v>
      </c>
      <c r="O542">
        <v>2772</v>
      </c>
      <c r="P542">
        <v>0.95</v>
      </c>
      <c r="Q542">
        <v>2.63</v>
      </c>
      <c r="R542" t="s">
        <v>1202</v>
      </c>
      <c r="S542" t="s">
        <v>195</v>
      </c>
    </row>
    <row r="543" spans="1:19" x14ac:dyDescent="0.3">
      <c r="A543" t="s">
        <v>361</v>
      </c>
      <c r="B543" t="s">
        <v>23</v>
      </c>
      <c r="C543">
        <v>2026</v>
      </c>
      <c r="D543">
        <v>1</v>
      </c>
      <c r="E543" s="2">
        <v>46043</v>
      </c>
      <c r="F543" t="s">
        <v>7</v>
      </c>
      <c r="G543" t="s">
        <v>8</v>
      </c>
      <c r="H543" t="s">
        <v>70</v>
      </c>
      <c r="I543" t="s">
        <v>84</v>
      </c>
      <c r="J543" t="s">
        <v>85</v>
      </c>
      <c r="K543" t="s">
        <v>73</v>
      </c>
      <c r="L543">
        <v>701000</v>
      </c>
      <c r="M543" t="s">
        <v>62</v>
      </c>
      <c r="N543" t="s">
        <v>33</v>
      </c>
      <c r="O543">
        <v>4114</v>
      </c>
      <c r="P543">
        <v>0.95</v>
      </c>
      <c r="Q543">
        <v>3.91</v>
      </c>
      <c r="R543" t="s">
        <v>1201</v>
      </c>
      <c r="S543" t="s">
        <v>195</v>
      </c>
    </row>
    <row r="544" spans="1:19" x14ac:dyDescent="0.3">
      <c r="A544" t="s">
        <v>362</v>
      </c>
      <c r="B544" t="s">
        <v>23</v>
      </c>
      <c r="C544">
        <v>2026</v>
      </c>
      <c r="D544">
        <v>1</v>
      </c>
      <c r="E544" s="2">
        <v>46043</v>
      </c>
      <c r="F544" t="s">
        <v>7</v>
      </c>
      <c r="G544" t="s">
        <v>8</v>
      </c>
      <c r="H544" t="s">
        <v>70</v>
      </c>
      <c r="I544" t="s">
        <v>84</v>
      </c>
      <c r="J544" t="s">
        <v>85</v>
      </c>
      <c r="K544" t="s">
        <v>73</v>
      </c>
      <c r="L544">
        <v>701000</v>
      </c>
      <c r="M544" t="s">
        <v>62</v>
      </c>
      <c r="N544" t="s">
        <v>33</v>
      </c>
      <c r="O544">
        <v>1511</v>
      </c>
      <c r="P544">
        <v>0.95</v>
      </c>
      <c r="Q544">
        <v>1.44</v>
      </c>
      <c r="R544" t="s">
        <v>1197</v>
      </c>
      <c r="S544" t="s">
        <v>195</v>
      </c>
    </row>
    <row r="545" spans="1:19" x14ac:dyDescent="0.3">
      <c r="A545" t="s">
        <v>363</v>
      </c>
      <c r="B545" t="s">
        <v>23</v>
      </c>
      <c r="C545">
        <v>2026</v>
      </c>
      <c r="D545">
        <v>1</v>
      </c>
      <c r="E545" s="2">
        <v>46043</v>
      </c>
      <c r="F545" t="s">
        <v>7</v>
      </c>
      <c r="G545" t="s">
        <v>8</v>
      </c>
      <c r="H545" t="s">
        <v>70</v>
      </c>
      <c r="I545" t="s">
        <v>84</v>
      </c>
      <c r="J545" t="s">
        <v>85</v>
      </c>
      <c r="K545" t="s">
        <v>73</v>
      </c>
      <c r="L545">
        <v>701000</v>
      </c>
      <c r="M545" t="s">
        <v>62</v>
      </c>
      <c r="N545" t="s">
        <v>33</v>
      </c>
      <c r="O545">
        <v>335</v>
      </c>
      <c r="P545">
        <v>0.96</v>
      </c>
      <c r="Q545">
        <v>0.32</v>
      </c>
      <c r="R545" t="s">
        <v>1200</v>
      </c>
      <c r="S545" t="s">
        <v>195</v>
      </c>
    </row>
    <row r="546" spans="1:19" x14ac:dyDescent="0.3">
      <c r="A546" t="s">
        <v>364</v>
      </c>
      <c r="B546" t="s">
        <v>23</v>
      </c>
      <c r="C546">
        <v>2026</v>
      </c>
      <c r="D546">
        <v>1</v>
      </c>
      <c r="E546" s="2">
        <v>46043</v>
      </c>
      <c r="F546" t="s">
        <v>7</v>
      </c>
      <c r="G546" t="s">
        <v>8</v>
      </c>
      <c r="H546" t="s">
        <v>70</v>
      </c>
      <c r="I546" t="s">
        <v>84</v>
      </c>
      <c r="J546" t="s">
        <v>85</v>
      </c>
      <c r="K546" t="s">
        <v>73</v>
      </c>
      <c r="L546">
        <v>701000</v>
      </c>
      <c r="M546" t="s">
        <v>62</v>
      </c>
      <c r="N546" t="s">
        <v>33</v>
      </c>
      <c r="O546">
        <v>3102</v>
      </c>
      <c r="P546">
        <v>0.95</v>
      </c>
      <c r="Q546">
        <v>2.94</v>
      </c>
      <c r="R546" t="s">
        <v>1199</v>
      </c>
      <c r="S546" t="s">
        <v>195</v>
      </c>
    </row>
    <row r="547" spans="1:19" x14ac:dyDescent="0.3">
      <c r="A547" t="s">
        <v>400</v>
      </c>
      <c r="B547" t="s">
        <v>23</v>
      </c>
      <c r="C547">
        <v>2026</v>
      </c>
      <c r="D547">
        <v>1</v>
      </c>
      <c r="E547" s="2">
        <v>46043</v>
      </c>
      <c r="F547" t="s">
        <v>7</v>
      </c>
      <c r="G547" t="s">
        <v>8</v>
      </c>
      <c r="H547" t="s">
        <v>74</v>
      </c>
      <c r="I547" t="s">
        <v>71</v>
      </c>
      <c r="J547" t="s">
        <v>72</v>
      </c>
      <c r="K547" t="s">
        <v>73</v>
      </c>
      <c r="L547">
        <v>701000</v>
      </c>
      <c r="M547" t="s">
        <v>62</v>
      </c>
      <c r="N547" t="s">
        <v>33</v>
      </c>
      <c r="O547">
        <v>1857</v>
      </c>
      <c r="P547">
        <v>1.05</v>
      </c>
      <c r="Q547">
        <v>1.95</v>
      </c>
      <c r="R547" t="s">
        <v>1204</v>
      </c>
      <c r="S547" t="s">
        <v>195</v>
      </c>
    </row>
    <row r="548" spans="1:19" x14ac:dyDescent="0.3">
      <c r="A548" t="s">
        <v>401</v>
      </c>
      <c r="B548" t="s">
        <v>23</v>
      </c>
      <c r="C548">
        <v>2026</v>
      </c>
      <c r="D548">
        <v>1</v>
      </c>
      <c r="E548" s="2">
        <v>46043</v>
      </c>
      <c r="F548" t="s">
        <v>7</v>
      </c>
      <c r="G548" t="s">
        <v>8</v>
      </c>
      <c r="H548" t="s">
        <v>74</v>
      </c>
      <c r="I548" t="s">
        <v>71</v>
      </c>
      <c r="J548" t="s">
        <v>72</v>
      </c>
      <c r="K548" t="s">
        <v>73</v>
      </c>
      <c r="L548">
        <v>701000</v>
      </c>
      <c r="M548" t="s">
        <v>62</v>
      </c>
      <c r="N548" t="s">
        <v>33</v>
      </c>
      <c r="O548">
        <v>803</v>
      </c>
      <c r="P548">
        <v>1.05</v>
      </c>
      <c r="Q548">
        <v>0.84</v>
      </c>
      <c r="R548" t="s">
        <v>1202</v>
      </c>
      <c r="S548" t="s">
        <v>195</v>
      </c>
    </row>
    <row r="549" spans="1:19" x14ac:dyDescent="0.3">
      <c r="A549" t="s">
        <v>402</v>
      </c>
      <c r="B549" t="s">
        <v>23</v>
      </c>
      <c r="C549">
        <v>2026</v>
      </c>
      <c r="D549">
        <v>1</v>
      </c>
      <c r="E549" s="2">
        <v>46043</v>
      </c>
      <c r="F549" t="s">
        <v>7</v>
      </c>
      <c r="G549" t="s">
        <v>8</v>
      </c>
      <c r="H549" t="s">
        <v>74</v>
      </c>
      <c r="I549" t="s">
        <v>71</v>
      </c>
      <c r="J549" t="s">
        <v>72</v>
      </c>
      <c r="K549" t="s">
        <v>73</v>
      </c>
      <c r="L549">
        <v>701000</v>
      </c>
      <c r="M549" t="s">
        <v>62</v>
      </c>
      <c r="N549" t="s">
        <v>33</v>
      </c>
      <c r="O549">
        <v>1366</v>
      </c>
      <c r="P549">
        <v>1.05</v>
      </c>
      <c r="Q549">
        <v>1.43</v>
      </c>
      <c r="R549" t="s">
        <v>1197</v>
      </c>
      <c r="S549" t="s">
        <v>195</v>
      </c>
    </row>
    <row r="550" spans="1:19" x14ac:dyDescent="0.3">
      <c r="A550" t="s">
        <v>403</v>
      </c>
      <c r="B550" t="s">
        <v>23</v>
      </c>
      <c r="C550">
        <v>2026</v>
      </c>
      <c r="D550">
        <v>1</v>
      </c>
      <c r="E550" s="2">
        <v>46043</v>
      </c>
      <c r="F550" t="s">
        <v>7</v>
      </c>
      <c r="G550" t="s">
        <v>8</v>
      </c>
      <c r="H550" t="s">
        <v>74</v>
      </c>
      <c r="I550" t="s">
        <v>71</v>
      </c>
      <c r="J550" t="s">
        <v>72</v>
      </c>
      <c r="K550" t="s">
        <v>73</v>
      </c>
      <c r="L550">
        <v>701000</v>
      </c>
      <c r="M550" t="s">
        <v>62</v>
      </c>
      <c r="N550" t="s">
        <v>33</v>
      </c>
      <c r="O550">
        <v>2520</v>
      </c>
      <c r="P550">
        <v>1.05</v>
      </c>
      <c r="Q550">
        <v>2.65</v>
      </c>
      <c r="R550" t="s">
        <v>1199</v>
      </c>
      <c r="S550" t="s">
        <v>195</v>
      </c>
    </row>
    <row r="551" spans="1:19" x14ac:dyDescent="0.3">
      <c r="A551" t="s">
        <v>404</v>
      </c>
      <c r="B551" t="s">
        <v>23</v>
      </c>
      <c r="C551">
        <v>2026</v>
      </c>
      <c r="D551">
        <v>1</v>
      </c>
      <c r="E551" s="2">
        <v>46043</v>
      </c>
      <c r="F551" t="s">
        <v>7</v>
      </c>
      <c r="G551" t="s">
        <v>8</v>
      </c>
      <c r="H551" t="s">
        <v>74</v>
      </c>
      <c r="I551" t="s">
        <v>71</v>
      </c>
      <c r="J551" t="s">
        <v>72</v>
      </c>
      <c r="K551" t="s">
        <v>73</v>
      </c>
      <c r="L551">
        <v>701000</v>
      </c>
      <c r="M551" t="s">
        <v>62</v>
      </c>
      <c r="N551" t="s">
        <v>33</v>
      </c>
      <c r="O551">
        <v>2024</v>
      </c>
      <c r="P551">
        <v>1.05</v>
      </c>
      <c r="Q551">
        <v>2.13</v>
      </c>
      <c r="R551" t="s">
        <v>1200</v>
      </c>
      <c r="S551" t="s">
        <v>195</v>
      </c>
    </row>
    <row r="552" spans="1:19" x14ac:dyDescent="0.3">
      <c r="A552" t="s">
        <v>495</v>
      </c>
      <c r="B552" t="s">
        <v>23</v>
      </c>
      <c r="C552">
        <v>2026</v>
      </c>
      <c r="D552">
        <v>1</v>
      </c>
      <c r="E552" s="2">
        <v>46043</v>
      </c>
      <c r="F552" t="s">
        <v>7</v>
      </c>
      <c r="G552" t="s">
        <v>8</v>
      </c>
      <c r="H552" t="s">
        <v>74</v>
      </c>
      <c r="I552" t="s">
        <v>71</v>
      </c>
      <c r="J552" t="s">
        <v>72</v>
      </c>
      <c r="K552" t="s">
        <v>73</v>
      </c>
      <c r="L552">
        <v>701000</v>
      </c>
      <c r="M552" t="s">
        <v>62</v>
      </c>
      <c r="N552" t="s">
        <v>33</v>
      </c>
      <c r="O552">
        <v>1314</v>
      </c>
      <c r="P552">
        <v>1.05</v>
      </c>
      <c r="Q552">
        <v>1.38</v>
      </c>
      <c r="R552" t="s">
        <v>1203</v>
      </c>
      <c r="S552" t="s">
        <v>195</v>
      </c>
    </row>
    <row r="553" spans="1:19" x14ac:dyDescent="0.3">
      <c r="A553" t="s">
        <v>496</v>
      </c>
      <c r="B553" t="s">
        <v>23</v>
      </c>
      <c r="C553">
        <v>2026</v>
      </c>
      <c r="D553">
        <v>1</v>
      </c>
      <c r="E553" s="2">
        <v>46043</v>
      </c>
      <c r="F553" t="s">
        <v>7</v>
      </c>
      <c r="G553" t="s">
        <v>8</v>
      </c>
      <c r="H553" t="s">
        <v>74</v>
      </c>
      <c r="I553" t="s">
        <v>71</v>
      </c>
      <c r="J553" t="s">
        <v>72</v>
      </c>
      <c r="K553" t="s">
        <v>73</v>
      </c>
      <c r="L553">
        <v>701000</v>
      </c>
      <c r="M553" t="s">
        <v>62</v>
      </c>
      <c r="N553" t="s">
        <v>33</v>
      </c>
      <c r="O553">
        <v>2552</v>
      </c>
      <c r="P553">
        <v>1.05</v>
      </c>
      <c r="Q553">
        <v>2.68</v>
      </c>
      <c r="R553" t="s">
        <v>1205</v>
      </c>
      <c r="S553" t="s">
        <v>195</v>
      </c>
    </row>
    <row r="554" spans="1:19" x14ac:dyDescent="0.3">
      <c r="A554" t="s">
        <v>497</v>
      </c>
      <c r="B554" t="s">
        <v>23</v>
      </c>
      <c r="C554">
        <v>2026</v>
      </c>
      <c r="D554">
        <v>1</v>
      </c>
      <c r="E554" s="2">
        <v>46043</v>
      </c>
      <c r="F554" t="s">
        <v>7</v>
      </c>
      <c r="G554" t="s">
        <v>8</v>
      </c>
      <c r="H554" t="s">
        <v>74</v>
      </c>
      <c r="I554" t="s">
        <v>71</v>
      </c>
      <c r="J554" t="s">
        <v>72</v>
      </c>
      <c r="K554" t="s">
        <v>73</v>
      </c>
      <c r="L554">
        <v>701000</v>
      </c>
      <c r="M554" t="s">
        <v>62</v>
      </c>
      <c r="N554" t="s">
        <v>33</v>
      </c>
      <c r="O554">
        <v>422</v>
      </c>
      <c r="P554">
        <v>1.04</v>
      </c>
      <c r="Q554">
        <v>0.44</v>
      </c>
      <c r="R554" t="s">
        <v>1204</v>
      </c>
      <c r="S554" t="s">
        <v>195</v>
      </c>
    </row>
    <row r="555" spans="1:19" x14ac:dyDescent="0.3">
      <c r="A555" t="s">
        <v>498</v>
      </c>
      <c r="B555" t="s">
        <v>23</v>
      </c>
      <c r="C555">
        <v>2026</v>
      </c>
      <c r="D555">
        <v>1</v>
      </c>
      <c r="E555" s="2">
        <v>46043</v>
      </c>
      <c r="F555" t="s">
        <v>7</v>
      </c>
      <c r="G555" t="s">
        <v>8</v>
      </c>
      <c r="H555" t="s">
        <v>74</v>
      </c>
      <c r="I555" t="s">
        <v>71</v>
      </c>
      <c r="J555" t="s">
        <v>72</v>
      </c>
      <c r="K555" t="s">
        <v>73</v>
      </c>
      <c r="L555">
        <v>701000</v>
      </c>
      <c r="M555" t="s">
        <v>62</v>
      </c>
      <c r="N555" t="s">
        <v>33</v>
      </c>
      <c r="O555">
        <v>2173</v>
      </c>
      <c r="P555">
        <v>1.05</v>
      </c>
      <c r="Q555">
        <v>2.2799999999999998</v>
      </c>
      <c r="R555" t="s">
        <v>1198</v>
      </c>
      <c r="S555" t="s">
        <v>195</v>
      </c>
    </row>
    <row r="556" spans="1:19" x14ac:dyDescent="0.3">
      <c r="A556" t="s">
        <v>499</v>
      </c>
      <c r="B556" t="s">
        <v>23</v>
      </c>
      <c r="C556">
        <v>2026</v>
      </c>
      <c r="D556">
        <v>1</v>
      </c>
      <c r="E556" s="2">
        <v>46043</v>
      </c>
      <c r="F556" t="s">
        <v>7</v>
      </c>
      <c r="G556" t="s">
        <v>8</v>
      </c>
      <c r="H556" t="s">
        <v>74</v>
      </c>
      <c r="I556" t="s">
        <v>71</v>
      </c>
      <c r="J556" t="s">
        <v>72</v>
      </c>
      <c r="K556" t="s">
        <v>73</v>
      </c>
      <c r="L556">
        <v>701000</v>
      </c>
      <c r="M556" t="s">
        <v>62</v>
      </c>
      <c r="N556" t="s">
        <v>33</v>
      </c>
      <c r="O556">
        <v>723</v>
      </c>
      <c r="P556">
        <v>1.05</v>
      </c>
      <c r="Q556">
        <v>0.76</v>
      </c>
      <c r="R556" t="s">
        <v>1201</v>
      </c>
      <c r="S556" t="s">
        <v>195</v>
      </c>
    </row>
    <row r="557" spans="1:19" x14ac:dyDescent="0.3">
      <c r="A557" t="s">
        <v>565</v>
      </c>
      <c r="B557" t="s">
        <v>23</v>
      </c>
      <c r="C557">
        <v>2026</v>
      </c>
      <c r="D557">
        <v>1</v>
      </c>
      <c r="E557" s="2">
        <v>46043</v>
      </c>
      <c r="F557" t="s">
        <v>7</v>
      </c>
      <c r="G557" t="s">
        <v>8</v>
      </c>
      <c r="H557" t="s">
        <v>74</v>
      </c>
      <c r="I557" t="s">
        <v>75</v>
      </c>
      <c r="J557" t="s">
        <v>76</v>
      </c>
      <c r="K557" t="s">
        <v>73</v>
      </c>
      <c r="L557">
        <v>701000</v>
      </c>
      <c r="M557" t="s">
        <v>62</v>
      </c>
      <c r="N557" t="s">
        <v>33</v>
      </c>
      <c r="O557">
        <v>543</v>
      </c>
      <c r="P557">
        <v>1.4</v>
      </c>
      <c r="Q557">
        <v>0.76</v>
      </c>
      <c r="R557" t="s">
        <v>1197</v>
      </c>
      <c r="S557" t="s">
        <v>195</v>
      </c>
    </row>
    <row r="558" spans="1:19" x14ac:dyDescent="0.3">
      <c r="A558" t="s">
        <v>566</v>
      </c>
      <c r="B558" t="s">
        <v>23</v>
      </c>
      <c r="C558">
        <v>2026</v>
      </c>
      <c r="D558">
        <v>1</v>
      </c>
      <c r="E558" s="2">
        <v>46043</v>
      </c>
      <c r="F558" t="s">
        <v>7</v>
      </c>
      <c r="G558" t="s">
        <v>8</v>
      </c>
      <c r="H558" t="s">
        <v>74</v>
      </c>
      <c r="I558" t="s">
        <v>75</v>
      </c>
      <c r="J558" t="s">
        <v>76</v>
      </c>
      <c r="K558" t="s">
        <v>73</v>
      </c>
      <c r="L558">
        <v>701000</v>
      </c>
      <c r="M558" t="s">
        <v>62</v>
      </c>
      <c r="N558" t="s">
        <v>33</v>
      </c>
      <c r="O558">
        <v>164</v>
      </c>
      <c r="P558">
        <v>1.4</v>
      </c>
      <c r="Q558">
        <v>0.23</v>
      </c>
      <c r="R558" t="s">
        <v>1204</v>
      </c>
      <c r="S558" t="s">
        <v>195</v>
      </c>
    </row>
    <row r="559" spans="1:19" x14ac:dyDescent="0.3">
      <c r="A559" t="s">
        <v>567</v>
      </c>
      <c r="B559" t="s">
        <v>23</v>
      </c>
      <c r="C559">
        <v>2026</v>
      </c>
      <c r="D559">
        <v>1</v>
      </c>
      <c r="E559" s="2">
        <v>46043</v>
      </c>
      <c r="F559" t="s">
        <v>7</v>
      </c>
      <c r="G559" t="s">
        <v>8</v>
      </c>
      <c r="H559" t="s">
        <v>74</v>
      </c>
      <c r="I559" t="s">
        <v>75</v>
      </c>
      <c r="J559" t="s">
        <v>76</v>
      </c>
      <c r="K559" t="s">
        <v>73</v>
      </c>
      <c r="L559">
        <v>701000</v>
      </c>
      <c r="M559" t="s">
        <v>62</v>
      </c>
      <c r="N559" t="s">
        <v>33</v>
      </c>
      <c r="O559">
        <v>1011</v>
      </c>
      <c r="P559">
        <v>1.4</v>
      </c>
      <c r="Q559">
        <v>1.42</v>
      </c>
      <c r="R559" t="s">
        <v>1198</v>
      </c>
      <c r="S559" t="s">
        <v>195</v>
      </c>
    </row>
    <row r="560" spans="1:19" x14ac:dyDescent="0.3">
      <c r="A560" t="s">
        <v>568</v>
      </c>
      <c r="B560" t="s">
        <v>23</v>
      </c>
      <c r="C560">
        <v>2026</v>
      </c>
      <c r="D560">
        <v>1</v>
      </c>
      <c r="E560" s="2">
        <v>46043</v>
      </c>
      <c r="F560" t="s">
        <v>7</v>
      </c>
      <c r="G560" t="s">
        <v>8</v>
      </c>
      <c r="H560" t="s">
        <v>74</v>
      </c>
      <c r="I560" t="s">
        <v>75</v>
      </c>
      <c r="J560" t="s">
        <v>76</v>
      </c>
      <c r="K560" t="s">
        <v>73</v>
      </c>
      <c r="L560">
        <v>701000</v>
      </c>
      <c r="M560" t="s">
        <v>62</v>
      </c>
      <c r="N560" t="s">
        <v>33</v>
      </c>
      <c r="O560">
        <v>1574</v>
      </c>
      <c r="P560">
        <v>1.4</v>
      </c>
      <c r="Q560">
        <v>2.2000000000000002</v>
      </c>
      <c r="R560" t="s">
        <v>1201</v>
      </c>
      <c r="S560" t="s">
        <v>195</v>
      </c>
    </row>
    <row r="561" spans="1:19" x14ac:dyDescent="0.3">
      <c r="A561" t="s">
        <v>569</v>
      </c>
      <c r="B561" t="s">
        <v>23</v>
      </c>
      <c r="C561">
        <v>2026</v>
      </c>
      <c r="D561">
        <v>1</v>
      </c>
      <c r="E561" s="2">
        <v>46043</v>
      </c>
      <c r="F561" t="s">
        <v>7</v>
      </c>
      <c r="G561" t="s">
        <v>8</v>
      </c>
      <c r="H561" t="s">
        <v>74</v>
      </c>
      <c r="I561" t="s">
        <v>75</v>
      </c>
      <c r="J561" t="s">
        <v>76</v>
      </c>
      <c r="K561" t="s">
        <v>73</v>
      </c>
      <c r="L561">
        <v>701000</v>
      </c>
      <c r="M561" t="s">
        <v>62</v>
      </c>
      <c r="N561" t="s">
        <v>33</v>
      </c>
      <c r="O561">
        <v>2468</v>
      </c>
      <c r="P561">
        <v>1.4</v>
      </c>
      <c r="Q561">
        <v>3.45</v>
      </c>
      <c r="R561" t="s">
        <v>1203</v>
      </c>
      <c r="S561" t="s">
        <v>195</v>
      </c>
    </row>
    <row r="562" spans="1:19" x14ac:dyDescent="0.3">
      <c r="A562" t="s">
        <v>875</v>
      </c>
      <c r="B562" t="s">
        <v>23</v>
      </c>
      <c r="C562">
        <v>2026</v>
      </c>
      <c r="D562">
        <v>1</v>
      </c>
      <c r="E562" s="2">
        <v>46043</v>
      </c>
      <c r="F562" t="s">
        <v>7</v>
      </c>
      <c r="G562" t="s">
        <v>8</v>
      </c>
      <c r="H562" t="s">
        <v>74</v>
      </c>
      <c r="I562" t="s">
        <v>79</v>
      </c>
      <c r="J562" t="s">
        <v>80</v>
      </c>
      <c r="K562" t="s">
        <v>73</v>
      </c>
      <c r="L562">
        <v>707000</v>
      </c>
      <c r="M562" t="s">
        <v>81</v>
      </c>
      <c r="N562" t="s">
        <v>33</v>
      </c>
      <c r="O562">
        <v>2133</v>
      </c>
      <c r="P562">
        <v>2.6</v>
      </c>
      <c r="Q562">
        <v>5.55</v>
      </c>
      <c r="R562" t="s">
        <v>1197</v>
      </c>
      <c r="S562" t="s">
        <v>195</v>
      </c>
    </row>
    <row r="563" spans="1:19" x14ac:dyDescent="0.3">
      <c r="A563" t="s">
        <v>876</v>
      </c>
      <c r="B563" t="s">
        <v>23</v>
      </c>
      <c r="C563">
        <v>2026</v>
      </c>
      <c r="D563">
        <v>1</v>
      </c>
      <c r="E563" s="2">
        <v>46043</v>
      </c>
      <c r="F563" t="s">
        <v>7</v>
      </c>
      <c r="G563" t="s">
        <v>8</v>
      </c>
      <c r="H563" t="s">
        <v>74</v>
      </c>
      <c r="I563" t="s">
        <v>79</v>
      </c>
      <c r="J563" t="s">
        <v>80</v>
      </c>
      <c r="K563" t="s">
        <v>73</v>
      </c>
      <c r="L563">
        <v>707000</v>
      </c>
      <c r="M563" t="s">
        <v>81</v>
      </c>
      <c r="N563" t="s">
        <v>33</v>
      </c>
      <c r="O563">
        <v>2095</v>
      </c>
      <c r="P563">
        <v>2.6</v>
      </c>
      <c r="Q563">
        <v>5.45</v>
      </c>
      <c r="R563" t="s">
        <v>1201</v>
      </c>
      <c r="S563" t="s">
        <v>195</v>
      </c>
    </row>
    <row r="564" spans="1:19" x14ac:dyDescent="0.3">
      <c r="A564" t="s">
        <v>877</v>
      </c>
      <c r="B564" t="s">
        <v>23</v>
      </c>
      <c r="C564">
        <v>2026</v>
      </c>
      <c r="D564">
        <v>1</v>
      </c>
      <c r="E564" s="2">
        <v>46043</v>
      </c>
      <c r="F564" t="s">
        <v>7</v>
      </c>
      <c r="G564" t="s">
        <v>8</v>
      </c>
      <c r="H564" t="s">
        <v>74</v>
      </c>
      <c r="I564" t="s">
        <v>79</v>
      </c>
      <c r="J564" t="s">
        <v>80</v>
      </c>
      <c r="K564" t="s">
        <v>73</v>
      </c>
      <c r="L564">
        <v>707000</v>
      </c>
      <c r="M564" t="s">
        <v>81</v>
      </c>
      <c r="N564" t="s">
        <v>33</v>
      </c>
      <c r="O564">
        <v>357</v>
      </c>
      <c r="P564">
        <v>2.61</v>
      </c>
      <c r="Q564">
        <v>0.93</v>
      </c>
      <c r="R564" t="s">
        <v>1199</v>
      </c>
      <c r="S564" t="s">
        <v>195</v>
      </c>
    </row>
    <row r="565" spans="1:19" x14ac:dyDescent="0.3">
      <c r="A565" t="s">
        <v>878</v>
      </c>
      <c r="B565" t="s">
        <v>23</v>
      </c>
      <c r="C565">
        <v>2026</v>
      </c>
      <c r="D565">
        <v>1</v>
      </c>
      <c r="E565" s="2">
        <v>46043</v>
      </c>
      <c r="F565" t="s">
        <v>7</v>
      </c>
      <c r="G565" t="s">
        <v>8</v>
      </c>
      <c r="H565" t="s">
        <v>74</v>
      </c>
      <c r="I565" t="s">
        <v>79</v>
      </c>
      <c r="J565" t="s">
        <v>80</v>
      </c>
      <c r="K565" t="s">
        <v>73</v>
      </c>
      <c r="L565">
        <v>707000</v>
      </c>
      <c r="M565" t="s">
        <v>81</v>
      </c>
      <c r="N565" t="s">
        <v>33</v>
      </c>
      <c r="O565">
        <v>361</v>
      </c>
      <c r="P565">
        <v>2.6</v>
      </c>
      <c r="Q565">
        <v>0.94</v>
      </c>
      <c r="R565" t="s">
        <v>1205</v>
      </c>
      <c r="S565" t="s">
        <v>195</v>
      </c>
    </row>
    <row r="566" spans="1:19" x14ac:dyDescent="0.3">
      <c r="A566" t="s">
        <v>879</v>
      </c>
      <c r="B566" t="s">
        <v>23</v>
      </c>
      <c r="C566">
        <v>2026</v>
      </c>
      <c r="D566">
        <v>1</v>
      </c>
      <c r="E566" s="2">
        <v>46043</v>
      </c>
      <c r="F566" t="s">
        <v>7</v>
      </c>
      <c r="G566" t="s">
        <v>8</v>
      </c>
      <c r="H566" t="s">
        <v>74</v>
      </c>
      <c r="I566" t="s">
        <v>79</v>
      </c>
      <c r="J566" t="s">
        <v>80</v>
      </c>
      <c r="K566" t="s">
        <v>73</v>
      </c>
      <c r="L566">
        <v>707000</v>
      </c>
      <c r="M566" t="s">
        <v>81</v>
      </c>
      <c r="N566" t="s">
        <v>33</v>
      </c>
      <c r="O566">
        <v>1677</v>
      </c>
      <c r="P566">
        <v>2.59</v>
      </c>
      <c r="Q566">
        <v>4.3499999999999996</v>
      </c>
      <c r="R566" t="s">
        <v>1203</v>
      </c>
      <c r="S566" t="s">
        <v>195</v>
      </c>
    </row>
    <row r="567" spans="1:19" x14ac:dyDescent="0.3">
      <c r="A567" t="s">
        <v>270</v>
      </c>
      <c r="B567" t="s">
        <v>23</v>
      </c>
      <c r="C567">
        <v>2026</v>
      </c>
      <c r="D567">
        <v>1</v>
      </c>
      <c r="E567" s="2">
        <v>46044</v>
      </c>
      <c r="F567" t="s">
        <v>7</v>
      </c>
      <c r="G567" t="s">
        <v>8</v>
      </c>
      <c r="H567" t="s">
        <v>70</v>
      </c>
      <c r="I567" t="s">
        <v>84</v>
      </c>
      <c r="J567" t="s">
        <v>85</v>
      </c>
      <c r="K567" t="s">
        <v>73</v>
      </c>
      <c r="L567">
        <v>701000</v>
      </c>
      <c r="M567" t="s">
        <v>62</v>
      </c>
      <c r="N567" t="s">
        <v>33</v>
      </c>
      <c r="O567">
        <v>1992</v>
      </c>
      <c r="P567">
        <v>0.95</v>
      </c>
      <c r="Q567">
        <v>1.89</v>
      </c>
      <c r="R567" t="s">
        <v>1205</v>
      </c>
      <c r="S567" t="s">
        <v>195</v>
      </c>
    </row>
    <row r="568" spans="1:19" x14ac:dyDescent="0.3">
      <c r="A568" t="s">
        <v>271</v>
      </c>
      <c r="B568" t="s">
        <v>23</v>
      </c>
      <c r="C568">
        <v>2026</v>
      </c>
      <c r="D568">
        <v>1</v>
      </c>
      <c r="E568" s="2">
        <v>46044</v>
      </c>
      <c r="F568" t="s">
        <v>7</v>
      </c>
      <c r="G568" t="s">
        <v>8</v>
      </c>
      <c r="H568" t="s">
        <v>70</v>
      </c>
      <c r="I568" t="s">
        <v>84</v>
      </c>
      <c r="J568" t="s">
        <v>85</v>
      </c>
      <c r="K568" t="s">
        <v>73</v>
      </c>
      <c r="L568">
        <v>701000</v>
      </c>
      <c r="M568" t="s">
        <v>62</v>
      </c>
      <c r="N568" t="s">
        <v>33</v>
      </c>
      <c r="O568">
        <v>2388</v>
      </c>
      <c r="P568">
        <v>0.95</v>
      </c>
      <c r="Q568">
        <v>2.27</v>
      </c>
      <c r="R568" t="s">
        <v>1199</v>
      </c>
      <c r="S568" t="s">
        <v>195</v>
      </c>
    </row>
    <row r="569" spans="1:19" x14ac:dyDescent="0.3">
      <c r="A569" t="s">
        <v>272</v>
      </c>
      <c r="B569" t="s">
        <v>23</v>
      </c>
      <c r="C569">
        <v>2026</v>
      </c>
      <c r="D569">
        <v>1</v>
      </c>
      <c r="E569" s="2">
        <v>46044</v>
      </c>
      <c r="F569" t="s">
        <v>7</v>
      </c>
      <c r="G569" t="s">
        <v>8</v>
      </c>
      <c r="H569" t="s">
        <v>70</v>
      </c>
      <c r="I569" t="s">
        <v>84</v>
      </c>
      <c r="J569" t="s">
        <v>85</v>
      </c>
      <c r="K569" t="s">
        <v>73</v>
      </c>
      <c r="L569">
        <v>701000</v>
      </c>
      <c r="M569" t="s">
        <v>62</v>
      </c>
      <c r="N569" t="s">
        <v>33</v>
      </c>
      <c r="O569">
        <v>3482</v>
      </c>
      <c r="P569">
        <v>0.95</v>
      </c>
      <c r="Q569">
        <v>3.31</v>
      </c>
      <c r="R569" t="s">
        <v>1197</v>
      </c>
      <c r="S569" t="s">
        <v>195</v>
      </c>
    </row>
    <row r="570" spans="1:19" x14ac:dyDescent="0.3">
      <c r="A570" t="s">
        <v>273</v>
      </c>
      <c r="B570" t="s">
        <v>23</v>
      </c>
      <c r="C570">
        <v>2026</v>
      </c>
      <c r="D570">
        <v>1</v>
      </c>
      <c r="E570" s="2">
        <v>46044</v>
      </c>
      <c r="F570" t="s">
        <v>7</v>
      </c>
      <c r="G570" t="s">
        <v>8</v>
      </c>
      <c r="H570" t="s">
        <v>70</v>
      </c>
      <c r="I570" t="s">
        <v>84</v>
      </c>
      <c r="J570" t="s">
        <v>85</v>
      </c>
      <c r="K570" t="s">
        <v>73</v>
      </c>
      <c r="L570">
        <v>701000</v>
      </c>
      <c r="M570" t="s">
        <v>62</v>
      </c>
      <c r="N570" t="s">
        <v>33</v>
      </c>
      <c r="O570">
        <v>2117</v>
      </c>
      <c r="P570">
        <v>0.95</v>
      </c>
      <c r="Q570">
        <v>2.0099999999999998</v>
      </c>
      <c r="R570" t="s">
        <v>1198</v>
      </c>
      <c r="S570" t="s">
        <v>195</v>
      </c>
    </row>
    <row r="571" spans="1:19" x14ac:dyDescent="0.3">
      <c r="A571" t="s">
        <v>274</v>
      </c>
      <c r="B571" t="s">
        <v>23</v>
      </c>
      <c r="C571">
        <v>2026</v>
      </c>
      <c r="D571">
        <v>1</v>
      </c>
      <c r="E571" s="2">
        <v>46044</v>
      </c>
      <c r="F571" t="s">
        <v>7</v>
      </c>
      <c r="G571" t="s">
        <v>8</v>
      </c>
      <c r="H571" t="s">
        <v>70</v>
      </c>
      <c r="I571" t="s">
        <v>84</v>
      </c>
      <c r="J571" t="s">
        <v>85</v>
      </c>
      <c r="K571" t="s">
        <v>73</v>
      </c>
      <c r="L571">
        <v>701000</v>
      </c>
      <c r="M571" t="s">
        <v>62</v>
      </c>
      <c r="N571" t="s">
        <v>33</v>
      </c>
      <c r="O571">
        <v>3090</v>
      </c>
      <c r="P571">
        <v>0.95</v>
      </c>
      <c r="Q571">
        <v>2.94</v>
      </c>
      <c r="R571" t="s">
        <v>1200</v>
      </c>
      <c r="S571" t="s">
        <v>195</v>
      </c>
    </row>
    <row r="572" spans="1:19" x14ac:dyDescent="0.3">
      <c r="A572" t="s">
        <v>380</v>
      </c>
      <c r="B572" t="s">
        <v>23</v>
      </c>
      <c r="C572">
        <v>2026</v>
      </c>
      <c r="D572">
        <v>1</v>
      </c>
      <c r="E572" s="2">
        <v>46044</v>
      </c>
      <c r="F572" t="s">
        <v>7</v>
      </c>
      <c r="G572" t="s">
        <v>8</v>
      </c>
      <c r="H572" t="s">
        <v>70</v>
      </c>
      <c r="I572" t="s">
        <v>71</v>
      </c>
      <c r="J572" t="s">
        <v>72</v>
      </c>
      <c r="K572" t="s">
        <v>73</v>
      </c>
      <c r="L572">
        <v>707000</v>
      </c>
      <c r="M572" t="s">
        <v>81</v>
      </c>
      <c r="N572" t="s">
        <v>33</v>
      </c>
      <c r="O572">
        <v>662</v>
      </c>
      <c r="P572">
        <v>1.04</v>
      </c>
      <c r="Q572">
        <v>0.69</v>
      </c>
      <c r="R572" t="s">
        <v>1201</v>
      </c>
      <c r="S572" t="s">
        <v>195</v>
      </c>
    </row>
    <row r="573" spans="1:19" x14ac:dyDescent="0.3">
      <c r="A573" t="s">
        <v>381</v>
      </c>
      <c r="B573" t="s">
        <v>23</v>
      </c>
      <c r="C573">
        <v>2026</v>
      </c>
      <c r="D573">
        <v>1</v>
      </c>
      <c r="E573" s="2">
        <v>46044</v>
      </c>
      <c r="F573" t="s">
        <v>7</v>
      </c>
      <c r="G573" t="s">
        <v>8</v>
      </c>
      <c r="H573" t="s">
        <v>70</v>
      </c>
      <c r="I573" t="s">
        <v>71</v>
      </c>
      <c r="J573" t="s">
        <v>72</v>
      </c>
      <c r="K573" t="s">
        <v>73</v>
      </c>
      <c r="L573">
        <v>707000</v>
      </c>
      <c r="M573" t="s">
        <v>81</v>
      </c>
      <c r="N573" t="s">
        <v>33</v>
      </c>
      <c r="O573">
        <v>1719</v>
      </c>
      <c r="P573">
        <v>1.05</v>
      </c>
      <c r="Q573">
        <v>1.8</v>
      </c>
      <c r="R573" t="s">
        <v>1197</v>
      </c>
      <c r="S573" t="s">
        <v>195</v>
      </c>
    </row>
    <row r="574" spans="1:19" x14ac:dyDescent="0.3">
      <c r="A574" t="s">
        <v>382</v>
      </c>
      <c r="B574" t="s">
        <v>23</v>
      </c>
      <c r="C574">
        <v>2026</v>
      </c>
      <c r="D574">
        <v>1</v>
      </c>
      <c r="E574" s="2">
        <v>46044</v>
      </c>
      <c r="F574" t="s">
        <v>7</v>
      </c>
      <c r="G574" t="s">
        <v>8</v>
      </c>
      <c r="H574" t="s">
        <v>70</v>
      </c>
      <c r="I574" t="s">
        <v>71</v>
      </c>
      <c r="J574" t="s">
        <v>72</v>
      </c>
      <c r="K574" t="s">
        <v>73</v>
      </c>
      <c r="L574">
        <v>707000</v>
      </c>
      <c r="M574" t="s">
        <v>81</v>
      </c>
      <c r="N574" t="s">
        <v>33</v>
      </c>
      <c r="O574">
        <v>504</v>
      </c>
      <c r="P574">
        <v>1.05</v>
      </c>
      <c r="Q574">
        <v>0.53</v>
      </c>
      <c r="R574" t="s">
        <v>1205</v>
      </c>
      <c r="S574" t="s">
        <v>195</v>
      </c>
    </row>
    <row r="575" spans="1:19" x14ac:dyDescent="0.3">
      <c r="A575" t="s">
        <v>383</v>
      </c>
      <c r="B575" t="s">
        <v>23</v>
      </c>
      <c r="C575">
        <v>2026</v>
      </c>
      <c r="D575">
        <v>1</v>
      </c>
      <c r="E575" s="2">
        <v>46044</v>
      </c>
      <c r="F575" t="s">
        <v>7</v>
      </c>
      <c r="G575" t="s">
        <v>8</v>
      </c>
      <c r="H575" t="s">
        <v>70</v>
      </c>
      <c r="I575" t="s">
        <v>71</v>
      </c>
      <c r="J575" t="s">
        <v>72</v>
      </c>
      <c r="K575" t="s">
        <v>73</v>
      </c>
      <c r="L575">
        <v>707000</v>
      </c>
      <c r="M575" t="s">
        <v>81</v>
      </c>
      <c r="N575" t="s">
        <v>33</v>
      </c>
      <c r="O575">
        <v>3660</v>
      </c>
      <c r="P575">
        <v>1.05</v>
      </c>
      <c r="Q575">
        <v>3.84</v>
      </c>
      <c r="R575" t="s">
        <v>1204</v>
      </c>
      <c r="S575" t="s">
        <v>195</v>
      </c>
    </row>
    <row r="576" spans="1:19" x14ac:dyDescent="0.3">
      <c r="A576" t="s">
        <v>384</v>
      </c>
      <c r="B576" t="s">
        <v>23</v>
      </c>
      <c r="C576">
        <v>2026</v>
      </c>
      <c r="D576">
        <v>1</v>
      </c>
      <c r="E576" s="2">
        <v>46044</v>
      </c>
      <c r="F576" t="s">
        <v>7</v>
      </c>
      <c r="G576" t="s">
        <v>8</v>
      </c>
      <c r="H576" t="s">
        <v>70</v>
      </c>
      <c r="I576" t="s">
        <v>71</v>
      </c>
      <c r="J576" t="s">
        <v>72</v>
      </c>
      <c r="K576" t="s">
        <v>73</v>
      </c>
      <c r="L576">
        <v>707000</v>
      </c>
      <c r="M576" t="s">
        <v>81</v>
      </c>
      <c r="N576" t="s">
        <v>33</v>
      </c>
      <c r="O576">
        <v>2883</v>
      </c>
      <c r="P576">
        <v>1.05</v>
      </c>
      <c r="Q576">
        <v>3.04</v>
      </c>
      <c r="R576" t="s">
        <v>1202</v>
      </c>
      <c r="S576" t="s">
        <v>195</v>
      </c>
    </row>
    <row r="577" spans="1:19" x14ac:dyDescent="0.3">
      <c r="A577" t="s">
        <v>465</v>
      </c>
      <c r="B577" t="s">
        <v>23</v>
      </c>
      <c r="C577">
        <v>2026</v>
      </c>
      <c r="D577">
        <v>1</v>
      </c>
      <c r="E577" s="2">
        <v>46044</v>
      </c>
      <c r="F577" t="s">
        <v>7</v>
      </c>
      <c r="G577" t="s">
        <v>8</v>
      </c>
      <c r="H577" t="s">
        <v>74</v>
      </c>
      <c r="I577" t="s">
        <v>71</v>
      </c>
      <c r="J577" t="s">
        <v>72</v>
      </c>
      <c r="K577" t="s">
        <v>73</v>
      </c>
      <c r="L577">
        <v>701000</v>
      </c>
      <c r="M577" t="s">
        <v>62</v>
      </c>
      <c r="N577" t="s">
        <v>33</v>
      </c>
      <c r="O577">
        <v>1210</v>
      </c>
      <c r="P577">
        <v>1.05</v>
      </c>
      <c r="Q577">
        <v>1.27</v>
      </c>
      <c r="R577" t="s">
        <v>1198</v>
      </c>
      <c r="S577" t="s">
        <v>195</v>
      </c>
    </row>
    <row r="578" spans="1:19" x14ac:dyDescent="0.3">
      <c r="A578" t="s">
        <v>466</v>
      </c>
      <c r="B578" t="s">
        <v>23</v>
      </c>
      <c r="C578">
        <v>2026</v>
      </c>
      <c r="D578">
        <v>1</v>
      </c>
      <c r="E578" s="2">
        <v>46044</v>
      </c>
      <c r="F578" t="s">
        <v>7</v>
      </c>
      <c r="G578" t="s">
        <v>8</v>
      </c>
      <c r="H578" t="s">
        <v>74</v>
      </c>
      <c r="I578" t="s">
        <v>71</v>
      </c>
      <c r="J578" t="s">
        <v>72</v>
      </c>
      <c r="K578" t="s">
        <v>73</v>
      </c>
      <c r="L578">
        <v>701000</v>
      </c>
      <c r="M578" t="s">
        <v>62</v>
      </c>
      <c r="N578" t="s">
        <v>33</v>
      </c>
      <c r="O578">
        <v>1177</v>
      </c>
      <c r="P578">
        <v>1.05</v>
      </c>
      <c r="Q578">
        <v>1.24</v>
      </c>
      <c r="R578" t="s">
        <v>1202</v>
      </c>
      <c r="S578" t="s">
        <v>195</v>
      </c>
    </row>
    <row r="579" spans="1:19" x14ac:dyDescent="0.3">
      <c r="A579" t="s">
        <v>467</v>
      </c>
      <c r="B579" t="s">
        <v>23</v>
      </c>
      <c r="C579">
        <v>2026</v>
      </c>
      <c r="D579">
        <v>1</v>
      </c>
      <c r="E579" s="2">
        <v>46044</v>
      </c>
      <c r="F579" t="s">
        <v>7</v>
      </c>
      <c r="G579" t="s">
        <v>8</v>
      </c>
      <c r="H579" t="s">
        <v>74</v>
      </c>
      <c r="I579" t="s">
        <v>71</v>
      </c>
      <c r="J579" t="s">
        <v>72</v>
      </c>
      <c r="K579" t="s">
        <v>73</v>
      </c>
      <c r="L579">
        <v>701000</v>
      </c>
      <c r="M579" t="s">
        <v>62</v>
      </c>
      <c r="N579" t="s">
        <v>33</v>
      </c>
      <c r="O579">
        <v>531</v>
      </c>
      <c r="P579">
        <v>1.05</v>
      </c>
      <c r="Q579">
        <v>0.56000000000000005</v>
      </c>
      <c r="R579" t="s">
        <v>1199</v>
      </c>
      <c r="S579" t="s">
        <v>195</v>
      </c>
    </row>
    <row r="580" spans="1:19" x14ac:dyDescent="0.3">
      <c r="A580" t="s">
        <v>468</v>
      </c>
      <c r="B580" t="s">
        <v>23</v>
      </c>
      <c r="C580">
        <v>2026</v>
      </c>
      <c r="D580">
        <v>1</v>
      </c>
      <c r="E580" s="2">
        <v>46044</v>
      </c>
      <c r="F580" t="s">
        <v>7</v>
      </c>
      <c r="G580" t="s">
        <v>8</v>
      </c>
      <c r="H580" t="s">
        <v>74</v>
      </c>
      <c r="I580" t="s">
        <v>71</v>
      </c>
      <c r="J580" t="s">
        <v>72</v>
      </c>
      <c r="K580" t="s">
        <v>73</v>
      </c>
      <c r="L580">
        <v>701000</v>
      </c>
      <c r="M580" t="s">
        <v>62</v>
      </c>
      <c r="N580" t="s">
        <v>33</v>
      </c>
      <c r="O580">
        <v>2726</v>
      </c>
      <c r="P580">
        <v>1.05</v>
      </c>
      <c r="Q580">
        <v>2.86</v>
      </c>
      <c r="R580" t="s">
        <v>1201</v>
      </c>
      <c r="S580" t="s">
        <v>195</v>
      </c>
    </row>
    <row r="581" spans="1:19" x14ac:dyDescent="0.3">
      <c r="A581" t="s">
        <v>469</v>
      </c>
      <c r="B581" t="s">
        <v>23</v>
      </c>
      <c r="C581">
        <v>2026</v>
      </c>
      <c r="D581">
        <v>1</v>
      </c>
      <c r="E581" s="2">
        <v>46044</v>
      </c>
      <c r="F581" t="s">
        <v>7</v>
      </c>
      <c r="G581" t="s">
        <v>8</v>
      </c>
      <c r="H581" t="s">
        <v>74</v>
      </c>
      <c r="I581" t="s">
        <v>71</v>
      </c>
      <c r="J581" t="s">
        <v>72</v>
      </c>
      <c r="K581" t="s">
        <v>73</v>
      </c>
      <c r="L581">
        <v>701000</v>
      </c>
      <c r="M581" t="s">
        <v>62</v>
      </c>
      <c r="N581" t="s">
        <v>33</v>
      </c>
      <c r="O581">
        <v>3142</v>
      </c>
      <c r="P581">
        <v>1.05</v>
      </c>
      <c r="Q581">
        <v>3.3</v>
      </c>
      <c r="R581" t="s">
        <v>1203</v>
      </c>
      <c r="S581" t="s">
        <v>195</v>
      </c>
    </row>
    <row r="582" spans="1:19" x14ac:dyDescent="0.3">
      <c r="A582" t="s">
        <v>550</v>
      </c>
      <c r="B582" t="s">
        <v>23</v>
      </c>
      <c r="C582">
        <v>2026</v>
      </c>
      <c r="D582">
        <v>1</v>
      </c>
      <c r="E582" s="2">
        <v>46044</v>
      </c>
      <c r="F582" t="s">
        <v>7</v>
      </c>
      <c r="G582" t="s">
        <v>8</v>
      </c>
      <c r="H582" t="s">
        <v>70</v>
      </c>
      <c r="I582" t="s">
        <v>75</v>
      </c>
      <c r="J582" t="s">
        <v>76</v>
      </c>
      <c r="K582" t="s">
        <v>73</v>
      </c>
      <c r="L582">
        <v>701000</v>
      </c>
      <c r="M582" t="s">
        <v>62</v>
      </c>
      <c r="N582" t="s">
        <v>33</v>
      </c>
      <c r="O582">
        <v>542</v>
      </c>
      <c r="P582">
        <v>1.4</v>
      </c>
      <c r="Q582">
        <v>0.76</v>
      </c>
      <c r="R582" t="s">
        <v>1203</v>
      </c>
      <c r="S582" t="s">
        <v>195</v>
      </c>
    </row>
    <row r="583" spans="1:19" x14ac:dyDescent="0.3">
      <c r="A583" t="s">
        <v>551</v>
      </c>
      <c r="B583" t="s">
        <v>23</v>
      </c>
      <c r="C583">
        <v>2026</v>
      </c>
      <c r="D583">
        <v>1</v>
      </c>
      <c r="E583" s="2">
        <v>46044</v>
      </c>
      <c r="F583" t="s">
        <v>7</v>
      </c>
      <c r="G583" t="s">
        <v>8</v>
      </c>
      <c r="H583" t="s">
        <v>70</v>
      </c>
      <c r="I583" t="s">
        <v>75</v>
      </c>
      <c r="J583" t="s">
        <v>76</v>
      </c>
      <c r="K583" t="s">
        <v>73</v>
      </c>
      <c r="L583">
        <v>701000</v>
      </c>
      <c r="M583" t="s">
        <v>62</v>
      </c>
      <c r="N583" t="s">
        <v>33</v>
      </c>
      <c r="O583">
        <v>528</v>
      </c>
      <c r="P583">
        <v>1.4</v>
      </c>
      <c r="Q583">
        <v>0.74</v>
      </c>
      <c r="R583" t="s">
        <v>1199</v>
      </c>
      <c r="S583" t="s">
        <v>195</v>
      </c>
    </row>
    <row r="584" spans="1:19" x14ac:dyDescent="0.3">
      <c r="A584" t="s">
        <v>552</v>
      </c>
      <c r="B584" t="s">
        <v>23</v>
      </c>
      <c r="C584">
        <v>2026</v>
      </c>
      <c r="D584">
        <v>1</v>
      </c>
      <c r="E584" s="2">
        <v>46044</v>
      </c>
      <c r="F584" t="s">
        <v>7</v>
      </c>
      <c r="G584" t="s">
        <v>8</v>
      </c>
      <c r="H584" t="s">
        <v>70</v>
      </c>
      <c r="I584" t="s">
        <v>75</v>
      </c>
      <c r="J584" t="s">
        <v>76</v>
      </c>
      <c r="K584" t="s">
        <v>73</v>
      </c>
      <c r="L584">
        <v>701000</v>
      </c>
      <c r="M584" t="s">
        <v>62</v>
      </c>
      <c r="N584" t="s">
        <v>33</v>
      </c>
      <c r="O584">
        <v>1512</v>
      </c>
      <c r="P584">
        <v>1.4</v>
      </c>
      <c r="Q584">
        <v>2.12</v>
      </c>
      <c r="R584" t="s">
        <v>1198</v>
      </c>
      <c r="S584" t="s">
        <v>195</v>
      </c>
    </row>
    <row r="585" spans="1:19" x14ac:dyDescent="0.3">
      <c r="A585" t="s">
        <v>553</v>
      </c>
      <c r="B585" t="s">
        <v>23</v>
      </c>
      <c r="C585">
        <v>2026</v>
      </c>
      <c r="D585">
        <v>1</v>
      </c>
      <c r="E585" s="2">
        <v>46044</v>
      </c>
      <c r="F585" t="s">
        <v>7</v>
      </c>
      <c r="G585" t="s">
        <v>8</v>
      </c>
      <c r="H585" t="s">
        <v>70</v>
      </c>
      <c r="I585" t="s">
        <v>75</v>
      </c>
      <c r="J585" t="s">
        <v>76</v>
      </c>
      <c r="K585" t="s">
        <v>73</v>
      </c>
      <c r="L585">
        <v>701000</v>
      </c>
      <c r="M585" t="s">
        <v>62</v>
      </c>
      <c r="N585" t="s">
        <v>33</v>
      </c>
      <c r="O585">
        <v>1450</v>
      </c>
      <c r="P585">
        <v>1.4</v>
      </c>
      <c r="Q585">
        <v>2.0299999999999998</v>
      </c>
      <c r="R585" t="s">
        <v>1205</v>
      </c>
      <c r="S585" t="s">
        <v>195</v>
      </c>
    </row>
    <row r="586" spans="1:19" x14ac:dyDescent="0.3">
      <c r="A586" t="s">
        <v>554</v>
      </c>
      <c r="B586" t="s">
        <v>23</v>
      </c>
      <c r="C586">
        <v>2026</v>
      </c>
      <c r="D586">
        <v>1</v>
      </c>
      <c r="E586" s="2">
        <v>46044</v>
      </c>
      <c r="F586" t="s">
        <v>7</v>
      </c>
      <c r="G586" t="s">
        <v>8</v>
      </c>
      <c r="H586" t="s">
        <v>70</v>
      </c>
      <c r="I586" t="s">
        <v>75</v>
      </c>
      <c r="J586" t="s">
        <v>76</v>
      </c>
      <c r="K586" t="s">
        <v>73</v>
      </c>
      <c r="L586">
        <v>701000</v>
      </c>
      <c r="M586" t="s">
        <v>62</v>
      </c>
      <c r="N586" t="s">
        <v>33</v>
      </c>
      <c r="O586">
        <v>1467</v>
      </c>
      <c r="P586">
        <v>1.4</v>
      </c>
      <c r="Q586">
        <v>2.0499999999999998</v>
      </c>
      <c r="R586" t="s">
        <v>1200</v>
      </c>
      <c r="S586" t="s">
        <v>195</v>
      </c>
    </row>
    <row r="587" spans="1:19" x14ac:dyDescent="0.3">
      <c r="A587" t="s">
        <v>830</v>
      </c>
      <c r="B587" t="s">
        <v>23</v>
      </c>
      <c r="C587">
        <v>2026</v>
      </c>
      <c r="D587">
        <v>1</v>
      </c>
      <c r="E587" s="2">
        <v>46044</v>
      </c>
      <c r="F587" t="s">
        <v>7</v>
      </c>
      <c r="G587" t="s">
        <v>8</v>
      </c>
      <c r="H587" t="s">
        <v>74</v>
      </c>
      <c r="I587" t="s">
        <v>79</v>
      </c>
      <c r="J587" t="s">
        <v>80</v>
      </c>
      <c r="K587" t="s">
        <v>73</v>
      </c>
      <c r="L587">
        <v>701000</v>
      </c>
      <c r="M587" t="s">
        <v>62</v>
      </c>
      <c r="N587" t="s">
        <v>33</v>
      </c>
      <c r="O587">
        <v>1726</v>
      </c>
      <c r="P587">
        <v>2.6</v>
      </c>
      <c r="Q587">
        <v>4.49</v>
      </c>
      <c r="R587" t="s">
        <v>1201</v>
      </c>
      <c r="S587" t="s">
        <v>195</v>
      </c>
    </row>
    <row r="588" spans="1:19" x14ac:dyDescent="0.3">
      <c r="A588" t="s">
        <v>831</v>
      </c>
      <c r="B588" t="s">
        <v>23</v>
      </c>
      <c r="C588">
        <v>2026</v>
      </c>
      <c r="D588">
        <v>1</v>
      </c>
      <c r="E588" s="2">
        <v>46044</v>
      </c>
      <c r="F588" t="s">
        <v>7</v>
      </c>
      <c r="G588" t="s">
        <v>8</v>
      </c>
      <c r="H588" t="s">
        <v>74</v>
      </c>
      <c r="I588" t="s">
        <v>79</v>
      </c>
      <c r="J588" t="s">
        <v>80</v>
      </c>
      <c r="K588" t="s">
        <v>73</v>
      </c>
      <c r="L588">
        <v>701000</v>
      </c>
      <c r="M588" t="s">
        <v>62</v>
      </c>
      <c r="N588" t="s">
        <v>33</v>
      </c>
      <c r="O588">
        <v>2824</v>
      </c>
      <c r="P588">
        <v>2.6</v>
      </c>
      <c r="Q588">
        <v>7.34</v>
      </c>
      <c r="R588" t="s">
        <v>1203</v>
      </c>
      <c r="S588" t="s">
        <v>195</v>
      </c>
    </row>
    <row r="589" spans="1:19" x14ac:dyDescent="0.3">
      <c r="A589" t="s">
        <v>832</v>
      </c>
      <c r="B589" t="s">
        <v>23</v>
      </c>
      <c r="C589">
        <v>2026</v>
      </c>
      <c r="D589">
        <v>1</v>
      </c>
      <c r="E589" s="2">
        <v>46044</v>
      </c>
      <c r="F589" t="s">
        <v>7</v>
      </c>
      <c r="G589" t="s">
        <v>8</v>
      </c>
      <c r="H589" t="s">
        <v>74</v>
      </c>
      <c r="I589" t="s">
        <v>79</v>
      </c>
      <c r="J589" t="s">
        <v>80</v>
      </c>
      <c r="K589" t="s">
        <v>73</v>
      </c>
      <c r="L589">
        <v>701000</v>
      </c>
      <c r="M589" t="s">
        <v>62</v>
      </c>
      <c r="N589" t="s">
        <v>33</v>
      </c>
      <c r="O589">
        <v>700</v>
      </c>
      <c r="P589">
        <v>2.6</v>
      </c>
      <c r="Q589">
        <v>1.82</v>
      </c>
      <c r="R589" t="s">
        <v>1204</v>
      </c>
      <c r="S589" t="s">
        <v>195</v>
      </c>
    </row>
    <row r="590" spans="1:19" x14ac:dyDescent="0.3">
      <c r="A590" t="s">
        <v>833</v>
      </c>
      <c r="B590" t="s">
        <v>23</v>
      </c>
      <c r="C590">
        <v>2026</v>
      </c>
      <c r="D590">
        <v>1</v>
      </c>
      <c r="E590" s="2">
        <v>46044</v>
      </c>
      <c r="F590" t="s">
        <v>7</v>
      </c>
      <c r="G590" t="s">
        <v>8</v>
      </c>
      <c r="H590" t="s">
        <v>74</v>
      </c>
      <c r="I590" t="s">
        <v>79</v>
      </c>
      <c r="J590" t="s">
        <v>80</v>
      </c>
      <c r="K590" t="s">
        <v>73</v>
      </c>
      <c r="L590">
        <v>701000</v>
      </c>
      <c r="M590" t="s">
        <v>62</v>
      </c>
      <c r="N590" t="s">
        <v>33</v>
      </c>
      <c r="O590">
        <v>2170</v>
      </c>
      <c r="P590">
        <v>2.6</v>
      </c>
      <c r="Q590">
        <v>5.64</v>
      </c>
      <c r="R590" t="s">
        <v>1205</v>
      </c>
      <c r="S590" t="s">
        <v>195</v>
      </c>
    </row>
    <row r="591" spans="1:19" x14ac:dyDescent="0.3">
      <c r="A591" t="s">
        <v>834</v>
      </c>
      <c r="B591" t="s">
        <v>23</v>
      </c>
      <c r="C591">
        <v>2026</v>
      </c>
      <c r="D591">
        <v>1</v>
      </c>
      <c r="E591" s="2">
        <v>46044</v>
      </c>
      <c r="F591" t="s">
        <v>7</v>
      </c>
      <c r="G591" t="s">
        <v>8</v>
      </c>
      <c r="H591" t="s">
        <v>74</v>
      </c>
      <c r="I591" t="s">
        <v>79</v>
      </c>
      <c r="J591" t="s">
        <v>80</v>
      </c>
      <c r="K591" t="s">
        <v>73</v>
      </c>
      <c r="L591">
        <v>701000</v>
      </c>
      <c r="M591" t="s">
        <v>62</v>
      </c>
      <c r="N591" t="s">
        <v>33</v>
      </c>
      <c r="O591">
        <v>999</v>
      </c>
      <c r="P591">
        <v>2.6</v>
      </c>
      <c r="Q591">
        <v>2.6</v>
      </c>
      <c r="R591" t="s">
        <v>1197</v>
      </c>
      <c r="S591" t="s">
        <v>195</v>
      </c>
    </row>
    <row r="592" spans="1:19" x14ac:dyDescent="0.3">
      <c r="A592" t="s">
        <v>845</v>
      </c>
      <c r="B592" t="s">
        <v>23</v>
      </c>
      <c r="C592">
        <v>2026</v>
      </c>
      <c r="D592">
        <v>1</v>
      </c>
      <c r="E592" s="2">
        <v>46044</v>
      </c>
      <c r="F592" t="s">
        <v>7</v>
      </c>
      <c r="G592" t="s">
        <v>8</v>
      </c>
      <c r="H592" t="s">
        <v>70</v>
      </c>
      <c r="I592" t="s">
        <v>79</v>
      </c>
      <c r="J592" t="s">
        <v>80</v>
      </c>
      <c r="K592" t="s">
        <v>73</v>
      </c>
      <c r="L592">
        <v>701000</v>
      </c>
      <c r="M592" t="s">
        <v>62</v>
      </c>
      <c r="N592" t="s">
        <v>33</v>
      </c>
      <c r="O592">
        <v>1253</v>
      </c>
      <c r="P592">
        <v>2.6</v>
      </c>
      <c r="Q592">
        <v>3.26</v>
      </c>
      <c r="R592" t="s">
        <v>1199</v>
      </c>
      <c r="S592" t="s">
        <v>195</v>
      </c>
    </row>
    <row r="593" spans="1:19" x14ac:dyDescent="0.3">
      <c r="A593" t="s">
        <v>846</v>
      </c>
      <c r="B593" t="s">
        <v>23</v>
      </c>
      <c r="C593">
        <v>2026</v>
      </c>
      <c r="D593">
        <v>1</v>
      </c>
      <c r="E593" s="2">
        <v>46044</v>
      </c>
      <c r="F593" t="s">
        <v>7</v>
      </c>
      <c r="G593" t="s">
        <v>8</v>
      </c>
      <c r="H593" t="s">
        <v>70</v>
      </c>
      <c r="I593" t="s">
        <v>79</v>
      </c>
      <c r="J593" t="s">
        <v>80</v>
      </c>
      <c r="K593" t="s">
        <v>73</v>
      </c>
      <c r="L593">
        <v>701000</v>
      </c>
      <c r="M593" t="s">
        <v>62</v>
      </c>
      <c r="N593" t="s">
        <v>33</v>
      </c>
      <c r="O593">
        <v>1296</v>
      </c>
      <c r="P593">
        <v>2.6</v>
      </c>
      <c r="Q593">
        <v>3.37</v>
      </c>
      <c r="R593" t="s">
        <v>1200</v>
      </c>
      <c r="S593" t="s">
        <v>195</v>
      </c>
    </row>
    <row r="594" spans="1:19" x14ac:dyDescent="0.3">
      <c r="A594" t="s">
        <v>847</v>
      </c>
      <c r="B594" t="s">
        <v>23</v>
      </c>
      <c r="C594">
        <v>2026</v>
      </c>
      <c r="D594">
        <v>1</v>
      </c>
      <c r="E594" s="2">
        <v>46044</v>
      </c>
      <c r="F594" t="s">
        <v>7</v>
      </c>
      <c r="G594" t="s">
        <v>8</v>
      </c>
      <c r="H594" t="s">
        <v>70</v>
      </c>
      <c r="I594" t="s">
        <v>79</v>
      </c>
      <c r="J594" t="s">
        <v>80</v>
      </c>
      <c r="K594" t="s">
        <v>73</v>
      </c>
      <c r="L594">
        <v>701000</v>
      </c>
      <c r="M594" t="s">
        <v>62</v>
      </c>
      <c r="N594" t="s">
        <v>33</v>
      </c>
      <c r="O594">
        <v>577</v>
      </c>
      <c r="P594">
        <v>2.6</v>
      </c>
      <c r="Q594">
        <v>1.5</v>
      </c>
      <c r="R594" t="s">
        <v>1205</v>
      </c>
      <c r="S594" t="s">
        <v>195</v>
      </c>
    </row>
    <row r="595" spans="1:19" x14ac:dyDescent="0.3">
      <c r="A595" t="s">
        <v>848</v>
      </c>
      <c r="B595" t="s">
        <v>23</v>
      </c>
      <c r="C595">
        <v>2026</v>
      </c>
      <c r="D595">
        <v>1</v>
      </c>
      <c r="E595" s="2">
        <v>46044</v>
      </c>
      <c r="F595" t="s">
        <v>7</v>
      </c>
      <c r="G595" t="s">
        <v>8</v>
      </c>
      <c r="H595" t="s">
        <v>70</v>
      </c>
      <c r="I595" t="s">
        <v>79</v>
      </c>
      <c r="J595" t="s">
        <v>80</v>
      </c>
      <c r="K595" t="s">
        <v>73</v>
      </c>
      <c r="L595">
        <v>701000</v>
      </c>
      <c r="M595" t="s">
        <v>62</v>
      </c>
      <c r="N595" t="s">
        <v>33</v>
      </c>
      <c r="O595">
        <v>2550</v>
      </c>
      <c r="P595">
        <v>2.6</v>
      </c>
      <c r="Q595">
        <v>6.63</v>
      </c>
      <c r="R595" t="s">
        <v>1202</v>
      </c>
      <c r="S595" t="s">
        <v>195</v>
      </c>
    </row>
    <row r="596" spans="1:19" x14ac:dyDescent="0.3">
      <c r="A596" t="s">
        <v>849</v>
      </c>
      <c r="B596" t="s">
        <v>23</v>
      </c>
      <c r="C596">
        <v>2026</v>
      </c>
      <c r="D596">
        <v>1</v>
      </c>
      <c r="E596" s="2">
        <v>46044</v>
      </c>
      <c r="F596" t="s">
        <v>7</v>
      </c>
      <c r="G596" t="s">
        <v>8</v>
      </c>
      <c r="H596" t="s">
        <v>70</v>
      </c>
      <c r="I596" t="s">
        <v>79</v>
      </c>
      <c r="J596" t="s">
        <v>80</v>
      </c>
      <c r="K596" t="s">
        <v>73</v>
      </c>
      <c r="L596">
        <v>701000</v>
      </c>
      <c r="M596" t="s">
        <v>62</v>
      </c>
      <c r="N596" t="s">
        <v>33</v>
      </c>
      <c r="O596">
        <v>2917</v>
      </c>
      <c r="P596">
        <v>2.6</v>
      </c>
      <c r="Q596">
        <v>7.58</v>
      </c>
      <c r="R596" t="s">
        <v>1201</v>
      </c>
      <c r="S596" t="s">
        <v>195</v>
      </c>
    </row>
    <row r="597" spans="1:19" x14ac:dyDescent="0.3">
      <c r="A597" t="s">
        <v>285</v>
      </c>
      <c r="B597" t="s">
        <v>23</v>
      </c>
      <c r="C597">
        <v>2026</v>
      </c>
      <c r="D597">
        <v>1</v>
      </c>
      <c r="E597" s="2">
        <v>46045</v>
      </c>
      <c r="F597" t="s">
        <v>7</v>
      </c>
      <c r="G597" t="s">
        <v>8</v>
      </c>
      <c r="H597" t="s">
        <v>74</v>
      </c>
      <c r="I597" t="s">
        <v>84</v>
      </c>
      <c r="J597" t="s">
        <v>85</v>
      </c>
      <c r="K597" t="s">
        <v>73</v>
      </c>
      <c r="L597">
        <v>701000</v>
      </c>
      <c r="M597" t="s">
        <v>62</v>
      </c>
      <c r="N597" t="s">
        <v>33</v>
      </c>
      <c r="O597">
        <v>8526</v>
      </c>
      <c r="P597">
        <v>0.95</v>
      </c>
      <c r="Q597">
        <v>8.1</v>
      </c>
      <c r="R597" t="s">
        <v>1197</v>
      </c>
      <c r="S597" t="s">
        <v>195</v>
      </c>
    </row>
    <row r="598" spans="1:19" x14ac:dyDescent="0.3">
      <c r="A598" t="s">
        <v>286</v>
      </c>
      <c r="B598" t="s">
        <v>23</v>
      </c>
      <c r="C598">
        <v>2026</v>
      </c>
      <c r="D598">
        <v>1</v>
      </c>
      <c r="E598" s="2">
        <v>46045</v>
      </c>
      <c r="F598" t="s">
        <v>7</v>
      </c>
      <c r="G598" t="s">
        <v>8</v>
      </c>
      <c r="H598" t="s">
        <v>74</v>
      </c>
      <c r="I598" t="s">
        <v>84</v>
      </c>
      <c r="J598" t="s">
        <v>85</v>
      </c>
      <c r="K598" t="s">
        <v>73</v>
      </c>
      <c r="L598">
        <v>701000</v>
      </c>
      <c r="M598" t="s">
        <v>62</v>
      </c>
      <c r="N598" t="s">
        <v>33</v>
      </c>
      <c r="O598">
        <v>3611</v>
      </c>
      <c r="P598">
        <v>0.95</v>
      </c>
      <c r="Q598">
        <v>3.43</v>
      </c>
      <c r="R598" t="s">
        <v>1200</v>
      </c>
      <c r="S598" t="s">
        <v>195</v>
      </c>
    </row>
    <row r="599" spans="1:19" x14ac:dyDescent="0.3">
      <c r="A599" t="s">
        <v>287</v>
      </c>
      <c r="B599" t="s">
        <v>23</v>
      </c>
      <c r="C599">
        <v>2026</v>
      </c>
      <c r="D599">
        <v>1</v>
      </c>
      <c r="E599" s="2">
        <v>46045</v>
      </c>
      <c r="F599" t="s">
        <v>7</v>
      </c>
      <c r="G599" t="s">
        <v>8</v>
      </c>
      <c r="H599" t="s">
        <v>74</v>
      </c>
      <c r="I599" t="s">
        <v>84</v>
      </c>
      <c r="J599" t="s">
        <v>85</v>
      </c>
      <c r="K599" t="s">
        <v>73</v>
      </c>
      <c r="L599">
        <v>701000</v>
      </c>
      <c r="M599" t="s">
        <v>62</v>
      </c>
      <c r="N599" t="s">
        <v>33</v>
      </c>
      <c r="O599">
        <v>807</v>
      </c>
      <c r="P599">
        <v>0.95</v>
      </c>
      <c r="Q599">
        <v>0.77</v>
      </c>
      <c r="R599" t="s">
        <v>1202</v>
      </c>
      <c r="S599" t="s">
        <v>195</v>
      </c>
    </row>
    <row r="600" spans="1:19" x14ac:dyDescent="0.3">
      <c r="A600" t="s">
        <v>288</v>
      </c>
      <c r="B600" t="s">
        <v>23</v>
      </c>
      <c r="C600">
        <v>2026</v>
      </c>
      <c r="D600">
        <v>1</v>
      </c>
      <c r="E600" s="2">
        <v>46045</v>
      </c>
      <c r="F600" t="s">
        <v>7</v>
      </c>
      <c r="G600" t="s">
        <v>8</v>
      </c>
      <c r="H600" t="s">
        <v>74</v>
      </c>
      <c r="I600" t="s">
        <v>84</v>
      </c>
      <c r="J600" t="s">
        <v>85</v>
      </c>
      <c r="K600" t="s">
        <v>73</v>
      </c>
      <c r="L600">
        <v>701000</v>
      </c>
      <c r="M600" t="s">
        <v>62</v>
      </c>
      <c r="N600" t="s">
        <v>33</v>
      </c>
      <c r="O600">
        <v>721</v>
      </c>
      <c r="P600">
        <v>0.96</v>
      </c>
      <c r="Q600">
        <v>0.69</v>
      </c>
      <c r="R600" t="s">
        <v>1198</v>
      </c>
      <c r="S600" t="s">
        <v>195</v>
      </c>
    </row>
    <row r="601" spans="1:19" x14ac:dyDescent="0.3">
      <c r="A601" t="s">
        <v>289</v>
      </c>
      <c r="B601" t="s">
        <v>23</v>
      </c>
      <c r="C601">
        <v>2026</v>
      </c>
      <c r="D601">
        <v>1</v>
      </c>
      <c r="E601" s="2">
        <v>46045</v>
      </c>
      <c r="F601" t="s">
        <v>7</v>
      </c>
      <c r="G601" t="s">
        <v>8</v>
      </c>
      <c r="H601" t="s">
        <v>74</v>
      </c>
      <c r="I601" t="s">
        <v>84</v>
      </c>
      <c r="J601" t="s">
        <v>85</v>
      </c>
      <c r="K601" t="s">
        <v>73</v>
      </c>
      <c r="L601">
        <v>701000</v>
      </c>
      <c r="M601" t="s">
        <v>62</v>
      </c>
      <c r="N601" t="s">
        <v>33</v>
      </c>
      <c r="O601">
        <v>2233</v>
      </c>
      <c r="P601">
        <v>0.94</v>
      </c>
      <c r="Q601">
        <v>2.11</v>
      </c>
      <c r="R601" t="s">
        <v>1205</v>
      </c>
      <c r="S601" t="s">
        <v>195</v>
      </c>
    </row>
    <row r="602" spans="1:19" x14ac:dyDescent="0.3">
      <c r="A602" t="s">
        <v>415</v>
      </c>
      <c r="B602" t="s">
        <v>23</v>
      </c>
      <c r="C602">
        <v>2026</v>
      </c>
      <c r="D602">
        <v>1</v>
      </c>
      <c r="E602" s="2">
        <v>46045</v>
      </c>
      <c r="F602" t="s">
        <v>7</v>
      </c>
      <c r="G602" t="s">
        <v>8</v>
      </c>
      <c r="H602" t="s">
        <v>74</v>
      </c>
      <c r="I602" t="s">
        <v>71</v>
      </c>
      <c r="J602" t="s">
        <v>72</v>
      </c>
      <c r="K602" t="s">
        <v>73</v>
      </c>
      <c r="L602">
        <v>701000</v>
      </c>
      <c r="M602" t="s">
        <v>62</v>
      </c>
      <c r="N602" t="s">
        <v>33</v>
      </c>
      <c r="O602">
        <v>3629</v>
      </c>
      <c r="P602">
        <v>1.05</v>
      </c>
      <c r="Q602">
        <v>3.81</v>
      </c>
      <c r="R602" t="s">
        <v>1200</v>
      </c>
      <c r="S602" t="s">
        <v>195</v>
      </c>
    </row>
    <row r="603" spans="1:19" x14ac:dyDescent="0.3">
      <c r="A603" t="s">
        <v>416</v>
      </c>
      <c r="B603" t="s">
        <v>23</v>
      </c>
      <c r="C603">
        <v>2026</v>
      </c>
      <c r="D603">
        <v>1</v>
      </c>
      <c r="E603" s="2">
        <v>46045</v>
      </c>
      <c r="F603" t="s">
        <v>7</v>
      </c>
      <c r="G603" t="s">
        <v>8</v>
      </c>
      <c r="H603" t="s">
        <v>74</v>
      </c>
      <c r="I603" t="s">
        <v>71</v>
      </c>
      <c r="J603" t="s">
        <v>72</v>
      </c>
      <c r="K603" t="s">
        <v>73</v>
      </c>
      <c r="L603">
        <v>701000</v>
      </c>
      <c r="M603" t="s">
        <v>62</v>
      </c>
      <c r="N603" t="s">
        <v>33</v>
      </c>
      <c r="O603">
        <v>1218</v>
      </c>
      <c r="P603">
        <v>1.05</v>
      </c>
      <c r="Q603">
        <v>1.28</v>
      </c>
      <c r="R603" t="s">
        <v>1198</v>
      </c>
      <c r="S603" t="s">
        <v>195</v>
      </c>
    </row>
    <row r="604" spans="1:19" x14ac:dyDescent="0.3">
      <c r="A604" t="s">
        <v>417</v>
      </c>
      <c r="B604" t="s">
        <v>23</v>
      </c>
      <c r="C604">
        <v>2026</v>
      </c>
      <c r="D604">
        <v>1</v>
      </c>
      <c r="E604" s="2">
        <v>46045</v>
      </c>
      <c r="F604" t="s">
        <v>7</v>
      </c>
      <c r="G604" t="s">
        <v>8</v>
      </c>
      <c r="H604" t="s">
        <v>74</v>
      </c>
      <c r="I604" t="s">
        <v>71</v>
      </c>
      <c r="J604" t="s">
        <v>72</v>
      </c>
      <c r="K604" t="s">
        <v>73</v>
      </c>
      <c r="L604">
        <v>701000</v>
      </c>
      <c r="M604" t="s">
        <v>62</v>
      </c>
      <c r="N604" t="s">
        <v>33</v>
      </c>
      <c r="O604">
        <v>1393</v>
      </c>
      <c r="P604">
        <v>1.05</v>
      </c>
      <c r="Q604">
        <v>1.46</v>
      </c>
      <c r="R604" t="s">
        <v>1203</v>
      </c>
      <c r="S604" t="s">
        <v>195</v>
      </c>
    </row>
    <row r="605" spans="1:19" x14ac:dyDescent="0.3">
      <c r="A605" t="s">
        <v>418</v>
      </c>
      <c r="B605" t="s">
        <v>23</v>
      </c>
      <c r="C605">
        <v>2026</v>
      </c>
      <c r="D605">
        <v>1</v>
      </c>
      <c r="E605" s="2">
        <v>46045</v>
      </c>
      <c r="F605" t="s">
        <v>7</v>
      </c>
      <c r="G605" t="s">
        <v>8</v>
      </c>
      <c r="H605" t="s">
        <v>74</v>
      </c>
      <c r="I605" t="s">
        <v>71</v>
      </c>
      <c r="J605" t="s">
        <v>72</v>
      </c>
      <c r="K605" t="s">
        <v>73</v>
      </c>
      <c r="L605">
        <v>701000</v>
      </c>
      <c r="M605" t="s">
        <v>62</v>
      </c>
      <c r="N605" t="s">
        <v>33</v>
      </c>
      <c r="O605">
        <v>639</v>
      </c>
      <c r="P605">
        <v>1.05</v>
      </c>
      <c r="Q605">
        <v>0.67</v>
      </c>
      <c r="R605" t="s">
        <v>1204</v>
      </c>
      <c r="S605" t="s">
        <v>195</v>
      </c>
    </row>
    <row r="606" spans="1:19" x14ac:dyDescent="0.3">
      <c r="A606" t="s">
        <v>419</v>
      </c>
      <c r="B606" t="s">
        <v>23</v>
      </c>
      <c r="C606">
        <v>2026</v>
      </c>
      <c r="D606">
        <v>1</v>
      </c>
      <c r="E606" s="2">
        <v>46045</v>
      </c>
      <c r="F606" t="s">
        <v>7</v>
      </c>
      <c r="G606" t="s">
        <v>8</v>
      </c>
      <c r="H606" t="s">
        <v>74</v>
      </c>
      <c r="I606" t="s">
        <v>71</v>
      </c>
      <c r="J606" t="s">
        <v>72</v>
      </c>
      <c r="K606" t="s">
        <v>73</v>
      </c>
      <c r="L606">
        <v>701000</v>
      </c>
      <c r="M606" t="s">
        <v>62</v>
      </c>
      <c r="N606" t="s">
        <v>33</v>
      </c>
      <c r="O606">
        <v>803</v>
      </c>
      <c r="P606">
        <v>1.06</v>
      </c>
      <c r="Q606">
        <v>0.85</v>
      </c>
      <c r="R606" t="s">
        <v>1205</v>
      </c>
      <c r="S606" t="s">
        <v>195</v>
      </c>
    </row>
    <row r="607" spans="1:19" x14ac:dyDescent="0.3">
      <c r="A607" t="s">
        <v>430</v>
      </c>
      <c r="B607" t="s">
        <v>23</v>
      </c>
      <c r="C607">
        <v>2026</v>
      </c>
      <c r="D607">
        <v>1</v>
      </c>
      <c r="E607" s="2">
        <v>46045</v>
      </c>
      <c r="F607" t="s">
        <v>7</v>
      </c>
      <c r="G607" t="s">
        <v>8</v>
      </c>
      <c r="H607" t="s">
        <v>74</v>
      </c>
      <c r="I607" t="s">
        <v>71</v>
      </c>
      <c r="J607" t="s">
        <v>72</v>
      </c>
      <c r="K607" t="s">
        <v>73</v>
      </c>
      <c r="L607">
        <v>701000</v>
      </c>
      <c r="M607" t="s">
        <v>62</v>
      </c>
      <c r="N607" t="s">
        <v>33</v>
      </c>
      <c r="O607">
        <v>1071</v>
      </c>
      <c r="P607">
        <v>1.05</v>
      </c>
      <c r="Q607">
        <v>1.1200000000000001</v>
      </c>
      <c r="R607" t="s">
        <v>1199</v>
      </c>
      <c r="S607" t="s">
        <v>195</v>
      </c>
    </row>
    <row r="608" spans="1:19" x14ac:dyDescent="0.3">
      <c r="A608" t="s">
        <v>431</v>
      </c>
      <c r="B608" t="s">
        <v>23</v>
      </c>
      <c r="C608">
        <v>2026</v>
      </c>
      <c r="D608">
        <v>1</v>
      </c>
      <c r="E608" s="2">
        <v>46045</v>
      </c>
      <c r="F608" t="s">
        <v>7</v>
      </c>
      <c r="G608" t="s">
        <v>8</v>
      </c>
      <c r="H608" t="s">
        <v>74</v>
      </c>
      <c r="I608" t="s">
        <v>71</v>
      </c>
      <c r="J608" t="s">
        <v>72</v>
      </c>
      <c r="K608" t="s">
        <v>73</v>
      </c>
      <c r="L608">
        <v>701000</v>
      </c>
      <c r="M608" t="s">
        <v>62</v>
      </c>
      <c r="N608" t="s">
        <v>33</v>
      </c>
      <c r="O608">
        <v>1991</v>
      </c>
      <c r="P608">
        <v>1.05</v>
      </c>
      <c r="Q608">
        <v>2.09</v>
      </c>
      <c r="R608" t="s">
        <v>1205</v>
      </c>
      <c r="S608" t="s">
        <v>195</v>
      </c>
    </row>
    <row r="609" spans="1:19" x14ac:dyDescent="0.3">
      <c r="A609" t="s">
        <v>432</v>
      </c>
      <c r="B609" t="s">
        <v>23</v>
      </c>
      <c r="C609">
        <v>2026</v>
      </c>
      <c r="D609">
        <v>1</v>
      </c>
      <c r="E609" s="2">
        <v>46045</v>
      </c>
      <c r="F609" t="s">
        <v>7</v>
      </c>
      <c r="G609" t="s">
        <v>8</v>
      </c>
      <c r="H609" t="s">
        <v>74</v>
      </c>
      <c r="I609" t="s">
        <v>71</v>
      </c>
      <c r="J609" t="s">
        <v>72</v>
      </c>
      <c r="K609" t="s">
        <v>73</v>
      </c>
      <c r="L609">
        <v>701000</v>
      </c>
      <c r="M609" t="s">
        <v>62</v>
      </c>
      <c r="N609" t="s">
        <v>33</v>
      </c>
      <c r="O609">
        <v>1557</v>
      </c>
      <c r="P609">
        <v>1.05</v>
      </c>
      <c r="Q609">
        <v>1.64</v>
      </c>
      <c r="R609" t="s">
        <v>1204</v>
      </c>
      <c r="S609" t="s">
        <v>195</v>
      </c>
    </row>
    <row r="610" spans="1:19" x14ac:dyDescent="0.3">
      <c r="A610" t="s">
        <v>433</v>
      </c>
      <c r="B610" t="s">
        <v>23</v>
      </c>
      <c r="C610">
        <v>2026</v>
      </c>
      <c r="D610">
        <v>1</v>
      </c>
      <c r="E610" s="2">
        <v>46045</v>
      </c>
      <c r="F610" t="s">
        <v>7</v>
      </c>
      <c r="G610" t="s">
        <v>8</v>
      </c>
      <c r="H610" t="s">
        <v>74</v>
      </c>
      <c r="I610" t="s">
        <v>71</v>
      </c>
      <c r="J610" t="s">
        <v>72</v>
      </c>
      <c r="K610" t="s">
        <v>73</v>
      </c>
      <c r="L610">
        <v>701000</v>
      </c>
      <c r="M610" t="s">
        <v>62</v>
      </c>
      <c r="N610" t="s">
        <v>33</v>
      </c>
      <c r="O610">
        <v>2866</v>
      </c>
      <c r="P610">
        <v>1.05</v>
      </c>
      <c r="Q610">
        <v>3.01</v>
      </c>
      <c r="R610" t="s">
        <v>1203</v>
      </c>
      <c r="S610" t="s">
        <v>195</v>
      </c>
    </row>
    <row r="611" spans="1:19" x14ac:dyDescent="0.3">
      <c r="A611" t="s">
        <v>434</v>
      </c>
      <c r="B611" t="s">
        <v>23</v>
      </c>
      <c r="C611">
        <v>2026</v>
      </c>
      <c r="D611">
        <v>1</v>
      </c>
      <c r="E611" s="2">
        <v>46045</v>
      </c>
      <c r="F611" t="s">
        <v>7</v>
      </c>
      <c r="G611" t="s">
        <v>8</v>
      </c>
      <c r="H611" t="s">
        <v>74</v>
      </c>
      <c r="I611" t="s">
        <v>71</v>
      </c>
      <c r="J611" t="s">
        <v>72</v>
      </c>
      <c r="K611" t="s">
        <v>73</v>
      </c>
      <c r="L611">
        <v>701000</v>
      </c>
      <c r="M611" t="s">
        <v>62</v>
      </c>
      <c r="N611" t="s">
        <v>33</v>
      </c>
      <c r="O611">
        <v>1846</v>
      </c>
      <c r="P611">
        <v>1.05</v>
      </c>
      <c r="Q611">
        <v>1.94</v>
      </c>
      <c r="R611" t="s">
        <v>1202</v>
      </c>
      <c r="S611" t="s">
        <v>195</v>
      </c>
    </row>
    <row r="612" spans="1:19" x14ac:dyDescent="0.3">
      <c r="A612" t="s">
        <v>510</v>
      </c>
      <c r="B612" t="s">
        <v>23</v>
      </c>
      <c r="C612">
        <v>2026</v>
      </c>
      <c r="D612">
        <v>1</v>
      </c>
      <c r="E612" s="2">
        <v>46045</v>
      </c>
      <c r="F612" t="s">
        <v>7</v>
      </c>
      <c r="G612" t="s">
        <v>8</v>
      </c>
      <c r="H612" t="s">
        <v>70</v>
      </c>
      <c r="I612" t="s">
        <v>71</v>
      </c>
      <c r="J612" t="s">
        <v>72</v>
      </c>
      <c r="K612" t="s">
        <v>73</v>
      </c>
      <c r="L612">
        <v>701000</v>
      </c>
      <c r="M612" t="s">
        <v>62</v>
      </c>
      <c r="N612" t="s">
        <v>33</v>
      </c>
      <c r="O612">
        <v>2266</v>
      </c>
      <c r="P612">
        <v>1.05</v>
      </c>
      <c r="Q612">
        <v>2.38</v>
      </c>
      <c r="R612" t="s">
        <v>1205</v>
      </c>
      <c r="S612" t="s">
        <v>195</v>
      </c>
    </row>
    <row r="613" spans="1:19" x14ac:dyDescent="0.3">
      <c r="A613" t="s">
        <v>511</v>
      </c>
      <c r="B613" t="s">
        <v>23</v>
      </c>
      <c r="C613">
        <v>2026</v>
      </c>
      <c r="D613">
        <v>1</v>
      </c>
      <c r="E613" s="2">
        <v>46045</v>
      </c>
      <c r="F613" t="s">
        <v>7</v>
      </c>
      <c r="G613" t="s">
        <v>8</v>
      </c>
      <c r="H613" t="s">
        <v>70</v>
      </c>
      <c r="I613" t="s">
        <v>71</v>
      </c>
      <c r="J613" t="s">
        <v>72</v>
      </c>
      <c r="K613" t="s">
        <v>73</v>
      </c>
      <c r="L613">
        <v>701000</v>
      </c>
      <c r="M613" t="s">
        <v>62</v>
      </c>
      <c r="N613" t="s">
        <v>33</v>
      </c>
      <c r="O613">
        <v>2184</v>
      </c>
      <c r="P613">
        <v>1.05</v>
      </c>
      <c r="Q613">
        <v>2.29</v>
      </c>
      <c r="R613" t="s">
        <v>1198</v>
      </c>
      <c r="S613" t="s">
        <v>195</v>
      </c>
    </row>
    <row r="614" spans="1:19" x14ac:dyDescent="0.3">
      <c r="A614" t="s">
        <v>512</v>
      </c>
      <c r="B614" t="s">
        <v>23</v>
      </c>
      <c r="C614">
        <v>2026</v>
      </c>
      <c r="D614">
        <v>1</v>
      </c>
      <c r="E614" s="2">
        <v>46045</v>
      </c>
      <c r="F614" t="s">
        <v>7</v>
      </c>
      <c r="G614" t="s">
        <v>8</v>
      </c>
      <c r="H614" t="s">
        <v>70</v>
      </c>
      <c r="I614" t="s">
        <v>71</v>
      </c>
      <c r="J614" t="s">
        <v>72</v>
      </c>
      <c r="K614" t="s">
        <v>73</v>
      </c>
      <c r="L614">
        <v>701000</v>
      </c>
      <c r="M614" t="s">
        <v>62</v>
      </c>
      <c r="N614" t="s">
        <v>33</v>
      </c>
      <c r="O614">
        <v>1772</v>
      </c>
      <c r="P614">
        <v>1.05</v>
      </c>
      <c r="Q614">
        <v>1.86</v>
      </c>
      <c r="R614" t="s">
        <v>1202</v>
      </c>
      <c r="S614" t="s">
        <v>195</v>
      </c>
    </row>
    <row r="615" spans="1:19" x14ac:dyDescent="0.3">
      <c r="A615" t="s">
        <v>513</v>
      </c>
      <c r="B615" t="s">
        <v>23</v>
      </c>
      <c r="C615">
        <v>2026</v>
      </c>
      <c r="D615">
        <v>1</v>
      </c>
      <c r="E615" s="2">
        <v>46045</v>
      </c>
      <c r="F615" t="s">
        <v>7</v>
      </c>
      <c r="G615" t="s">
        <v>8</v>
      </c>
      <c r="H615" t="s">
        <v>70</v>
      </c>
      <c r="I615" t="s">
        <v>71</v>
      </c>
      <c r="J615" t="s">
        <v>72</v>
      </c>
      <c r="K615" t="s">
        <v>73</v>
      </c>
      <c r="L615">
        <v>701000</v>
      </c>
      <c r="M615" t="s">
        <v>62</v>
      </c>
      <c r="N615" t="s">
        <v>33</v>
      </c>
      <c r="O615">
        <v>579</v>
      </c>
      <c r="P615">
        <v>1.05</v>
      </c>
      <c r="Q615">
        <v>0.61</v>
      </c>
      <c r="R615" t="s">
        <v>1201</v>
      </c>
      <c r="S615" t="s">
        <v>195</v>
      </c>
    </row>
    <row r="616" spans="1:19" x14ac:dyDescent="0.3">
      <c r="A616" t="s">
        <v>514</v>
      </c>
      <c r="B616" t="s">
        <v>23</v>
      </c>
      <c r="C616">
        <v>2026</v>
      </c>
      <c r="D616">
        <v>1</v>
      </c>
      <c r="E616" s="2">
        <v>46045</v>
      </c>
      <c r="F616" t="s">
        <v>7</v>
      </c>
      <c r="G616" t="s">
        <v>8</v>
      </c>
      <c r="H616" t="s">
        <v>70</v>
      </c>
      <c r="I616" t="s">
        <v>71</v>
      </c>
      <c r="J616" t="s">
        <v>72</v>
      </c>
      <c r="K616" t="s">
        <v>73</v>
      </c>
      <c r="L616">
        <v>701000</v>
      </c>
      <c r="M616" t="s">
        <v>62</v>
      </c>
      <c r="N616" t="s">
        <v>33</v>
      </c>
      <c r="O616">
        <v>840</v>
      </c>
      <c r="P616">
        <v>1.05</v>
      </c>
      <c r="Q616">
        <v>0.88</v>
      </c>
      <c r="R616" t="s">
        <v>1197</v>
      </c>
      <c r="S616" t="s">
        <v>195</v>
      </c>
    </row>
    <row r="617" spans="1:19" x14ac:dyDescent="0.3">
      <c r="A617" t="s">
        <v>760</v>
      </c>
      <c r="B617" t="s">
        <v>23</v>
      </c>
      <c r="C617">
        <v>2026</v>
      </c>
      <c r="D617">
        <v>1</v>
      </c>
      <c r="E617" s="2">
        <v>46045</v>
      </c>
      <c r="F617" t="s">
        <v>7</v>
      </c>
      <c r="G617" t="s">
        <v>8</v>
      </c>
      <c r="H617" t="s">
        <v>74</v>
      </c>
      <c r="I617" t="s">
        <v>77</v>
      </c>
      <c r="J617" t="s">
        <v>78</v>
      </c>
      <c r="K617" t="s">
        <v>73</v>
      </c>
      <c r="L617">
        <v>701000</v>
      </c>
      <c r="M617" t="s">
        <v>62</v>
      </c>
      <c r="N617" t="s">
        <v>33</v>
      </c>
      <c r="O617">
        <v>2814</v>
      </c>
      <c r="P617">
        <v>1.8</v>
      </c>
      <c r="Q617">
        <v>5.0599999999999996</v>
      </c>
      <c r="R617" t="s">
        <v>1198</v>
      </c>
      <c r="S617" t="s">
        <v>195</v>
      </c>
    </row>
    <row r="618" spans="1:19" x14ac:dyDescent="0.3">
      <c r="A618" t="s">
        <v>761</v>
      </c>
      <c r="B618" t="s">
        <v>23</v>
      </c>
      <c r="C618">
        <v>2026</v>
      </c>
      <c r="D618">
        <v>1</v>
      </c>
      <c r="E618" s="2">
        <v>46045</v>
      </c>
      <c r="F618" t="s">
        <v>7</v>
      </c>
      <c r="G618" t="s">
        <v>8</v>
      </c>
      <c r="H618" t="s">
        <v>74</v>
      </c>
      <c r="I618" t="s">
        <v>77</v>
      </c>
      <c r="J618" t="s">
        <v>78</v>
      </c>
      <c r="K618" t="s">
        <v>73</v>
      </c>
      <c r="L618">
        <v>701000</v>
      </c>
      <c r="M618" t="s">
        <v>62</v>
      </c>
      <c r="N618" t="s">
        <v>33</v>
      </c>
      <c r="O618">
        <v>639</v>
      </c>
      <c r="P618">
        <v>1.8</v>
      </c>
      <c r="Q618">
        <v>1.1499999999999999</v>
      </c>
      <c r="R618" t="s">
        <v>1204</v>
      </c>
      <c r="S618" t="s">
        <v>195</v>
      </c>
    </row>
    <row r="619" spans="1:19" x14ac:dyDescent="0.3">
      <c r="A619" t="s">
        <v>762</v>
      </c>
      <c r="B619" t="s">
        <v>23</v>
      </c>
      <c r="C619">
        <v>2026</v>
      </c>
      <c r="D619">
        <v>1</v>
      </c>
      <c r="E619" s="2">
        <v>46045</v>
      </c>
      <c r="F619" t="s">
        <v>7</v>
      </c>
      <c r="G619" t="s">
        <v>8</v>
      </c>
      <c r="H619" t="s">
        <v>74</v>
      </c>
      <c r="I619" t="s">
        <v>77</v>
      </c>
      <c r="J619" t="s">
        <v>78</v>
      </c>
      <c r="K619" t="s">
        <v>73</v>
      </c>
      <c r="L619">
        <v>701000</v>
      </c>
      <c r="M619" t="s">
        <v>62</v>
      </c>
      <c r="N619" t="s">
        <v>33</v>
      </c>
      <c r="O619">
        <v>2086</v>
      </c>
      <c r="P619">
        <v>1.8</v>
      </c>
      <c r="Q619">
        <v>3.75</v>
      </c>
      <c r="R619" t="s">
        <v>1197</v>
      </c>
      <c r="S619" t="s">
        <v>195</v>
      </c>
    </row>
    <row r="620" spans="1:19" x14ac:dyDescent="0.3">
      <c r="A620" t="s">
        <v>763</v>
      </c>
      <c r="B620" t="s">
        <v>23</v>
      </c>
      <c r="C620">
        <v>2026</v>
      </c>
      <c r="D620">
        <v>1</v>
      </c>
      <c r="E620" s="2">
        <v>46045</v>
      </c>
      <c r="F620" t="s">
        <v>7</v>
      </c>
      <c r="G620" t="s">
        <v>8</v>
      </c>
      <c r="H620" t="s">
        <v>74</v>
      </c>
      <c r="I620" t="s">
        <v>77</v>
      </c>
      <c r="J620" t="s">
        <v>78</v>
      </c>
      <c r="K620" t="s">
        <v>73</v>
      </c>
      <c r="L620">
        <v>701000</v>
      </c>
      <c r="M620" t="s">
        <v>62</v>
      </c>
      <c r="N620" t="s">
        <v>33</v>
      </c>
      <c r="O620">
        <v>419</v>
      </c>
      <c r="P620">
        <v>1.79</v>
      </c>
      <c r="Q620">
        <v>0.75</v>
      </c>
      <c r="R620" t="s">
        <v>1201</v>
      </c>
      <c r="S620" t="s">
        <v>195</v>
      </c>
    </row>
    <row r="621" spans="1:19" x14ac:dyDescent="0.3">
      <c r="A621" t="s">
        <v>764</v>
      </c>
      <c r="B621" t="s">
        <v>23</v>
      </c>
      <c r="C621">
        <v>2026</v>
      </c>
      <c r="D621">
        <v>1</v>
      </c>
      <c r="E621" s="2">
        <v>46045</v>
      </c>
      <c r="F621" t="s">
        <v>7</v>
      </c>
      <c r="G621" t="s">
        <v>8</v>
      </c>
      <c r="H621" t="s">
        <v>74</v>
      </c>
      <c r="I621" t="s">
        <v>77</v>
      </c>
      <c r="J621" t="s">
        <v>78</v>
      </c>
      <c r="K621" t="s">
        <v>73</v>
      </c>
      <c r="L621">
        <v>701000</v>
      </c>
      <c r="M621" t="s">
        <v>62</v>
      </c>
      <c r="N621" t="s">
        <v>33</v>
      </c>
      <c r="O621">
        <v>2710</v>
      </c>
      <c r="P621">
        <v>1.8</v>
      </c>
      <c r="Q621">
        <v>4.8899999999999997</v>
      </c>
      <c r="R621" t="s">
        <v>1205</v>
      </c>
      <c r="S621" t="s">
        <v>195</v>
      </c>
    </row>
    <row r="622" spans="1:19" x14ac:dyDescent="0.3">
      <c r="A622" t="s">
        <v>920</v>
      </c>
      <c r="B622" t="s">
        <v>23</v>
      </c>
      <c r="C622">
        <v>2026</v>
      </c>
      <c r="D622">
        <v>1</v>
      </c>
      <c r="E622" s="2">
        <v>46045</v>
      </c>
      <c r="F622" t="s">
        <v>7</v>
      </c>
      <c r="G622" t="s">
        <v>8</v>
      </c>
      <c r="H622" t="s">
        <v>74</v>
      </c>
      <c r="I622" t="s">
        <v>82</v>
      </c>
      <c r="J622" t="s">
        <v>83</v>
      </c>
      <c r="K622" t="s">
        <v>73</v>
      </c>
      <c r="L622">
        <v>701000</v>
      </c>
      <c r="M622" t="s">
        <v>62</v>
      </c>
      <c r="N622" t="s">
        <v>33</v>
      </c>
      <c r="O622">
        <v>150</v>
      </c>
      <c r="P622">
        <v>18.53</v>
      </c>
      <c r="Q622">
        <v>2.78</v>
      </c>
      <c r="R622" t="s">
        <v>1204</v>
      </c>
      <c r="S622" t="s">
        <v>195</v>
      </c>
    </row>
    <row r="623" spans="1:19" x14ac:dyDescent="0.3">
      <c r="A623" t="s">
        <v>921</v>
      </c>
      <c r="B623" t="s">
        <v>23</v>
      </c>
      <c r="C623">
        <v>2026</v>
      </c>
      <c r="D623">
        <v>1</v>
      </c>
      <c r="E623" s="2">
        <v>46045</v>
      </c>
      <c r="F623" t="s">
        <v>7</v>
      </c>
      <c r="G623" t="s">
        <v>8</v>
      </c>
      <c r="H623" t="s">
        <v>74</v>
      </c>
      <c r="I623" t="s">
        <v>82</v>
      </c>
      <c r="J623" t="s">
        <v>83</v>
      </c>
      <c r="K623" t="s">
        <v>73</v>
      </c>
      <c r="L623">
        <v>701000</v>
      </c>
      <c r="M623" t="s">
        <v>62</v>
      </c>
      <c r="N623" t="s">
        <v>33</v>
      </c>
      <c r="O623">
        <v>55</v>
      </c>
      <c r="P623">
        <v>18.55</v>
      </c>
      <c r="Q623">
        <v>1.02</v>
      </c>
      <c r="R623" t="s">
        <v>1198</v>
      </c>
      <c r="S623" t="s">
        <v>195</v>
      </c>
    </row>
    <row r="624" spans="1:19" x14ac:dyDescent="0.3">
      <c r="A624" t="s">
        <v>922</v>
      </c>
      <c r="B624" t="s">
        <v>23</v>
      </c>
      <c r="C624">
        <v>2026</v>
      </c>
      <c r="D624">
        <v>1</v>
      </c>
      <c r="E624" s="2">
        <v>46045</v>
      </c>
      <c r="F624" t="s">
        <v>7</v>
      </c>
      <c r="G624" t="s">
        <v>8</v>
      </c>
      <c r="H624" t="s">
        <v>74</v>
      </c>
      <c r="I624" t="s">
        <v>82</v>
      </c>
      <c r="J624" t="s">
        <v>83</v>
      </c>
      <c r="K624" t="s">
        <v>73</v>
      </c>
      <c r="L624">
        <v>701000</v>
      </c>
      <c r="M624" t="s">
        <v>62</v>
      </c>
      <c r="N624" t="s">
        <v>33</v>
      </c>
      <c r="O624">
        <v>139</v>
      </c>
      <c r="P624">
        <v>18.489999999999998</v>
      </c>
      <c r="Q624">
        <v>2.57</v>
      </c>
      <c r="R624" t="s">
        <v>1200</v>
      </c>
      <c r="S624" t="s">
        <v>195</v>
      </c>
    </row>
    <row r="625" spans="1:19" x14ac:dyDescent="0.3">
      <c r="A625" t="s">
        <v>923</v>
      </c>
      <c r="B625" t="s">
        <v>23</v>
      </c>
      <c r="C625">
        <v>2026</v>
      </c>
      <c r="D625">
        <v>1</v>
      </c>
      <c r="E625" s="2">
        <v>46045</v>
      </c>
      <c r="F625" t="s">
        <v>7</v>
      </c>
      <c r="G625" t="s">
        <v>8</v>
      </c>
      <c r="H625" t="s">
        <v>74</v>
      </c>
      <c r="I625" t="s">
        <v>82</v>
      </c>
      <c r="J625" t="s">
        <v>83</v>
      </c>
      <c r="K625" t="s">
        <v>73</v>
      </c>
      <c r="L625">
        <v>701000</v>
      </c>
      <c r="M625" t="s">
        <v>62</v>
      </c>
      <c r="N625" t="s">
        <v>33</v>
      </c>
      <c r="O625">
        <v>292</v>
      </c>
      <c r="P625">
        <v>18.53</v>
      </c>
      <c r="Q625">
        <v>5.41</v>
      </c>
      <c r="R625" t="s">
        <v>1201</v>
      </c>
      <c r="S625" t="s">
        <v>195</v>
      </c>
    </row>
    <row r="626" spans="1:19" x14ac:dyDescent="0.3">
      <c r="A626" t="s">
        <v>924</v>
      </c>
      <c r="B626" t="s">
        <v>23</v>
      </c>
      <c r="C626">
        <v>2026</v>
      </c>
      <c r="D626">
        <v>1</v>
      </c>
      <c r="E626" s="2">
        <v>46045</v>
      </c>
      <c r="F626" t="s">
        <v>7</v>
      </c>
      <c r="G626" t="s">
        <v>8</v>
      </c>
      <c r="H626" t="s">
        <v>74</v>
      </c>
      <c r="I626" t="s">
        <v>82</v>
      </c>
      <c r="J626" t="s">
        <v>83</v>
      </c>
      <c r="K626" t="s">
        <v>73</v>
      </c>
      <c r="L626">
        <v>701000</v>
      </c>
      <c r="M626" t="s">
        <v>62</v>
      </c>
      <c r="N626" t="s">
        <v>33</v>
      </c>
      <c r="O626">
        <v>190</v>
      </c>
      <c r="P626">
        <v>18.47</v>
      </c>
      <c r="Q626">
        <v>3.51</v>
      </c>
      <c r="R626" t="s">
        <v>1203</v>
      </c>
      <c r="S626" t="s">
        <v>195</v>
      </c>
    </row>
    <row r="627" spans="1:19" x14ac:dyDescent="0.3">
      <c r="A627" t="s">
        <v>194</v>
      </c>
      <c r="B627" t="s">
        <v>23</v>
      </c>
      <c r="C627">
        <v>2026</v>
      </c>
      <c r="D627">
        <v>1</v>
      </c>
      <c r="E627" s="2">
        <v>46046</v>
      </c>
      <c r="F627" t="s">
        <v>7</v>
      </c>
      <c r="G627" t="s">
        <v>8</v>
      </c>
      <c r="H627" t="s">
        <v>70</v>
      </c>
      <c r="I627" t="s">
        <v>84</v>
      </c>
      <c r="J627" t="s">
        <v>85</v>
      </c>
      <c r="K627" t="s">
        <v>73</v>
      </c>
      <c r="L627">
        <v>701000</v>
      </c>
      <c r="M627" t="s">
        <v>62</v>
      </c>
      <c r="N627" t="s">
        <v>33</v>
      </c>
      <c r="O627">
        <v>2575</v>
      </c>
      <c r="P627">
        <v>0.95</v>
      </c>
      <c r="Q627">
        <v>2.4500000000000002</v>
      </c>
      <c r="R627" t="s">
        <v>1204</v>
      </c>
      <c r="S627" t="s">
        <v>195</v>
      </c>
    </row>
    <row r="628" spans="1:19" x14ac:dyDescent="0.3">
      <c r="A628" t="s">
        <v>196</v>
      </c>
      <c r="B628" t="s">
        <v>23</v>
      </c>
      <c r="C628">
        <v>2026</v>
      </c>
      <c r="D628">
        <v>1</v>
      </c>
      <c r="E628" s="2">
        <v>46046</v>
      </c>
      <c r="F628" t="s">
        <v>7</v>
      </c>
      <c r="G628" t="s">
        <v>8</v>
      </c>
      <c r="H628" t="s">
        <v>70</v>
      </c>
      <c r="I628" t="s">
        <v>84</v>
      </c>
      <c r="J628" t="s">
        <v>85</v>
      </c>
      <c r="K628" t="s">
        <v>73</v>
      </c>
      <c r="L628">
        <v>701000</v>
      </c>
      <c r="M628" t="s">
        <v>62</v>
      </c>
      <c r="N628" t="s">
        <v>33</v>
      </c>
      <c r="O628">
        <v>3488</v>
      </c>
      <c r="P628">
        <v>0.95</v>
      </c>
      <c r="Q628">
        <v>3.31</v>
      </c>
      <c r="R628" t="s">
        <v>1198</v>
      </c>
      <c r="S628" t="s">
        <v>195</v>
      </c>
    </row>
    <row r="629" spans="1:19" x14ac:dyDescent="0.3">
      <c r="A629" t="s">
        <v>197</v>
      </c>
      <c r="B629" t="s">
        <v>23</v>
      </c>
      <c r="C629">
        <v>2026</v>
      </c>
      <c r="D629">
        <v>1</v>
      </c>
      <c r="E629" s="2">
        <v>46046</v>
      </c>
      <c r="F629" t="s">
        <v>7</v>
      </c>
      <c r="G629" t="s">
        <v>8</v>
      </c>
      <c r="H629" t="s">
        <v>70</v>
      </c>
      <c r="I629" t="s">
        <v>84</v>
      </c>
      <c r="J629" t="s">
        <v>85</v>
      </c>
      <c r="K629" t="s">
        <v>73</v>
      </c>
      <c r="L629">
        <v>701000</v>
      </c>
      <c r="M629" t="s">
        <v>62</v>
      </c>
      <c r="N629" t="s">
        <v>33</v>
      </c>
      <c r="O629">
        <v>3566</v>
      </c>
      <c r="P629">
        <v>0.95</v>
      </c>
      <c r="Q629">
        <v>3.39</v>
      </c>
      <c r="R629" t="s">
        <v>1200</v>
      </c>
      <c r="S629" t="s">
        <v>195</v>
      </c>
    </row>
    <row r="630" spans="1:19" x14ac:dyDescent="0.3">
      <c r="A630" t="s">
        <v>198</v>
      </c>
      <c r="B630" t="s">
        <v>23</v>
      </c>
      <c r="C630">
        <v>2026</v>
      </c>
      <c r="D630">
        <v>1</v>
      </c>
      <c r="E630" s="2">
        <v>46046</v>
      </c>
      <c r="F630" t="s">
        <v>7</v>
      </c>
      <c r="G630" t="s">
        <v>8</v>
      </c>
      <c r="H630" t="s">
        <v>70</v>
      </c>
      <c r="I630" t="s">
        <v>84</v>
      </c>
      <c r="J630" t="s">
        <v>85</v>
      </c>
      <c r="K630" t="s">
        <v>73</v>
      </c>
      <c r="L630">
        <v>701000</v>
      </c>
      <c r="M630" t="s">
        <v>62</v>
      </c>
      <c r="N630" t="s">
        <v>33</v>
      </c>
      <c r="O630">
        <v>1816</v>
      </c>
      <c r="P630">
        <v>0.95</v>
      </c>
      <c r="Q630">
        <v>1.73</v>
      </c>
      <c r="R630" t="s">
        <v>1199</v>
      </c>
      <c r="S630" t="s">
        <v>195</v>
      </c>
    </row>
    <row r="631" spans="1:19" x14ac:dyDescent="0.3">
      <c r="A631" t="s">
        <v>199</v>
      </c>
      <c r="B631" t="s">
        <v>23</v>
      </c>
      <c r="C631">
        <v>2026</v>
      </c>
      <c r="D631">
        <v>1</v>
      </c>
      <c r="E631" s="2">
        <v>46046</v>
      </c>
      <c r="F631" t="s">
        <v>7</v>
      </c>
      <c r="G631" t="s">
        <v>8</v>
      </c>
      <c r="H631" t="s">
        <v>70</v>
      </c>
      <c r="I631" t="s">
        <v>84</v>
      </c>
      <c r="J631" t="s">
        <v>85</v>
      </c>
      <c r="K631" t="s">
        <v>73</v>
      </c>
      <c r="L631">
        <v>701000</v>
      </c>
      <c r="M631" t="s">
        <v>62</v>
      </c>
      <c r="N631" t="s">
        <v>33</v>
      </c>
      <c r="O631">
        <v>413</v>
      </c>
      <c r="P631">
        <v>0.94</v>
      </c>
      <c r="Q631">
        <v>0.39</v>
      </c>
      <c r="R631" t="s">
        <v>1203</v>
      </c>
      <c r="S631" t="s">
        <v>195</v>
      </c>
    </row>
    <row r="632" spans="1:19" x14ac:dyDescent="0.3">
      <c r="A632" t="s">
        <v>240</v>
      </c>
      <c r="B632" t="s">
        <v>23</v>
      </c>
      <c r="C632">
        <v>2026</v>
      </c>
      <c r="D632">
        <v>1</v>
      </c>
      <c r="E632" s="2">
        <v>46046</v>
      </c>
      <c r="F632" t="s">
        <v>7</v>
      </c>
      <c r="G632" t="s">
        <v>8</v>
      </c>
      <c r="H632" t="s">
        <v>70</v>
      </c>
      <c r="I632" t="s">
        <v>84</v>
      </c>
      <c r="J632" t="s">
        <v>85</v>
      </c>
      <c r="K632" t="s">
        <v>73</v>
      </c>
      <c r="L632">
        <v>701000</v>
      </c>
      <c r="M632" t="s">
        <v>62</v>
      </c>
      <c r="N632" t="s">
        <v>33</v>
      </c>
      <c r="O632">
        <v>876</v>
      </c>
      <c r="P632">
        <v>0.95</v>
      </c>
      <c r="Q632">
        <v>0.83</v>
      </c>
      <c r="R632" t="s">
        <v>1198</v>
      </c>
      <c r="S632" t="s">
        <v>195</v>
      </c>
    </row>
    <row r="633" spans="1:19" x14ac:dyDescent="0.3">
      <c r="A633" t="s">
        <v>241</v>
      </c>
      <c r="B633" t="s">
        <v>23</v>
      </c>
      <c r="C633">
        <v>2026</v>
      </c>
      <c r="D633">
        <v>1</v>
      </c>
      <c r="E633" s="2">
        <v>46046</v>
      </c>
      <c r="F633" t="s">
        <v>7</v>
      </c>
      <c r="G633" t="s">
        <v>8</v>
      </c>
      <c r="H633" t="s">
        <v>70</v>
      </c>
      <c r="I633" t="s">
        <v>84</v>
      </c>
      <c r="J633" t="s">
        <v>85</v>
      </c>
      <c r="K633" t="s">
        <v>73</v>
      </c>
      <c r="L633">
        <v>701000</v>
      </c>
      <c r="M633" t="s">
        <v>62</v>
      </c>
      <c r="N633" t="s">
        <v>33</v>
      </c>
      <c r="O633">
        <v>4594</v>
      </c>
      <c r="P633">
        <v>0.95</v>
      </c>
      <c r="Q633">
        <v>4.37</v>
      </c>
      <c r="R633" t="s">
        <v>1204</v>
      </c>
      <c r="S633" t="s">
        <v>195</v>
      </c>
    </row>
    <row r="634" spans="1:19" x14ac:dyDescent="0.3">
      <c r="A634" t="s">
        <v>242</v>
      </c>
      <c r="B634" t="s">
        <v>23</v>
      </c>
      <c r="C634">
        <v>2026</v>
      </c>
      <c r="D634">
        <v>1</v>
      </c>
      <c r="E634" s="2">
        <v>46046</v>
      </c>
      <c r="F634" t="s">
        <v>7</v>
      </c>
      <c r="G634" t="s">
        <v>8</v>
      </c>
      <c r="H634" t="s">
        <v>70</v>
      </c>
      <c r="I634" t="s">
        <v>84</v>
      </c>
      <c r="J634" t="s">
        <v>85</v>
      </c>
      <c r="K634" t="s">
        <v>73</v>
      </c>
      <c r="L634">
        <v>701000</v>
      </c>
      <c r="M634" t="s">
        <v>62</v>
      </c>
      <c r="N634" t="s">
        <v>33</v>
      </c>
      <c r="O634">
        <v>1610</v>
      </c>
      <c r="P634">
        <v>0.95</v>
      </c>
      <c r="Q634">
        <v>1.53</v>
      </c>
      <c r="R634" t="s">
        <v>1199</v>
      </c>
      <c r="S634" t="s">
        <v>195</v>
      </c>
    </row>
    <row r="635" spans="1:19" x14ac:dyDescent="0.3">
      <c r="A635" t="s">
        <v>243</v>
      </c>
      <c r="B635" t="s">
        <v>23</v>
      </c>
      <c r="C635">
        <v>2026</v>
      </c>
      <c r="D635">
        <v>1</v>
      </c>
      <c r="E635" s="2">
        <v>46046</v>
      </c>
      <c r="F635" t="s">
        <v>7</v>
      </c>
      <c r="G635" t="s">
        <v>8</v>
      </c>
      <c r="H635" t="s">
        <v>70</v>
      </c>
      <c r="I635" t="s">
        <v>84</v>
      </c>
      <c r="J635" t="s">
        <v>85</v>
      </c>
      <c r="K635" t="s">
        <v>73</v>
      </c>
      <c r="L635">
        <v>701000</v>
      </c>
      <c r="M635" t="s">
        <v>62</v>
      </c>
      <c r="N635" t="s">
        <v>33</v>
      </c>
      <c r="O635">
        <v>4501</v>
      </c>
      <c r="P635">
        <v>0.95</v>
      </c>
      <c r="Q635">
        <v>4.28</v>
      </c>
      <c r="R635" t="s">
        <v>1197</v>
      </c>
      <c r="S635" t="s">
        <v>195</v>
      </c>
    </row>
    <row r="636" spans="1:19" x14ac:dyDescent="0.3">
      <c r="A636" t="s">
        <v>244</v>
      </c>
      <c r="B636" t="s">
        <v>23</v>
      </c>
      <c r="C636">
        <v>2026</v>
      </c>
      <c r="D636">
        <v>1</v>
      </c>
      <c r="E636" s="2">
        <v>46046</v>
      </c>
      <c r="F636" t="s">
        <v>7</v>
      </c>
      <c r="G636" t="s">
        <v>8</v>
      </c>
      <c r="H636" t="s">
        <v>70</v>
      </c>
      <c r="I636" t="s">
        <v>84</v>
      </c>
      <c r="J636" t="s">
        <v>85</v>
      </c>
      <c r="K636" t="s">
        <v>73</v>
      </c>
      <c r="L636">
        <v>701000</v>
      </c>
      <c r="M636" t="s">
        <v>62</v>
      </c>
      <c r="N636" t="s">
        <v>33</v>
      </c>
      <c r="O636">
        <v>3730</v>
      </c>
      <c r="P636">
        <v>0.95</v>
      </c>
      <c r="Q636">
        <v>3.54</v>
      </c>
      <c r="R636" t="s">
        <v>1205</v>
      </c>
      <c r="S636" t="s">
        <v>195</v>
      </c>
    </row>
    <row r="637" spans="1:19" x14ac:dyDescent="0.3">
      <c r="A637" t="s">
        <v>310</v>
      </c>
      <c r="B637" t="s">
        <v>23</v>
      </c>
      <c r="C637">
        <v>2026</v>
      </c>
      <c r="D637">
        <v>1</v>
      </c>
      <c r="E637" s="2">
        <v>46046</v>
      </c>
      <c r="F637" t="s">
        <v>7</v>
      </c>
      <c r="G637" t="s">
        <v>8</v>
      </c>
      <c r="H637" t="s">
        <v>70</v>
      </c>
      <c r="I637" t="s">
        <v>84</v>
      </c>
      <c r="J637" t="s">
        <v>85</v>
      </c>
      <c r="K637" t="s">
        <v>73</v>
      </c>
      <c r="L637">
        <v>701000</v>
      </c>
      <c r="M637" t="s">
        <v>62</v>
      </c>
      <c r="N637" t="s">
        <v>33</v>
      </c>
      <c r="O637">
        <v>1824</v>
      </c>
      <c r="P637">
        <v>0.95</v>
      </c>
      <c r="Q637">
        <v>1.73</v>
      </c>
      <c r="R637" t="s">
        <v>1197</v>
      </c>
      <c r="S637" t="s">
        <v>195</v>
      </c>
    </row>
    <row r="638" spans="1:19" x14ac:dyDescent="0.3">
      <c r="A638" t="s">
        <v>311</v>
      </c>
      <c r="B638" t="s">
        <v>23</v>
      </c>
      <c r="C638">
        <v>2026</v>
      </c>
      <c r="D638">
        <v>1</v>
      </c>
      <c r="E638" s="2">
        <v>46046</v>
      </c>
      <c r="F638" t="s">
        <v>7</v>
      </c>
      <c r="G638" t="s">
        <v>8</v>
      </c>
      <c r="H638" t="s">
        <v>70</v>
      </c>
      <c r="I638" t="s">
        <v>84</v>
      </c>
      <c r="J638" t="s">
        <v>85</v>
      </c>
      <c r="K638" t="s">
        <v>73</v>
      </c>
      <c r="L638">
        <v>701000</v>
      </c>
      <c r="M638" t="s">
        <v>62</v>
      </c>
      <c r="N638" t="s">
        <v>33</v>
      </c>
      <c r="O638">
        <v>3780</v>
      </c>
      <c r="P638">
        <v>0.95</v>
      </c>
      <c r="Q638">
        <v>3.59</v>
      </c>
      <c r="R638" t="s">
        <v>1200</v>
      </c>
      <c r="S638" t="s">
        <v>195</v>
      </c>
    </row>
    <row r="639" spans="1:19" x14ac:dyDescent="0.3">
      <c r="A639" t="s">
        <v>312</v>
      </c>
      <c r="B639" t="s">
        <v>23</v>
      </c>
      <c r="C639">
        <v>2026</v>
      </c>
      <c r="D639">
        <v>1</v>
      </c>
      <c r="E639" s="2">
        <v>46046</v>
      </c>
      <c r="F639" t="s">
        <v>7</v>
      </c>
      <c r="G639" t="s">
        <v>8</v>
      </c>
      <c r="H639" t="s">
        <v>70</v>
      </c>
      <c r="I639" t="s">
        <v>84</v>
      </c>
      <c r="J639" t="s">
        <v>85</v>
      </c>
      <c r="K639" t="s">
        <v>73</v>
      </c>
      <c r="L639">
        <v>701000</v>
      </c>
      <c r="M639" t="s">
        <v>62</v>
      </c>
      <c r="N639" t="s">
        <v>33</v>
      </c>
      <c r="O639">
        <v>1038</v>
      </c>
      <c r="P639">
        <v>0.95</v>
      </c>
      <c r="Q639">
        <v>0.99</v>
      </c>
      <c r="R639" t="s">
        <v>1201</v>
      </c>
      <c r="S639" t="s">
        <v>195</v>
      </c>
    </row>
    <row r="640" spans="1:19" x14ac:dyDescent="0.3">
      <c r="A640" t="s">
        <v>313</v>
      </c>
      <c r="B640" t="s">
        <v>23</v>
      </c>
      <c r="C640">
        <v>2026</v>
      </c>
      <c r="D640">
        <v>1</v>
      </c>
      <c r="E640" s="2">
        <v>46046</v>
      </c>
      <c r="F640" t="s">
        <v>7</v>
      </c>
      <c r="G640" t="s">
        <v>8</v>
      </c>
      <c r="H640" t="s">
        <v>70</v>
      </c>
      <c r="I640" t="s">
        <v>84</v>
      </c>
      <c r="J640" t="s">
        <v>85</v>
      </c>
      <c r="K640" t="s">
        <v>73</v>
      </c>
      <c r="L640">
        <v>701000</v>
      </c>
      <c r="M640" t="s">
        <v>62</v>
      </c>
      <c r="N640" t="s">
        <v>33</v>
      </c>
      <c r="O640">
        <v>1448</v>
      </c>
      <c r="P640">
        <v>0.95</v>
      </c>
      <c r="Q640">
        <v>1.38</v>
      </c>
      <c r="R640" t="s">
        <v>1205</v>
      </c>
      <c r="S640" t="s">
        <v>195</v>
      </c>
    </row>
    <row r="641" spans="1:19" x14ac:dyDescent="0.3">
      <c r="A641" t="s">
        <v>314</v>
      </c>
      <c r="B641" t="s">
        <v>23</v>
      </c>
      <c r="C641">
        <v>2026</v>
      </c>
      <c r="D641">
        <v>1</v>
      </c>
      <c r="E641" s="2">
        <v>46046</v>
      </c>
      <c r="F641" t="s">
        <v>7</v>
      </c>
      <c r="G641" t="s">
        <v>8</v>
      </c>
      <c r="H641" t="s">
        <v>70</v>
      </c>
      <c r="I641" t="s">
        <v>84</v>
      </c>
      <c r="J641" t="s">
        <v>85</v>
      </c>
      <c r="K641" t="s">
        <v>73</v>
      </c>
      <c r="L641">
        <v>701000</v>
      </c>
      <c r="M641" t="s">
        <v>62</v>
      </c>
      <c r="N641" t="s">
        <v>33</v>
      </c>
      <c r="O641">
        <v>3908</v>
      </c>
      <c r="P641">
        <v>0.95</v>
      </c>
      <c r="Q641">
        <v>3.71</v>
      </c>
      <c r="R641" t="s">
        <v>1198</v>
      </c>
      <c r="S641" t="s">
        <v>195</v>
      </c>
    </row>
    <row r="642" spans="1:19" x14ac:dyDescent="0.3">
      <c r="A642" t="s">
        <v>665</v>
      </c>
      <c r="B642" t="s">
        <v>23</v>
      </c>
      <c r="C642">
        <v>2026</v>
      </c>
      <c r="D642">
        <v>1</v>
      </c>
      <c r="E642" s="2">
        <v>46046</v>
      </c>
      <c r="F642" t="s">
        <v>7</v>
      </c>
      <c r="G642" t="s">
        <v>8</v>
      </c>
      <c r="H642" t="s">
        <v>74</v>
      </c>
      <c r="I642" t="s">
        <v>75</v>
      </c>
      <c r="J642" t="s">
        <v>76</v>
      </c>
      <c r="K642" t="s">
        <v>73</v>
      </c>
      <c r="L642">
        <v>701000</v>
      </c>
      <c r="M642" t="s">
        <v>62</v>
      </c>
      <c r="N642" t="s">
        <v>33</v>
      </c>
      <c r="O642">
        <v>654</v>
      </c>
      <c r="P642">
        <v>1.41</v>
      </c>
      <c r="Q642">
        <v>0.92</v>
      </c>
      <c r="R642" t="s">
        <v>1198</v>
      </c>
      <c r="S642" t="s">
        <v>195</v>
      </c>
    </row>
    <row r="643" spans="1:19" x14ac:dyDescent="0.3">
      <c r="A643" t="s">
        <v>666</v>
      </c>
      <c r="B643" t="s">
        <v>23</v>
      </c>
      <c r="C643">
        <v>2026</v>
      </c>
      <c r="D643">
        <v>1</v>
      </c>
      <c r="E643" s="2">
        <v>46046</v>
      </c>
      <c r="F643" t="s">
        <v>7</v>
      </c>
      <c r="G643" t="s">
        <v>8</v>
      </c>
      <c r="H643" t="s">
        <v>74</v>
      </c>
      <c r="I643" t="s">
        <v>75</v>
      </c>
      <c r="J643" t="s">
        <v>76</v>
      </c>
      <c r="K643" t="s">
        <v>73</v>
      </c>
      <c r="L643">
        <v>701000</v>
      </c>
      <c r="M643" t="s">
        <v>62</v>
      </c>
      <c r="N643" t="s">
        <v>33</v>
      </c>
      <c r="O643">
        <v>1669</v>
      </c>
      <c r="P643">
        <v>1.4</v>
      </c>
      <c r="Q643">
        <v>2.34</v>
      </c>
      <c r="R643" t="s">
        <v>1199</v>
      </c>
      <c r="S643" t="s">
        <v>195</v>
      </c>
    </row>
    <row r="644" spans="1:19" x14ac:dyDescent="0.3">
      <c r="A644" t="s">
        <v>667</v>
      </c>
      <c r="B644" t="s">
        <v>23</v>
      </c>
      <c r="C644">
        <v>2026</v>
      </c>
      <c r="D644">
        <v>1</v>
      </c>
      <c r="E644" s="2">
        <v>46046</v>
      </c>
      <c r="F644" t="s">
        <v>7</v>
      </c>
      <c r="G644" t="s">
        <v>8</v>
      </c>
      <c r="H644" t="s">
        <v>74</v>
      </c>
      <c r="I644" t="s">
        <v>75</v>
      </c>
      <c r="J644" t="s">
        <v>76</v>
      </c>
      <c r="K644" t="s">
        <v>73</v>
      </c>
      <c r="L644">
        <v>701000</v>
      </c>
      <c r="M644" t="s">
        <v>62</v>
      </c>
      <c r="N644" t="s">
        <v>33</v>
      </c>
      <c r="O644">
        <v>497</v>
      </c>
      <c r="P644">
        <v>1.41</v>
      </c>
      <c r="Q644">
        <v>0.7</v>
      </c>
      <c r="R644" t="s">
        <v>1204</v>
      </c>
      <c r="S644" t="s">
        <v>195</v>
      </c>
    </row>
    <row r="645" spans="1:19" x14ac:dyDescent="0.3">
      <c r="A645" t="s">
        <v>668</v>
      </c>
      <c r="B645" t="s">
        <v>23</v>
      </c>
      <c r="C645">
        <v>2026</v>
      </c>
      <c r="D645">
        <v>1</v>
      </c>
      <c r="E645" s="2">
        <v>46046</v>
      </c>
      <c r="F645" t="s">
        <v>7</v>
      </c>
      <c r="G645" t="s">
        <v>8</v>
      </c>
      <c r="H645" t="s">
        <v>74</v>
      </c>
      <c r="I645" t="s">
        <v>75</v>
      </c>
      <c r="J645" t="s">
        <v>76</v>
      </c>
      <c r="K645" t="s">
        <v>73</v>
      </c>
      <c r="L645">
        <v>701000</v>
      </c>
      <c r="M645" t="s">
        <v>62</v>
      </c>
      <c r="N645" t="s">
        <v>33</v>
      </c>
      <c r="O645">
        <v>2467</v>
      </c>
      <c r="P645">
        <v>1.4</v>
      </c>
      <c r="Q645">
        <v>3.45</v>
      </c>
      <c r="R645" t="s">
        <v>1205</v>
      </c>
      <c r="S645" t="s">
        <v>195</v>
      </c>
    </row>
    <row r="646" spans="1:19" x14ac:dyDescent="0.3">
      <c r="A646" t="s">
        <v>669</v>
      </c>
      <c r="B646" t="s">
        <v>23</v>
      </c>
      <c r="C646">
        <v>2026</v>
      </c>
      <c r="D646">
        <v>1</v>
      </c>
      <c r="E646" s="2">
        <v>46046</v>
      </c>
      <c r="F646" t="s">
        <v>7</v>
      </c>
      <c r="G646" t="s">
        <v>8</v>
      </c>
      <c r="H646" t="s">
        <v>74</v>
      </c>
      <c r="I646" t="s">
        <v>75</v>
      </c>
      <c r="J646" t="s">
        <v>76</v>
      </c>
      <c r="K646" t="s">
        <v>73</v>
      </c>
      <c r="L646">
        <v>701000</v>
      </c>
      <c r="M646" t="s">
        <v>62</v>
      </c>
      <c r="N646" t="s">
        <v>33</v>
      </c>
      <c r="O646">
        <v>905</v>
      </c>
      <c r="P646">
        <v>1.39</v>
      </c>
      <c r="Q646">
        <v>1.26</v>
      </c>
      <c r="R646" t="s">
        <v>1200</v>
      </c>
      <c r="S646" t="s">
        <v>195</v>
      </c>
    </row>
    <row r="647" spans="1:19" x14ac:dyDescent="0.3">
      <c r="A647" t="s">
        <v>780</v>
      </c>
      <c r="B647" t="s">
        <v>23</v>
      </c>
      <c r="C647">
        <v>2026</v>
      </c>
      <c r="D647">
        <v>1</v>
      </c>
      <c r="E647" s="2">
        <v>46046</v>
      </c>
      <c r="F647" t="s">
        <v>7</v>
      </c>
      <c r="G647" t="s">
        <v>8</v>
      </c>
      <c r="H647" t="s">
        <v>70</v>
      </c>
      <c r="I647" t="s">
        <v>79</v>
      </c>
      <c r="J647" t="s">
        <v>80</v>
      </c>
      <c r="K647" t="s">
        <v>73</v>
      </c>
      <c r="L647">
        <v>701000</v>
      </c>
      <c r="M647" t="s">
        <v>62</v>
      </c>
      <c r="N647" t="s">
        <v>33</v>
      </c>
      <c r="O647">
        <v>1248</v>
      </c>
      <c r="P647">
        <v>2.6</v>
      </c>
      <c r="Q647">
        <v>3.24</v>
      </c>
      <c r="R647" t="s">
        <v>1197</v>
      </c>
      <c r="S647" t="s">
        <v>195</v>
      </c>
    </row>
    <row r="648" spans="1:19" x14ac:dyDescent="0.3">
      <c r="A648" t="s">
        <v>781</v>
      </c>
      <c r="B648" t="s">
        <v>23</v>
      </c>
      <c r="C648">
        <v>2026</v>
      </c>
      <c r="D648">
        <v>1</v>
      </c>
      <c r="E648" s="2">
        <v>46046</v>
      </c>
      <c r="F648" t="s">
        <v>7</v>
      </c>
      <c r="G648" t="s">
        <v>8</v>
      </c>
      <c r="H648" t="s">
        <v>70</v>
      </c>
      <c r="I648" t="s">
        <v>79</v>
      </c>
      <c r="J648" t="s">
        <v>80</v>
      </c>
      <c r="K648" t="s">
        <v>73</v>
      </c>
      <c r="L648">
        <v>701000</v>
      </c>
      <c r="M648" t="s">
        <v>62</v>
      </c>
      <c r="N648" t="s">
        <v>33</v>
      </c>
      <c r="O648">
        <v>521</v>
      </c>
      <c r="P648">
        <v>2.61</v>
      </c>
      <c r="Q648">
        <v>1.36</v>
      </c>
      <c r="R648" t="s">
        <v>1205</v>
      </c>
      <c r="S648" t="s">
        <v>195</v>
      </c>
    </row>
    <row r="649" spans="1:19" x14ac:dyDescent="0.3">
      <c r="A649" t="s">
        <v>782</v>
      </c>
      <c r="B649" t="s">
        <v>23</v>
      </c>
      <c r="C649">
        <v>2026</v>
      </c>
      <c r="D649">
        <v>1</v>
      </c>
      <c r="E649" s="2">
        <v>46046</v>
      </c>
      <c r="F649" t="s">
        <v>7</v>
      </c>
      <c r="G649" t="s">
        <v>8</v>
      </c>
      <c r="H649" t="s">
        <v>70</v>
      </c>
      <c r="I649" t="s">
        <v>79</v>
      </c>
      <c r="J649" t="s">
        <v>80</v>
      </c>
      <c r="K649" t="s">
        <v>73</v>
      </c>
      <c r="L649">
        <v>701000</v>
      </c>
      <c r="M649" t="s">
        <v>62</v>
      </c>
      <c r="N649" t="s">
        <v>33</v>
      </c>
      <c r="O649">
        <v>2009</v>
      </c>
      <c r="P649">
        <v>2.6</v>
      </c>
      <c r="Q649">
        <v>5.22</v>
      </c>
      <c r="R649" t="s">
        <v>1202</v>
      </c>
      <c r="S649" t="s">
        <v>195</v>
      </c>
    </row>
    <row r="650" spans="1:19" x14ac:dyDescent="0.3">
      <c r="A650" t="s">
        <v>783</v>
      </c>
      <c r="B650" t="s">
        <v>23</v>
      </c>
      <c r="C650">
        <v>2026</v>
      </c>
      <c r="D650">
        <v>1</v>
      </c>
      <c r="E650" s="2">
        <v>46046</v>
      </c>
      <c r="F650" t="s">
        <v>7</v>
      </c>
      <c r="G650" t="s">
        <v>8</v>
      </c>
      <c r="H650" t="s">
        <v>70</v>
      </c>
      <c r="I650" t="s">
        <v>79</v>
      </c>
      <c r="J650" t="s">
        <v>80</v>
      </c>
      <c r="K650" t="s">
        <v>73</v>
      </c>
      <c r="L650">
        <v>701000</v>
      </c>
      <c r="M650" t="s">
        <v>62</v>
      </c>
      <c r="N650" t="s">
        <v>33</v>
      </c>
      <c r="O650">
        <v>2176</v>
      </c>
      <c r="P650">
        <v>2.6</v>
      </c>
      <c r="Q650">
        <v>5.66</v>
      </c>
      <c r="R650" t="s">
        <v>1198</v>
      </c>
      <c r="S650" t="s">
        <v>195</v>
      </c>
    </row>
    <row r="651" spans="1:19" x14ac:dyDescent="0.3">
      <c r="A651" t="s">
        <v>784</v>
      </c>
      <c r="B651" t="s">
        <v>23</v>
      </c>
      <c r="C651">
        <v>2026</v>
      </c>
      <c r="D651">
        <v>1</v>
      </c>
      <c r="E651" s="2">
        <v>46046</v>
      </c>
      <c r="F651" t="s">
        <v>7</v>
      </c>
      <c r="G651" t="s">
        <v>8</v>
      </c>
      <c r="H651" t="s">
        <v>70</v>
      </c>
      <c r="I651" t="s">
        <v>79</v>
      </c>
      <c r="J651" t="s">
        <v>80</v>
      </c>
      <c r="K651" t="s">
        <v>73</v>
      </c>
      <c r="L651">
        <v>701000</v>
      </c>
      <c r="M651" t="s">
        <v>62</v>
      </c>
      <c r="N651" t="s">
        <v>33</v>
      </c>
      <c r="O651">
        <v>1362</v>
      </c>
      <c r="P651">
        <v>2.6</v>
      </c>
      <c r="Q651">
        <v>3.54</v>
      </c>
      <c r="R651" t="s">
        <v>1204</v>
      </c>
      <c r="S651" t="s">
        <v>195</v>
      </c>
    </row>
    <row r="652" spans="1:19" x14ac:dyDescent="0.3">
      <c r="A652" t="s">
        <v>790</v>
      </c>
      <c r="B652" t="s">
        <v>23</v>
      </c>
      <c r="C652">
        <v>2026</v>
      </c>
      <c r="D652">
        <v>1</v>
      </c>
      <c r="E652" s="2">
        <v>46046</v>
      </c>
      <c r="F652" t="s">
        <v>7</v>
      </c>
      <c r="G652" t="s">
        <v>8</v>
      </c>
      <c r="H652" t="s">
        <v>74</v>
      </c>
      <c r="I652" t="s">
        <v>79</v>
      </c>
      <c r="J652" t="s">
        <v>80</v>
      </c>
      <c r="K652" t="s">
        <v>73</v>
      </c>
      <c r="L652">
        <v>701000</v>
      </c>
      <c r="M652" t="s">
        <v>62</v>
      </c>
      <c r="N652" t="s">
        <v>33</v>
      </c>
      <c r="O652">
        <v>834</v>
      </c>
      <c r="P652">
        <v>2.6</v>
      </c>
      <c r="Q652">
        <v>2.17</v>
      </c>
      <c r="R652" t="s">
        <v>1205</v>
      </c>
      <c r="S652" t="s">
        <v>195</v>
      </c>
    </row>
    <row r="653" spans="1:19" x14ac:dyDescent="0.3">
      <c r="A653" t="s">
        <v>791</v>
      </c>
      <c r="B653" t="s">
        <v>23</v>
      </c>
      <c r="C653">
        <v>2026</v>
      </c>
      <c r="D653">
        <v>1</v>
      </c>
      <c r="E653" s="2">
        <v>46046</v>
      </c>
      <c r="F653" t="s">
        <v>7</v>
      </c>
      <c r="G653" t="s">
        <v>8</v>
      </c>
      <c r="H653" t="s">
        <v>74</v>
      </c>
      <c r="I653" t="s">
        <v>79</v>
      </c>
      <c r="J653" t="s">
        <v>80</v>
      </c>
      <c r="K653" t="s">
        <v>73</v>
      </c>
      <c r="L653">
        <v>701000</v>
      </c>
      <c r="M653" t="s">
        <v>62</v>
      </c>
      <c r="N653" t="s">
        <v>33</v>
      </c>
      <c r="O653">
        <v>686</v>
      </c>
      <c r="P653">
        <v>2.59</v>
      </c>
      <c r="Q653">
        <v>1.78</v>
      </c>
      <c r="R653" t="s">
        <v>1200</v>
      </c>
      <c r="S653" t="s">
        <v>195</v>
      </c>
    </row>
    <row r="654" spans="1:19" x14ac:dyDescent="0.3">
      <c r="A654" t="s">
        <v>792</v>
      </c>
      <c r="B654" t="s">
        <v>23</v>
      </c>
      <c r="C654">
        <v>2026</v>
      </c>
      <c r="D654">
        <v>1</v>
      </c>
      <c r="E654" s="2">
        <v>46046</v>
      </c>
      <c r="F654" t="s">
        <v>7</v>
      </c>
      <c r="G654" t="s">
        <v>8</v>
      </c>
      <c r="H654" t="s">
        <v>74</v>
      </c>
      <c r="I654" t="s">
        <v>79</v>
      </c>
      <c r="J654" t="s">
        <v>80</v>
      </c>
      <c r="K654" t="s">
        <v>73</v>
      </c>
      <c r="L654">
        <v>701000</v>
      </c>
      <c r="M654" t="s">
        <v>62</v>
      </c>
      <c r="N654" t="s">
        <v>33</v>
      </c>
      <c r="O654">
        <v>867</v>
      </c>
      <c r="P654">
        <v>2.6</v>
      </c>
      <c r="Q654">
        <v>2.25</v>
      </c>
      <c r="R654" t="s">
        <v>1202</v>
      </c>
      <c r="S654" t="s">
        <v>195</v>
      </c>
    </row>
    <row r="655" spans="1:19" x14ac:dyDescent="0.3">
      <c r="A655" t="s">
        <v>793</v>
      </c>
      <c r="B655" t="s">
        <v>23</v>
      </c>
      <c r="C655">
        <v>2026</v>
      </c>
      <c r="D655">
        <v>1</v>
      </c>
      <c r="E655" s="2">
        <v>46046</v>
      </c>
      <c r="F655" t="s">
        <v>7</v>
      </c>
      <c r="G655" t="s">
        <v>8</v>
      </c>
      <c r="H655" t="s">
        <v>74</v>
      </c>
      <c r="I655" t="s">
        <v>79</v>
      </c>
      <c r="J655" t="s">
        <v>80</v>
      </c>
      <c r="K655" t="s">
        <v>73</v>
      </c>
      <c r="L655">
        <v>701000</v>
      </c>
      <c r="M655" t="s">
        <v>62</v>
      </c>
      <c r="N655" t="s">
        <v>33</v>
      </c>
      <c r="O655">
        <v>3464</v>
      </c>
      <c r="P655">
        <v>2.6</v>
      </c>
      <c r="Q655">
        <v>9</v>
      </c>
      <c r="R655" t="s">
        <v>1199</v>
      </c>
      <c r="S655" t="s">
        <v>195</v>
      </c>
    </row>
    <row r="656" spans="1:19" x14ac:dyDescent="0.3">
      <c r="A656" t="s">
        <v>794</v>
      </c>
      <c r="B656" t="s">
        <v>23</v>
      </c>
      <c r="C656">
        <v>2026</v>
      </c>
      <c r="D656">
        <v>1</v>
      </c>
      <c r="E656" s="2">
        <v>46046</v>
      </c>
      <c r="F656" t="s">
        <v>7</v>
      </c>
      <c r="G656" t="s">
        <v>8</v>
      </c>
      <c r="H656" t="s">
        <v>74</v>
      </c>
      <c r="I656" t="s">
        <v>79</v>
      </c>
      <c r="J656" t="s">
        <v>80</v>
      </c>
      <c r="K656" t="s">
        <v>73</v>
      </c>
      <c r="L656">
        <v>701000</v>
      </c>
      <c r="M656" t="s">
        <v>62</v>
      </c>
      <c r="N656" t="s">
        <v>33</v>
      </c>
      <c r="O656">
        <v>965</v>
      </c>
      <c r="P656">
        <v>2.61</v>
      </c>
      <c r="Q656">
        <v>2.52</v>
      </c>
      <c r="R656" t="s">
        <v>1204</v>
      </c>
      <c r="S656" t="s">
        <v>195</v>
      </c>
    </row>
    <row r="657" spans="1:19" x14ac:dyDescent="0.3">
      <c r="A657" t="s">
        <v>960</v>
      </c>
      <c r="B657" t="s">
        <v>23</v>
      </c>
      <c r="C657">
        <v>2026</v>
      </c>
      <c r="D657">
        <v>1</v>
      </c>
      <c r="E657" s="2">
        <v>46046</v>
      </c>
      <c r="F657" t="s">
        <v>7</v>
      </c>
      <c r="G657" t="s">
        <v>8</v>
      </c>
      <c r="H657" t="s">
        <v>70</v>
      </c>
      <c r="I657" t="s">
        <v>82</v>
      </c>
      <c r="J657" t="s">
        <v>83</v>
      </c>
      <c r="K657" t="s">
        <v>73</v>
      </c>
      <c r="L657">
        <v>701000</v>
      </c>
      <c r="M657" t="s">
        <v>62</v>
      </c>
      <c r="N657" t="s">
        <v>33</v>
      </c>
      <c r="O657">
        <v>223</v>
      </c>
      <c r="P657">
        <v>18.48</v>
      </c>
      <c r="Q657">
        <v>4.12</v>
      </c>
      <c r="R657" t="s">
        <v>1203</v>
      </c>
      <c r="S657" t="s">
        <v>195</v>
      </c>
    </row>
    <row r="658" spans="1:19" x14ac:dyDescent="0.3">
      <c r="A658" t="s">
        <v>961</v>
      </c>
      <c r="B658" t="s">
        <v>23</v>
      </c>
      <c r="C658">
        <v>2026</v>
      </c>
      <c r="D658">
        <v>1</v>
      </c>
      <c r="E658" s="2">
        <v>46046</v>
      </c>
      <c r="F658" t="s">
        <v>7</v>
      </c>
      <c r="G658" t="s">
        <v>8</v>
      </c>
      <c r="H658" t="s">
        <v>70</v>
      </c>
      <c r="I658" t="s">
        <v>82</v>
      </c>
      <c r="J658" t="s">
        <v>83</v>
      </c>
      <c r="K658" t="s">
        <v>73</v>
      </c>
      <c r="L658">
        <v>701000</v>
      </c>
      <c r="M658" t="s">
        <v>62</v>
      </c>
      <c r="N658" t="s">
        <v>33</v>
      </c>
      <c r="O658">
        <v>292</v>
      </c>
      <c r="P658">
        <v>18.489999999999998</v>
      </c>
      <c r="Q658">
        <v>5.4</v>
      </c>
      <c r="R658" t="s">
        <v>1205</v>
      </c>
      <c r="S658" t="s">
        <v>195</v>
      </c>
    </row>
    <row r="659" spans="1:19" x14ac:dyDescent="0.3">
      <c r="A659" t="s">
        <v>962</v>
      </c>
      <c r="B659" t="s">
        <v>23</v>
      </c>
      <c r="C659">
        <v>2026</v>
      </c>
      <c r="D659">
        <v>1</v>
      </c>
      <c r="E659" s="2">
        <v>46046</v>
      </c>
      <c r="F659" t="s">
        <v>7</v>
      </c>
      <c r="G659" t="s">
        <v>8</v>
      </c>
      <c r="H659" t="s">
        <v>70</v>
      </c>
      <c r="I659" t="s">
        <v>82</v>
      </c>
      <c r="J659" t="s">
        <v>83</v>
      </c>
      <c r="K659" t="s">
        <v>73</v>
      </c>
      <c r="L659">
        <v>701000</v>
      </c>
      <c r="M659" t="s">
        <v>62</v>
      </c>
      <c r="N659" t="s">
        <v>33</v>
      </c>
      <c r="O659">
        <v>111</v>
      </c>
      <c r="P659">
        <v>18.559999999999999</v>
      </c>
      <c r="Q659">
        <v>2.06</v>
      </c>
      <c r="R659" t="s">
        <v>1200</v>
      </c>
      <c r="S659" t="s">
        <v>195</v>
      </c>
    </row>
    <row r="660" spans="1:19" x14ac:dyDescent="0.3">
      <c r="A660" t="s">
        <v>963</v>
      </c>
      <c r="B660" t="s">
        <v>23</v>
      </c>
      <c r="C660">
        <v>2026</v>
      </c>
      <c r="D660">
        <v>1</v>
      </c>
      <c r="E660" s="2">
        <v>46046</v>
      </c>
      <c r="F660" t="s">
        <v>7</v>
      </c>
      <c r="G660" t="s">
        <v>8</v>
      </c>
      <c r="H660" t="s">
        <v>70</v>
      </c>
      <c r="I660" t="s">
        <v>82</v>
      </c>
      <c r="J660" t="s">
        <v>83</v>
      </c>
      <c r="K660" t="s">
        <v>73</v>
      </c>
      <c r="L660">
        <v>701000</v>
      </c>
      <c r="M660" t="s">
        <v>62</v>
      </c>
      <c r="N660" t="s">
        <v>33</v>
      </c>
      <c r="O660">
        <v>60</v>
      </c>
      <c r="P660">
        <v>18.670000000000002</v>
      </c>
      <c r="Q660">
        <v>1.1200000000000001</v>
      </c>
      <c r="R660" t="s">
        <v>1199</v>
      </c>
      <c r="S660" t="s">
        <v>195</v>
      </c>
    </row>
    <row r="661" spans="1:19" x14ac:dyDescent="0.3">
      <c r="A661" t="s">
        <v>964</v>
      </c>
      <c r="B661" t="s">
        <v>23</v>
      </c>
      <c r="C661">
        <v>2026</v>
      </c>
      <c r="D661">
        <v>1</v>
      </c>
      <c r="E661" s="2">
        <v>46046</v>
      </c>
      <c r="F661" t="s">
        <v>7</v>
      </c>
      <c r="G661" t="s">
        <v>8</v>
      </c>
      <c r="H661" t="s">
        <v>70</v>
      </c>
      <c r="I661" t="s">
        <v>82</v>
      </c>
      <c r="J661" t="s">
        <v>83</v>
      </c>
      <c r="K661" t="s">
        <v>73</v>
      </c>
      <c r="L661">
        <v>701000</v>
      </c>
      <c r="M661" t="s">
        <v>62</v>
      </c>
      <c r="N661" t="s">
        <v>33</v>
      </c>
      <c r="O661">
        <v>90</v>
      </c>
      <c r="P661">
        <v>18.329999999999998</v>
      </c>
      <c r="Q661">
        <v>1.65</v>
      </c>
      <c r="R661" t="s">
        <v>1197</v>
      </c>
      <c r="S661" t="s">
        <v>195</v>
      </c>
    </row>
    <row r="662" spans="1:19" x14ac:dyDescent="0.3">
      <c r="A662" t="s">
        <v>230</v>
      </c>
      <c r="B662" t="s">
        <v>23</v>
      </c>
      <c r="C662">
        <v>2026</v>
      </c>
      <c r="D662">
        <v>1</v>
      </c>
      <c r="E662" s="2">
        <v>46047</v>
      </c>
      <c r="F662" t="s">
        <v>7</v>
      </c>
      <c r="G662" t="s">
        <v>8</v>
      </c>
      <c r="H662" t="s">
        <v>70</v>
      </c>
      <c r="I662" t="s">
        <v>84</v>
      </c>
      <c r="J662" t="s">
        <v>85</v>
      </c>
      <c r="K662" t="s">
        <v>73</v>
      </c>
      <c r="L662">
        <v>701000</v>
      </c>
      <c r="M662" t="s">
        <v>62</v>
      </c>
      <c r="N662" t="s">
        <v>33</v>
      </c>
      <c r="O662">
        <v>2133</v>
      </c>
      <c r="P662">
        <v>0.95</v>
      </c>
      <c r="Q662">
        <v>2.0299999999999998</v>
      </c>
      <c r="R662" t="s">
        <v>1198</v>
      </c>
      <c r="S662" t="s">
        <v>195</v>
      </c>
    </row>
    <row r="663" spans="1:19" x14ac:dyDescent="0.3">
      <c r="A663" t="s">
        <v>231</v>
      </c>
      <c r="B663" t="s">
        <v>23</v>
      </c>
      <c r="C663">
        <v>2026</v>
      </c>
      <c r="D663">
        <v>1</v>
      </c>
      <c r="E663" s="2">
        <v>46047</v>
      </c>
      <c r="F663" t="s">
        <v>7</v>
      </c>
      <c r="G663" t="s">
        <v>8</v>
      </c>
      <c r="H663" t="s">
        <v>70</v>
      </c>
      <c r="I663" t="s">
        <v>84</v>
      </c>
      <c r="J663" t="s">
        <v>85</v>
      </c>
      <c r="K663" t="s">
        <v>73</v>
      </c>
      <c r="L663">
        <v>701000</v>
      </c>
      <c r="M663" t="s">
        <v>62</v>
      </c>
      <c r="N663" t="s">
        <v>33</v>
      </c>
      <c r="O663">
        <v>2630</v>
      </c>
      <c r="P663">
        <v>0.95</v>
      </c>
      <c r="Q663">
        <v>2.5</v>
      </c>
      <c r="R663" t="s">
        <v>1204</v>
      </c>
      <c r="S663" t="s">
        <v>195</v>
      </c>
    </row>
    <row r="664" spans="1:19" x14ac:dyDescent="0.3">
      <c r="A664" t="s">
        <v>232</v>
      </c>
      <c r="B664" t="s">
        <v>23</v>
      </c>
      <c r="C664">
        <v>2026</v>
      </c>
      <c r="D664">
        <v>1</v>
      </c>
      <c r="E664" s="2">
        <v>46047</v>
      </c>
      <c r="F664" t="s">
        <v>7</v>
      </c>
      <c r="G664" t="s">
        <v>8</v>
      </c>
      <c r="H664" t="s">
        <v>70</v>
      </c>
      <c r="I664" t="s">
        <v>84</v>
      </c>
      <c r="J664" t="s">
        <v>85</v>
      </c>
      <c r="K664" t="s">
        <v>73</v>
      </c>
      <c r="L664">
        <v>701000</v>
      </c>
      <c r="M664" t="s">
        <v>62</v>
      </c>
      <c r="N664" t="s">
        <v>33</v>
      </c>
      <c r="O664">
        <v>2472</v>
      </c>
      <c r="P664">
        <v>0.95</v>
      </c>
      <c r="Q664">
        <v>2.35</v>
      </c>
      <c r="R664" t="s">
        <v>1202</v>
      </c>
      <c r="S664" t="s">
        <v>195</v>
      </c>
    </row>
    <row r="665" spans="1:19" x14ac:dyDescent="0.3">
      <c r="A665" t="s">
        <v>233</v>
      </c>
      <c r="B665" t="s">
        <v>23</v>
      </c>
      <c r="C665">
        <v>2026</v>
      </c>
      <c r="D665">
        <v>1</v>
      </c>
      <c r="E665" s="2">
        <v>46047</v>
      </c>
      <c r="F665" t="s">
        <v>7</v>
      </c>
      <c r="G665" t="s">
        <v>8</v>
      </c>
      <c r="H665" t="s">
        <v>70</v>
      </c>
      <c r="I665" t="s">
        <v>84</v>
      </c>
      <c r="J665" t="s">
        <v>85</v>
      </c>
      <c r="K665" t="s">
        <v>73</v>
      </c>
      <c r="L665">
        <v>701000</v>
      </c>
      <c r="M665" t="s">
        <v>62</v>
      </c>
      <c r="N665" t="s">
        <v>33</v>
      </c>
      <c r="O665">
        <v>4494</v>
      </c>
      <c r="P665">
        <v>0.95</v>
      </c>
      <c r="Q665">
        <v>4.2699999999999996</v>
      </c>
      <c r="R665" t="s">
        <v>1199</v>
      </c>
      <c r="S665" t="s">
        <v>195</v>
      </c>
    </row>
    <row r="666" spans="1:19" x14ac:dyDescent="0.3">
      <c r="A666" t="s">
        <v>234</v>
      </c>
      <c r="B666" t="s">
        <v>23</v>
      </c>
      <c r="C666">
        <v>2026</v>
      </c>
      <c r="D666">
        <v>1</v>
      </c>
      <c r="E666" s="2">
        <v>46047</v>
      </c>
      <c r="F666" t="s">
        <v>7</v>
      </c>
      <c r="G666" t="s">
        <v>8</v>
      </c>
      <c r="H666" t="s">
        <v>70</v>
      </c>
      <c r="I666" t="s">
        <v>84</v>
      </c>
      <c r="J666" t="s">
        <v>85</v>
      </c>
      <c r="K666" t="s">
        <v>73</v>
      </c>
      <c r="L666">
        <v>701000</v>
      </c>
      <c r="M666" t="s">
        <v>62</v>
      </c>
      <c r="N666" t="s">
        <v>33</v>
      </c>
      <c r="O666">
        <v>645</v>
      </c>
      <c r="P666">
        <v>0.95</v>
      </c>
      <c r="Q666">
        <v>0.61</v>
      </c>
      <c r="R666" t="s">
        <v>1197</v>
      </c>
      <c r="S666" t="s">
        <v>195</v>
      </c>
    </row>
    <row r="667" spans="1:19" x14ac:dyDescent="0.3">
      <c r="A667" t="s">
        <v>290</v>
      </c>
      <c r="B667" t="s">
        <v>23</v>
      </c>
      <c r="C667">
        <v>2026</v>
      </c>
      <c r="D667">
        <v>1</v>
      </c>
      <c r="E667" s="2">
        <v>46047</v>
      </c>
      <c r="F667" t="s">
        <v>7</v>
      </c>
      <c r="G667" t="s">
        <v>8</v>
      </c>
      <c r="H667" t="s">
        <v>74</v>
      </c>
      <c r="I667" t="s">
        <v>84</v>
      </c>
      <c r="J667" t="s">
        <v>85</v>
      </c>
      <c r="K667" t="s">
        <v>73</v>
      </c>
      <c r="L667">
        <v>701000</v>
      </c>
      <c r="M667" t="s">
        <v>62</v>
      </c>
      <c r="N667" t="s">
        <v>33</v>
      </c>
      <c r="O667">
        <v>1623</v>
      </c>
      <c r="P667">
        <v>0.95</v>
      </c>
      <c r="Q667">
        <v>1.54</v>
      </c>
      <c r="R667" t="s">
        <v>1198</v>
      </c>
      <c r="S667" t="s">
        <v>195</v>
      </c>
    </row>
    <row r="668" spans="1:19" x14ac:dyDescent="0.3">
      <c r="A668" t="s">
        <v>291</v>
      </c>
      <c r="B668" t="s">
        <v>23</v>
      </c>
      <c r="C668">
        <v>2026</v>
      </c>
      <c r="D668">
        <v>1</v>
      </c>
      <c r="E668" s="2">
        <v>46047</v>
      </c>
      <c r="F668" t="s">
        <v>7</v>
      </c>
      <c r="G668" t="s">
        <v>8</v>
      </c>
      <c r="H668" t="s">
        <v>74</v>
      </c>
      <c r="I668" t="s">
        <v>84</v>
      </c>
      <c r="J668" t="s">
        <v>85</v>
      </c>
      <c r="K668" t="s">
        <v>73</v>
      </c>
      <c r="L668">
        <v>701000</v>
      </c>
      <c r="M668" t="s">
        <v>62</v>
      </c>
      <c r="N668" t="s">
        <v>33</v>
      </c>
      <c r="O668">
        <v>5530</v>
      </c>
      <c r="P668">
        <v>0.95</v>
      </c>
      <c r="Q668">
        <v>5.25</v>
      </c>
      <c r="R668" t="s">
        <v>1199</v>
      </c>
      <c r="S668" t="s">
        <v>195</v>
      </c>
    </row>
    <row r="669" spans="1:19" x14ac:dyDescent="0.3">
      <c r="A669" t="s">
        <v>292</v>
      </c>
      <c r="B669" t="s">
        <v>23</v>
      </c>
      <c r="C669">
        <v>2026</v>
      </c>
      <c r="D669">
        <v>1</v>
      </c>
      <c r="E669" s="2">
        <v>46047</v>
      </c>
      <c r="F669" t="s">
        <v>7</v>
      </c>
      <c r="G669" t="s">
        <v>8</v>
      </c>
      <c r="H669" t="s">
        <v>74</v>
      </c>
      <c r="I669" t="s">
        <v>84</v>
      </c>
      <c r="J669" t="s">
        <v>85</v>
      </c>
      <c r="K669" t="s">
        <v>73</v>
      </c>
      <c r="L669">
        <v>701000</v>
      </c>
      <c r="M669" t="s">
        <v>62</v>
      </c>
      <c r="N669" t="s">
        <v>33</v>
      </c>
      <c r="O669">
        <v>3598</v>
      </c>
      <c r="P669">
        <v>0.95</v>
      </c>
      <c r="Q669">
        <v>3.42</v>
      </c>
      <c r="R669" t="s">
        <v>1197</v>
      </c>
      <c r="S669" t="s">
        <v>195</v>
      </c>
    </row>
    <row r="670" spans="1:19" x14ac:dyDescent="0.3">
      <c r="A670" t="s">
        <v>293</v>
      </c>
      <c r="B670" t="s">
        <v>23</v>
      </c>
      <c r="C670">
        <v>2026</v>
      </c>
      <c r="D670">
        <v>1</v>
      </c>
      <c r="E670" s="2">
        <v>46047</v>
      </c>
      <c r="F670" t="s">
        <v>7</v>
      </c>
      <c r="G670" t="s">
        <v>8</v>
      </c>
      <c r="H670" t="s">
        <v>74</v>
      </c>
      <c r="I670" t="s">
        <v>84</v>
      </c>
      <c r="J670" t="s">
        <v>85</v>
      </c>
      <c r="K670" t="s">
        <v>73</v>
      </c>
      <c r="L670">
        <v>701000</v>
      </c>
      <c r="M670" t="s">
        <v>62</v>
      </c>
      <c r="N670" t="s">
        <v>33</v>
      </c>
      <c r="O670">
        <v>3342</v>
      </c>
      <c r="P670">
        <v>0.95</v>
      </c>
      <c r="Q670">
        <v>3.17</v>
      </c>
      <c r="R670" t="s">
        <v>1201</v>
      </c>
      <c r="S670" t="s">
        <v>195</v>
      </c>
    </row>
    <row r="671" spans="1:19" x14ac:dyDescent="0.3">
      <c r="A671" t="s">
        <v>294</v>
      </c>
      <c r="B671" t="s">
        <v>23</v>
      </c>
      <c r="C671">
        <v>2026</v>
      </c>
      <c r="D671">
        <v>1</v>
      </c>
      <c r="E671" s="2">
        <v>46047</v>
      </c>
      <c r="F671" t="s">
        <v>7</v>
      </c>
      <c r="G671" t="s">
        <v>8</v>
      </c>
      <c r="H671" t="s">
        <v>74</v>
      </c>
      <c r="I671" t="s">
        <v>84</v>
      </c>
      <c r="J671" t="s">
        <v>85</v>
      </c>
      <c r="K671" t="s">
        <v>73</v>
      </c>
      <c r="L671">
        <v>701000</v>
      </c>
      <c r="M671" t="s">
        <v>62</v>
      </c>
      <c r="N671" t="s">
        <v>33</v>
      </c>
      <c r="O671">
        <v>1396</v>
      </c>
      <c r="P671">
        <v>0.95</v>
      </c>
      <c r="Q671">
        <v>1.33</v>
      </c>
      <c r="R671" t="s">
        <v>1200</v>
      </c>
      <c r="S671" t="s">
        <v>195</v>
      </c>
    </row>
    <row r="672" spans="1:19" x14ac:dyDescent="0.3">
      <c r="A672" t="s">
        <v>365</v>
      </c>
      <c r="B672" t="s">
        <v>23</v>
      </c>
      <c r="C672">
        <v>2026</v>
      </c>
      <c r="D672">
        <v>1</v>
      </c>
      <c r="E672" s="2">
        <v>46047</v>
      </c>
      <c r="F672" t="s">
        <v>7</v>
      </c>
      <c r="G672" t="s">
        <v>8</v>
      </c>
      <c r="H672" t="s">
        <v>74</v>
      </c>
      <c r="I672" t="s">
        <v>71</v>
      </c>
      <c r="J672" t="s">
        <v>72</v>
      </c>
      <c r="K672" t="s">
        <v>73</v>
      </c>
      <c r="L672">
        <v>701000</v>
      </c>
      <c r="M672" t="s">
        <v>62</v>
      </c>
      <c r="N672" t="s">
        <v>33</v>
      </c>
      <c r="O672">
        <v>2139</v>
      </c>
      <c r="P672">
        <v>1.05</v>
      </c>
      <c r="Q672">
        <v>2.2400000000000002</v>
      </c>
      <c r="R672" t="s">
        <v>1205</v>
      </c>
      <c r="S672" t="s">
        <v>195</v>
      </c>
    </row>
    <row r="673" spans="1:19" x14ac:dyDescent="0.3">
      <c r="A673" t="s">
        <v>366</v>
      </c>
      <c r="B673" t="s">
        <v>23</v>
      </c>
      <c r="C673">
        <v>2026</v>
      </c>
      <c r="D673">
        <v>1</v>
      </c>
      <c r="E673" s="2">
        <v>46047</v>
      </c>
      <c r="F673" t="s">
        <v>7</v>
      </c>
      <c r="G673" t="s">
        <v>8</v>
      </c>
      <c r="H673" t="s">
        <v>74</v>
      </c>
      <c r="I673" t="s">
        <v>71</v>
      </c>
      <c r="J673" t="s">
        <v>72</v>
      </c>
      <c r="K673" t="s">
        <v>73</v>
      </c>
      <c r="L673">
        <v>701000</v>
      </c>
      <c r="M673" t="s">
        <v>62</v>
      </c>
      <c r="N673" t="s">
        <v>33</v>
      </c>
      <c r="O673">
        <v>2829</v>
      </c>
      <c r="P673">
        <v>1.05</v>
      </c>
      <c r="Q673">
        <v>2.97</v>
      </c>
      <c r="R673" t="s">
        <v>1201</v>
      </c>
      <c r="S673" t="s">
        <v>195</v>
      </c>
    </row>
    <row r="674" spans="1:19" x14ac:dyDescent="0.3">
      <c r="A674" t="s">
        <v>367</v>
      </c>
      <c r="B674" t="s">
        <v>23</v>
      </c>
      <c r="C674">
        <v>2026</v>
      </c>
      <c r="D674">
        <v>1</v>
      </c>
      <c r="E674" s="2">
        <v>46047</v>
      </c>
      <c r="F674" t="s">
        <v>7</v>
      </c>
      <c r="G674" t="s">
        <v>8</v>
      </c>
      <c r="H674" t="s">
        <v>74</v>
      </c>
      <c r="I674" t="s">
        <v>71</v>
      </c>
      <c r="J674" t="s">
        <v>72</v>
      </c>
      <c r="K674" t="s">
        <v>73</v>
      </c>
      <c r="L674">
        <v>701000</v>
      </c>
      <c r="M674" t="s">
        <v>62</v>
      </c>
      <c r="N674" t="s">
        <v>33</v>
      </c>
      <c r="O674">
        <v>606</v>
      </c>
      <c r="P674">
        <v>1.06</v>
      </c>
      <c r="Q674">
        <v>0.64</v>
      </c>
      <c r="R674" t="s">
        <v>1197</v>
      </c>
      <c r="S674" t="s">
        <v>195</v>
      </c>
    </row>
    <row r="675" spans="1:19" x14ac:dyDescent="0.3">
      <c r="A675" t="s">
        <v>368</v>
      </c>
      <c r="B675" t="s">
        <v>23</v>
      </c>
      <c r="C675">
        <v>2026</v>
      </c>
      <c r="D675">
        <v>1</v>
      </c>
      <c r="E675" s="2">
        <v>46047</v>
      </c>
      <c r="F675" t="s">
        <v>7</v>
      </c>
      <c r="G675" t="s">
        <v>8</v>
      </c>
      <c r="H675" t="s">
        <v>74</v>
      </c>
      <c r="I675" t="s">
        <v>71</v>
      </c>
      <c r="J675" t="s">
        <v>72</v>
      </c>
      <c r="K675" t="s">
        <v>73</v>
      </c>
      <c r="L675">
        <v>701000</v>
      </c>
      <c r="M675" t="s">
        <v>62</v>
      </c>
      <c r="N675" t="s">
        <v>33</v>
      </c>
      <c r="O675">
        <v>1059</v>
      </c>
      <c r="P675">
        <v>1.05</v>
      </c>
      <c r="Q675">
        <v>1.1100000000000001</v>
      </c>
      <c r="R675" t="s">
        <v>1199</v>
      </c>
      <c r="S675" t="s">
        <v>195</v>
      </c>
    </row>
    <row r="676" spans="1:19" x14ac:dyDescent="0.3">
      <c r="A676" t="s">
        <v>369</v>
      </c>
      <c r="B676" t="s">
        <v>23</v>
      </c>
      <c r="C676">
        <v>2026</v>
      </c>
      <c r="D676">
        <v>1</v>
      </c>
      <c r="E676" s="2">
        <v>46047</v>
      </c>
      <c r="F676" t="s">
        <v>7</v>
      </c>
      <c r="G676" t="s">
        <v>8</v>
      </c>
      <c r="H676" t="s">
        <v>74</v>
      </c>
      <c r="I676" t="s">
        <v>71</v>
      </c>
      <c r="J676" t="s">
        <v>72</v>
      </c>
      <c r="K676" t="s">
        <v>73</v>
      </c>
      <c r="L676">
        <v>701000</v>
      </c>
      <c r="M676" t="s">
        <v>62</v>
      </c>
      <c r="N676" t="s">
        <v>33</v>
      </c>
      <c r="O676">
        <v>2446</v>
      </c>
      <c r="P676">
        <v>1.05</v>
      </c>
      <c r="Q676">
        <v>2.57</v>
      </c>
      <c r="R676" t="s">
        <v>1203</v>
      </c>
      <c r="S676" t="s">
        <v>195</v>
      </c>
    </row>
    <row r="677" spans="1:19" x14ac:dyDescent="0.3">
      <c r="A677" t="s">
        <v>440</v>
      </c>
      <c r="B677" t="s">
        <v>23</v>
      </c>
      <c r="C677">
        <v>2026</v>
      </c>
      <c r="D677">
        <v>1</v>
      </c>
      <c r="E677" s="2">
        <v>46047</v>
      </c>
      <c r="F677" t="s">
        <v>7</v>
      </c>
      <c r="G677" t="s">
        <v>8</v>
      </c>
      <c r="H677" t="s">
        <v>70</v>
      </c>
      <c r="I677" t="s">
        <v>71</v>
      </c>
      <c r="J677" t="s">
        <v>72</v>
      </c>
      <c r="K677" t="s">
        <v>73</v>
      </c>
      <c r="L677">
        <v>701000</v>
      </c>
      <c r="M677" t="s">
        <v>62</v>
      </c>
      <c r="N677" t="s">
        <v>33</v>
      </c>
      <c r="O677">
        <v>2214</v>
      </c>
      <c r="P677">
        <v>1.05</v>
      </c>
      <c r="Q677">
        <v>2.3199999999999998</v>
      </c>
      <c r="R677" t="s">
        <v>1201</v>
      </c>
      <c r="S677" t="s">
        <v>195</v>
      </c>
    </row>
    <row r="678" spans="1:19" x14ac:dyDescent="0.3">
      <c r="A678" t="s">
        <v>441</v>
      </c>
      <c r="B678" t="s">
        <v>23</v>
      </c>
      <c r="C678">
        <v>2026</v>
      </c>
      <c r="D678">
        <v>1</v>
      </c>
      <c r="E678" s="2">
        <v>46047</v>
      </c>
      <c r="F678" t="s">
        <v>7</v>
      </c>
      <c r="G678" t="s">
        <v>8</v>
      </c>
      <c r="H678" t="s">
        <v>70</v>
      </c>
      <c r="I678" t="s">
        <v>71</v>
      </c>
      <c r="J678" t="s">
        <v>72</v>
      </c>
      <c r="K678" t="s">
        <v>73</v>
      </c>
      <c r="L678">
        <v>701000</v>
      </c>
      <c r="M678" t="s">
        <v>62</v>
      </c>
      <c r="N678" t="s">
        <v>33</v>
      </c>
      <c r="O678">
        <v>2001</v>
      </c>
      <c r="P678">
        <v>1.05</v>
      </c>
      <c r="Q678">
        <v>2.1</v>
      </c>
      <c r="R678" t="s">
        <v>1204</v>
      </c>
      <c r="S678" t="s">
        <v>195</v>
      </c>
    </row>
    <row r="679" spans="1:19" x14ac:dyDescent="0.3">
      <c r="A679" t="s">
        <v>442</v>
      </c>
      <c r="B679" t="s">
        <v>23</v>
      </c>
      <c r="C679">
        <v>2026</v>
      </c>
      <c r="D679">
        <v>1</v>
      </c>
      <c r="E679" s="2">
        <v>46047</v>
      </c>
      <c r="F679" t="s">
        <v>7</v>
      </c>
      <c r="G679" t="s">
        <v>8</v>
      </c>
      <c r="H679" t="s">
        <v>70</v>
      </c>
      <c r="I679" t="s">
        <v>71</v>
      </c>
      <c r="J679" t="s">
        <v>72</v>
      </c>
      <c r="K679" t="s">
        <v>73</v>
      </c>
      <c r="L679">
        <v>701000</v>
      </c>
      <c r="M679" t="s">
        <v>62</v>
      </c>
      <c r="N679" t="s">
        <v>33</v>
      </c>
      <c r="O679">
        <v>470</v>
      </c>
      <c r="P679">
        <v>1.04</v>
      </c>
      <c r="Q679">
        <v>0.49</v>
      </c>
      <c r="R679" t="s">
        <v>1198</v>
      </c>
      <c r="S679" t="s">
        <v>195</v>
      </c>
    </row>
    <row r="680" spans="1:19" x14ac:dyDescent="0.3">
      <c r="A680" t="s">
        <v>443</v>
      </c>
      <c r="B680" t="s">
        <v>23</v>
      </c>
      <c r="C680">
        <v>2026</v>
      </c>
      <c r="D680">
        <v>1</v>
      </c>
      <c r="E680" s="2">
        <v>46047</v>
      </c>
      <c r="F680" t="s">
        <v>7</v>
      </c>
      <c r="G680" t="s">
        <v>8</v>
      </c>
      <c r="H680" t="s">
        <v>70</v>
      </c>
      <c r="I680" t="s">
        <v>71</v>
      </c>
      <c r="J680" t="s">
        <v>72</v>
      </c>
      <c r="K680" t="s">
        <v>73</v>
      </c>
      <c r="L680">
        <v>701000</v>
      </c>
      <c r="M680" t="s">
        <v>62</v>
      </c>
      <c r="N680" t="s">
        <v>33</v>
      </c>
      <c r="O680">
        <v>1536</v>
      </c>
      <c r="P680">
        <v>1.05</v>
      </c>
      <c r="Q680">
        <v>1.61</v>
      </c>
      <c r="R680" t="s">
        <v>1197</v>
      </c>
      <c r="S680" t="s">
        <v>195</v>
      </c>
    </row>
    <row r="681" spans="1:19" x14ac:dyDescent="0.3">
      <c r="A681" t="s">
        <v>444</v>
      </c>
      <c r="B681" t="s">
        <v>23</v>
      </c>
      <c r="C681">
        <v>2026</v>
      </c>
      <c r="D681">
        <v>1</v>
      </c>
      <c r="E681" s="2">
        <v>46047</v>
      </c>
      <c r="F681" t="s">
        <v>7</v>
      </c>
      <c r="G681" t="s">
        <v>8</v>
      </c>
      <c r="H681" t="s">
        <v>70</v>
      </c>
      <c r="I681" t="s">
        <v>71</v>
      </c>
      <c r="J681" t="s">
        <v>72</v>
      </c>
      <c r="K681" t="s">
        <v>73</v>
      </c>
      <c r="L681">
        <v>701000</v>
      </c>
      <c r="M681" t="s">
        <v>62</v>
      </c>
      <c r="N681" t="s">
        <v>33</v>
      </c>
      <c r="O681">
        <v>1830</v>
      </c>
      <c r="P681">
        <v>1.05</v>
      </c>
      <c r="Q681">
        <v>1.93</v>
      </c>
      <c r="R681" t="s">
        <v>1203</v>
      </c>
      <c r="S681" t="s">
        <v>195</v>
      </c>
    </row>
    <row r="682" spans="1:19" x14ac:dyDescent="0.3">
      <c r="A682" t="s">
        <v>580</v>
      </c>
      <c r="B682" t="s">
        <v>23</v>
      </c>
      <c r="C682">
        <v>2026</v>
      </c>
      <c r="D682">
        <v>1</v>
      </c>
      <c r="E682" s="2">
        <v>46047</v>
      </c>
      <c r="F682" t="s">
        <v>7</v>
      </c>
      <c r="G682" t="s">
        <v>8</v>
      </c>
      <c r="H682" t="s">
        <v>74</v>
      </c>
      <c r="I682" t="s">
        <v>75</v>
      </c>
      <c r="J682" t="s">
        <v>76</v>
      </c>
      <c r="K682" t="s">
        <v>73</v>
      </c>
      <c r="L682">
        <v>701000</v>
      </c>
      <c r="M682" t="s">
        <v>62</v>
      </c>
      <c r="N682" t="s">
        <v>33</v>
      </c>
      <c r="O682">
        <v>476</v>
      </c>
      <c r="P682">
        <v>1.41</v>
      </c>
      <c r="Q682">
        <v>0.67</v>
      </c>
      <c r="R682" t="s">
        <v>1197</v>
      </c>
      <c r="S682" t="s">
        <v>195</v>
      </c>
    </row>
    <row r="683" spans="1:19" x14ac:dyDescent="0.3">
      <c r="A683" t="s">
        <v>581</v>
      </c>
      <c r="B683" t="s">
        <v>23</v>
      </c>
      <c r="C683">
        <v>2026</v>
      </c>
      <c r="D683">
        <v>1</v>
      </c>
      <c r="E683" s="2">
        <v>46047</v>
      </c>
      <c r="F683" t="s">
        <v>7</v>
      </c>
      <c r="G683" t="s">
        <v>8</v>
      </c>
      <c r="H683" t="s">
        <v>74</v>
      </c>
      <c r="I683" t="s">
        <v>75</v>
      </c>
      <c r="J683" t="s">
        <v>76</v>
      </c>
      <c r="K683" t="s">
        <v>73</v>
      </c>
      <c r="L683">
        <v>701000</v>
      </c>
      <c r="M683" t="s">
        <v>62</v>
      </c>
      <c r="N683" t="s">
        <v>33</v>
      </c>
      <c r="O683">
        <v>2121</v>
      </c>
      <c r="P683">
        <v>1.4</v>
      </c>
      <c r="Q683">
        <v>2.97</v>
      </c>
      <c r="R683" t="s">
        <v>1202</v>
      </c>
      <c r="S683" t="s">
        <v>195</v>
      </c>
    </row>
    <row r="684" spans="1:19" x14ac:dyDescent="0.3">
      <c r="A684" t="s">
        <v>582</v>
      </c>
      <c r="B684" t="s">
        <v>23</v>
      </c>
      <c r="C684">
        <v>2026</v>
      </c>
      <c r="D684">
        <v>1</v>
      </c>
      <c r="E684" s="2">
        <v>46047</v>
      </c>
      <c r="F684" t="s">
        <v>7</v>
      </c>
      <c r="G684" t="s">
        <v>8</v>
      </c>
      <c r="H684" t="s">
        <v>74</v>
      </c>
      <c r="I684" t="s">
        <v>75</v>
      </c>
      <c r="J684" t="s">
        <v>76</v>
      </c>
      <c r="K684" t="s">
        <v>73</v>
      </c>
      <c r="L684">
        <v>701000</v>
      </c>
      <c r="M684" t="s">
        <v>62</v>
      </c>
      <c r="N684" t="s">
        <v>33</v>
      </c>
      <c r="O684">
        <v>1541</v>
      </c>
      <c r="P684">
        <v>1.4</v>
      </c>
      <c r="Q684">
        <v>2.16</v>
      </c>
      <c r="R684" t="s">
        <v>1201</v>
      </c>
      <c r="S684" t="s">
        <v>195</v>
      </c>
    </row>
    <row r="685" spans="1:19" x14ac:dyDescent="0.3">
      <c r="A685" t="s">
        <v>583</v>
      </c>
      <c r="B685" t="s">
        <v>23</v>
      </c>
      <c r="C685">
        <v>2026</v>
      </c>
      <c r="D685">
        <v>1</v>
      </c>
      <c r="E685" s="2">
        <v>46047</v>
      </c>
      <c r="F685" t="s">
        <v>7</v>
      </c>
      <c r="G685" t="s">
        <v>8</v>
      </c>
      <c r="H685" t="s">
        <v>74</v>
      </c>
      <c r="I685" t="s">
        <v>75</v>
      </c>
      <c r="J685" t="s">
        <v>76</v>
      </c>
      <c r="K685" t="s">
        <v>73</v>
      </c>
      <c r="L685">
        <v>701000</v>
      </c>
      <c r="M685" t="s">
        <v>62</v>
      </c>
      <c r="N685" t="s">
        <v>33</v>
      </c>
      <c r="O685">
        <v>627</v>
      </c>
      <c r="P685">
        <v>1.4</v>
      </c>
      <c r="Q685">
        <v>0.88</v>
      </c>
      <c r="R685" t="s">
        <v>1204</v>
      </c>
      <c r="S685" t="s">
        <v>195</v>
      </c>
    </row>
    <row r="686" spans="1:19" x14ac:dyDescent="0.3">
      <c r="A686" t="s">
        <v>584</v>
      </c>
      <c r="B686" t="s">
        <v>23</v>
      </c>
      <c r="C686">
        <v>2026</v>
      </c>
      <c r="D686">
        <v>1</v>
      </c>
      <c r="E686" s="2">
        <v>46047</v>
      </c>
      <c r="F686" t="s">
        <v>7</v>
      </c>
      <c r="G686" t="s">
        <v>8</v>
      </c>
      <c r="H686" t="s">
        <v>74</v>
      </c>
      <c r="I686" t="s">
        <v>75</v>
      </c>
      <c r="J686" t="s">
        <v>76</v>
      </c>
      <c r="K686" t="s">
        <v>73</v>
      </c>
      <c r="L686">
        <v>701000</v>
      </c>
      <c r="M686" t="s">
        <v>62</v>
      </c>
      <c r="N686" t="s">
        <v>33</v>
      </c>
      <c r="O686">
        <v>1043</v>
      </c>
      <c r="P686">
        <v>1.39</v>
      </c>
      <c r="Q686">
        <v>1.45</v>
      </c>
      <c r="R686" t="s">
        <v>1203</v>
      </c>
      <c r="S686" t="s">
        <v>195</v>
      </c>
    </row>
    <row r="687" spans="1:19" x14ac:dyDescent="0.3">
      <c r="A687" t="s">
        <v>655</v>
      </c>
      <c r="B687" t="s">
        <v>23</v>
      </c>
      <c r="C687">
        <v>2026</v>
      </c>
      <c r="D687">
        <v>1</v>
      </c>
      <c r="E687" s="2">
        <v>46047</v>
      </c>
      <c r="F687" t="s">
        <v>7</v>
      </c>
      <c r="G687" t="s">
        <v>8</v>
      </c>
      <c r="H687" t="s">
        <v>74</v>
      </c>
      <c r="I687" t="s">
        <v>75</v>
      </c>
      <c r="J687" t="s">
        <v>76</v>
      </c>
      <c r="K687" t="s">
        <v>73</v>
      </c>
      <c r="L687">
        <v>701000</v>
      </c>
      <c r="M687" t="s">
        <v>62</v>
      </c>
      <c r="N687" t="s">
        <v>33</v>
      </c>
      <c r="O687">
        <v>2210</v>
      </c>
      <c r="P687">
        <v>1.4</v>
      </c>
      <c r="Q687">
        <v>3.1</v>
      </c>
      <c r="R687" t="s">
        <v>1202</v>
      </c>
      <c r="S687" t="s">
        <v>195</v>
      </c>
    </row>
    <row r="688" spans="1:19" x14ac:dyDescent="0.3">
      <c r="A688" t="s">
        <v>656</v>
      </c>
      <c r="B688" t="s">
        <v>23</v>
      </c>
      <c r="C688">
        <v>2026</v>
      </c>
      <c r="D688">
        <v>1</v>
      </c>
      <c r="E688" s="2">
        <v>46047</v>
      </c>
      <c r="F688" t="s">
        <v>7</v>
      </c>
      <c r="G688" t="s">
        <v>8</v>
      </c>
      <c r="H688" t="s">
        <v>74</v>
      </c>
      <c r="I688" t="s">
        <v>75</v>
      </c>
      <c r="J688" t="s">
        <v>76</v>
      </c>
      <c r="K688" t="s">
        <v>73</v>
      </c>
      <c r="L688">
        <v>701000</v>
      </c>
      <c r="M688" t="s">
        <v>62</v>
      </c>
      <c r="N688" t="s">
        <v>33</v>
      </c>
      <c r="O688">
        <v>1047</v>
      </c>
      <c r="P688">
        <v>1.4</v>
      </c>
      <c r="Q688">
        <v>1.47</v>
      </c>
      <c r="R688" t="s">
        <v>1198</v>
      </c>
      <c r="S688" t="s">
        <v>195</v>
      </c>
    </row>
    <row r="689" spans="1:19" x14ac:dyDescent="0.3">
      <c r="A689" t="s">
        <v>657</v>
      </c>
      <c r="B689" t="s">
        <v>23</v>
      </c>
      <c r="C689">
        <v>2026</v>
      </c>
      <c r="D689">
        <v>1</v>
      </c>
      <c r="E689" s="2">
        <v>46047</v>
      </c>
      <c r="F689" t="s">
        <v>7</v>
      </c>
      <c r="G689" t="s">
        <v>8</v>
      </c>
      <c r="H689" t="s">
        <v>74</v>
      </c>
      <c r="I689" t="s">
        <v>75</v>
      </c>
      <c r="J689" t="s">
        <v>76</v>
      </c>
      <c r="K689" t="s">
        <v>73</v>
      </c>
      <c r="L689">
        <v>701000</v>
      </c>
      <c r="M689" t="s">
        <v>62</v>
      </c>
      <c r="N689" t="s">
        <v>33</v>
      </c>
      <c r="O689">
        <v>1675</v>
      </c>
      <c r="P689">
        <v>1.4</v>
      </c>
      <c r="Q689">
        <v>2.35</v>
      </c>
      <c r="R689" t="s">
        <v>1197</v>
      </c>
      <c r="S689" t="s">
        <v>195</v>
      </c>
    </row>
    <row r="690" spans="1:19" x14ac:dyDescent="0.3">
      <c r="A690" t="s">
        <v>658</v>
      </c>
      <c r="B690" t="s">
        <v>23</v>
      </c>
      <c r="C690">
        <v>2026</v>
      </c>
      <c r="D690">
        <v>1</v>
      </c>
      <c r="E690" s="2">
        <v>46047</v>
      </c>
      <c r="F690" t="s">
        <v>7</v>
      </c>
      <c r="G690" t="s">
        <v>8</v>
      </c>
      <c r="H690" t="s">
        <v>74</v>
      </c>
      <c r="I690" t="s">
        <v>75</v>
      </c>
      <c r="J690" t="s">
        <v>76</v>
      </c>
      <c r="K690" t="s">
        <v>73</v>
      </c>
      <c r="L690">
        <v>701000</v>
      </c>
      <c r="M690" t="s">
        <v>62</v>
      </c>
      <c r="N690" t="s">
        <v>33</v>
      </c>
      <c r="O690">
        <v>48</v>
      </c>
      <c r="P690">
        <v>1.46</v>
      </c>
      <c r="Q690">
        <v>7.0000000000000007E-2</v>
      </c>
      <c r="R690" t="s">
        <v>1204</v>
      </c>
      <c r="S690" t="s">
        <v>195</v>
      </c>
    </row>
    <row r="691" spans="1:19" x14ac:dyDescent="0.3">
      <c r="A691" t="s">
        <v>659</v>
      </c>
      <c r="B691" t="s">
        <v>23</v>
      </c>
      <c r="C691">
        <v>2026</v>
      </c>
      <c r="D691">
        <v>1</v>
      </c>
      <c r="E691" s="2">
        <v>46047</v>
      </c>
      <c r="F691" t="s">
        <v>7</v>
      </c>
      <c r="G691" t="s">
        <v>8</v>
      </c>
      <c r="H691" t="s">
        <v>74</v>
      </c>
      <c r="I691" t="s">
        <v>75</v>
      </c>
      <c r="J691" t="s">
        <v>76</v>
      </c>
      <c r="K691" t="s">
        <v>73</v>
      </c>
      <c r="L691">
        <v>701000</v>
      </c>
      <c r="M691" t="s">
        <v>62</v>
      </c>
      <c r="N691" t="s">
        <v>33</v>
      </c>
      <c r="O691">
        <v>1795</v>
      </c>
      <c r="P691">
        <v>1.39</v>
      </c>
      <c r="Q691">
        <v>2.5</v>
      </c>
      <c r="R691" t="s">
        <v>1201</v>
      </c>
      <c r="S691" t="s">
        <v>195</v>
      </c>
    </row>
    <row r="692" spans="1:19" x14ac:dyDescent="0.3">
      <c r="A692" t="s">
        <v>700</v>
      </c>
      <c r="B692" t="s">
        <v>23</v>
      </c>
      <c r="C692">
        <v>2026</v>
      </c>
      <c r="D692">
        <v>1</v>
      </c>
      <c r="E692" s="2">
        <v>46047</v>
      </c>
      <c r="F692" t="s">
        <v>7</v>
      </c>
      <c r="G692" t="s">
        <v>8</v>
      </c>
      <c r="H692" t="s">
        <v>70</v>
      </c>
      <c r="I692" t="s">
        <v>77</v>
      </c>
      <c r="J692" t="s">
        <v>78</v>
      </c>
      <c r="K692" t="s">
        <v>73</v>
      </c>
      <c r="L692">
        <v>701000</v>
      </c>
      <c r="M692" t="s">
        <v>62</v>
      </c>
      <c r="N692" t="s">
        <v>33</v>
      </c>
      <c r="O692">
        <v>610</v>
      </c>
      <c r="P692">
        <v>1.8</v>
      </c>
      <c r="Q692">
        <v>1.1000000000000001</v>
      </c>
      <c r="R692" t="s">
        <v>1200</v>
      </c>
      <c r="S692" t="s">
        <v>195</v>
      </c>
    </row>
    <row r="693" spans="1:19" x14ac:dyDescent="0.3">
      <c r="A693" t="s">
        <v>701</v>
      </c>
      <c r="B693" t="s">
        <v>23</v>
      </c>
      <c r="C693">
        <v>2026</v>
      </c>
      <c r="D693">
        <v>1</v>
      </c>
      <c r="E693" s="2">
        <v>46047</v>
      </c>
      <c r="F693" t="s">
        <v>7</v>
      </c>
      <c r="G693" t="s">
        <v>8</v>
      </c>
      <c r="H693" t="s">
        <v>70</v>
      </c>
      <c r="I693" t="s">
        <v>77</v>
      </c>
      <c r="J693" t="s">
        <v>78</v>
      </c>
      <c r="K693" t="s">
        <v>73</v>
      </c>
      <c r="L693">
        <v>701000</v>
      </c>
      <c r="M693" t="s">
        <v>62</v>
      </c>
      <c r="N693" t="s">
        <v>33</v>
      </c>
      <c r="O693">
        <v>820</v>
      </c>
      <c r="P693">
        <v>1.8</v>
      </c>
      <c r="Q693">
        <v>1.48</v>
      </c>
      <c r="R693" t="s">
        <v>1197</v>
      </c>
      <c r="S693" t="s">
        <v>195</v>
      </c>
    </row>
    <row r="694" spans="1:19" x14ac:dyDescent="0.3">
      <c r="A694" t="s">
        <v>702</v>
      </c>
      <c r="B694" t="s">
        <v>23</v>
      </c>
      <c r="C694">
        <v>2026</v>
      </c>
      <c r="D694">
        <v>1</v>
      </c>
      <c r="E694" s="2">
        <v>46047</v>
      </c>
      <c r="F694" t="s">
        <v>7</v>
      </c>
      <c r="G694" t="s">
        <v>8</v>
      </c>
      <c r="H694" t="s">
        <v>70</v>
      </c>
      <c r="I694" t="s">
        <v>77</v>
      </c>
      <c r="J694" t="s">
        <v>78</v>
      </c>
      <c r="K694" t="s">
        <v>73</v>
      </c>
      <c r="L694">
        <v>701000</v>
      </c>
      <c r="M694" t="s">
        <v>62</v>
      </c>
      <c r="N694" t="s">
        <v>33</v>
      </c>
      <c r="O694">
        <v>529</v>
      </c>
      <c r="P694">
        <v>1.8</v>
      </c>
      <c r="Q694">
        <v>0.95</v>
      </c>
      <c r="R694" t="s">
        <v>1203</v>
      </c>
      <c r="S694" t="s">
        <v>195</v>
      </c>
    </row>
    <row r="695" spans="1:19" x14ac:dyDescent="0.3">
      <c r="A695" t="s">
        <v>703</v>
      </c>
      <c r="B695" t="s">
        <v>23</v>
      </c>
      <c r="C695">
        <v>2026</v>
      </c>
      <c r="D695">
        <v>1</v>
      </c>
      <c r="E695" s="2">
        <v>46047</v>
      </c>
      <c r="F695" t="s">
        <v>7</v>
      </c>
      <c r="G695" t="s">
        <v>8</v>
      </c>
      <c r="H695" t="s">
        <v>70</v>
      </c>
      <c r="I695" t="s">
        <v>77</v>
      </c>
      <c r="J695" t="s">
        <v>78</v>
      </c>
      <c r="K695" t="s">
        <v>73</v>
      </c>
      <c r="L695">
        <v>701000</v>
      </c>
      <c r="M695" t="s">
        <v>62</v>
      </c>
      <c r="N695" t="s">
        <v>33</v>
      </c>
      <c r="O695">
        <v>1679</v>
      </c>
      <c r="P695">
        <v>1.8</v>
      </c>
      <c r="Q695">
        <v>3.02</v>
      </c>
      <c r="R695" t="s">
        <v>1202</v>
      </c>
      <c r="S695" t="s">
        <v>195</v>
      </c>
    </row>
    <row r="696" spans="1:19" x14ac:dyDescent="0.3">
      <c r="A696" t="s">
        <v>704</v>
      </c>
      <c r="B696" t="s">
        <v>23</v>
      </c>
      <c r="C696">
        <v>2026</v>
      </c>
      <c r="D696">
        <v>1</v>
      </c>
      <c r="E696" s="2">
        <v>46047</v>
      </c>
      <c r="F696" t="s">
        <v>7</v>
      </c>
      <c r="G696" t="s">
        <v>8</v>
      </c>
      <c r="H696" t="s">
        <v>70</v>
      </c>
      <c r="I696" t="s">
        <v>77</v>
      </c>
      <c r="J696" t="s">
        <v>78</v>
      </c>
      <c r="K696" t="s">
        <v>73</v>
      </c>
      <c r="L696">
        <v>701000</v>
      </c>
      <c r="M696" t="s">
        <v>62</v>
      </c>
      <c r="N696" t="s">
        <v>33</v>
      </c>
      <c r="O696">
        <v>2858</v>
      </c>
      <c r="P696">
        <v>1.8</v>
      </c>
      <c r="Q696">
        <v>5.14</v>
      </c>
      <c r="R696" t="s">
        <v>1199</v>
      </c>
      <c r="S696" t="s">
        <v>195</v>
      </c>
    </row>
    <row r="697" spans="1:19" x14ac:dyDescent="0.3">
      <c r="A697" t="s">
        <v>730</v>
      </c>
      <c r="B697" t="s">
        <v>23</v>
      </c>
      <c r="C697">
        <v>2026</v>
      </c>
      <c r="D697">
        <v>1</v>
      </c>
      <c r="E697" s="2">
        <v>46047</v>
      </c>
      <c r="F697" t="s">
        <v>7</v>
      </c>
      <c r="G697" t="s">
        <v>8</v>
      </c>
      <c r="H697" t="s">
        <v>70</v>
      </c>
      <c r="I697" t="s">
        <v>77</v>
      </c>
      <c r="J697" t="s">
        <v>78</v>
      </c>
      <c r="K697" t="s">
        <v>73</v>
      </c>
      <c r="L697">
        <v>701000</v>
      </c>
      <c r="M697" t="s">
        <v>62</v>
      </c>
      <c r="N697" t="s">
        <v>33</v>
      </c>
      <c r="O697">
        <v>359</v>
      </c>
      <c r="P697">
        <v>1.81</v>
      </c>
      <c r="Q697">
        <v>0.65</v>
      </c>
      <c r="R697" t="s">
        <v>1205</v>
      </c>
      <c r="S697" t="s">
        <v>195</v>
      </c>
    </row>
    <row r="698" spans="1:19" x14ac:dyDescent="0.3">
      <c r="A698" t="s">
        <v>731</v>
      </c>
      <c r="B698" t="s">
        <v>23</v>
      </c>
      <c r="C698">
        <v>2026</v>
      </c>
      <c r="D698">
        <v>1</v>
      </c>
      <c r="E698" s="2">
        <v>46047</v>
      </c>
      <c r="F698" t="s">
        <v>7</v>
      </c>
      <c r="G698" t="s">
        <v>8</v>
      </c>
      <c r="H698" t="s">
        <v>70</v>
      </c>
      <c r="I698" t="s">
        <v>77</v>
      </c>
      <c r="J698" t="s">
        <v>78</v>
      </c>
      <c r="K698" t="s">
        <v>73</v>
      </c>
      <c r="L698">
        <v>701000</v>
      </c>
      <c r="M698" t="s">
        <v>62</v>
      </c>
      <c r="N698" t="s">
        <v>33</v>
      </c>
      <c r="O698">
        <v>1391</v>
      </c>
      <c r="P698">
        <v>1.8</v>
      </c>
      <c r="Q698">
        <v>2.5</v>
      </c>
      <c r="R698" t="s">
        <v>1198</v>
      </c>
      <c r="S698" t="s">
        <v>195</v>
      </c>
    </row>
    <row r="699" spans="1:19" x14ac:dyDescent="0.3">
      <c r="A699" t="s">
        <v>732</v>
      </c>
      <c r="B699" t="s">
        <v>23</v>
      </c>
      <c r="C699">
        <v>2026</v>
      </c>
      <c r="D699">
        <v>1</v>
      </c>
      <c r="E699" s="2">
        <v>46047</v>
      </c>
      <c r="F699" t="s">
        <v>7</v>
      </c>
      <c r="G699" t="s">
        <v>8</v>
      </c>
      <c r="H699" t="s">
        <v>70</v>
      </c>
      <c r="I699" t="s">
        <v>77</v>
      </c>
      <c r="J699" t="s">
        <v>78</v>
      </c>
      <c r="K699" t="s">
        <v>73</v>
      </c>
      <c r="L699">
        <v>701000</v>
      </c>
      <c r="M699" t="s">
        <v>62</v>
      </c>
      <c r="N699" t="s">
        <v>33</v>
      </c>
      <c r="O699">
        <v>2462</v>
      </c>
      <c r="P699">
        <v>1.8</v>
      </c>
      <c r="Q699">
        <v>4.43</v>
      </c>
      <c r="R699" t="s">
        <v>1197</v>
      </c>
      <c r="S699" t="s">
        <v>195</v>
      </c>
    </row>
    <row r="700" spans="1:19" x14ac:dyDescent="0.3">
      <c r="A700" t="s">
        <v>733</v>
      </c>
      <c r="B700" t="s">
        <v>23</v>
      </c>
      <c r="C700">
        <v>2026</v>
      </c>
      <c r="D700">
        <v>1</v>
      </c>
      <c r="E700" s="2">
        <v>46047</v>
      </c>
      <c r="F700" t="s">
        <v>7</v>
      </c>
      <c r="G700" t="s">
        <v>8</v>
      </c>
      <c r="H700" t="s">
        <v>70</v>
      </c>
      <c r="I700" t="s">
        <v>77</v>
      </c>
      <c r="J700" t="s">
        <v>78</v>
      </c>
      <c r="K700" t="s">
        <v>73</v>
      </c>
      <c r="L700">
        <v>701000</v>
      </c>
      <c r="M700" t="s">
        <v>62</v>
      </c>
      <c r="N700" t="s">
        <v>33</v>
      </c>
      <c r="O700">
        <v>766</v>
      </c>
      <c r="P700">
        <v>1.8</v>
      </c>
      <c r="Q700">
        <v>1.38</v>
      </c>
      <c r="R700" t="s">
        <v>1203</v>
      </c>
      <c r="S700" t="s">
        <v>195</v>
      </c>
    </row>
    <row r="701" spans="1:19" x14ac:dyDescent="0.3">
      <c r="A701" t="s">
        <v>734</v>
      </c>
      <c r="B701" t="s">
        <v>23</v>
      </c>
      <c r="C701">
        <v>2026</v>
      </c>
      <c r="D701">
        <v>1</v>
      </c>
      <c r="E701" s="2">
        <v>46047</v>
      </c>
      <c r="F701" t="s">
        <v>7</v>
      </c>
      <c r="G701" t="s">
        <v>8</v>
      </c>
      <c r="H701" t="s">
        <v>70</v>
      </c>
      <c r="I701" t="s">
        <v>77</v>
      </c>
      <c r="J701" t="s">
        <v>78</v>
      </c>
      <c r="K701" t="s">
        <v>73</v>
      </c>
      <c r="L701">
        <v>701000</v>
      </c>
      <c r="M701" t="s">
        <v>62</v>
      </c>
      <c r="N701" t="s">
        <v>33</v>
      </c>
      <c r="O701">
        <v>1658</v>
      </c>
      <c r="P701">
        <v>1.8</v>
      </c>
      <c r="Q701">
        <v>2.98</v>
      </c>
      <c r="R701" t="s">
        <v>1201</v>
      </c>
      <c r="S701" t="s">
        <v>195</v>
      </c>
    </row>
    <row r="702" spans="1:19" x14ac:dyDescent="0.3">
      <c r="A702" t="s">
        <v>775</v>
      </c>
      <c r="B702" t="s">
        <v>23</v>
      </c>
      <c r="C702">
        <v>2026</v>
      </c>
      <c r="D702">
        <v>1</v>
      </c>
      <c r="E702" s="2">
        <v>46047</v>
      </c>
      <c r="F702" t="s">
        <v>7</v>
      </c>
      <c r="G702" t="s">
        <v>8</v>
      </c>
      <c r="H702" t="s">
        <v>74</v>
      </c>
      <c r="I702" t="s">
        <v>79</v>
      </c>
      <c r="J702" t="s">
        <v>80</v>
      </c>
      <c r="K702" t="s">
        <v>73</v>
      </c>
      <c r="L702">
        <v>706000</v>
      </c>
      <c r="M702" t="s">
        <v>63</v>
      </c>
      <c r="N702" t="s">
        <v>33</v>
      </c>
      <c r="O702">
        <v>1484</v>
      </c>
      <c r="P702">
        <v>2.6</v>
      </c>
      <c r="Q702">
        <v>3.86</v>
      </c>
      <c r="R702" t="s">
        <v>1201</v>
      </c>
      <c r="S702" t="s">
        <v>195</v>
      </c>
    </row>
    <row r="703" spans="1:19" x14ac:dyDescent="0.3">
      <c r="A703" t="s">
        <v>776</v>
      </c>
      <c r="B703" t="s">
        <v>23</v>
      </c>
      <c r="C703">
        <v>2026</v>
      </c>
      <c r="D703">
        <v>1</v>
      </c>
      <c r="E703" s="2">
        <v>46047</v>
      </c>
      <c r="F703" t="s">
        <v>7</v>
      </c>
      <c r="G703" t="s">
        <v>8</v>
      </c>
      <c r="H703" t="s">
        <v>74</v>
      </c>
      <c r="I703" t="s">
        <v>79</v>
      </c>
      <c r="J703" t="s">
        <v>80</v>
      </c>
      <c r="K703" t="s">
        <v>73</v>
      </c>
      <c r="L703">
        <v>706000</v>
      </c>
      <c r="M703" t="s">
        <v>63</v>
      </c>
      <c r="N703" t="s">
        <v>33</v>
      </c>
      <c r="O703">
        <v>3589</v>
      </c>
      <c r="P703">
        <v>2.6</v>
      </c>
      <c r="Q703">
        <v>9.33</v>
      </c>
      <c r="R703" t="s">
        <v>1203</v>
      </c>
      <c r="S703" t="s">
        <v>195</v>
      </c>
    </row>
    <row r="704" spans="1:19" x14ac:dyDescent="0.3">
      <c r="A704" t="s">
        <v>777</v>
      </c>
      <c r="B704" t="s">
        <v>23</v>
      </c>
      <c r="C704">
        <v>2026</v>
      </c>
      <c r="D704">
        <v>1</v>
      </c>
      <c r="E704" s="2">
        <v>46047</v>
      </c>
      <c r="F704" t="s">
        <v>7</v>
      </c>
      <c r="G704" t="s">
        <v>8</v>
      </c>
      <c r="H704" t="s">
        <v>74</v>
      </c>
      <c r="I704" t="s">
        <v>79</v>
      </c>
      <c r="J704" t="s">
        <v>80</v>
      </c>
      <c r="K704" t="s">
        <v>73</v>
      </c>
      <c r="L704">
        <v>706000</v>
      </c>
      <c r="M704" t="s">
        <v>63</v>
      </c>
      <c r="N704" t="s">
        <v>33</v>
      </c>
      <c r="O704">
        <v>1198</v>
      </c>
      <c r="P704">
        <v>2.6</v>
      </c>
      <c r="Q704">
        <v>3.12</v>
      </c>
      <c r="R704" t="s">
        <v>1205</v>
      </c>
      <c r="S704" t="s">
        <v>195</v>
      </c>
    </row>
    <row r="705" spans="1:19" x14ac:dyDescent="0.3">
      <c r="A705" t="s">
        <v>778</v>
      </c>
      <c r="B705" t="s">
        <v>23</v>
      </c>
      <c r="C705">
        <v>2026</v>
      </c>
      <c r="D705">
        <v>1</v>
      </c>
      <c r="E705" s="2">
        <v>46047</v>
      </c>
      <c r="F705" t="s">
        <v>7</v>
      </c>
      <c r="G705" t="s">
        <v>8</v>
      </c>
      <c r="H705" t="s">
        <v>74</v>
      </c>
      <c r="I705" t="s">
        <v>79</v>
      </c>
      <c r="J705" t="s">
        <v>80</v>
      </c>
      <c r="K705" t="s">
        <v>73</v>
      </c>
      <c r="L705">
        <v>706000</v>
      </c>
      <c r="M705" t="s">
        <v>63</v>
      </c>
      <c r="N705" t="s">
        <v>33</v>
      </c>
      <c r="O705">
        <v>755</v>
      </c>
      <c r="P705">
        <v>2.6</v>
      </c>
      <c r="Q705">
        <v>1.96</v>
      </c>
      <c r="R705" t="s">
        <v>1202</v>
      </c>
      <c r="S705" t="s">
        <v>195</v>
      </c>
    </row>
    <row r="706" spans="1:19" x14ac:dyDescent="0.3">
      <c r="A706" t="s">
        <v>779</v>
      </c>
      <c r="B706" t="s">
        <v>23</v>
      </c>
      <c r="C706">
        <v>2026</v>
      </c>
      <c r="D706">
        <v>1</v>
      </c>
      <c r="E706" s="2">
        <v>46047</v>
      </c>
      <c r="F706" t="s">
        <v>7</v>
      </c>
      <c r="G706" t="s">
        <v>8</v>
      </c>
      <c r="H706" t="s">
        <v>74</v>
      </c>
      <c r="I706" t="s">
        <v>79</v>
      </c>
      <c r="J706" t="s">
        <v>80</v>
      </c>
      <c r="K706" t="s">
        <v>73</v>
      </c>
      <c r="L706">
        <v>706000</v>
      </c>
      <c r="M706" t="s">
        <v>63</v>
      </c>
      <c r="N706" t="s">
        <v>33</v>
      </c>
      <c r="O706">
        <v>1282</v>
      </c>
      <c r="P706">
        <v>2.6</v>
      </c>
      <c r="Q706">
        <v>3.33</v>
      </c>
      <c r="R706" t="s">
        <v>1199</v>
      </c>
      <c r="S706" t="s">
        <v>195</v>
      </c>
    </row>
    <row r="707" spans="1:19" x14ac:dyDescent="0.3">
      <c r="A707" t="s">
        <v>815</v>
      </c>
      <c r="B707" t="s">
        <v>23</v>
      </c>
      <c r="C707">
        <v>2026</v>
      </c>
      <c r="D707">
        <v>1</v>
      </c>
      <c r="E707" s="2">
        <v>46047</v>
      </c>
      <c r="F707" t="s">
        <v>7</v>
      </c>
      <c r="G707" t="s">
        <v>8</v>
      </c>
      <c r="H707" t="s">
        <v>74</v>
      </c>
      <c r="I707" t="s">
        <v>79</v>
      </c>
      <c r="J707" t="s">
        <v>80</v>
      </c>
      <c r="K707" t="s">
        <v>73</v>
      </c>
      <c r="L707">
        <v>701000</v>
      </c>
      <c r="M707" t="s">
        <v>62</v>
      </c>
      <c r="N707" t="s">
        <v>33</v>
      </c>
      <c r="O707">
        <v>2401</v>
      </c>
      <c r="P707">
        <v>2.6</v>
      </c>
      <c r="Q707">
        <v>6.24</v>
      </c>
      <c r="R707" t="s">
        <v>1200</v>
      </c>
      <c r="S707" t="s">
        <v>195</v>
      </c>
    </row>
    <row r="708" spans="1:19" x14ac:dyDescent="0.3">
      <c r="A708" t="s">
        <v>816</v>
      </c>
      <c r="B708" t="s">
        <v>23</v>
      </c>
      <c r="C708">
        <v>2026</v>
      </c>
      <c r="D708">
        <v>1</v>
      </c>
      <c r="E708" s="2">
        <v>46047</v>
      </c>
      <c r="F708" t="s">
        <v>7</v>
      </c>
      <c r="G708" t="s">
        <v>8</v>
      </c>
      <c r="H708" t="s">
        <v>74</v>
      </c>
      <c r="I708" t="s">
        <v>79</v>
      </c>
      <c r="J708" t="s">
        <v>80</v>
      </c>
      <c r="K708" t="s">
        <v>73</v>
      </c>
      <c r="L708">
        <v>701000</v>
      </c>
      <c r="M708" t="s">
        <v>62</v>
      </c>
      <c r="N708" t="s">
        <v>33</v>
      </c>
      <c r="O708">
        <v>1201</v>
      </c>
      <c r="P708">
        <v>2.6</v>
      </c>
      <c r="Q708">
        <v>3.12</v>
      </c>
      <c r="R708" t="s">
        <v>1203</v>
      </c>
      <c r="S708" t="s">
        <v>195</v>
      </c>
    </row>
    <row r="709" spans="1:19" x14ac:dyDescent="0.3">
      <c r="A709" t="s">
        <v>817</v>
      </c>
      <c r="B709" t="s">
        <v>23</v>
      </c>
      <c r="C709">
        <v>2026</v>
      </c>
      <c r="D709">
        <v>1</v>
      </c>
      <c r="E709" s="2">
        <v>46047</v>
      </c>
      <c r="F709" t="s">
        <v>7</v>
      </c>
      <c r="G709" t="s">
        <v>8</v>
      </c>
      <c r="H709" t="s">
        <v>74</v>
      </c>
      <c r="I709" t="s">
        <v>79</v>
      </c>
      <c r="J709" t="s">
        <v>80</v>
      </c>
      <c r="K709" t="s">
        <v>73</v>
      </c>
      <c r="L709">
        <v>701000</v>
      </c>
      <c r="M709" t="s">
        <v>62</v>
      </c>
      <c r="N709" t="s">
        <v>33</v>
      </c>
      <c r="O709">
        <v>1823</v>
      </c>
      <c r="P709">
        <v>2.6</v>
      </c>
      <c r="Q709">
        <v>4.74</v>
      </c>
      <c r="R709" t="s">
        <v>1197</v>
      </c>
      <c r="S709" t="s">
        <v>195</v>
      </c>
    </row>
    <row r="710" spans="1:19" x14ac:dyDescent="0.3">
      <c r="A710" t="s">
        <v>818</v>
      </c>
      <c r="B710" t="s">
        <v>23</v>
      </c>
      <c r="C710">
        <v>2026</v>
      </c>
      <c r="D710">
        <v>1</v>
      </c>
      <c r="E710" s="2">
        <v>46047</v>
      </c>
      <c r="F710" t="s">
        <v>7</v>
      </c>
      <c r="G710" t="s">
        <v>8</v>
      </c>
      <c r="H710" t="s">
        <v>74</v>
      </c>
      <c r="I710" t="s">
        <v>79</v>
      </c>
      <c r="J710" t="s">
        <v>80</v>
      </c>
      <c r="K710" t="s">
        <v>73</v>
      </c>
      <c r="L710">
        <v>701000</v>
      </c>
      <c r="M710" t="s">
        <v>62</v>
      </c>
      <c r="N710" t="s">
        <v>33</v>
      </c>
      <c r="O710">
        <v>792</v>
      </c>
      <c r="P710">
        <v>2.6</v>
      </c>
      <c r="Q710">
        <v>2.06</v>
      </c>
      <c r="R710" t="s">
        <v>1199</v>
      </c>
      <c r="S710" t="s">
        <v>195</v>
      </c>
    </row>
    <row r="711" spans="1:19" x14ac:dyDescent="0.3">
      <c r="A711" t="s">
        <v>819</v>
      </c>
      <c r="B711" t="s">
        <v>23</v>
      </c>
      <c r="C711">
        <v>2026</v>
      </c>
      <c r="D711">
        <v>1</v>
      </c>
      <c r="E711" s="2">
        <v>46047</v>
      </c>
      <c r="F711" t="s">
        <v>7</v>
      </c>
      <c r="G711" t="s">
        <v>8</v>
      </c>
      <c r="H711" t="s">
        <v>74</v>
      </c>
      <c r="I711" t="s">
        <v>79</v>
      </c>
      <c r="J711" t="s">
        <v>80</v>
      </c>
      <c r="K711" t="s">
        <v>73</v>
      </c>
      <c r="L711">
        <v>701000</v>
      </c>
      <c r="M711" t="s">
        <v>62</v>
      </c>
      <c r="N711" t="s">
        <v>33</v>
      </c>
      <c r="O711">
        <v>1877</v>
      </c>
      <c r="P711">
        <v>2.6</v>
      </c>
      <c r="Q711">
        <v>4.88</v>
      </c>
      <c r="R711" t="s">
        <v>1204</v>
      </c>
      <c r="S711" t="s">
        <v>195</v>
      </c>
    </row>
    <row r="712" spans="1:19" x14ac:dyDescent="0.3">
      <c r="A712" t="s">
        <v>855</v>
      </c>
      <c r="B712" t="s">
        <v>23</v>
      </c>
      <c r="C712">
        <v>2026</v>
      </c>
      <c r="D712">
        <v>1</v>
      </c>
      <c r="E712" s="2">
        <v>46047</v>
      </c>
      <c r="F712" t="s">
        <v>7</v>
      </c>
      <c r="G712" t="s">
        <v>8</v>
      </c>
      <c r="H712" t="s">
        <v>70</v>
      </c>
      <c r="I712" t="s">
        <v>79</v>
      </c>
      <c r="J712" t="s">
        <v>80</v>
      </c>
      <c r="K712" t="s">
        <v>73</v>
      </c>
      <c r="L712">
        <v>701000</v>
      </c>
      <c r="M712" t="s">
        <v>62</v>
      </c>
      <c r="N712" t="s">
        <v>33</v>
      </c>
      <c r="O712">
        <v>699</v>
      </c>
      <c r="P712">
        <v>2.6</v>
      </c>
      <c r="Q712">
        <v>1.82</v>
      </c>
      <c r="R712" t="s">
        <v>1198</v>
      </c>
      <c r="S712" t="s">
        <v>195</v>
      </c>
    </row>
    <row r="713" spans="1:19" x14ac:dyDescent="0.3">
      <c r="A713" t="s">
        <v>856</v>
      </c>
      <c r="B713" t="s">
        <v>23</v>
      </c>
      <c r="C713">
        <v>2026</v>
      </c>
      <c r="D713">
        <v>1</v>
      </c>
      <c r="E713" s="2">
        <v>46047</v>
      </c>
      <c r="F713" t="s">
        <v>7</v>
      </c>
      <c r="G713" t="s">
        <v>8</v>
      </c>
      <c r="H713" t="s">
        <v>70</v>
      </c>
      <c r="I713" t="s">
        <v>79</v>
      </c>
      <c r="J713" t="s">
        <v>80</v>
      </c>
      <c r="K713" t="s">
        <v>73</v>
      </c>
      <c r="L713">
        <v>701000</v>
      </c>
      <c r="M713" t="s">
        <v>62</v>
      </c>
      <c r="N713" t="s">
        <v>33</v>
      </c>
      <c r="O713">
        <v>2545</v>
      </c>
      <c r="P713">
        <v>2.6</v>
      </c>
      <c r="Q713">
        <v>6.62</v>
      </c>
      <c r="R713" t="s">
        <v>1201</v>
      </c>
      <c r="S713" t="s">
        <v>195</v>
      </c>
    </row>
    <row r="714" spans="1:19" x14ac:dyDescent="0.3">
      <c r="A714" t="s">
        <v>857</v>
      </c>
      <c r="B714" t="s">
        <v>23</v>
      </c>
      <c r="C714">
        <v>2026</v>
      </c>
      <c r="D714">
        <v>1</v>
      </c>
      <c r="E714" s="2">
        <v>46047</v>
      </c>
      <c r="F714" t="s">
        <v>7</v>
      </c>
      <c r="G714" t="s">
        <v>8</v>
      </c>
      <c r="H714" t="s">
        <v>70</v>
      </c>
      <c r="I714" t="s">
        <v>79</v>
      </c>
      <c r="J714" t="s">
        <v>80</v>
      </c>
      <c r="K714" t="s">
        <v>73</v>
      </c>
      <c r="L714">
        <v>701000</v>
      </c>
      <c r="M714" t="s">
        <v>62</v>
      </c>
      <c r="N714" t="s">
        <v>33</v>
      </c>
      <c r="O714">
        <v>594</v>
      </c>
      <c r="P714">
        <v>2.59</v>
      </c>
      <c r="Q714">
        <v>1.54</v>
      </c>
      <c r="R714" t="s">
        <v>1205</v>
      </c>
      <c r="S714" t="s">
        <v>195</v>
      </c>
    </row>
    <row r="715" spans="1:19" x14ac:dyDescent="0.3">
      <c r="A715" t="s">
        <v>858</v>
      </c>
      <c r="B715" t="s">
        <v>23</v>
      </c>
      <c r="C715">
        <v>2026</v>
      </c>
      <c r="D715">
        <v>1</v>
      </c>
      <c r="E715" s="2">
        <v>46047</v>
      </c>
      <c r="F715" t="s">
        <v>7</v>
      </c>
      <c r="G715" t="s">
        <v>8</v>
      </c>
      <c r="H715" t="s">
        <v>70</v>
      </c>
      <c r="I715" t="s">
        <v>79</v>
      </c>
      <c r="J715" t="s">
        <v>80</v>
      </c>
      <c r="K715" t="s">
        <v>73</v>
      </c>
      <c r="L715">
        <v>701000</v>
      </c>
      <c r="M715" t="s">
        <v>62</v>
      </c>
      <c r="N715" t="s">
        <v>33</v>
      </c>
      <c r="O715">
        <v>1877</v>
      </c>
      <c r="P715">
        <v>2.6</v>
      </c>
      <c r="Q715">
        <v>4.88</v>
      </c>
      <c r="R715" t="s">
        <v>1200</v>
      </c>
      <c r="S715" t="s">
        <v>195</v>
      </c>
    </row>
    <row r="716" spans="1:19" x14ac:dyDescent="0.3">
      <c r="A716" t="s">
        <v>859</v>
      </c>
      <c r="B716" t="s">
        <v>23</v>
      </c>
      <c r="C716">
        <v>2026</v>
      </c>
      <c r="D716">
        <v>1</v>
      </c>
      <c r="E716" s="2">
        <v>46047</v>
      </c>
      <c r="F716" t="s">
        <v>7</v>
      </c>
      <c r="G716" t="s">
        <v>8</v>
      </c>
      <c r="H716" t="s">
        <v>70</v>
      </c>
      <c r="I716" t="s">
        <v>79</v>
      </c>
      <c r="J716" t="s">
        <v>80</v>
      </c>
      <c r="K716" t="s">
        <v>73</v>
      </c>
      <c r="L716">
        <v>701000</v>
      </c>
      <c r="M716" t="s">
        <v>62</v>
      </c>
      <c r="N716" t="s">
        <v>33</v>
      </c>
      <c r="O716">
        <v>1370</v>
      </c>
      <c r="P716">
        <v>2.6</v>
      </c>
      <c r="Q716">
        <v>3.56</v>
      </c>
      <c r="R716" t="s">
        <v>1204</v>
      </c>
      <c r="S716" t="s">
        <v>195</v>
      </c>
    </row>
    <row r="717" spans="1:19" x14ac:dyDescent="0.3">
      <c r="A717" t="s">
        <v>980</v>
      </c>
      <c r="B717" t="s">
        <v>23</v>
      </c>
      <c r="C717">
        <v>2026</v>
      </c>
      <c r="D717">
        <v>1</v>
      </c>
      <c r="E717" s="2">
        <v>46047</v>
      </c>
      <c r="F717" t="s">
        <v>7</v>
      </c>
      <c r="G717" t="s">
        <v>8</v>
      </c>
      <c r="H717" t="s">
        <v>74</v>
      </c>
      <c r="I717" t="s">
        <v>82</v>
      </c>
      <c r="J717" t="s">
        <v>83</v>
      </c>
      <c r="K717" t="s">
        <v>73</v>
      </c>
      <c r="L717">
        <v>701000</v>
      </c>
      <c r="M717" t="s">
        <v>62</v>
      </c>
      <c r="N717" t="s">
        <v>33</v>
      </c>
      <c r="O717">
        <v>202</v>
      </c>
      <c r="P717">
        <v>18.510000000000002</v>
      </c>
      <c r="Q717">
        <v>3.74</v>
      </c>
      <c r="R717" t="s">
        <v>1201</v>
      </c>
      <c r="S717" t="s">
        <v>195</v>
      </c>
    </row>
    <row r="718" spans="1:19" x14ac:dyDescent="0.3">
      <c r="A718" t="s">
        <v>981</v>
      </c>
      <c r="B718" t="s">
        <v>23</v>
      </c>
      <c r="C718">
        <v>2026</v>
      </c>
      <c r="D718">
        <v>1</v>
      </c>
      <c r="E718" s="2">
        <v>46047</v>
      </c>
      <c r="F718" t="s">
        <v>7</v>
      </c>
      <c r="G718" t="s">
        <v>8</v>
      </c>
      <c r="H718" t="s">
        <v>74</v>
      </c>
      <c r="I718" t="s">
        <v>82</v>
      </c>
      <c r="J718" t="s">
        <v>83</v>
      </c>
      <c r="K718" t="s">
        <v>73</v>
      </c>
      <c r="L718">
        <v>701000</v>
      </c>
      <c r="M718" t="s">
        <v>62</v>
      </c>
      <c r="N718" t="s">
        <v>33</v>
      </c>
      <c r="O718">
        <v>101</v>
      </c>
      <c r="P718">
        <v>18.420000000000002</v>
      </c>
      <c r="Q718">
        <v>1.86</v>
      </c>
      <c r="R718" t="s">
        <v>1200</v>
      </c>
      <c r="S718" t="s">
        <v>195</v>
      </c>
    </row>
    <row r="719" spans="1:19" x14ac:dyDescent="0.3">
      <c r="A719" t="s">
        <v>982</v>
      </c>
      <c r="B719" t="s">
        <v>23</v>
      </c>
      <c r="C719">
        <v>2026</v>
      </c>
      <c r="D719">
        <v>1</v>
      </c>
      <c r="E719" s="2">
        <v>46047</v>
      </c>
      <c r="F719" t="s">
        <v>7</v>
      </c>
      <c r="G719" t="s">
        <v>8</v>
      </c>
      <c r="H719" t="s">
        <v>74</v>
      </c>
      <c r="I719" t="s">
        <v>82</v>
      </c>
      <c r="J719" t="s">
        <v>83</v>
      </c>
      <c r="K719" t="s">
        <v>73</v>
      </c>
      <c r="L719">
        <v>701000</v>
      </c>
      <c r="M719" t="s">
        <v>62</v>
      </c>
      <c r="N719" t="s">
        <v>33</v>
      </c>
      <c r="O719">
        <v>171</v>
      </c>
      <c r="P719">
        <v>18.54</v>
      </c>
      <c r="Q719">
        <v>3.17</v>
      </c>
      <c r="R719" t="s">
        <v>1204</v>
      </c>
      <c r="S719" t="s">
        <v>195</v>
      </c>
    </row>
    <row r="720" spans="1:19" x14ac:dyDescent="0.3">
      <c r="A720" t="s">
        <v>983</v>
      </c>
      <c r="B720" t="s">
        <v>23</v>
      </c>
      <c r="C720">
        <v>2026</v>
      </c>
      <c r="D720">
        <v>1</v>
      </c>
      <c r="E720" s="2">
        <v>46047</v>
      </c>
      <c r="F720" t="s">
        <v>7</v>
      </c>
      <c r="G720" t="s">
        <v>8</v>
      </c>
      <c r="H720" t="s">
        <v>74</v>
      </c>
      <c r="I720" t="s">
        <v>82</v>
      </c>
      <c r="J720" t="s">
        <v>83</v>
      </c>
      <c r="K720" t="s">
        <v>73</v>
      </c>
      <c r="L720">
        <v>701000</v>
      </c>
      <c r="M720" t="s">
        <v>62</v>
      </c>
      <c r="N720" t="s">
        <v>33</v>
      </c>
      <c r="O720">
        <v>91</v>
      </c>
      <c r="P720">
        <v>18.46</v>
      </c>
      <c r="Q720">
        <v>1.68</v>
      </c>
      <c r="R720" t="s">
        <v>1203</v>
      </c>
      <c r="S720" t="s">
        <v>195</v>
      </c>
    </row>
    <row r="721" spans="1:19" x14ac:dyDescent="0.3">
      <c r="A721" t="s">
        <v>984</v>
      </c>
      <c r="B721" t="s">
        <v>23</v>
      </c>
      <c r="C721">
        <v>2026</v>
      </c>
      <c r="D721">
        <v>1</v>
      </c>
      <c r="E721" s="2">
        <v>46047</v>
      </c>
      <c r="F721" t="s">
        <v>7</v>
      </c>
      <c r="G721" t="s">
        <v>8</v>
      </c>
      <c r="H721" t="s">
        <v>74</v>
      </c>
      <c r="I721" t="s">
        <v>82</v>
      </c>
      <c r="J721" t="s">
        <v>83</v>
      </c>
      <c r="K721" t="s">
        <v>73</v>
      </c>
      <c r="L721">
        <v>701000</v>
      </c>
      <c r="M721" t="s">
        <v>62</v>
      </c>
      <c r="N721" t="s">
        <v>33</v>
      </c>
      <c r="O721">
        <v>316</v>
      </c>
      <c r="P721">
        <v>18.54</v>
      </c>
      <c r="Q721">
        <v>5.86</v>
      </c>
      <c r="R721" t="s">
        <v>1198</v>
      </c>
      <c r="S721" t="s">
        <v>195</v>
      </c>
    </row>
    <row r="722" spans="1:19" x14ac:dyDescent="0.3">
      <c r="A722" t="s">
        <v>370</v>
      </c>
      <c r="B722" t="s">
        <v>23</v>
      </c>
      <c r="C722">
        <v>2026</v>
      </c>
      <c r="D722">
        <v>1</v>
      </c>
      <c r="E722" s="2">
        <v>46048</v>
      </c>
      <c r="F722" t="s">
        <v>7</v>
      </c>
      <c r="G722" t="s">
        <v>8</v>
      </c>
      <c r="H722" t="s">
        <v>70</v>
      </c>
      <c r="I722" t="s">
        <v>71</v>
      </c>
      <c r="J722" t="s">
        <v>72</v>
      </c>
      <c r="K722" t="s">
        <v>73</v>
      </c>
      <c r="L722">
        <v>701000</v>
      </c>
      <c r="M722" t="s">
        <v>62</v>
      </c>
      <c r="N722" t="s">
        <v>33</v>
      </c>
      <c r="O722">
        <v>1258</v>
      </c>
      <c r="P722">
        <v>1.05</v>
      </c>
      <c r="Q722">
        <v>1.32</v>
      </c>
      <c r="R722" t="s">
        <v>1202</v>
      </c>
      <c r="S722" t="s">
        <v>195</v>
      </c>
    </row>
    <row r="723" spans="1:19" x14ac:dyDescent="0.3">
      <c r="A723" t="s">
        <v>371</v>
      </c>
      <c r="B723" t="s">
        <v>23</v>
      </c>
      <c r="C723">
        <v>2026</v>
      </c>
      <c r="D723">
        <v>1</v>
      </c>
      <c r="E723" s="2">
        <v>46048</v>
      </c>
      <c r="F723" t="s">
        <v>7</v>
      </c>
      <c r="G723" t="s">
        <v>8</v>
      </c>
      <c r="H723" t="s">
        <v>70</v>
      </c>
      <c r="I723" t="s">
        <v>71</v>
      </c>
      <c r="J723" t="s">
        <v>72</v>
      </c>
      <c r="K723" t="s">
        <v>73</v>
      </c>
      <c r="L723">
        <v>701000</v>
      </c>
      <c r="M723" t="s">
        <v>62</v>
      </c>
      <c r="N723" t="s">
        <v>33</v>
      </c>
      <c r="O723">
        <v>2498</v>
      </c>
      <c r="P723">
        <v>1.05</v>
      </c>
      <c r="Q723">
        <v>2.62</v>
      </c>
      <c r="R723" t="s">
        <v>1198</v>
      </c>
      <c r="S723" t="s">
        <v>195</v>
      </c>
    </row>
    <row r="724" spans="1:19" x14ac:dyDescent="0.3">
      <c r="A724" t="s">
        <v>372</v>
      </c>
      <c r="B724" t="s">
        <v>23</v>
      </c>
      <c r="C724">
        <v>2026</v>
      </c>
      <c r="D724">
        <v>1</v>
      </c>
      <c r="E724" s="2">
        <v>46048</v>
      </c>
      <c r="F724" t="s">
        <v>7</v>
      </c>
      <c r="G724" t="s">
        <v>8</v>
      </c>
      <c r="H724" t="s">
        <v>70</v>
      </c>
      <c r="I724" t="s">
        <v>71</v>
      </c>
      <c r="J724" t="s">
        <v>72</v>
      </c>
      <c r="K724" t="s">
        <v>73</v>
      </c>
      <c r="L724">
        <v>701000</v>
      </c>
      <c r="M724" t="s">
        <v>62</v>
      </c>
      <c r="N724" t="s">
        <v>33</v>
      </c>
      <c r="O724">
        <v>1204</v>
      </c>
      <c r="P724">
        <v>1.05</v>
      </c>
      <c r="Q724">
        <v>1.27</v>
      </c>
      <c r="R724" t="s">
        <v>1199</v>
      </c>
      <c r="S724" t="s">
        <v>195</v>
      </c>
    </row>
    <row r="725" spans="1:19" x14ac:dyDescent="0.3">
      <c r="A725" t="s">
        <v>373</v>
      </c>
      <c r="B725" t="s">
        <v>23</v>
      </c>
      <c r="C725">
        <v>2026</v>
      </c>
      <c r="D725">
        <v>1</v>
      </c>
      <c r="E725" s="2">
        <v>46048</v>
      </c>
      <c r="F725" t="s">
        <v>7</v>
      </c>
      <c r="G725" t="s">
        <v>8</v>
      </c>
      <c r="H725" t="s">
        <v>70</v>
      </c>
      <c r="I725" t="s">
        <v>71</v>
      </c>
      <c r="J725" t="s">
        <v>72</v>
      </c>
      <c r="K725" t="s">
        <v>73</v>
      </c>
      <c r="L725">
        <v>701000</v>
      </c>
      <c r="M725" t="s">
        <v>62</v>
      </c>
      <c r="N725" t="s">
        <v>33</v>
      </c>
      <c r="O725">
        <v>1411</v>
      </c>
      <c r="P725">
        <v>1.05</v>
      </c>
      <c r="Q725">
        <v>1.48</v>
      </c>
      <c r="R725" t="s">
        <v>1204</v>
      </c>
      <c r="S725" t="s">
        <v>195</v>
      </c>
    </row>
    <row r="726" spans="1:19" x14ac:dyDescent="0.3">
      <c r="A726" t="s">
        <v>374</v>
      </c>
      <c r="B726" t="s">
        <v>23</v>
      </c>
      <c r="C726">
        <v>2026</v>
      </c>
      <c r="D726">
        <v>1</v>
      </c>
      <c r="E726" s="2">
        <v>46048</v>
      </c>
      <c r="F726" t="s">
        <v>7</v>
      </c>
      <c r="G726" t="s">
        <v>8</v>
      </c>
      <c r="H726" t="s">
        <v>70</v>
      </c>
      <c r="I726" t="s">
        <v>71</v>
      </c>
      <c r="J726" t="s">
        <v>72</v>
      </c>
      <c r="K726" t="s">
        <v>73</v>
      </c>
      <c r="L726">
        <v>701000</v>
      </c>
      <c r="M726" t="s">
        <v>62</v>
      </c>
      <c r="N726" t="s">
        <v>33</v>
      </c>
      <c r="O726">
        <v>1273</v>
      </c>
      <c r="P726">
        <v>1.05</v>
      </c>
      <c r="Q726">
        <v>1.34</v>
      </c>
      <c r="R726" t="s">
        <v>1200</v>
      </c>
      <c r="S726" t="s">
        <v>195</v>
      </c>
    </row>
    <row r="727" spans="1:19" x14ac:dyDescent="0.3">
      <c r="A727" t="s">
        <v>455</v>
      </c>
      <c r="B727" t="s">
        <v>23</v>
      </c>
      <c r="C727">
        <v>2026</v>
      </c>
      <c r="D727">
        <v>1</v>
      </c>
      <c r="E727" s="2">
        <v>46048</v>
      </c>
      <c r="F727" t="s">
        <v>7</v>
      </c>
      <c r="G727" t="s">
        <v>8</v>
      </c>
      <c r="H727" t="s">
        <v>70</v>
      </c>
      <c r="I727" t="s">
        <v>71</v>
      </c>
      <c r="J727" t="s">
        <v>72</v>
      </c>
      <c r="K727" t="s">
        <v>73</v>
      </c>
      <c r="L727">
        <v>701000</v>
      </c>
      <c r="M727" t="s">
        <v>62</v>
      </c>
      <c r="N727" t="s">
        <v>33</v>
      </c>
      <c r="O727">
        <v>1198</v>
      </c>
      <c r="P727">
        <v>1.05</v>
      </c>
      <c r="Q727">
        <v>1.26</v>
      </c>
      <c r="R727" t="s">
        <v>1202</v>
      </c>
      <c r="S727" t="s">
        <v>195</v>
      </c>
    </row>
    <row r="728" spans="1:19" x14ac:dyDescent="0.3">
      <c r="A728" t="s">
        <v>456</v>
      </c>
      <c r="B728" t="s">
        <v>23</v>
      </c>
      <c r="C728">
        <v>2026</v>
      </c>
      <c r="D728">
        <v>1</v>
      </c>
      <c r="E728" s="2">
        <v>46048</v>
      </c>
      <c r="F728" t="s">
        <v>7</v>
      </c>
      <c r="G728" t="s">
        <v>8</v>
      </c>
      <c r="H728" t="s">
        <v>70</v>
      </c>
      <c r="I728" t="s">
        <v>71</v>
      </c>
      <c r="J728" t="s">
        <v>72</v>
      </c>
      <c r="K728" t="s">
        <v>73</v>
      </c>
      <c r="L728">
        <v>701000</v>
      </c>
      <c r="M728" t="s">
        <v>62</v>
      </c>
      <c r="N728" t="s">
        <v>33</v>
      </c>
      <c r="O728">
        <v>535</v>
      </c>
      <c r="P728">
        <v>1.05</v>
      </c>
      <c r="Q728">
        <v>0.56000000000000005</v>
      </c>
      <c r="R728" t="s">
        <v>1200</v>
      </c>
      <c r="S728" t="s">
        <v>195</v>
      </c>
    </row>
    <row r="729" spans="1:19" x14ac:dyDescent="0.3">
      <c r="A729" t="s">
        <v>457</v>
      </c>
      <c r="B729" t="s">
        <v>23</v>
      </c>
      <c r="C729">
        <v>2026</v>
      </c>
      <c r="D729">
        <v>1</v>
      </c>
      <c r="E729" s="2">
        <v>46048</v>
      </c>
      <c r="F729" t="s">
        <v>7</v>
      </c>
      <c r="G729" t="s">
        <v>8</v>
      </c>
      <c r="H729" t="s">
        <v>70</v>
      </c>
      <c r="I729" t="s">
        <v>71</v>
      </c>
      <c r="J729" t="s">
        <v>72</v>
      </c>
      <c r="K729" t="s">
        <v>73</v>
      </c>
      <c r="L729">
        <v>701000</v>
      </c>
      <c r="M729" t="s">
        <v>62</v>
      </c>
      <c r="N729" t="s">
        <v>33</v>
      </c>
      <c r="O729">
        <v>5691</v>
      </c>
      <c r="P729">
        <v>1.05</v>
      </c>
      <c r="Q729">
        <v>5.97</v>
      </c>
      <c r="R729" t="s">
        <v>1203</v>
      </c>
      <c r="S729" t="s">
        <v>195</v>
      </c>
    </row>
    <row r="730" spans="1:19" x14ac:dyDescent="0.3">
      <c r="A730" t="s">
        <v>458</v>
      </c>
      <c r="B730" t="s">
        <v>23</v>
      </c>
      <c r="C730">
        <v>2026</v>
      </c>
      <c r="D730">
        <v>1</v>
      </c>
      <c r="E730" s="2">
        <v>46048</v>
      </c>
      <c r="F730" t="s">
        <v>7</v>
      </c>
      <c r="G730" t="s">
        <v>8</v>
      </c>
      <c r="H730" t="s">
        <v>70</v>
      </c>
      <c r="I730" t="s">
        <v>71</v>
      </c>
      <c r="J730" t="s">
        <v>72</v>
      </c>
      <c r="K730" t="s">
        <v>73</v>
      </c>
      <c r="L730">
        <v>701000</v>
      </c>
      <c r="M730" t="s">
        <v>62</v>
      </c>
      <c r="N730" t="s">
        <v>33</v>
      </c>
      <c r="O730">
        <v>384</v>
      </c>
      <c r="P730">
        <v>1.04</v>
      </c>
      <c r="Q730">
        <v>0.4</v>
      </c>
      <c r="R730" t="s">
        <v>1201</v>
      </c>
      <c r="S730" t="s">
        <v>195</v>
      </c>
    </row>
    <row r="731" spans="1:19" x14ac:dyDescent="0.3">
      <c r="A731" t="s">
        <v>459</v>
      </c>
      <c r="B731" t="s">
        <v>23</v>
      </c>
      <c r="C731">
        <v>2026</v>
      </c>
      <c r="D731">
        <v>1</v>
      </c>
      <c r="E731" s="2">
        <v>46048</v>
      </c>
      <c r="F731" t="s">
        <v>7</v>
      </c>
      <c r="G731" t="s">
        <v>8</v>
      </c>
      <c r="H731" t="s">
        <v>70</v>
      </c>
      <c r="I731" t="s">
        <v>71</v>
      </c>
      <c r="J731" t="s">
        <v>72</v>
      </c>
      <c r="K731" t="s">
        <v>73</v>
      </c>
      <c r="L731">
        <v>701000</v>
      </c>
      <c r="M731" t="s">
        <v>62</v>
      </c>
      <c r="N731" t="s">
        <v>33</v>
      </c>
      <c r="O731">
        <v>1214</v>
      </c>
      <c r="P731">
        <v>1.05</v>
      </c>
      <c r="Q731">
        <v>1.28</v>
      </c>
      <c r="R731" t="s">
        <v>1205</v>
      </c>
      <c r="S731" t="s">
        <v>195</v>
      </c>
    </row>
    <row r="732" spans="1:19" x14ac:dyDescent="0.3">
      <c r="A732" t="s">
        <v>590</v>
      </c>
      <c r="B732" t="s">
        <v>23</v>
      </c>
      <c r="C732">
        <v>2026</v>
      </c>
      <c r="D732">
        <v>1</v>
      </c>
      <c r="E732" s="2">
        <v>46048</v>
      </c>
      <c r="F732" t="s">
        <v>7</v>
      </c>
      <c r="G732" t="s">
        <v>8</v>
      </c>
      <c r="H732" t="s">
        <v>74</v>
      </c>
      <c r="I732" t="s">
        <v>75</v>
      </c>
      <c r="J732" t="s">
        <v>76</v>
      </c>
      <c r="K732" t="s">
        <v>73</v>
      </c>
      <c r="L732">
        <v>701000</v>
      </c>
      <c r="M732" t="s">
        <v>62</v>
      </c>
      <c r="N732" t="s">
        <v>33</v>
      </c>
      <c r="O732">
        <v>1825</v>
      </c>
      <c r="P732">
        <v>1.4</v>
      </c>
      <c r="Q732">
        <v>2.56</v>
      </c>
      <c r="R732" t="s">
        <v>1201</v>
      </c>
      <c r="S732" t="s">
        <v>195</v>
      </c>
    </row>
    <row r="733" spans="1:19" x14ac:dyDescent="0.3">
      <c r="A733" t="s">
        <v>591</v>
      </c>
      <c r="B733" t="s">
        <v>23</v>
      </c>
      <c r="C733">
        <v>2026</v>
      </c>
      <c r="D733">
        <v>1</v>
      </c>
      <c r="E733" s="2">
        <v>46048</v>
      </c>
      <c r="F733" t="s">
        <v>7</v>
      </c>
      <c r="G733" t="s">
        <v>8</v>
      </c>
      <c r="H733" t="s">
        <v>74</v>
      </c>
      <c r="I733" t="s">
        <v>75</v>
      </c>
      <c r="J733" t="s">
        <v>76</v>
      </c>
      <c r="K733" t="s">
        <v>73</v>
      </c>
      <c r="L733">
        <v>701000</v>
      </c>
      <c r="M733" t="s">
        <v>62</v>
      </c>
      <c r="N733" t="s">
        <v>33</v>
      </c>
      <c r="O733">
        <v>2230</v>
      </c>
      <c r="P733">
        <v>1.4</v>
      </c>
      <c r="Q733">
        <v>3.12</v>
      </c>
      <c r="R733" t="s">
        <v>1199</v>
      </c>
      <c r="S733" t="s">
        <v>195</v>
      </c>
    </row>
    <row r="734" spans="1:19" x14ac:dyDescent="0.3">
      <c r="A734" t="s">
        <v>592</v>
      </c>
      <c r="B734" t="s">
        <v>23</v>
      </c>
      <c r="C734">
        <v>2026</v>
      </c>
      <c r="D734">
        <v>1</v>
      </c>
      <c r="E734" s="2">
        <v>46048</v>
      </c>
      <c r="F734" t="s">
        <v>7</v>
      </c>
      <c r="G734" t="s">
        <v>8</v>
      </c>
      <c r="H734" t="s">
        <v>74</v>
      </c>
      <c r="I734" t="s">
        <v>75</v>
      </c>
      <c r="J734" t="s">
        <v>76</v>
      </c>
      <c r="K734" t="s">
        <v>73</v>
      </c>
      <c r="L734">
        <v>701000</v>
      </c>
      <c r="M734" t="s">
        <v>62</v>
      </c>
      <c r="N734" t="s">
        <v>33</v>
      </c>
      <c r="O734">
        <v>1011</v>
      </c>
      <c r="P734">
        <v>1.4</v>
      </c>
      <c r="Q734">
        <v>1.42</v>
      </c>
      <c r="R734" t="s">
        <v>1202</v>
      </c>
      <c r="S734" t="s">
        <v>195</v>
      </c>
    </row>
    <row r="735" spans="1:19" x14ac:dyDescent="0.3">
      <c r="A735" t="s">
        <v>593</v>
      </c>
      <c r="B735" t="s">
        <v>23</v>
      </c>
      <c r="C735">
        <v>2026</v>
      </c>
      <c r="D735">
        <v>1</v>
      </c>
      <c r="E735" s="2">
        <v>46048</v>
      </c>
      <c r="F735" t="s">
        <v>7</v>
      </c>
      <c r="G735" t="s">
        <v>8</v>
      </c>
      <c r="H735" t="s">
        <v>74</v>
      </c>
      <c r="I735" t="s">
        <v>75</v>
      </c>
      <c r="J735" t="s">
        <v>76</v>
      </c>
      <c r="K735" t="s">
        <v>73</v>
      </c>
      <c r="L735">
        <v>701000</v>
      </c>
      <c r="M735" t="s">
        <v>62</v>
      </c>
      <c r="N735" t="s">
        <v>33</v>
      </c>
      <c r="O735">
        <v>1008</v>
      </c>
      <c r="P735">
        <v>1.4</v>
      </c>
      <c r="Q735">
        <v>1.41</v>
      </c>
      <c r="R735" t="s">
        <v>1197</v>
      </c>
      <c r="S735" t="s">
        <v>195</v>
      </c>
    </row>
    <row r="736" spans="1:19" x14ac:dyDescent="0.3">
      <c r="A736" t="s">
        <v>594</v>
      </c>
      <c r="B736" t="s">
        <v>23</v>
      </c>
      <c r="C736">
        <v>2026</v>
      </c>
      <c r="D736">
        <v>1</v>
      </c>
      <c r="E736" s="2">
        <v>46048</v>
      </c>
      <c r="F736" t="s">
        <v>7</v>
      </c>
      <c r="G736" t="s">
        <v>8</v>
      </c>
      <c r="H736" t="s">
        <v>74</v>
      </c>
      <c r="I736" t="s">
        <v>75</v>
      </c>
      <c r="J736" t="s">
        <v>76</v>
      </c>
      <c r="K736" t="s">
        <v>73</v>
      </c>
      <c r="L736">
        <v>701000</v>
      </c>
      <c r="M736" t="s">
        <v>62</v>
      </c>
      <c r="N736" t="s">
        <v>33</v>
      </c>
      <c r="O736">
        <v>445</v>
      </c>
      <c r="P736">
        <v>1.39</v>
      </c>
      <c r="Q736">
        <v>0.62</v>
      </c>
      <c r="R736" t="s">
        <v>1204</v>
      </c>
      <c r="S736" t="s">
        <v>195</v>
      </c>
    </row>
    <row r="737" spans="1:19" x14ac:dyDescent="0.3">
      <c r="A737" t="s">
        <v>650</v>
      </c>
      <c r="B737" t="s">
        <v>23</v>
      </c>
      <c r="C737">
        <v>2026</v>
      </c>
      <c r="D737">
        <v>1</v>
      </c>
      <c r="E737" s="2">
        <v>46048</v>
      </c>
      <c r="F737" t="s">
        <v>7</v>
      </c>
      <c r="G737" t="s">
        <v>8</v>
      </c>
      <c r="H737" t="s">
        <v>74</v>
      </c>
      <c r="I737" t="s">
        <v>75</v>
      </c>
      <c r="J737" t="s">
        <v>76</v>
      </c>
      <c r="K737" t="s">
        <v>73</v>
      </c>
      <c r="L737">
        <v>701000</v>
      </c>
      <c r="M737" t="s">
        <v>62</v>
      </c>
      <c r="N737" t="s">
        <v>33</v>
      </c>
      <c r="O737">
        <v>1837</v>
      </c>
      <c r="P737">
        <v>1.4</v>
      </c>
      <c r="Q737">
        <v>2.57</v>
      </c>
      <c r="R737" t="s">
        <v>1204</v>
      </c>
      <c r="S737" t="s">
        <v>195</v>
      </c>
    </row>
    <row r="738" spans="1:19" x14ac:dyDescent="0.3">
      <c r="A738" t="s">
        <v>651</v>
      </c>
      <c r="B738" t="s">
        <v>23</v>
      </c>
      <c r="C738">
        <v>2026</v>
      </c>
      <c r="D738">
        <v>1</v>
      </c>
      <c r="E738" s="2">
        <v>46048</v>
      </c>
      <c r="F738" t="s">
        <v>7</v>
      </c>
      <c r="G738" t="s">
        <v>8</v>
      </c>
      <c r="H738" t="s">
        <v>74</v>
      </c>
      <c r="I738" t="s">
        <v>75</v>
      </c>
      <c r="J738" t="s">
        <v>76</v>
      </c>
      <c r="K738" t="s">
        <v>73</v>
      </c>
      <c r="L738">
        <v>701000</v>
      </c>
      <c r="M738" t="s">
        <v>62</v>
      </c>
      <c r="N738" t="s">
        <v>33</v>
      </c>
      <c r="O738">
        <v>1842</v>
      </c>
      <c r="P738">
        <v>1.4</v>
      </c>
      <c r="Q738">
        <v>2.58</v>
      </c>
      <c r="R738" t="s">
        <v>1197</v>
      </c>
      <c r="S738" t="s">
        <v>195</v>
      </c>
    </row>
    <row r="739" spans="1:19" x14ac:dyDescent="0.3">
      <c r="A739" t="s">
        <v>652</v>
      </c>
      <c r="B739" t="s">
        <v>23</v>
      </c>
      <c r="C739">
        <v>2026</v>
      </c>
      <c r="D739">
        <v>1</v>
      </c>
      <c r="E739" s="2">
        <v>46048</v>
      </c>
      <c r="F739" t="s">
        <v>7</v>
      </c>
      <c r="G739" t="s">
        <v>8</v>
      </c>
      <c r="H739" t="s">
        <v>74</v>
      </c>
      <c r="I739" t="s">
        <v>75</v>
      </c>
      <c r="J739" t="s">
        <v>76</v>
      </c>
      <c r="K739" t="s">
        <v>73</v>
      </c>
      <c r="L739">
        <v>701000</v>
      </c>
      <c r="M739" t="s">
        <v>62</v>
      </c>
      <c r="N739" t="s">
        <v>33</v>
      </c>
      <c r="O739">
        <v>690</v>
      </c>
      <c r="P739">
        <v>1.41</v>
      </c>
      <c r="Q739">
        <v>0.97</v>
      </c>
      <c r="R739" t="s">
        <v>1200</v>
      </c>
      <c r="S739" t="s">
        <v>195</v>
      </c>
    </row>
    <row r="740" spans="1:19" x14ac:dyDescent="0.3">
      <c r="A740" t="s">
        <v>653</v>
      </c>
      <c r="B740" t="s">
        <v>23</v>
      </c>
      <c r="C740">
        <v>2026</v>
      </c>
      <c r="D740">
        <v>1</v>
      </c>
      <c r="E740" s="2">
        <v>46048</v>
      </c>
      <c r="F740" t="s">
        <v>7</v>
      </c>
      <c r="G740" t="s">
        <v>8</v>
      </c>
      <c r="H740" t="s">
        <v>74</v>
      </c>
      <c r="I740" t="s">
        <v>75</v>
      </c>
      <c r="J740" t="s">
        <v>76</v>
      </c>
      <c r="K740" t="s">
        <v>73</v>
      </c>
      <c r="L740">
        <v>701000</v>
      </c>
      <c r="M740" t="s">
        <v>62</v>
      </c>
      <c r="N740" t="s">
        <v>33</v>
      </c>
      <c r="O740">
        <v>1321</v>
      </c>
      <c r="P740">
        <v>1.4</v>
      </c>
      <c r="Q740">
        <v>1.85</v>
      </c>
      <c r="R740" t="s">
        <v>1199</v>
      </c>
      <c r="S740" t="s">
        <v>195</v>
      </c>
    </row>
    <row r="741" spans="1:19" x14ac:dyDescent="0.3">
      <c r="A741" t="s">
        <v>654</v>
      </c>
      <c r="B741" t="s">
        <v>23</v>
      </c>
      <c r="C741">
        <v>2026</v>
      </c>
      <c r="D741">
        <v>1</v>
      </c>
      <c r="E741" s="2">
        <v>46048</v>
      </c>
      <c r="F741" t="s">
        <v>7</v>
      </c>
      <c r="G741" t="s">
        <v>8</v>
      </c>
      <c r="H741" t="s">
        <v>74</v>
      </c>
      <c r="I741" t="s">
        <v>75</v>
      </c>
      <c r="J741" t="s">
        <v>76</v>
      </c>
      <c r="K741" t="s">
        <v>73</v>
      </c>
      <c r="L741">
        <v>701000</v>
      </c>
      <c r="M741" t="s">
        <v>62</v>
      </c>
      <c r="N741" t="s">
        <v>33</v>
      </c>
      <c r="O741">
        <v>575</v>
      </c>
      <c r="P741">
        <v>1.39</v>
      </c>
      <c r="Q741">
        <v>0.8</v>
      </c>
      <c r="R741" t="s">
        <v>1205</v>
      </c>
      <c r="S741" t="s">
        <v>195</v>
      </c>
    </row>
    <row r="742" spans="1:19" x14ac:dyDescent="0.3">
      <c r="A742" t="s">
        <v>995</v>
      </c>
      <c r="B742" t="s">
        <v>23</v>
      </c>
      <c r="C742">
        <v>2026</v>
      </c>
      <c r="D742">
        <v>1</v>
      </c>
      <c r="E742" s="2">
        <v>46048</v>
      </c>
      <c r="F742" t="s">
        <v>7</v>
      </c>
      <c r="G742" t="s">
        <v>8</v>
      </c>
      <c r="H742" t="s">
        <v>70</v>
      </c>
      <c r="I742" t="s">
        <v>82</v>
      </c>
      <c r="J742" t="s">
        <v>83</v>
      </c>
      <c r="K742" t="s">
        <v>73</v>
      </c>
      <c r="L742">
        <v>701000</v>
      </c>
      <c r="M742" t="s">
        <v>62</v>
      </c>
      <c r="N742" t="s">
        <v>33</v>
      </c>
      <c r="O742">
        <v>110</v>
      </c>
      <c r="P742">
        <v>18.45</v>
      </c>
      <c r="Q742">
        <v>2.0299999999999998</v>
      </c>
      <c r="R742" t="s">
        <v>1198</v>
      </c>
      <c r="S742" t="s">
        <v>195</v>
      </c>
    </row>
    <row r="743" spans="1:19" x14ac:dyDescent="0.3">
      <c r="A743" t="s">
        <v>996</v>
      </c>
      <c r="B743" t="s">
        <v>23</v>
      </c>
      <c r="C743">
        <v>2026</v>
      </c>
      <c r="D743">
        <v>1</v>
      </c>
      <c r="E743" s="2">
        <v>46048</v>
      </c>
      <c r="F743" t="s">
        <v>7</v>
      </c>
      <c r="G743" t="s">
        <v>8</v>
      </c>
      <c r="H743" t="s">
        <v>70</v>
      </c>
      <c r="I743" t="s">
        <v>82</v>
      </c>
      <c r="J743" t="s">
        <v>83</v>
      </c>
      <c r="K743" t="s">
        <v>73</v>
      </c>
      <c r="L743">
        <v>701000</v>
      </c>
      <c r="M743" t="s">
        <v>62</v>
      </c>
      <c r="N743" t="s">
        <v>33</v>
      </c>
      <c r="O743">
        <v>132</v>
      </c>
      <c r="P743">
        <v>18.41</v>
      </c>
      <c r="Q743">
        <v>2.4300000000000002</v>
      </c>
      <c r="R743" t="s">
        <v>1203</v>
      </c>
      <c r="S743" t="s">
        <v>195</v>
      </c>
    </row>
    <row r="744" spans="1:19" x14ac:dyDescent="0.3">
      <c r="A744" t="s">
        <v>997</v>
      </c>
      <c r="B744" t="s">
        <v>23</v>
      </c>
      <c r="C744">
        <v>2026</v>
      </c>
      <c r="D744">
        <v>1</v>
      </c>
      <c r="E744" s="2">
        <v>46048</v>
      </c>
      <c r="F744" t="s">
        <v>7</v>
      </c>
      <c r="G744" t="s">
        <v>8</v>
      </c>
      <c r="H744" t="s">
        <v>70</v>
      </c>
      <c r="I744" t="s">
        <v>82</v>
      </c>
      <c r="J744" t="s">
        <v>83</v>
      </c>
      <c r="K744" t="s">
        <v>73</v>
      </c>
      <c r="L744">
        <v>701000</v>
      </c>
      <c r="M744" t="s">
        <v>62</v>
      </c>
      <c r="N744" t="s">
        <v>33</v>
      </c>
      <c r="O744">
        <v>130</v>
      </c>
      <c r="P744">
        <v>18.54</v>
      </c>
      <c r="Q744">
        <v>2.41</v>
      </c>
      <c r="R744" t="s">
        <v>1200</v>
      </c>
      <c r="S744" t="s">
        <v>195</v>
      </c>
    </row>
    <row r="745" spans="1:19" x14ac:dyDescent="0.3">
      <c r="A745" t="s">
        <v>998</v>
      </c>
      <c r="B745" t="s">
        <v>23</v>
      </c>
      <c r="C745">
        <v>2026</v>
      </c>
      <c r="D745">
        <v>1</v>
      </c>
      <c r="E745" s="2">
        <v>46048</v>
      </c>
      <c r="F745" t="s">
        <v>7</v>
      </c>
      <c r="G745" t="s">
        <v>8</v>
      </c>
      <c r="H745" t="s">
        <v>70</v>
      </c>
      <c r="I745" t="s">
        <v>82</v>
      </c>
      <c r="J745" t="s">
        <v>83</v>
      </c>
      <c r="K745" t="s">
        <v>73</v>
      </c>
      <c r="L745">
        <v>701000</v>
      </c>
      <c r="M745" t="s">
        <v>62</v>
      </c>
      <c r="N745" t="s">
        <v>33</v>
      </c>
      <c r="O745">
        <v>156</v>
      </c>
      <c r="P745">
        <v>18.46</v>
      </c>
      <c r="Q745">
        <v>2.88</v>
      </c>
      <c r="R745" t="s">
        <v>1204</v>
      </c>
      <c r="S745" t="s">
        <v>195</v>
      </c>
    </row>
    <row r="746" spans="1:19" x14ac:dyDescent="0.3">
      <c r="A746" t="s">
        <v>999</v>
      </c>
      <c r="B746" t="s">
        <v>23</v>
      </c>
      <c r="C746">
        <v>2026</v>
      </c>
      <c r="D746">
        <v>1</v>
      </c>
      <c r="E746" s="2">
        <v>46048</v>
      </c>
      <c r="F746" t="s">
        <v>7</v>
      </c>
      <c r="G746" t="s">
        <v>8</v>
      </c>
      <c r="H746" t="s">
        <v>70</v>
      </c>
      <c r="I746" t="s">
        <v>82</v>
      </c>
      <c r="J746" t="s">
        <v>83</v>
      </c>
      <c r="K746" t="s">
        <v>73</v>
      </c>
      <c r="L746">
        <v>701000</v>
      </c>
      <c r="M746" t="s">
        <v>62</v>
      </c>
      <c r="N746" t="s">
        <v>33</v>
      </c>
      <c r="O746">
        <v>185</v>
      </c>
      <c r="P746">
        <v>18.59</v>
      </c>
      <c r="Q746">
        <v>3.44</v>
      </c>
      <c r="R746" t="s">
        <v>1202</v>
      </c>
      <c r="S746" t="s">
        <v>195</v>
      </c>
    </row>
    <row r="747" spans="1:19" x14ac:dyDescent="0.3">
      <c r="A747" t="s">
        <v>395</v>
      </c>
      <c r="B747" t="s">
        <v>23</v>
      </c>
      <c r="C747">
        <v>2026</v>
      </c>
      <c r="D747">
        <v>1</v>
      </c>
      <c r="E747" s="2">
        <v>46049</v>
      </c>
      <c r="F747" t="s">
        <v>7</v>
      </c>
      <c r="G747" t="s">
        <v>8</v>
      </c>
      <c r="H747" t="s">
        <v>70</v>
      </c>
      <c r="I747" t="s">
        <v>71</v>
      </c>
      <c r="J747" t="s">
        <v>72</v>
      </c>
      <c r="K747" t="s">
        <v>73</v>
      </c>
      <c r="L747">
        <v>701000</v>
      </c>
      <c r="M747" t="s">
        <v>62</v>
      </c>
      <c r="N747" t="s">
        <v>33</v>
      </c>
      <c r="O747">
        <v>1158</v>
      </c>
      <c r="P747">
        <v>1.05</v>
      </c>
      <c r="Q747">
        <v>1.22</v>
      </c>
      <c r="R747" t="s">
        <v>1203</v>
      </c>
      <c r="S747" t="s">
        <v>195</v>
      </c>
    </row>
    <row r="748" spans="1:19" x14ac:dyDescent="0.3">
      <c r="A748" t="s">
        <v>396</v>
      </c>
      <c r="B748" t="s">
        <v>23</v>
      </c>
      <c r="C748">
        <v>2026</v>
      </c>
      <c r="D748">
        <v>1</v>
      </c>
      <c r="E748" s="2">
        <v>46049</v>
      </c>
      <c r="F748" t="s">
        <v>7</v>
      </c>
      <c r="G748" t="s">
        <v>8</v>
      </c>
      <c r="H748" t="s">
        <v>70</v>
      </c>
      <c r="I748" t="s">
        <v>71</v>
      </c>
      <c r="J748" t="s">
        <v>72</v>
      </c>
      <c r="K748" t="s">
        <v>73</v>
      </c>
      <c r="L748">
        <v>701000</v>
      </c>
      <c r="M748" t="s">
        <v>62</v>
      </c>
      <c r="N748" t="s">
        <v>33</v>
      </c>
      <c r="O748">
        <v>1243</v>
      </c>
      <c r="P748">
        <v>1.05</v>
      </c>
      <c r="Q748">
        <v>1.31</v>
      </c>
      <c r="R748" t="s">
        <v>1204</v>
      </c>
      <c r="S748" t="s">
        <v>195</v>
      </c>
    </row>
    <row r="749" spans="1:19" x14ac:dyDescent="0.3">
      <c r="A749" t="s">
        <v>397</v>
      </c>
      <c r="B749" t="s">
        <v>23</v>
      </c>
      <c r="C749">
        <v>2026</v>
      </c>
      <c r="D749">
        <v>1</v>
      </c>
      <c r="E749" s="2">
        <v>46049</v>
      </c>
      <c r="F749" t="s">
        <v>7</v>
      </c>
      <c r="G749" t="s">
        <v>8</v>
      </c>
      <c r="H749" t="s">
        <v>70</v>
      </c>
      <c r="I749" t="s">
        <v>71</v>
      </c>
      <c r="J749" t="s">
        <v>72</v>
      </c>
      <c r="K749" t="s">
        <v>73</v>
      </c>
      <c r="L749">
        <v>701000</v>
      </c>
      <c r="M749" t="s">
        <v>62</v>
      </c>
      <c r="N749" t="s">
        <v>33</v>
      </c>
      <c r="O749">
        <v>1778</v>
      </c>
      <c r="P749">
        <v>1.05</v>
      </c>
      <c r="Q749">
        <v>1.87</v>
      </c>
      <c r="R749" t="s">
        <v>1202</v>
      </c>
      <c r="S749" t="s">
        <v>195</v>
      </c>
    </row>
    <row r="750" spans="1:19" x14ac:dyDescent="0.3">
      <c r="A750" t="s">
        <v>398</v>
      </c>
      <c r="B750" t="s">
        <v>23</v>
      </c>
      <c r="C750">
        <v>2026</v>
      </c>
      <c r="D750">
        <v>1</v>
      </c>
      <c r="E750" s="2">
        <v>46049</v>
      </c>
      <c r="F750" t="s">
        <v>7</v>
      </c>
      <c r="G750" t="s">
        <v>8</v>
      </c>
      <c r="H750" t="s">
        <v>70</v>
      </c>
      <c r="I750" t="s">
        <v>71</v>
      </c>
      <c r="J750" t="s">
        <v>72</v>
      </c>
      <c r="K750" t="s">
        <v>73</v>
      </c>
      <c r="L750">
        <v>701000</v>
      </c>
      <c r="M750" t="s">
        <v>62</v>
      </c>
      <c r="N750" t="s">
        <v>33</v>
      </c>
      <c r="O750">
        <v>2771</v>
      </c>
      <c r="P750">
        <v>1.05</v>
      </c>
      <c r="Q750">
        <v>2.91</v>
      </c>
      <c r="R750" t="s">
        <v>1205</v>
      </c>
      <c r="S750" t="s">
        <v>195</v>
      </c>
    </row>
    <row r="751" spans="1:19" x14ac:dyDescent="0.3">
      <c r="A751" t="s">
        <v>399</v>
      </c>
      <c r="B751" t="s">
        <v>23</v>
      </c>
      <c r="C751">
        <v>2026</v>
      </c>
      <c r="D751">
        <v>1</v>
      </c>
      <c r="E751" s="2">
        <v>46049</v>
      </c>
      <c r="F751" t="s">
        <v>7</v>
      </c>
      <c r="G751" t="s">
        <v>8</v>
      </c>
      <c r="H751" t="s">
        <v>70</v>
      </c>
      <c r="I751" t="s">
        <v>71</v>
      </c>
      <c r="J751" t="s">
        <v>72</v>
      </c>
      <c r="K751" t="s">
        <v>73</v>
      </c>
      <c r="L751">
        <v>701000</v>
      </c>
      <c r="M751" t="s">
        <v>62</v>
      </c>
      <c r="N751" t="s">
        <v>33</v>
      </c>
      <c r="O751">
        <v>2326</v>
      </c>
      <c r="P751">
        <v>1.04</v>
      </c>
      <c r="Q751">
        <v>2.4300000000000002</v>
      </c>
      <c r="R751" t="s">
        <v>1200</v>
      </c>
      <c r="S751" t="s">
        <v>195</v>
      </c>
    </row>
    <row r="752" spans="1:19" x14ac:dyDescent="0.3">
      <c r="A752" t="s">
        <v>535</v>
      </c>
      <c r="B752" t="s">
        <v>23</v>
      </c>
      <c r="C752">
        <v>2026</v>
      </c>
      <c r="D752">
        <v>1</v>
      </c>
      <c r="E752" s="2">
        <v>46049</v>
      </c>
      <c r="F752" t="s">
        <v>7</v>
      </c>
      <c r="G752" t="s">
        <v>8</v>
      </c>
      <c r="H752" t="s">
        <v>70</v>
      </c>
      <c r="I752" t="s">
        <v>75</v>
      </c>
      <c r="J752" t="s">
        <v>76</v>
      </c>
      <c r="K752" t="s">
        <v>73</v>
      </c>
      <c r="L752">
        <v>701000</v>
      </c>
      <c r="M752" t="s">
        <v>62</v>
      </c>
      <c r="N752" t="s">
        <v>33</v>
      </c>
      <c r="O752">
        <v>1697</v>
      </c>
      <c r="P752">
        <v>1.4</v>
      </c>
      <c r="Q752">
        <v>2.38</v>
      </c>
      <c r="R752" t="s">
        <v>1201</v>
      </c>
      <c r="S752" t="s">
        <v>195</v>
      </c>
    </row>
    <row r="753" spans="1:19" x14ac:dyDescent="0.3">
      <c r="A753" t="s">
        <v>536</v>
      </c>
      <c r="B753" t="s">
        <v>23</v>
      </c>
      <c r="C753">
        <v>2026</v>
      </c>
      <c r="D753">
        <v>1</v>
      </c>
      <c r="E753" s="2">
        <v>46049</v>
      </c>
      <c r="F753" t="s">
        <v>7</v>
      </c>
      <c r="G753" t="s">
        <v>8</v>
      </c>
      <c r="H753" t="s">
        <v>70</v>
      </c>
      <c r="I753" t="s">
        <v>75</v>
      </c>
      <c r="J753" t="s">
        <v>76</v>
      </c>
      <c r="K753" t="s">
        <v>73</v>
      </c>
      <c r="L753">
        <v>701000</v>
      </c>
      <c r="M753" t="s">
        <v>62</v>
      </c>
      <c r="N753" t="s">
        <v>33</v>
      </c>
      <c r="O753">
        <v>908</v>
      </c>
      <c r="P753">
        <v>1.4</v>
      </c>
      <c r="Q753">
        <v>1.27</v>
      </c>
      <c r="R753" t="s">
        <v>1200</v>
      </c>
      <c r="S753" t="s">
        <v>195</v>
      </c>
    </row>
    <row r="754" spans="1:19" x14ac:dyDescent="0.3">
      <c r="A754" t="s">
        <v>537</v>
      </c>
      <c r="B754" t="s">
        <v>23</v>
      </c>
      <c r="C754">
        <v>2026</v>
      </c>
      <c r="D754">
        <v>1</v>
      </c>
      <c r="E754" s="2">
        <v>46049</v>
      </c>
      <c r="F754" t="s">
        <v>7</v>
      </c>
      <c r="G754" t="s">
        <v>8</v>
      </c>
      <c r="H754" t="s">
        <v>70</v>
      </c>
      <c r="I754" t="s">
        <v>75</v>
      </c>
      <c r="J754" t="s">
        <v>76</v>
      </c>
      <c r="K754" t="s">
        <v>73</v>
      </c>
      <c r="L754">
        <v>701000</v>
      </c>
      <c r="M754" t="s">
        <v>62</v>
      </c>
      <c r="N754" t="s">
        <v>33</v>
      </c>
      <c r="O754">
        <v>1138</v>
      </c>
      <c r="P754">
        <v>1.4</v>
      </c>
      <c r="Q754">
        <v>1.59</v>
      </c>
      <c r="R754" t="s">
        <v>1199</v>
      </c>
      <c r="S754" t="s">
        <v>195</v>
      </c>
    </row>
    <row r="755" spans="1:19" x14ac:dyDescent="0.3">
      <c r="A755" t="s">
        <v>538</v>
      </c>
      <c r="B755" t="s">
        <v>23</v>
      </c>
      <c r="C755">
        <v>2026</v>
      </c>
      <c r="D755">
        <v>1</v>
      </c>
      <c r="E755" s="2">
        <v>46049</v>
      </c>
      <c r="F755" t="s">
        <v>7</v>
      </c>
      <c r="G755" t="s">
        <v>8</v>
      </c>
      <c r="H755" t="s">
        <v>70</v>
      </c>
      <c r="I755" t="s">
        <v>75</v>
      </c>
      <c r="J755" t="s">
        <v>76</v>
      </c>
      <c r="K755" t="s">
        <v>73</v>
      </c>
      <c r="L755">
        <v>701000</v>
      </c>
      <c r="M755" t="s">
        <v>62</v>
      </c>
      <c r="N755" t="s">
        <v>33</v>
      </c>
      <c r="O755">
        <v>2481</v>
      </c>
      <c r="P755">
        <v>1.4</v>
      </c>
      <c r="Q755">
        <v>3.47</v>
      </c>
      <c r="R755" t="s">
        <v>1197</v>
      </c>
      <c r="S755" t="s">
        <v>195</v>
      </c>
    </row>
    <row r="756" spans="1:19" x14ac:dyDescent="0.3">
      <c r="A756" t="s">
        <v>539</v>
      </c>
      <c r="B756" t="s">
        <v>23</v>
      </c>
      <c r="C756">
        <v>2026</v>
      </c>
      <c r="D756">
        <v>1</v>
      </c>
      <c r="E756" s="2">
        <v>46049</v>
      </c>
      <c r="F756" t="s">
        <v>7</v>
      </c>
      <c r="G756" t="s">
        <v>8</v>
      </c>
      <c r="H756" t="s">
        <v>70</v>
      </c>
      <c r="I756" t="s">
        <v>75</v>
      </c>
      <c r="J756" t="s">
        <v>76</v>
      </c>
      <c r="K756" t="s">
        <v>73</v>
      </c>
      <c r="L756">
        <v>701000</v>
      </c>
      <c r="M756" t="s">
        <v>62</v>
      </c>
      <c r="N756" t="s">
        <v>33</v>
      </c>
      <c r="O756">
        <v>560</v>
      </c>
      <c r="P756">
        <v>1.41</v>
      </c>
      <c r="Q756">
        <v>0.79</v>
      </c>
      <c r="R756" t="s">
        <v>1198</v>
      </c>
      <c r="S756" t="s">
        <v>195</v>
      </c>
    </row>
    <row r="757" spans="1:19" x14ac:dyDescent="0.3">
      <c r="A757" t="s">
        <v>825</v>
      </c>
      <c r="B757" t="s">
        <v>23</v>
      </c>
      <c r="C757">
        <v>2026</v>
      </c>
      <c r="D757">
        <v>1</v>
      </c>
      <c r="E757" s="2">
        <v>46049</v>
      </c>
      <c r="F757" t="s">
        <v>7</v>
      </c>
      <c r="G757" t="s">
        <v>8</v>
      </c>
      <c r="H757" t="s">
        <v>70</v>
      </c>
      <c r="I757" t="s">
        <v>79</v>
      </c>
      <c r="J757" t="s">
        <v>80</v>
      </c>
      <c r="K757" t="s">
        <v>73</v>
      </c>
      <c r="L757">
        <v>701000</v>
      </c>
      <c r="M757" t="s">
        <v>62</v>
      </c>
      <c r="N757" t="s">
        <v>33</v>
      </c>
      <c r="O757">
        <v>480</v>
      </c>
      <c r="P757">
        <v>2.6</v>
      </c>
      <c r="Q757">
        <v>1.25</v>
      </c>
      <c r="R757" t="s">
        <v>1197</v>
      </c>
      <c r="S757" t="s">
        <v>195</v>
      </c>
    </row>
    <row r="758" spans="1:19" x14ac:dyDescent="0.3">
      <c r="A758" t="s">
        <v>826</v>
      </c>
      <c r="B758" t="s">
        <v>23</v>
      </c>
      <c r="C758">
        <v>2026</v>
      </c>
      <c r="D758">
        <v>1</v>
      </c>
      <c r="E758" s="2">
        <v>46049</v>
      </c>
      <c r="F758" t="s">
        <v>7</v>
      </c>
      <c r="G758" t="s">
        <v>8</v>
      </c>
      <c r="H758" t="s">
        <v>70</v>
      </c>
      <c r="I758" t="s">
        <v>79</v>
      </c>
      <c r="J758" t="s">
        <v>80</v>
      </c>
      <c r="K758" t="s">
        <v>73</v>
      </c>
      <c r="L758">
        <v>701000</v>
      </c>
      <c r="M758" t="s">
        <v>62</v>
      </c>
      <c r="N758" t="s">
        <v>33</v>
      </c>
      <c r="O758">
        <v>1278</v>
      </c>
      <c r="P758">
        <v>2.6</v>
      </c>
      <c r="Q758">
        <v>3.32</v>
      </c>
      <c r="R758" t="s">
        <v>1204</v>
      </c>
      <c r="S758" t="s">
        <v>195</v>
      </c>
    </row>
    <row r="759" spans="1:19" x14ac:dyDescent="0.3">
      <c r="A759" t="s">
        <v>827</v>
      </c>
      <c r="B759" t="s">
        <v>23</v>
      </c>
      <c r="C759">
        <v>2026</v>
      </c>
      <c r="D759">
        <v>1</v>
      </c>
      <c r="E759" s="2">
        <v>46049</v>
      </c>
      <c r="F759" t="s">
        <v>7</v>
      </c>
      <c r="G759" t="s">
        <v>8</v>
      </c>
      <c r="H759" t="s">
        <v>70</v>
      </c>
      <c r="I759" t="s">
        <v>79</v>
      </c>
      <c r="J759" t="s">
        <v>80</v>
      </c>
      <c r="K759" t="s">
        <v>73</v>
      </c>
      <c r="L759">
        <v>701000</v>
      </c>
      <c r="M759" t="s">
        <v>62</v>
      </c>
      <c r="N759" t="s">
        <v>33</v>
      </c>
      <c r="O759">
        <v>2964</v>
      </c>
      <c r="P759">
        <v>2.6</v>
      </c>
      <c r="Q759">
        <v>7.71</v>
      </c>
      <c r="R759" t="s">
        <v>1203</v>
      </c>
      <c r="S759" t="s">
        <v>195</v>
      </c>
    </row>
    <row r="760" spans="1:19" x14ac:dyDescent="0.3">
      <c r="A760" t="s">
        <v>828</v>
      </c>
      <c r="B760" t="s">
        <v>23</v>
      </c>
      <c r="C760">
        <v>2026</v>
      </c>
      <c r="D760">
        <v>1</v>
      </c>
      <c r="E760" s="2">
        <v>46049</v>
      </c>
      <c r="F760" t="s">
        <v>7</v>
      </c>
      <c r="G760" t="s">
        <v>8</v>
      </c>
      <c r="H760" t="s">
        <v>70</v>
      </c>
      <c r="I760" t="s">
        <v>79</v>
      </c>
      <c r="J760" t="s">
        <v>80</v>
      </c>
      <c r="K760" t="s">
        <v>73</v>
      </c>
      <c r="L760">
        <v>701000</v>
      </c>
      <c r="M760" t="s">
        <v>62</v>
      </c>
      <c r="N760" t="s">
        <v>33</v>
      </c>
      <c r="O760">
        <v>1654</v>
      </c>
      <c r="P760">
        <v>2.6</v>
      </c>
      <c r="Q760">
        <v>4.3</v>
      </c>
      <c r="R760" t="s">
        <v>1199</v>
      </c>
      <c r="S760" t="s">
        <v>195</v>
      </c>
    </row>
    <row r="761" spans="1:19" x14ac:dyDescent="0.3">
      <c r="A761" t="s">
        <v>829</v>
      </c>
      <c r="B761" t="s">
        <v>23</v>
      </c>
      <c r="C761">
        <v>2026</v>
      </c>
      <c r="D761">
        <v>1</v>
      </c>
      <c r="E761" s="2">
        <v>46049</v>
      </c>
      <c r="F761" t="s">
        <v>7</v>
      </c>
      <c r="G761" t="s">
        <v>8</v>
      </c>
      <c r="H761" t="s">
        <v>70</v>
      </c>
      <c r="I761" t="s">
        <v>79</v>
      </c>
      <c r="J761" t="s">
        <v>80</v>
      </c>
      <c r="K761" t="s">
        <v>73</v>
      </c>
      <c r="L761">
        <v>701000</v>
      </c>
      <c r="M761" t="s">
        <v>62</v>
      </c>
      <c r="N761" t="s">
        <v>33</v>
      </c>
      <c r="O761">
        <v>1766</v>
      </c>
      <c r="P761">
        <v>2.6</v>
      </c>
      <c r="Q761">
        <v>4.59</v>
      </c>
      <c r="R761" t="s">
        <v>1198</v>
      </c>
      <c r="S761" t="s">
        <v>195</v>
      </c>
    </row>
    <row r="762" spans="1:19" x14ac:dyDescent="0.3">
      <c r="A762" t="s">
        <v>945</v>
      </c>
      <c r="B762" t="s">
        <v>23</v>
      </c>
      <c r="C762">
        <v>2026</v>
      </c>
      <c r="D762">
        <v>1</v>
      </c>
      <c r="E762" s="2">
        <v>46049</v>
      </c>
      <c r="F762" t="s">
        <v>7</v>
      </c>
      <c r="G762" t="s">
        <v>8</v>
      </c>
      <c r="H762" t="s">
        <v>70</v>
      </c>
      <c r="I762" t="s">
        <v>82</v>
      </c>
      <c r="J762" t="s">
        <v>83</v>
      </c>
      <c r="K762" t="s">
        <v>73</v>
      </c>
      <c r="L762">
        <v>701000</v>
      </c>
      <c r="M762" t="s">
        <v>62</v>
      </c>
      <c r="N762" t="s">
        <v>33</v>
      </c>
      <c r="O762">
        <v>101</v>
      </c>
      <c r="P762">
        <v>18.420000000000002</v>
      </c>
      <c r="Q762">
        <v>1.86</v>
      </c>
      <c r="R762" t="s">
        <v>1203</v>
      </c>
      <c r="S762" t="s">
        <v>195</v>
      </c>
    </row>
    <row r="763" spans="1:19" x14ac:dyDescent="0.3">
      <c r="A763" t="s">
        <v>946</v>
      </c>
      <c r="B763" t="s">
        <v>23</v>
      </c>
      <c r="C763">
        <v>2026</v>
      </c>
      <c r="D763">
        <v>1</v>
      </c>
      <c r="E763" s="2">
        <v>46049</v>
      </c>
      <c r="F763" t="s">
        <v>7</v>
      </c>
      <c r="G763" t="s">
        <v>8</v>
      </c>
      <c r="H763" t="s">
        <v>70</v>
      </c>
      <c r="I763" t="s">
        <v>82</v>
      </c>
      <c r="J763" t="s">
        <v>83</v>
      </c>
      <c r="K763" t="s">
        <v>73</v>
      </c>
      <c r="L763">
        <v>701000</v>
      </c>
      <c r="M763" t="s">
        <v>62</v>
      </c>
      <c r="N763" t="s">
        <v>33</v>
      </c>
      <c r="O763">
        <v>193</v>
      </c>
      <c r="P763">
        <v>18.45</v>
      </c>
      <c r="Q763">
        <v>3.56</v>
      </c>
      <c r="R763" t="s">
        <v>1197</v>
      </c>
      <c r="S763" t="s">
        <v>195</v>
      </c>
    </row>
    <row r="764" spans="1:19" x14ac:dyDescent="0.3">
      <c r="A764" t="s">
        <v>947</v>
      </c>
      <c r="B764" t="s">
        <v>23</v>
      </c>
      <c r="C764">
        <v>2026</v>
      </c>
      <c r="D764">
        <v>1</v>
      </c>
      <c r="E764" s="2">
        <v>46049</v>
      </c>
      <c r="F764" t="s">
        <v>7</v>
      </c>
      <c r="G764" t="s">
        <v>8</v>
      </c>
      <c r="H764" t="s">
        <v>70</v>
      </c>
      <c r="I764" t="s">
        <v>82</v>
      </c>
      <c r="J764" t="s">
        <v>83</v>
      </c>
      <c r="K764" t="s">
        <v>73</v>
      </c>
      <c r="L764">
        <v>701000</v>
      </c>
      <c r="M764" t="s">
        <v>62</v>
      </c>
      <c r="N764" t="s">
        <v>33</v>
      </c>
      <c r="O764">
        <v>215</v>
      </c>
      <c r="P764">
        <v>18.510000000000002</v>
      </c>
      <c r="Q764">
        <v>3.98</v>
      </c>
      <c r="R764" t="s">
        <v>1200</v>
      </c>
      <c r="S764" t="s">
        <v>195</v>
      </c>
    </row>
    <row r="765" spans="1:19" x14ac:dyDescent="0.3">
      <c r="A765" t="s">
        <v>948</v>
      </c>
      <c r="B765" t="s">
        <v>23</v>
      </c>
      <c r="C765">
        <v>2026</v>
      </c>
      <c r="D765">
        <v>1</v>
      </c>
      <c r="E765" s="2">
        <v>46049</v>
      </c>
      <c r="F765" t="s">
        <v>7</v>
      </c>
      <c r="G765" t="s">
        <v>8</v>
      </c>
      <c r="H765" t="s">
        <v>70</v>
      </c>
      <c r="I765" t="s">
        <v>82</v>
      </c>
      <c r="J765" t="s">
        <v>83</v>
      </c>
      <c r="K765" t="s">
        <v>73</v>
      </c>
      <c r="L765">
        <v>701000</v>
      </c>
      <c r="M765" t="s">
        <v>62</v>
      </c>
      <c r="N765" t="s">
        <v>33</v>
      </c>
      <c r="O765">
        <v>131</v>
      </c>
      <c r="P765">
        <v>18.47</v>
      </c>
      <c r="Q765">
        <v>2.42</v>
      </c>
      <c r="R765" t="s">
        <v>1202</v>
      </c>
      <c r="S765" t="s">
        <v>195</v>
      </c>
    </row>
    <row r="766" spans="1:19" x14ac:dyDescent="0.3">
      <c r="A766" t="s">
        <v>949</v>
      </c>
      <c r="B766" t="s">
        <v>23</v>
      </c>
      <c r="C766">
        <v>2026</v>
      </c>
      <c r="D766">
        <v>1</v>
      </c>
      <c r="E766" s="2">
        <v>46049</v>
      </c>
      <c r="F766" t="s">
        <v>7</v>
      </c>
      <c r="G766" t="s">
        <v>8</v>
      </c>
      <c r="H766" t="s">
        <v>70</v>
      </c>
      <c r="I766" t="s">
        <v>82</v>
      </c>
      <c r="J766" t="s">
        <v>83</v>
      </c>
      <c r="K766" t="s">
        <v>73</v>
      </c>
      <c r="L766">
        <v>701000</v>
      </c>
      <c r="M766" t="s">
        <v>62</v>
      </c>
      <c r="N766" t="s">
        <v>33</v>
      </c>
      <c r="O766">
        <v>124</v>
      </c>
      <c r="P766">
        <v>18.63</v>
      </c>
      <c r="Q766">
        <v>2.31</v>
      </c>
      <c r="R766" t="s">
        <v>1201</v>
      </c>
      <c r="S766" t="s">
        <v>195</v>
      </c>
    </row>
    <row r="767" spans="1:19" x14ac:dyDescent="0.3">
      <c r="A767" t="s">
        <v>220</v>
      </c>
      <c r="B767" t="s">
        <v>23</v>
      </c>
      <c r="C767">
        <v>2026</v>
      </c>
      <c r="D767">
        <v>1</v>
      </c>
      <c r="E767" s="2">
        <v>46050</v>
      </c>
      <c r="F767" t="s">
        <v>7</v>
      </c>
      <c r="G767" t="s">
        <v>8</v>
      </c>
      <c r="H767" t="s">
        <v>74</v>
      </c>
      <c r="I767" t="s">
        <v>84</v>
      </c>
      <c r="J767" t="s">
        <v>85</v>
      </c>
      <c r="K767" t="s">
        <v>73</v>
      </c>
      <c r="L767">
        <v>701000</v>
      </c>
      <c r="M767" t="s">
        <v>62</v>
      </c>
      <c r="N767" t="s">
        <v>33</v>
      </c>
      <c r="O767">
        <v>5349</v>
      </c>
      <c r="P767">
        <v>0.95</v>
      </c>
      <c r="Q767">
        <v>5.08</v>
      </c>
      <c r="R767" t="s">
        <v>1202</v>
      </c>
      <c r="S767" t="s">
        <v>195</v>
      </c>
    </row>
    <row r="768" spans="1:19" x14ac:dyDescent="0.3">
      <c r="A768" t="s">
        <v>221</v>
      </c>
      <c r="B768" t="s">
        <v>23</v>
      </c>
      <c r="C768">
        <v>2026</v>
      </c>
      <c r="D768">
        <v>1</v>
      </c>
      <c r="E768" s="2">
        <v>46050</v>
      </c>
      <c r="F768" t="s">
        <v>7</v>
      </c>
      <c r="G768" t="s">
        <v>8</v>
      </c>
      <c r="H768" t="s">
        <v>74</v>
      </c>
      <c r="I768" t="s">
        <v>84</v>
      </c>
      <c r="J768" t="s">
        <v>85</v>
      </c>
      <c r="K768" t="s">
        <v>73</v>
      </c>
      <c r="L768">
        <v>701000</v>
      </c>
      <c r="M768" t="s">
        <v>62</v>
      </c>
      <c r="N768" t="s">
        <v>33</v>
      </c>
      <c r="O768">
        <v>1930</v>
      </c>
      <c r="P768">
        <v>0.95</v>
      </c>
      <c r="Q768">
        <v>1.83</v>
      </c>
      <c r="R768" t="s">
        <v>1205</v>
      </c>
      <c r="S768" t="s">
        <v>195</v>
      </c>
    </row>
    <row r="769" spans="1:19" x14ac:dyDescent="0.3">
      <c r="A769" t="s">
        <v>222</v>
      </c>
      <c r="B769" t="s">
        <v>23</v>
      </c>
      <c r="C769">
        <v>2026</v>
      </c>
      <c r="D769">
        <v>1</v>
      </c>
      <c r="E769" s="2">
        <v>46050</v>
      </c>
      <c r="F769" t="s">
        <v>7</v>
      </c>
      <c r="G769" t="s">
        <v>8</v>
      </c>
      <c r="H769" t="s">
        <v>74</v>
      </c>
      <c r="I769" t="s">
        <v>84</v>
      </c>
      <c r="J769" t="s">
        <v>85</v>
      </c>
      <c r="K769" t="s">
        <v>73</v>
      </c>
      <c r="L769">
        <v>701000</v>
      </c>
      <c r="M769" t="s">
        <v>62</v>
      </c>
      <c r="N769" t="s">
        <v>33</v>
      </c>
      <c r="O769">
        <v>2174</v>
      </c>
      <c r="P769">
        <v>0.95</v>
      </c>
      <c r="Q769">
        <v>2.06</v>
      </c>
      <c r="R769" t="s">
        <v>1198</v>
      </c>
      <c r="S769" t="s">
        <v>195</v>
      </c>
    </row>
    <row r="770" spans="1:19" x14ac:dyDescent="0.3">
      <c r="A770" t="s">
        <v>223</v>
      </c>
      <c r="B770" t="s">
        <v>23</v>
      </c>
      <c r="C770">
        <v>2026</v>
      </c>
      <c r="D770">
        <v>1</v>
      </c>
      <c r="E770" s="2">
        <v>46050</v>
      </c>
      <c r="F770" t="s">
        <v>7</v>
      </c>
      <c r="G770" t="s">
        <v>8</v>
      </c>
      <c r="H770" t="s">
        <v>74</v>
      </c>
      <c r="I770" t="s">
        <v>84</v>
      </c>
      <c r="J770" t="s">
        <v>85</v>
      </c>
      <c r="K770" t="s">
        <v>73</v>
      </c>
      <c r="L770">
        <v>701000</v>
      </c>
      <c r="M770" t="s">
        <v>62</v>
      </c>
      <c r="N770" t="s">
        <v>33</v>
      </c>
      <c r="O770">
        <v>955</v>
      </c>
      <c r="P770">
        <v>0.95</v>
      </c>
      <c r="Q770">
        <v>0.91</v>
      </c>
      <c r="R770" t="s">
        <v>1199</v>
      </c>
      <c r="S770" t="s">
        <v>195</v>
      </c>
    </row>
    <row r="771" spans="1:19" x14ac:dyDescent="0.3">
      <c r="A771" t="s">
        <v>224</v>
      </c>
      <c r="B771" t="s">
        <v>23</v>
      </c>
      <c r="C771">
        <v>2026</v>
      </c>
      <c r="D771">
        <v>1</v>
      </c>
      <c r="E771" s="2">
        <v>46050</v>
      </c>
      <c r="F771" t="s">
        <v>7</v>
      </c>
      <c r="G771" t="s">
        <v>8</v>
      </c>
      <c r="H771" t="s">
        <v>74</v>
      </c>
      <c r="I771" t="s">
        <v>84</v>
      </c>
      <c r="J771" t="s">
        <v>85</v>
      </c>
      <c r="K771" t="s">
        <v>73</v>
      </c>
      <c r="L771">
        <v>701000</v>
      </c>
      <c r="M771" t="s">
        <v>62</v>
      </c>
      <c r="N771" t="s">
        <v>33</v>
      </c>
      <c r="O771">
        <v>2278</v>
      </c>
      <c r="P771">
        <v>0.95</v>
      </c>
      <c r="Q771">
        <v>2.17</v>
      </c>
      <c r="R771" t="s">
        <v>1200</v>
      </c>
      <c r="S771" t="s">
        <v>195</v>
      </c>
    </row>
    <row r="772" spans="1:19" x14ac:dyDescent="0.3">
      <c r="A772" t="s">
        <v>260</v>
      </c>
      <c r="B772" t="s">
        <v>23</v>
      </c>
      <c r="C772">
        <v>2026</v>
      </c>
      <c r="D772">
        <v>1</v>
      </c>
      <c r="E772" s="2">
        <v>46050</v>
      </c>
      <c r="F772" t="s">
        <v>7</v>
      </c>
      <c r="G772" t="s">
        <v>8</v>
      </c>
      <c r="H772" t="s">
        <v>74</v>
      </c>
      <c r="I772" t="s">
        <v>84</v>
      </c>
      <c r="J772" t="s">
        <v>85</v>
      </c>
      <c r="K772" t="s">
        <v>73</v>
      </c>
      <c r="L772">
        <v>701000</v>
      </c>
      <c r="M772" t="s">
        <v>62</v>
      </c>
      <c r="N772" t="s">
        <v>33</v>
      </c>
      <c r="O772">
        <v>3510</v>
      </c>
      <c r="P772">
        <v>0.95</v>
      </c>
      <c r="Q772">
        <v>3.34</v>
      </c>
      <c r="R772" t="s">
        <v>1197</v>
      </c>
      <c r="S772" t="s">
        <v>195</v>
      </c>
    </row>
    <row r="773" spans="1:19" x14ac:dyDescent="0.3">
      <c r="A773" t="s">
        <v>261</v>
      </c>
      <c r="B773" t="s">
        <v>23</v>
      </c>
      <c r="C773">
        <v>2026</v>
      </c>
      <c r="D773">
        <v>1</v>
      </c>
      <c r="E773" s="2">
        <v>46050</v>
      </c>
      <c r="F773" t="s">
        <v>7</v>
      </c>
      <c r="G773" t="s">
        <v>8</v>
      </c>
      <c r="H773" t="s">
        <v>74</v>
      </c>
      <c r="I773" t="s">
        <v>84</v>
      </c>
      <c r="J773" t="s">
        <v>85</v>
      </c>
      <c r="K773" t="s">
        <v>73</v>
      </c>
      <c r="L773">
        <v>701000</v>
      </c>
      <c r="M773" t="s">
        <v>62</v>
      </c>
      <c r="N773" t="s">
        <v>33</v>
      </c>
      <c r="O773">
        <v>1993</v>
      </c>
      <c r="P773">
        <v>0.95</v>
      </c>
      <c r="Q773">
        <v>1.89</v>
      </c>
      <c r="R773" t="s">
        <v>1202</v>
      </c>
      <c r="S773" t="s">
        <v>195</v>
      </c>
    </row>
    <row r="774" spans="1:19" x14ac:dyDescent="0.3">
      <c r="A774" t="s">
        <v>262</v>
      </c>
      <c r="B774" t="s">
        <v>23</v>
      </c>
      <c r="C774">
        <v>2026</v>
      </c>
      <c r="D774">
        <v>1</v>
      </c>
      <c r="E774" s="2">
        <v>46050</v>
      </c>
      <c r="F774" t="s">
        <v>7</v>
      </c>
      <c r="G774" t="s">
        <v>8</v>
      </c>
      <c r="H774" t="s">
        <v>74</v>
      </c>
      <c r="I774" t="s">
        <v>84</v>
      </c>
      <c r="J774" t="s">
        <v>85</v>
      </c>
      <c r="K774" t="s">
        <v>73</v>
      </c>
      <c r="L774">
        <v>701000</v>
      </c>
      <c r="M774" t="s">
        <v>62</v>
      </c>
      <c r="N774" t="s">
        <v>33</v>
      </c>
      <c r="O774">
        <v>2310</v>
      </c>
      <c r="P774">
        <v>0.95</v>
      </c>
      <c r="Q774">
        <v>2.19</v>
      </c>
      <c r="R774" t="s">
        <v>1204</v>
      </c>
      <c r="S774" t="s">
        <v>195</v>
      </c>
    </row>
    <row r="775" spans="1:19" x14ac:dyDescent="0.3">
      <c r="A775" t="s">
        <v>263</v>
      </c>
      <c r="B775" t="s">
        <v>23</v>
      </c>
      <c r="C775">
        <v>2026</v>
      </c>
      <c r="D775">
        <v>1</v>
      </c>
      <c r="E775" s="2">
        <v>46050</v>
      </c>
      <c r="F775" t="s">
        <v>7</v>
      </c>
      <c r="G775" t="s">
        <v>8</v>
      </c>
      <c r="H775" t="s">
        <v>74</v>
      </c>
      <c r="I775" t="s">
        <v>84</v>
      </c>
      <c r="J775" t="s">
        <v>85</v>
      </c>
      <c r="K775" t="s">
        <v>73</v>
      </c>
      <c r="L775">
        <v>701000</v>
      </c>
      <c r="M775" t="s">
        <v>62</v>
      </c>
      <c r="N775" t="s">
        <v>33</v>
      </c>
      <c r="O775">
        <v>6094</v>
      </c>
      <c r="P775">
        <v>0.95</v>
      </c>
      <c r="Q775">
        <v>5.79</v>
      </c>
      <c r="R775" t="s">
        <v>1205</v>
      </c>
      <c r="S775" t="s">
        <v>195</v>
      </c>
    </row>
    <row r="776" spans="1:19" x14ac:dyDescent="0.3">
      <c r="A776" t="s">
        <v>264</v>
      </c>
      <c r="B776" t="s">
        <v>23</v>
      </c>
      <c r="C776">
        <v>2026</v>
      </c>
      <c r="D776">
        <v>1</v>
      </c>
      <c r="E776" s="2">
        <v>46050</v>
      </c>
      <c r="F776" t="s">
        <v>7</v>
      </c>
      <c r="G776" t="s">
        <v>8</v>
      </c>
      <c r="H776" t="s">
        <v>74</v>
      </c>
      <c r="I776" t="s">
        <v>84</v>
      </c>
      <c r="J776" t="s">
        <v>85</v>
      </c>
      <c r="K776" t="s">
        <v>73</v>
      </c>
      <c r="L776">
        <v>701000</v>
      </c>
      <c r="M776" t="s">
        <v>62</v>
      </c>
      <c r="N776" t="s">
        <v>33</v>
      </c>
      <c r="O776">
        <v>2288</v>
      </c>
      <c r="P776">
        <v>0.95</v>
      </c>
      <c r="Q776">
        <v>2.1800000000000002</v>
      </c>
      <c r="R776" t="s">
        <v>1203</v>
      </c>
      <c r="S776" t="s">
        <v>195</v>
      </c>
    </row>
    <row r="777" spans="1:19" x14ac:dyDescent="0.3">
      <c r="A777" t="s">
        <v>375</v>
      </c>
      <c r="B777" t="s">
        <v>23</v>
      </c>
      <c r="C777">
        <v>2026</v>
      </c>
      <c r="D777">
        <v>1</v>
      </c>
      <c r="E777" s="2">
        <v>46050</v>
      </c>
      <c r="F777" t="s">
        <v>7</v>
      </c>
      <c r="G777" t="s">
        <v>8</v>
      </c>
      <c r="H777" t="s">
        <v>74</v>
      </c>
      <c r="I777" t="s">
        <v>71</v>
      </c>
      <c r="J777" t="s">
        <v>72</v>
      </c>
      <c r="K777" t="s">
        <v>73</v>
      </c>
      <c r="L777">
        <v>701000</v>
      </c>
      <c r="M777" t="s">
        <v>62</v>
      </c>
      <c r="N777" t="s">
        <v>33</v>
      </c>
      <c r="O777">
        <v>1827</v>
      </c>
      <c r="P777">
        <v>1.05</v>
      </c>
      <c r="Q777">
        <v>1.92</v>
      </c>
      <c r="R777" t="s">
        <v>1199</v>
      </c>
      <c r="S777" t="s">
        <v>195</v>
      </c>
    </row>
    <row r="778" spans="1:19" x14ac:dyDescent="0.3">
      <c r="A778" t="s">
        <v>376</v>
      </c>
      <c r="B778" t="s">
        <v>23</v>
      </c>
      <c r="C778">
        <v>2026</v>
      </c>
      <c r="D778">
        <v>1</v>
      </c>
      <c r="E778" s="2">
        <v>46050</v>
      </c>
      <c r="F778" t="s">
        <v>7</v>
      </c>
      <c r="G778" t="s">
        <v>8</v>
      </c>
      <c r="H778" t="s">
        <v>74</v>
      </c>
      <c r="I778" t="s">
        <v>71</v>
      </c>
      <c r="J778" t="s">
        <v>72</v>
      </c>
      <c r="K778" t="s">
        <v>73</v>
      </c>
      <c r="L778">
        <v>701000</v>
      </c>
      <c r="M778" t="s">
        <v>62</v>
      </c>
      <c r="N778" t="s">
        <v>33</v>
      </c>
      <c r="O778">
        <v>554</v>
      </c>
      <c r="P778">
        <v>1.05</v>
      </c>
      <c r="Q778">
        <v>0.57999999999999996</v>
      </c>
      <c r="R778" t="s">
        <v>1205</v>
      </c>
      <c r="S778" t="s">
        <v>195</v>
      </c>
    </row>
    <row r="779" spans="1:19" x14ac:dyDescent="0.3">
      <c r="A779" t="s">
        <v>377</v>
      </c>
      <c r="B779" t="s">
        <v>23</v>
      </c>
      <c r="C779">
        <v>2026</v>
      </c>
      <c r="D779">
        <v>1</v>
      </c>
      <c r="E779" s="2">
        <v>46050</v>
      </c>
      <c r="F779" t="s">
        <v>7</v>
      </c>
      <c r="G779" t="s">
        <v>8</v>
      </c>
      <c r="H779" t="s">
        <v>74</v>
      </c>
      <c r="I779" t="s">
        <v>71</v>
      </c>
      <c r="J779" t="s">
        <v>72</v>
      </c>
      <c r="K779" t="s">
        <v>73</v>
      </c>
      <c r="L779">
        <v>701000</v>
      </c>
      <c r="M779" t="s">
        <v>62</v>
      </c>
      <c r="N779" t="s">
        <v>33</v>
      </c>
      <c r="O779">
        <v>794</v>
      </c>
      <c r="P779">
        <v>1.05</v>
      </c>
      <c r="Q779">
        <v>0.83</v>
      </c>
      <c r="R779" t="s">
        <v>1202</v>
      </c>
      <c r="S779" t="s">
        <v>195</v>
      </c>
    </row>
    <row r="780" spans="1:19" x14ac:dyDescent="0.3">
      <c r="A780" t="s">
        <v>378</v>
      </c>
      <c r="B780" t="s">
        <v>23</v>
      </c>
      <c r="C780">
        <v>2026</v>
      </c>
      <c r="D780">
        <v>1</v>
      </c>
      <c r="E780" s="2">
        <v>46050</v>
      </c>
      <c r="F780" t="s">
        <v>7</v>
      </c>
      <c r="G780" t="s">
        <v>8</v>
      </c>
      <c r="H780" t="s">
        <v>74</v>
      </c>
      <c r="I780" t="s">
        <v>71</v>
      </c>
      <c r="J780" t="s">
        <v>72</v>
      </c>
      <c r="K780" t="s">
        <v>73</v>
      </c>
      <c r="L780">
        <v>701000</v>
      </c>
      <c r="M780" t="s">
        <v>62</v>
      </c>
      <c r="N780" t="s">
        <v>33</v>
      </c>
      <c r="O780">
        <v>3443</v>
      </c>
      <c r="P780">
        <v>1.05</v>
      </c>
      <c r="Q780">
        <v>3.61</v>
      </c>
      <c r="R780" t="s">
        <v>1200</v>
      </c>
      <c r="S780" t="s">
        <v>195</v>
      </c>
    </row>
    <row r="781" spans="1:19" x14ac:dyDescent="0.3">
      <c r="A781" t="s">
        <v>379</v>
      </c>
      <c r="B781" t="s">
        <v>23</v>
      </c>
      <c r="C781">
        <v>2026</v>
      </c>
      <c r="D781">
        <v>1</v>
      </c>
      <c r="E781" s="2">
        <v>46050</v>
      </c>
      <c r="F781" t="s">
        <v>7</v>
      </c>
      <c r="G781" t="s">
        <v>8</v>
      </c>
      <c r="H781" t="s">
        <v>74</v>
      </c>
      <c r="I781" t="s">
        <v>71</v>
      </c>
      <c r="J781" t="s">
        <v>72</v>
      </c>
      <c r="K781" t="s">
        <v>73</v>
      </c>
      <c r="L781">
        <v>701000</v>
      </c>
      <c r="M781" t="s">
        <v>62</v>
      </c>
      <c r="N781" t="s">
        <v>33</v>
      </c>
      <c r="O781">
        <v>1119</v>
      </c>
      <c r="P781">
        <v>1.05</v>
      </c>
      <c r="Q781">
        <v>1.18</v>
      </c>
      <c r="R781" t="s">
        <v>1204</v>
      </c>
      <c r="S781" t="s">
        <v>195</v>
      </c>
    </row>
    <row r="782" spans="1:19" x14ac:dyDescent="0.3">
      <c r="A782" t="s">
        <v>470</v>
      </c>
      <c r="B782" t="s">
        <v>23</v>
      </c>
      <c r="C782">
        <v>2026</v>
      </c>
      <c r="D782">
        <v>1</v>
      </c>
      <c r="E782" s="2">
        <v>46050</v>
      </c>
      <c r="F782" t="s">
        <v>7</v>
      </c>
      <c r="G782" t="s">
        <v>8</v>
      </c>
      <c r="H782" t="s">
        <v>70</v>
      </c>
      <c r="I782" t="s">
        <v>71</v>
      </c>
      <c r="J782" t="s">
        <v>72</v>
      </c>
      <c r="K782" t="s">
        <v>73</v>
      </c>
      <c r="L782">
        <v>701000</v>
      </c>
      <c r="M782" t="s">
        <v>62</v>
      </c>
      <c r="N782" t="s">
        <v>33</v>
      </c>
      <c r="O782">
        <v>2475</v>
      </c>
      <c r="P782">
        <v>1.05</v>
      </c>
      <c r="Q782">
        <v>2.6</v>
      </c>
      <c r="R782" t="s">
        <v>1203</v>
      </c>
      <c r="S782" t="s">
        <v>195</v>
      </c>
    </row>
    <row r="783" spans="1:19" x14ac:dyDescent="0.3">
      <c r="A783" t="s">
        <v>471</v>
      </c>
      <c r="B783" t="s">
        <v>23</v>
      </c>
      <c r="C783">
        <v>2026</v>
      </c>
      <c r="D783">
        <v>1</v>
      </c>
      <c r="E783" s="2">
        <v>46050</v>
      </c>
      <c r="F783" t="s">
        <v>7</v>
      </c>
      <c r="G783" t="s">
        <v>8</v>
      </c>
      <c r="H783" t="s">
        <v>70</v>
      </c>
      <c r="I783" t="s">
        <v>71</v>
      </c>
      <c r="J783" t="s">
        <v>72</v>
      </c>
      <c r="K783" t="s">
        <v>73</v>
      </c>
      <c r="L783">
        <v>701000</v>
      </c>
      <c r="M783" t="s">
        <v>62</v>
      </c>
      <c r="N783" t="s">
        <v>33</v>
      </c>
      <c r="O783">
        <v>2378</v>
      </c>
      <c r="P783">
        <v>1.05</v>
      </c>
      <c r="Q783">
        <v>2.5</v>
      </c>
      <c r="R783" t="s">
        <v>1201</v>
      </c>
      <c r="S783" t="s">
        <v>195</v>
      </c>
    </row>
    <row r="784" spans="1:19" x14ac:dyDescent="0.3">
      <c r="A784" t="s">
        <v>472</v>
      </c>
      <c r="B784" t="s">
        <v>23</v>
      </c>
      <c r="C784">
        <v>2026</v>
      </c>
      <c r="D784">
        <v>1</v>
      </c>
      <c r="E784" s="2">
        <v>46050</v>
      </c>
      <c r="F784" t="s">
        <v>7</v>
      </c>
      <c r="G784" t="s">
        <v>8</v>
      </c>
      <c r="H784" t="s">
        <v>70</v>
      </c>
      <c r="I784" t="s">
        <v>71</v>
      </c>
      <c r="J784" t="s">
        <v>72</v>
      </c>
      <c r="K784" t="s">
        <v>73</v>
      </c>
      <c r="L784">
        <v>701000</v>
      </c>
      <c r="M784" t="s">
        <v>62</v>
      </c>
      <c r="N784" t="s">
        <v>33</v>
      </c>
      <c r="O784">
        <v>895</v>
      </c>
      <c r="P784">
        <v>1.05</v>
      </c>
      <c r="Q784">
        <v>0.94</v>
      </c>
      <c r="R784" t="s">
        <v>1202</v>
      </c>
      <c r="S784" t="s">
        <v>195</v>
      </c>
    </row>
    <row r="785" spans="1:19" x14ac:dyDescent="0.3">
      <c r="A785" t="s">
        <v>473</v>
      </c>
      <c r="B785" t="s">
        <v>23</v>
      </c>
      <c r="C785">
        <v>2026</v>
      </c>
      <c r="D785">
        <v>1</v>
      </c>
      <c r="E785" s="2">
        <v>46050</v>
      </c>
      <c r="F785" t="s">
        <v>7</v>
      </c>
      <c r="G785" t="s">
        <v>8</v>
      </c>
      <c r="H785" t="s">
        <v>70</v>
      </c>
      <c r="I785" t="s">
        <v>71</v>
      </c>
      <c r="J785" t="s">
        <v>72</v>
      </c>
      <c r="K785" t="s">
        <v>73</v>
      </c>
      <c r="L785">
        <v>701000</v>
      </c>
      <c r="M785" t="s">
        <v>62</v>
      </c>
      <c r="N785" t="s">
        <v>33</v>
      </c>
      <c r="O785">
        <v>1010</v>
      </c>
      <c r="P785">
        <v>1.05</v>
      </c>
      <c r="Q785">
        <v>1.06</v>
      </c>
      <c r="R785" t="s">
        <v>1199</v>
      </c>
      <c r="S785" t="s">
        <v>195</v>
      </c>
    </row>
    <row r="786" spans="1:19" x14ac:dyDescent="0.3">
      <c r="A786" t="s">
        <v>474</v>
      </c>
      <c r="B786" t="s">
        <v>23</v>
      </c>
      <c r="C786">
        <v>2026</v>
      </c>
      <c r="D786">
        <v>1</v>
      </c>
      <c r="E786" s="2">
        <v>46050</v>
      </c>
      <c r="F786" t="s">
        <v>7</v>
      </c>
      <c r="G786" t="s">
        <v>8</v>
      </c>
      <c r="H786" t="s">
        <v>70</v>
      </c>
      <c r="I786" t="s">
        <v>71</v>
      </c>
      <c r="J786" t="s">
        <v>72</v>
      </c>
      <c r="K786" t="s">
        <v>73</v>
      </c>
      <c r="L786">
        <v>701000</v>
      </c>
      <c r="M786" t="s">
        <v>62</v>
      </c>
      <c r="N786" t="s">
        <v>33</v>
      </c>
      <c r="O786">
        <v>1528</v>
      </c>
      <c r="P786">
        <v>1.05</v>
      </c>
      <c r="Q786">
        <v>1.6</v>
      </c>
      <c r="R786" t="s">
        <v>1197</v>
      </c>
      <c r="S786" t="s">
        <v>195</v>
      </c>
    </row>
    <row r="787" spans="1:19" x14ac:dyDescent="0.3">
      <c r="A787" t="s">
        <v>670</v>
      </c>
      <c r="B787" t="s">
        <v>23</v>
      </c>
      <c r="C787">
        <v>2026</v>
      </c>
      <c r="D787">
        <v>1</v>
      </c>
      <c r="E787" s="2">
        <v>46050</v>
      </c>
      <c r="F787" t="s">
        <v>7</v>
      </c>
      <c r="G787" t="s">
        <v>8</v>
      </c>
      <c r="H787" t="s">
        <v>74</v>
      </c>
      <c r="I787" t="s">
        <v>75</v>
      </c>
      <c r="J787" t="s">
        <v>76</v>
      </c>
      <c r="K787" t="s">
        <v>73</v>
      </c>
      <c r="L787">
        <v>709000</v>
      </c>
      <c r="M787" t="s">
        <v>86</v>
      </c>
      <c r="N787" t="s">
        <v>33</v>
      </c>
      <c r="O787">
        <v>0</v>
      </c>
      <c r="P787">
        <v>-1770</v>
      </c>
      <c r="Q787">
        <v>-1.77</v>
      </c>
      <c r="R787" t="s">
        <v>1200</v>
      </c>
      <c r="S787" t="s">
        <v>195</v>
      </c>
    </row>
    <row r="788" spans="1:19" x14ac:dyDescent="0.3">
      <c r="A788" t="s">
        <v>671</v>
      </c>
      <c r="B788" t="s">
        <v>23</v>
      </c>
      <c r="C788">
        <v>2026</v>
      </c>
      <c r="D788">
        <v>1</v>
      </c>
      <c r="E788" s="2">
        <v>46050</v>
      </c>
      <c r="F788" t="s">
        <v>7</v>
      </c>
      <c r="G788" t="s">
        <v>8</v>
      </c>
      <c r="H788" t="s">
        <v>74</v>
      </c>
      <c r="I788" t="s">
        <v>75</v>
      </c>
      <c r="J788" t="s">
        <v>76</v>
      </c>
      <c r="K788" t="s">
        <v>73</v>
      </c>
      <c r="L788">
        <v>709000</v>
      </c>
      <c r="M788" t="s">
        <v>86</v>
      </c>
      <c r="N788" t="s">
        <v>33</v>
      </c>
      <c r="O788">
        <v>0</v>
      </c>
      <c r="P788">
        <v>-510</v>
      </c>
      <c r="Q788">
        <v>-0.51</v>
      </c>
      <c r="R788" t="s">
        <v>1205</v>
      </c>
      <c r="S788" t="s">
        <v>195</v>
      </c>
    </row>
    <row r="789" spans="1:19" x14ac:dyDescent="0.3">
      <c r="A789" t="s">
        <v>672</v>
      </c>
      <c r="B789" t="s">
        <v>23</v>
      </c>
      <c r="C789">
        <v>2026</v>
      </c>
      <c r="D789">
        <v>1</v>
      </c>
      <c r="E789" s="2">
        <v>46050</v>
      </c>
      <c r="F789" t="s">
        <v>7</v>
      </c>
      <c r="G789" t="s">
        <v>8</v>
      </c>
      <c r="H789" t="s">
        <v>74</v>
      </c>
      <c r="I789" t="s">
        <v>75</v>
      </c>
      <c r="J789" t="s">
        <v>76</v>
      </c>
      <c r="K789" t="s">
        <v>73</v>
      </c>
      <c r="L789">
        <v>709000</v>
      </c>
      <c r="M789" t="s">
        <v>86</v>
      </c>
      <c r="N789" t="s">
        <v>33</v>
      </c>
      <c r="O789">
        <v>0</v>
      </c>
      <c r="P789">
        <v>-120</v>
      </c>
      <c r="Q789">
        <v>-0.12</v>
      </c>
      <c r="R789" t="s">
        <v>1202</v>
      </c>
      <c r="S789" t="s">
        <v>195</v>
      </c>
    </row>
    <row r="790" spans="1:19" x14ac:dyDescent="0.3">
      <c r="A790" t="s">
        <v>673</v>
      </c>
      <c r="B790" t="s">
        <v>23</v>
      </c>
      <c r="C790">
        <v>2026</v>
      </c>
      <c r="D790">
        <v>1</v>
      </c>
      <c r="E790" s="2">
        <v>46050</v>
      </c>
      <c r="F790" t="s">
        <v>7</v>
      </c>
      <c r="G790" t="s">
        <v>8</v>
      </c>
      <c r="H790" t="s">
        <v>74</v>
      </c>
      <c r="I790" t="s">
        <v>75</v>
      </c>
      <c r="J790" t="s">
        <v>76</v>
      </c>
      <c r="K790" t="s">
        <v>73</v>
      </c>
      <c r="L790">
        <v>709000</v>
      </c>
      <c r="M790" t="s">
        <v>86</v>
      </c>
      <c r="N790" t="s">
        <v>33</v>
      </c>
      <c r="O790">
        <v>0</v>
      </c>
      <c r="P790">
        <v>-1240</v>
      </c>
      <c r="Q790">
        <v>-1.24</v>
      </c>
      <c r="R790" t="s">
        <v>1197</v>
      </c>
      <c r="S790" t="s">
        <v>195</v>
      </c>
    </row>
    <row r="791" spans="1:19" x14ac:dyDescent="0.3">
      <c r="A791" t="s">
        <v>674</v>
      </c>
      <c r="B791" t="s">
        <v>23</v>
      </c>
      <c r="C791">
        <v>2026</v>
      </c>
      <c r="D791">
        <v>1</v>
      </c>
      <c r="E791" s="2">
        <v>46050</v>
      </c>
      <c r="F791" t="s">
        <v>7</v>
      </c>
      <c r="G791" t="s">
        <v>8</v>
      </c>
      <c r="H791" t="s">
        <v>74</v>
      </c>
      <c r="I791" t="s">
        <v>75</v>
      </c>
      <c r="J791" t="s">
        <v>76</v>
      </c>
      <c r="K791" t="s">
        <v>73</v>
      </c>
      <c r="L791">
        <v>709000</v>
      </c>
      <c r="M791" t="s">
        <v>86</v>
      </c>
      <c r="N791" t="s">
        <v>33</v>
      </c>
      <c r="O791">
        <v>0</v>
      </c>
      <c r="P791">
        <v>-500</v>
      </c>
      <c r="Q791">
        <v>-0.5</v>
      </c>
      <c r="R791" t="s">
        <v>1199</v>
      </c>
      <c r="S791" t="s">
        <v>195</v>
      </c>
    </row>
    <row r="792" spans="1:19" x14ac:dyDescent="0.3">
      <c r="A792" t="s">
        <v>750</v>
      </c>
      <c r="B792" t="s">
        <v>23</v>
      </c>
      <c r="C792">
        <v>2026</v>
      </c>
      <c r="D792">
        <v>1</v>
      </c>
      <c r="E792" s="2">
        <v>46050</v>
      </c>
      <c r="F792" t="s">
        <v>7</v>
      </c>
      <c r="G792" t="s">
        <v>8</v>
      </c>
      <c r="H792" t="s">
        <v>70</v>
      </c>
      <c r="I792" t="s">
        <v>77</v>
      </c>
      <c r="J792" t="s">
        <v>78</v>
      </c>
      <c r="K792" t="s">
        <v>73</v>
      </c>
      <c r="L792">
        <v>701000</v>
      </c>
      <c r="M792" t="s">
        <v>62</v>
      </c>
      <c r="N792" t="s">
        <v>33</v>
      </c>
      <c r="O792">
        <v>2522</v>
      </c>
      <c r="P792">
        <v>1.8</v>
      </c>
      <c r="Q792">
        <v>4.54</v>
      </c>
      <c r="R792" t="s">
        <v>1204</v>
      </c>
      <c r="S792" t="s">
        <v>195</v>
      </c>
    </row>
    <row r="793" spans="1:19" x14ac:dyDescent="0.3">
      <c r="A793" t="s">
        <v>751</v>
      </c>
      <c r="B793" t="s">
        <v>23</v>
      </c>
      <c r="C793">
        <v>2026</v>
      </c>
      <c r="D793">
        <v>1</v>
      </c>
      <c r="E793" s="2">
        <v>46050</v>
      </c>
      <c r="F793" t="s">
        <v>7</v>
      </c>
      <c r="G793" t="s">
        <v>8</v>
      </c>
      <c r="H793" t="s">
        <v>70</v>
      </c>
      <c r="I793" t="s">
        <v>77</v>
      </c>
      <c r="J793" t="s">
        <v>78</v>
      </c>
      <c r="K793" t="s">
        <v>73</v>
      </c>
      <c r="L793">
        <v>701000</v>
      </c>
      <c r="M793" t="s">
        <v>62</v>
      </c>
      <c r="N793" t="s">
        <v>33</v>
      </c>
      <c r="O793">
        <v>1245</v>
      </c>
      <c r="P793">
        <v>1.8</v>
      </c>
      <c r="Q793">
        <v>2.2400000000000002</v>
      </c>
      <c r="R793" t="s">
        <v>1203</v>
      </c>
      <c r="S793" t="s">
        <v>195</v>
      </c>
    </row>
    <row r="794" spans="1:19" x14ac:dyDescent="0.3">
      <c r="A794" t="s">
        <v>752</v>
      </c>
      <c r="B794" t="s">
        <v>23</v>
      </c>
      <c r="C794">
        <v>2026</v>
      </c>
      <c r="D794">
        <v>1</v>
      </c>
      <c r="E794" s="2">
        <v>46050</v>
      </c>
      <c r="F794" t="s">
        <v>7</v>
      </c>
      <c r="G794" t="s">
        <v>8</v>
      </c>
      <c r="H794" t="s">
        <v>70</v>
      </c>
      <c r="I794" t="s">
        <v>77</v>
      </c>
      <c r="J794" t="s">
        <v>78</v>
      </c>
      <c r="K794" t="s">
        <v>73</v>
      </c>
      <c r="L794">
        <v>701000</v>
      </c>
      <c r="M794" t="s">
        <v>62</v>
      </c>
      <c r="N794" t="s">
        <v>33</v>
      </c>
      <c r="O794">
        <v>899</v>
      </c>
      <c r="P794">
        <v>1.8</v>
      </c>
      <c r="Q794">
        <v>1.62</v>
      </c>
      <c r="R794" t="s">
        <v>1202</v>
      </c>
      <c r="S794" t="s">
        <v>195</v>
      </c>
    </row>
    <row r="795" spans="1:19" x14ac:dyDescent="0.3">
      <c r="A795" t="s">
        <v>753</v>
      </c>
      <c r="B795" t="s">
        <v>23</v>
      </c>
      <c r="C795">
        <v>2026</v>
      </c>
      <c r="D795">
        <v>1</v>
      </c>
      <c r="E795" s="2">
        <v>46050</v>
      </c>
      <c r="F795" t="s">
        <v>7</v>
      </c>
      <c r="G795" t="s">
        <v>8</v>
      </c>
      <c r="H795" t="s">
        <v>70</v>
      </c>
      <c r="I795" t="s">
        <v>77</v>
      </c>
      <c r="J795" t="s">
        <v>78</v>
      </c>
      <c r="K795" t="s">
        <v>73</v>
      </c>
      <c r="L795">
        <v>701000</v>
      </c>
      <c r="M795" t="s">
        <v>62</v>
      </c>
      <c r="N795" t="s">
        <v>33</v>
      </c>
      <c r="O795">
        <v>1976</v>
      </c>
      <c r="P795">
        <v>1.8</v>
      </c>
      <c r="Q795">
        <v>3.56</v>
      </c>
      <c r="R795" t="s">
        <v>1201</v>
      </c>
      <c r="S795" t="s">
        <v>195</v>
      </c>
    </row>
    <row r="796" spans="1:19" x14ac:dyDescent="0.3">
      <c r="A796" t="s">
        <v>754</v>
      </c>
      <c r="B796" t="s">
        <v>23</v>
      </c>
      <c r="C796">
        <v>2026</v>
      </c>
      <c r="D796">
        <v>1</v>
      </c>
      <c r="E796" s="2">
        <v>46050</v>
      </c>
      <c r="F796" t="s">
        <v>7</v>
      </c>
      <c r="G796" t="s">
        <v>8</v>
      </c>
      <c r="H796" t="s">
        <v>70</v>
      </c>
      <c r="I796" t="s">
        <v>77</v>
      </c>
      <c r="J796" t="s">
        <v>78</v>
      </c>
      <c r="K796" t="s">
        <v>73</v>
      </c>
      <c r="L796">
        <v>701000</v>
      </c>
      <c r="M796" t="s">
        <v>62</v>
      </c>
      <c r="N796" t="s">
        <v>33</v>
      </c>
      <c r="O796">
        <v>1912</v>
      </c>
      <c r="P796">
        <v>1.8</v>
      </c>
      <c r="Q796">
        <v>3.44</v>
      </c>
      <c r="R796" t="s">
        <v>1197</v>
      </c>
      <c r="S796" t="s">
        <v>195</v>
      </c>
    </row>
    <row r="797" spans="1:19" x14ac:dyDescent="0.3">
      <c r="A797" t="s">
        <v>770</v>
      </c>
      <c r="B797" t="s">
        <v>23</v>
      </c>
      <c r="C797">
        <v>2026</v>
      </c>
      <c r="D797">
        <v>1</v>
      </c>
      <c r="E797" s="2">
        <v>46050</v>
      </c>
      <c r="F797" t="s">
        <v>7</v>
      </c>
      <c r="G797" t="s">
        <v>8</v>
      </c>
      <c r="H797" t="s">
        <v>70</v>
      </c>
      <c r="I797" t="s">
        <v>77</v>
      </c>
      <c r="J797" t="s">
        <v>78</v>
      </c>
      <c r="K797" t="s">
        <v>73</v>
      </c>
      <c r="L797">
        <v>709000</v>
      </c>
      <c r="M797" t="s">
        <v>86</v>
      </c>
      <c r="N797" t="s">
        <v>33</v>
      </c>
      <c r="O797">
        <v>0</v>
      </c>
      <c r="P797">
        <v>-170</v>
      </c>
      <c r="Q797">
        <v>-0.17</v>
      </c>
      <c r="R797" t="s">
        <v>1205</v>
      </c>
      <c r="S797" t="s">
        <v>195</v>
      </c>
    </row>
    <row r="798" spans="1:19" x14ac:dyDescent="0.3">
      <c r="A798" t="s">
        <v>771</v>
      </c>
      <c r="B798" t="s">
        <v>23</v>
      </c>
      <c r="C798">
        <v>2026</v>
      </c>
      <c r="D798">
        <v>1</v>
      </c>
      <c r="E798" s="2">
        <v>46050</v>
      </c>
      <c r="F798" t="s">
        <v>7</v>
      </c>
      <c r="G798" t="s">
        <v>8</v>
      </c>
      <c r="H798" t="s">
        <v>70</v>
      </c>
      <c r="I798" t="s">
        <v>77</v>
      </c>
      <c r="J798" t="s">
        <v>78</v>
      </c>
      <c r="K798" t="s">
        <v>73</v>
      </c>
      <c r="L798">
        <v>709000</v>
      </c>
      <c r="M798" t="s">
        <v>86</v>
      </c>
      <c r="N798" t="s">
        <v>33</v>
      </c>
      <c r="O798">
        <v>0</v>
      </c>
      <c r="P798">
        <v>-580</v>
      </c>
      <c r="Q798">
        <v>-0.57999999999999996</v>
      </c>
      <c r="R798" t="s">
        <v>1204</v>
      </c>
      <c r="S798" t="s">
        <v>195</v>
      </c>
    </row>
    <row r="799" spans="1:19" x14ac:dyDescent="0.3">
      <c r="A799" t="s">
        <v>772</v>
      </c>
      <c r="B799" t="s">
        <v>23</v>
      </c>
      <c r="C799">
        <v>2026</v>
      </c>
      <c r="D799">
        <v>1</v>
      </c>
      <c r="E799" s="2">
        <v>46050</v>
      </c>
      <c r="F799" t="s">
        <v>7</v>
      </c>
      <c r="G799" t="s">
        <v>8</v>
      </c>
      <c r="H799" t="s">
        <v>70</v>
      </c>
      <c r="I799" t="s">
        <v>77</v>
      </c>
      <c r="J799" t="s">
        <v>78</v>
      </c>
      <c r="K799" t="s">
        <v>73</v>
      </c>
      <c r="L799">
        <v>709000</v>
      </c>
      <c r="M799" t="s">
        <v>86</v>
      </c>
      <c r="N799" t="s">
        <v>33</v>
      </c>
      <c r="O799">
        <v>0</v>
      </c>
      <c r="P799">
        <v>-770</v>
      </c>
      <c r="Q799">
        <v>-0.77</v>
      </c>
      <c r="R799" t="s">
        <v>1202</v>
      </c>
      <c r="S799" t="s">
        <v>195</v>
      </c>
    </row>
    <row r="800" spans="1:19" x14ac:dyDescent="0.3">
      <c r="A800" t="s">
        <v>773</v>
      </c>
      <c r="B800" t="s">
        <v>23</v>
      </c>
      <c r="C800">
        <v>2026</v>
      </c>
      <c r="D800">
        <v>1</v>
      </c>
      <c r="E800" s="2">
        <v>46050</v>
      </c>
      <c r="F800" t="s">
        <v>7</v>
      </c>
      <c r="G800" t="s">
        <v>8</v>
      </c>
      <c r="H800" t="s">
        <v>70</v>
      </c>
      <c r="I800" t="s">
        <v>77</v>
      </c>
      <c r="J800" t="s">
        <v>78</v>
      </c>
      <c r="K800" t="s">
        <v>73</v>
      </c>
      <c r="L800">
        <v>709000</v>
      </c>
      <c r="M800" t="s">
        <v>86</v>
      </c>
      <c r="N800" t="s">
        <v>33</v>
      </c>
      <c r="O800">
        <v>0</v>
      </c>
      <c r="P800">
        <v>-2520</v>
      </c>
      <c r="Q800">
        <v>-2.52</v>
      </c>
      <c r="R800" t="s">
        <v>1199</v>
      </c>
      <c r="S800" t="s">
        <v>195</v>
      </c>
    </row>
    <row r="801" spans="1:19" x14ac:dyDescent="0.3">
      <c r="A801" t="s">
        <v>774</v>
      </c>
      <c r="B801" t="s">
        <v>23</v>
      </c>
      <c r="C801">
        <v>2026</v>
      </c>
      <c r="D801">
        <v>1</v>
      </c>
      <c r="E801" s="2">
        <v>46050</v>
      </c>
      <c r="F801" t="s">
        <v>7</v>
      </c>
      <c r="G801" t="s">
        <v>8</v>
      </c>
      <c r="H801" t="s">
        <v>70</v>
      </c>
      <c r="I801" t="s">
        <v>77</v>
      </c>
      <c r="J801" t="s">
        <v>78</v>
      </c>
      <c r="K801" t="s">
        <v>73</v>
      </c>
      <c r="L801">
        <v>709000</v>
      </c>
      <c r="M801" t="s">
        <v>86</v>
      </c>
      <c r="N801" t="s">
        <v>33</v>
      </c>
      <c r="O801">
        <v>0</v>
      </c>
      <c r="P801">
        <v>-1200</v>
      </c>
      <c r="Q801">
        <v>-1.2</v>
      </c>
      <c r="R801" t="s">
        <v>1200</v>
      </c>
      <c r="S801" t="s">
        <v>195</v>
      </c>
    </row>
    <row r="802" spans="1:19" x14ac:dyDescent="0.3">
      <c r="A802" t="s">
        <v>805</v>
      </c>
      <c r="B802" t="s">
        <v>23</v>
      </c>
      <c r="C802">
        <v>2026</v>
      </c>
      <c r="D802">
        <v>1</v>
      </c>
      <c r="E802" s="2">
        <v>46050</v>
      </c>
      <c r="F802" t="s">
        <v>7</v>
      </c>
      <c r="G802" t="s">
        <v>8</v>
      </c>
      <c r="H802" t="s">
        <v>74</v>
      </c>
      <c r="I802" t="s">
        <v>79</v>
      </c>
      <c r="J802" t="s">
        <v>80</v>
      </c>
      <c r="K802" t="s">
        <v>73</v>
      </c>
      <c r="L802">
        <v>701000</v>
      </c>
      <c r="M802" t="s">
        <v>62</v>
      </c>
      <c r="N802" t="s">
        <v>33</v>
      </c>
      <c r="O802">
        <v>977</v>
      </c>
      <c r="P802">
        <v>2.6</v>
      </c>
      <c r="Q802">
        <v>2.54</v>
      </c>
      <c r="R802" t="s">
        <v>1197</v>
      </c>
      <c r="S802" t="s">
        <v>195</v>
      </c>
    </row>
    <row r="803" spans="1:19" x14ac:dyDescent="0.3">
      <c r="A803" t="s">
        <v>806</v>
      </c>
      <c r="B803" t="s">
        <v>23</v>
      </c>
      <c r="C803">
        <v>2026</v>
      </c>
      <c r="D803">
        <v>1</v>
      </c>
      <c r="E803" s="2">
        <v>46050</v>
      </c>
      <c r="F803" t="s">
        <v>7</v>
      </c>
      <c r="G803" t="s">
        <v>8</v>
      </c>
      <c r="H803" t="s">
        <v>74</v>
      </c>
      <c r="I803" t="s">
        <v>79</v>
      </c>
      <c r="J803" t="s">
        <v>80</v>
      </c>
      <c r="K803" t="s">
        <v>73</v>
      </c>
      <c r="L803">
        <v>701000</v>
      </c>
      <c r="M803" t="s">
        <v>62</v>
      </c>
      <c r="N803" t="s">
        <v>33</v>
      </c>
      <c r="O803">
        <v>2423</v>
      </c>
      <c r="P803">
        <v>2.6</v>
      </c>
      <c r="Q803">
        <v>6.3</v>
      </c>
      <c r="R803" t="s">
        <v>1201</v>
      </c>
      <c r="S803" t="s">
        <v>195</v>
      </c>
    </row>
    <row r="804" spans="1:19" x14ac:dyDescent="0.3">
      <c r="A804" t="s">
        <v>807</v>
      </c>
      <c r="B804" t="s">
        <v>23</v>
      </c>
      <c r="C804">
        <v>2026</v>
      </c>
      <c r="D804">
        <v>1</v>
      </c>
      <c r="E804" s="2">
        <v>46050</v>
      </c>
      <c r="F804" t="s">
        <v>7</v>
      </c>
      <c r="G804" t="s">
        <v>8</v>
      </c>
      <c r="H804" t="s">
        <v>74</v>
      </c>
      <c r="I804" t="s">
        <v>79</v>
      </c>
      <c r="J804" t="s">
        <v>80</v>
      </c>
      <c r="K804" t="s">
        <v>73</v>
      </c>
      <c r="L804">
        <v>701000</v>
      </c>
      <c r="M804" t="s">
        <v>62</v>
      </c>
      <c r="N804" t="s">
        <v>33</v>
      </c>
      <c r="O804">
        <v>1349</v>
      </c>
      <c r="P804">
        <v>2.6</v>
      </c>
      <c r="Q804">
        <v>3.51</v>
      </c>
      <c r="R804" t="s">
        <v>1205</v>
      </c>
      <c r="S804" t="s">
        <v>195</v>
      </c>
    </row>
    <row r="805" spans="1:19" x14ac:dyDescent="0.3">
      <c r="A805" t="s">
        <v>808</v>
      </c>
      <c r="B805" t="s">
        <v>23</v>
      </c>
      <c r="C805">
        <v>2026</v>
      </c>
      <c r="D805">
        <v>1</v>
      </c>
      <c r="E805" s="2">
        <v>46050</v>
      </c>
      <c r="F805" t="s">
        <v>7</v>
      </c>
      <c r="G805" t="s">
        <v>8</v>
      </c>
      <c r="H805" t="s">
        <v>74</v>
      </c>
      <c r="I805" t="s">
        <v>79</v>
      </c>
      <c r="J805" t="s">
        <v>80</v>
      </c>
      <c r="K805" t="s">
        <v>73</v>
      </c>
      <c r="L805">
        <v>701000</v>
      </c>
      <c r="M805" t="s">
        <v>62</v>
      </c>
      <c r="N805" t="s">
        <v>33</v>
      </c>
      <c r="O805">
        <v>1804</v>
      </c>
      <c r="P805">
        <v>2.6</v>
      </c>
      <c r="Q805">
        <v>4.6900000000000004</v>
      </c>
      <c r="R805" t="s">
        <v>1199</v>
      </c>
      <c r="S805" t="s">
        <v>195</v>
      </c>
    </row>
    <row r="806" spans="1:19" x14ac:dyDescent="0.3">
      <c r="A806" t="s">
        <v>809</v>
      </c>
      <c r="B806" t="s">
        <v>23</v>
      </c>
      <c r="C806">
        <v>2026</v>
      </c>
      <c r="D806">
        <v>1</v>
      </c>
      <c r="E806" s="2">
        <v>46050</v>
      </c>
      <c r="F806" t="s">
        <v>7</v>
      </c>
      <c r="G806" t="s">
        <v>8</v>
      </c>
      <c r="H806" t="s">
        <v>74</v>
      </c>
      <c r="I806" t="s">
        <v>79</v>
      </c>
      <c r="J806" t="s">
        <v>80</v>
      </c>
      <c r="K806" t="s">
        <v>73</v>
      </c>
      <c r="L806">
        <v>701000</v>
      </c>
      <c r="M806" t="s">
        <v>62</v>
      </c>
      <c r="N806" t="s">
        <v>33</v>
      </c>
      <c r="O806">
        <v>1321</v>
      </c>
      <c r="P806">
        <v>2.6</v>
      </c>
      <c r="Q806">
        <v>3.43</v>
      </c>
      <c r="R806" t="s">
        <v>1200</v>
      </c>
      <c r="S806" t="s">
        <v>195</v>
      </c>
    </row>
    <row r="807" spans="1:19" x14ac:dyDescent="0.3">
      <c r="A807" t="s">
        <v>860</v>
      </c>
      <c r="B807" t="s">
        <v>23</v>
      </c>
      <c r="C807">
        <v>2026</v>
      </c>
      <c r="D807">
        <v>1</v>
      </c>
      <c r="E807" s="2">
        <v>46050</v>
      </c>
      <c r="F807" t="s">
        <v>7</v>
      </c>
      <c r="G807" t="s">
        <v>8</v>
      </c>
      <c r="H807" t="s">
        <v>74</v>
      </c>
      <c r="I807" t="s">
        <v>79</v>
      </c>
      <c r="J807" t="s">
        <v>80</v>
      </c>
      <c r="K807" t="s">
        <v>73</v>
      </c>
      <c r="L807">
        <v>701000</v>
      </c>
      <c r="M807" t="s">
        <v>62</v>
      </c>
      <c r="N807" t="s">
        <v>33</v>
      </c>
      <c r="O807">
        <v>756</v>
      </c>
      <c r="P807">
        <v>2.61</v>
      </c>
      <c r="Q807">
        <v>1.97</v>
      </c>
      <c r="R807" t="s">
        <v>1201</v>
      </c>
      <c r="S807" t="s">
        <v>195</v>
      </c>
    </row>
    <row r="808" spans="1:19" x14ac:dyDescent="0.3">
      <c r="A808" t="s">
        <v>861</v>
      </c>
      <c r="B808" t="s">
        <v>23</v>
      </c>
      <c r="C808">
        <v>2026</v>
      </c>
      <c r="D808">
        <v>1</v>
      </c>
      <c r="E808" s="2">
        <v>46050</v>
      </c>
      <c r="F808" t="s">
        <v>7</v>
      </c>
      <c r="G808" t="s">
        <v>8</v>
      </c>
      <c r="H808" t="s">
        <v>74</v>
      </c>
      <c r="I808" t="s">
        <v>79</v>
      </c>
      <c r="J808" t="s">
        <v>80</v>
      </c>
      <c r="K808" t="s">
        <v>73</v>
      </c>
      <c r="L808">
        <v>701000</v>
      </c>
      <c r="M808" t="s">
        <v>62</v>
      </c>
      <c r="N808" t="s">
        <v>33</v>
      </c>
      <c r="O808">
        <v>293</v>
      </c>
      <c r="P808">
        <v>2.59</v>
      </c>
      <c r="Q808">
        <v>0.76</v>
      </c>
      <c r="R808" t="s">
        <v>1204</v>
      </c>
      <c r="S808" t="s">
        <v>195</v>
      </c>
    </row>
    <row r="809" spans="1:19" x14ac:dyDescent="0.3">
      <c r="A809" t="s">
        <v>862</v>
      </c>
      <c r="B809" t="s">
        <v>23</v>
      </c>
      <c r="C809">
        <v>2026</v>
      </c>
      <c r="D809">
        <v>1</v>
      </c>
      <c r="E809" s="2">
        <v>46050</v>
      </c>
      <c r="F809" t="s">
        <v>7</v>
      </c>
      <c r="G809" t="s">
        <v>8</v>
      </c>
      <c r="H809" t="s">
        <v>74</v>
      </c>
      <c r="I809" t="s">
        <v>79</v>
      </c>
      <c r="J809" t="s">
        <v>80</v>
      </c>
      <c r="K809" t="s">
        <v>73</v>
      </c>
      <c r="L809">
        <v>701000</v>
      </c>
      <c r="M809" t="s">
        <v>62</v>
      </c>
      <c r="N809" t="s">
        <v>33</v>
      </c>
      <c r="O809">
        <v>1377</v>
      </c>
      <c r="P809">
        <v>2.6</v>
      </c>
      <c r="Q809">
        <v>3.58</v>
      </c>
      <c r="R809" t="s">
        <v>1199</v>
      </c>
      <c r="S809" t="s">
        <v>195</v>
      </c>
    </row>
    <row r="810" spans="1:19" x14ac:dyDescent="0.3">
      <c r="A810" t="s">
        <v>863</v>
      </c>
      <c r="B810" t="s">
        <v>23</v>
      </c>
      <c r="C810">
        <v>2026</v>
      </c>
      <c r="D810">
        <v>1</v>
      </c>
      <c r="E810" s="2">
        <v>46050</v>
      </c>
      <c r="F810" t="s">
        <v>7</v>
      </c>
      <c r="G810" t="s">
        <v>8</v>
      </c>
      <c r="H810" t="s">
        <v>74</v>
      </c>
      <c r="I810" t="s">
        <v>79</v>
      </c>
      <c r="J810" t="s">
        <v>80</v>
      </c>
      <c r="K810" t="s">
        <v>73</v>
      </c>
      <c r="L810">
        <v>701000</v>
      </c>
      <c r="M810" t="s">
        <v>62</v>
      </c>
      <c r="N810" t="s">
        <v>33</v>
      </c>
      <c r="O810">
        <v>2792</v>
      </c>
      <c r="P810">
        <v>2.6</v>
      </c>
      <c r="Q810">
        <v>7.26</v>
      </c>
      <c r="R810" t="s">
        <v>1205</v>
      </c>
      <c r="S810" t="s">
        <v>195</v>
      </c>
    </row>
    <row r="811" spans="1:19" x14ac:dyDescent="0.3">
      <c r="A811" t="s">
        <v>864</v>
      </c>
      <c r="B811" t="s">
        <v>23</v>
      </c>
      <c r="C811">
        <v>2026</v>
      </c>
      <c r="D811">
        <v>1</v>
      </c>
      <c r="E811" s="2">
        <v>46050</v>
      </c>
      <c r="F811" t="s">
        <v>7</v>
      </c>
      <c r="G811" t="s">
        <v>8</v>
      </c>
      <c r="H811" t="s">
        <v>74</v>
      </c>
      <c r="I811" t="s">
        <v>79</v>
      </c>
      <c r="J811" t="s">
        <v>80</v>
      </c>
      <c r="K811" t="s">
        <v>73</v>
      </c>
      <c r="L811">
        <v>701000</v>
      </c>
      <c r="M811" t="s">
        <v>62</v>
      </c>
      <c r="N811" t="s">
        <v>33</v>
      </c>
      <c r="O811">
        <v>1463</v>
      </c>
      <c r="P811">
        <v>2.6</v>
      </c>
      <c r="Q811">
        <v>3.8</v>
      </c>
      <c r="R811" t="s">
        <v>1198</v>
      </c>
      <c r="S811" t="s">
        <v>195</v>
      </c>
    </row>
    <row r="812" spans="1:19" x14ac:dyDescent="0.3">
      <c r="A812" t="s">
        <v>1145</v>
      </c>
      <c r="B812" t="s">
        <v>23</v>
      </c>
      <c r="C812">
        <v>2026</v>
      </c>
      <c r="D812">
        <v>2</v>
      </c>
      <c r="E812" s="2">
        <v>46054</v>
      </c>
      <c r="F812" t="s">
        <v>7</v>
      </c>
      <c r="G812" t="s">
        <v>8</v>
      </c>
      <c r="H812" t="s">
        <v>70</v>
      </c>
      <c r="I812" t="s">
        <v>71</v>
      </c>
      <c r="J812" t="s">
        <v>72</v>
      </c>
      <c r="K812" t="s">
        <v>73</v>
      </c>
      <c r="L812">
        <v>701000</v>
      </c>
      <c r="M812" t="s">
        <v>62</v>
      </c>
      <c r="N812" t="s">
        <v>33</v>
      </c>
      <c r="O812">
        <v>3857</v>
      </c>
      <c r="P812">
        <v>1.05</v>
      </c>
      <c r="Q812">
        <v>4.05</v>
      </c>
      <c r="R812" t="s">
        <v>1203</v>
      </c>
      <c r="S812" t="s">
        <v>195</v>
      </c>
    </row>
    <row r="813" spans="1:19" x14ac:dyDescent="0.3">
      <c r="A813" t="s">
        <v>1146</v>
      </c>
      <c r="B813" t="s">
        <v>23</v>
      </c>
      <c r="C813">
        <v>2026</v>
      </c>
      <c r="D813">
        <v>2</v>
      </c>
      <c r="E813" s="2">
        <v>46054</v>
      </c>
      <c r="F813" t="s">
        <v>7</v>
      </c>
      <c r="G813" t="s">
        <v>8</v>
      </c>
      <c r="H813" t="s">
        <v>70</v>
      </c>
      <c r="I813" t="s">
        <v>71</v>
      </c>
      <c r="J813" t="s">
        <v>72</v>
      </c>
      <c r="K813" t="s">
        <v>73</v>
      </c>
      <c r="L813">
        <v>701000</v>
      </c>
      <c r="M813" t="s">
        <v>62</v>
      </c>
      <c r="N813" t="s">
        <v>33</v>
      </c>
      <c r="O813">
        <v>4294</v>
      </c>
      <c r="P813">
        <v>1.05</v>
      </c>
      <c r="Q813">
        <v>4.51</v>
      </c>
      <c r="R813" t="s">
        <v>1204</v>
      </c>
      <c r="S813" t="s">
        <v>195</v>
      </c>
    </row>
    <row r="814" spans="1:19" x14ac:dyDescent="0.3">
      <c r="A814" t="s">
        <v>1147</v>
      </c>
      <c r="B814" t="s">
        <v>23</v>
      </c>
      <c r="C814">
        <v>2026</v>
      </c>
      <c r="D814">
        <v>2</v>
      </c>
      <c r="E814" s="2">
        <v>46054</v>
      </c>
      <c r="F814" t="s">
        <v>7</v>
      </c>
      <c r="G814" t="s">
        <v>8</v>
      </c>
      <c r="H814" t="s">
        <v>70</v>
      </c>
      <c r="I814" t="s">
        <v>71</v>
      </c>
      <c r="J814" t="s">
        <v>72</v>
      </c>
      <c r="K814" t="s">
        <v>73</v>
      </c>
      <c r="L814">
        <v>701000</v>
      </c>
      <c r="M814" t="s">
        <v>62</v>
      </c>
      <c r="N814" t="s">
        <v>33</v>
      </c>
      <c r="O814">
        <v>643</v>
      </c>
      <c r="P814">
        <v>1.04</v>
      </c>
      <c r="Q814">
        <v>0.67</v>
      </c>
      <c r="R814" t="s">
        <v>1201</v>
      </c>
      <c r="S814" t="s">
        <v>195</v>
      </c>
    </row>
    <row r="815" spans="1:19" x14ac:dyDescent="0.3">
      <c r="A815" t="s">
        <v>1148</v>
      </c>
      <c r="B815" t="s">
        <v>23</v>
      </c>
      <c r="C815">
        <v>2026</v>
      </c>
      <c r="D815">
        <v>2</v>
      </c>
      <c r="E815" s="2">
        <v>46054</v>
      </c>
      <c r="F815" t="s">
        <v>7</v>
      </c>
      <c r="G815" t="s">
        <v>8</v>
      </c>
      <c r="H815" t="s">
        <v>70</v>
      </c>
      <c r="I815" t="s">
        <v>71</v>
      </c>
      <c r="J815" t="s">
        <v>72</v>
      </c>
      <c r="K815" t="s">
        <v>73</v>
      </c>
      <c r="L815">
        <v>701000</v>
      </c>
      <c r="M815" t="s">
        <v>62</v>
      </c>
      <c r="N815" t="s">
        <v>33</v>
      </c>
      <c r="O815">
        <v>1386</v>
      </c>
      <c r="P815">
        <v>1.05</v>
      </c>
      <c r="Q815">
        <v>1.46</v>
      </c>
      <c r="R815" t="s">
        <v>1199</v>
      </c>
      <c r="S815" t="s">
        <v>195</v>
      </c>
    </row>
    <row r="816" spans="1:19" x14ac:dyDescent="0.3">
      <c r="A816" t="s">
        <v>1149</v>
      </c>
      <c r="B816" t="s">
        <v>23</v>
      </c>
      <c r="C816">
        <v>2026</v>
      </c>
      <c r="D816">
        <v>2</v>
      </c>
      <c r="E816" s="2">
        <v>46054</v>
      </c>
      <c r="F816" t="s">
        <v>7</v>
      </c>
      <c r="G816" t="s">
        <v>8</v>
      </c>
      <c r="H816" t="s">
        <v>70</v>
      </c>
      <c r="I816" t="s">
        <v>71</v>
      </c>
      <c r="J816" t="s">
        <v>72</v>
      </c>
      <c r="K816" t="s">
        <v>73</v>
      </c>
      <c r="L816">
        <v>701000</v>
      </c>
      <c r="M816" t="s">
        <v>62</v>
      </c>
      <c r="N816" t="s">
        <v>33</v>
      </c>
      <c r="O816">
        <v>6584</v>
      </c>
      <c r="P816">
        <v>1.05</v>
      </c>
      <c r="Q816">
        <v>6.91</v>
      </c>
      <c r="R816" t="s">
        <v>1202</v>
      </c>
      <c r="S816" t="s">
        <v>195</v>
      </c>
    </row>
    <row r="817" spans="1:19" x14ac:dyDescent="0.3">
      <c r="A817" t="s">
        <v>1190</v>
      </c>
      <c r="B817" t="s">
        <v>23</v>
      </c>
      <c r="C817">
        <v>2026</v>
      </c>
      <c r="D817">
        <v>2</v>
      </c>
      <c r="E817" s="2">
        <v>46054</v>
      </c>
      <c r="F817" t="s">
        <v>7</v>
      </c>
      <c r="G817" t="s">
        <v>8</v>
      </c>
      <c r="H817" t="s">
        <v>70</v>
      </c>
      <c r="I817" t="s">
        <v>71</v>
      </c>
      <c r="J817" t="s">
        <v>72</v>
      </c>
      <c r="K817" t="s">
        <v>73</v>
      </c>
      <c r="L817">
        <v>701000</v>
      </c>
      <c r="M817" t="s">
        <v>62</v>
      </c>
      <c r="N817" t="s">
        <v>33</v>
      </c>
      <c r="O817">
        <v>6312</v>
      </c>
      <c r="P817">
        <v>1.05</v>
      </c>
      <c r="Q817">
        <v>6.63</v>
      </c>
      <c r="R817" t="s">
        <v>1205</v>
      </c>
      <c r="S817" t="s">
        <v>195</v>
      </c>
    </row>
    <row r="818" spans="1:19" x14ac:dyDescent="0.3">
      <c r="A818" t="s">
        <v>1191</v>
      </c>
      <c r="B818" t="s">
        <v>23</v>
      </c>
      <c r="C818">
        <v>2026</v>
      </c>
      <c r="D818">
        <v>2</v>
      </c>
      <c r="E818" s="2">
        <v>46054</v>
      </c>
      <c r="F818" t="s">
        <v>7</v>
      </c>
      <c r="G818" t="s">
        <v>8</v>
      </c>
      <c r="H818" t="s">
        <v>70</v>
      </c>
      <c r="I818" t="s">
        <v>71</v>
      </c>
      <c r="J818" t="s">
        <v>72</v>
      </c>
      <c r="K818" t="s">
        <v>73</v>
      </c>
      <c r="L818">
        <v>701000</v>
      </c>
      <c r="M818" t="s">
        <v>62</v>
      </c>
      <c r="N818" t="s">
        <v>33</v>
      </c>
      <c r="O818">
        <v>2158</v>
      </c>
      <c r="P818">
        <v>1.05</v>
      </c>
      <c r="Q818">
        <v>2.27</v>
      </c>
      <c r="R818" t="s">
        <v>1203</v>
      </c>
      <c r="S818" t="s">
        <v>195</v>
      </c>
    </row>
    <row r="819" spans="1:19" x14ac:dyDescent="0.3">
      <c r="A819" t="s">
        <v>1192</v>
      </c>
      <c r="B819" t="s">
        <v>23</v>
      </c>
      <c r="C819">
        <v>2026</v>
      </c>
      <c r="D819">
        <v>2</v>
      </c>
      <c r="E819" s="2">
        <v>46054</v>
      </c>
      <c r="F819" t="s">
        <v>7</v>
      </c>
      <c r="G819" t="s">
        <v>8</v>
      </c>
      <c r="H819" t="s">
        <v>70</v>
      </c>
      <c r="I819" t="s">
        <v>71</v>
      </c>
      <c r="J819" t="s">
        <v>72</v>
      </c>
      <c r="K819" t="s">
        <v>73</v>
      </c>
      <c r="L819">
        <v>701000</v>
      </c>
      <c r="M819" t="s">
        <v>62</v>
      </c>
      <c r="N819" t="s">
        <v>33</v>
      </c>
      <c r="O819">
        <v>716</v>
      </c>
      <c r="P819">
        <v>1.05</v>
      </c>
      <c r="Q819">
        <v>0.75</v>
      </c>
      <c r="R819" t="s">
        <v>1201</v>
      </c>
      <c r="S819" t="s">
        <v>195</v>
      </c>
    </row>
    <row r="820" spans="1:19" x14ac:dyDescent="0.3">
      <c r="A820" t="s">
        <v>1193</v>
      </c>
      <c r="B820" t="s">
        <v>23</v>
      </c>
      <c r="C820">
        <v>2026</v>
      </c>
      <c r="D820">
        <v>2</v>
      </c>
      <c r="E820" s="2">
        <v>46054</v>
      </c>
      <c r="F820" t="s">
        <v>7</v>
      </c>
      <c r="G820" t="s">
        <v>8</v>
      </c>
      <c r="H820" t="s">
        <v>70</v>
      </c>
      <c r="I820" t="s">
        <v>71</v>
      </c>
      <c r="J820" t="s">
        <v>72</v>
      </c>
      <c r="K820" t="s">
        <v>73</v>
      </c>
      <c r="L820">
        <v>701000</v>
      </c>
      <c r="M820" t="s">
        <v>62</v>
      </c>
      <c r="N820" t="s">
        <v>33</v>
      </c>
      <c r="O820">
        <v>783</v>
      </c>
      <c r="P820">
        <v>1.05</v>
      </c>
      <c r="Q820">
        <v>0.82</v>
      </c>
      <c r="R820" t="s">
        <v>1202</v>
      </c>
      <c r="S820" t="s">
        <v>195</v>
      </c>
    </row>
    <row r="821" spans="1:19" x14ac:dyDescent="0.3">
      <c r="A821" t="s">
        <v>1194</v>
      </c>
      <c r="B821" t="s">
        <v>23</v>
      </c>
      <c r="C821">
        <v>2026</v>
      </c>
      <c r="D821">
        <v>2</v>
      </c>
      <c r="E821" s="2">
        <v>46054</v>
      </c>
      <c r="F821" t="s">
        <v>7</v>
      </c>
      <c r="G821" t="s">
        <v>8</v>
      </c>
      <c r="H821" t="s">
        <v>70</v>
      </c>
      <c r="I821" t="s">
        <v>71</v>
      </c>
      <c r="J821" t="s">
        <v>72</v>
      </c>
      <c r="K821" t="s">
        <v>73</v>
      </c>
      <c r="L821">
        <v>701000</v>
      </c>
      <c r="M821" t="s">
        <v>62</v>
      </c>
      <c r="N821" t="s">
        <v>33</v>
      </c>
      <c r="O821">
        <v>7499</v>
      </c>
      <c r="P821">
        <v>1.05</v>
      </c>
      <c r="Q821">
        <v>7.87</v>
      </c>
      <c r="R821" t="s">
        <v>1197</v>
      </c>
      <c r="S821" t="s">
        <v>195</v>
      </c>
    </row>
    <row r="822" spans="1:19" x14ac:dyDescent="0.3">
      <c r="A822" t="s">
        <v>1005</v>
      </c>
      <c r="B822" t="s">
        <v>23</v>
      </c>
      <c r="C822">
        <v>2026</v>
      </c>
      <c r="D822">
        <v>2</v>
      </c>
      <c r="E822" s="2">
        <v>46055</v>
      </c>
      <c r="F822" t="s">
        <v>7</v>
      </c>
      <c r="G822" t="s">
        <v>8</v>
      </c>
      <c r="H822" t="s">
        <v>74</v>
      </c>
      <c r="I822" t="s">
        <v>84</v>
      </c>
      <c r="J822" t="s">
        <v>85</v>
      </c>
      <c r="K822" t="s">
        <v>73</v>
      </c>
      <c r="L822">
        <v>701000</v>
      </c>
      <c r="M822" t="s">
        <v>62</v>
      </c>
      <c r="N822" t="s">
        <v>33</v>
      </c>
      <c r="O822">
        <v>3837</v>
      </c>
      <c r="P822">
        <v>0.95</v>
      </c>
      <c r="Q822">
        <v>3.65</v>
      </c>
      <c r="R822" t="s">
        <v>1204</v>
      </c>
      <c r="S822" t="s">
        <v>195</v>
      </c>
    </row>
    <row r="823" spans="1:19" x14ac:dyDescent="0.3">
      <c r="A823" t="s">
        <v>1006</v>
      </c>
      <c r="B823" t="s">
        <v>23</v>
      </c>
      <c r="C823">
        <v>2026</v>
      </c>
      <c r="D823">
        <v>2</v>
      </c>
      <c r="E823" s="2">
        <v>46055</v>
      </c>
      <c r="F823" t="s">
        <v>7</v>
      </c>
      <c r="G823" t="s">
        <v>8</v>
      </c>
      <c r="H823" t="s">
        <v>74</v>
      </c>
      <c r="I823" t="s">
        <v>84</v>
      </c>
      <c r="J823" t="s">
        <v>85</v>
      </c>
      <c r="K823" t="s">
        <v>73</v>
      </c>
      <c r="L823">
        <v>701000</v>
      </c>
      <c r="M823" t="s">
        <v>62</v>
      </c>
      <c r="N823" t="s">
        <v>33</v>
      </c>
      <c r="O823">
        <v>8127</v>
      </c>
      <c r="P823">
        <v>0.95</v>
      </c>
      <c r="Q823">
        <v>7.72</v>
      </c>
      <c r="R823" t="s">
        <v>1198</v>
      </c>
      <c r="S823" t="s">
        <v>195</v>
      </c>
    </row>
    <row r="824" spans="1:19" x14ac:dyDescent="0.3">
      <c r="A824" t="s">
        <v>1007</v>
      </c>
      <c r="B824" t="s">
        <v>23</v>
      </c>
      <c r="C824">
        <v>2026</v>
      </c>
      <c r="D824">
        <v>2</v>
      </c>
      <c r="E824" s="2">
        <v>46055</v>
      </c>
      <c r="F824" t="s">
        <v>7</v>
      </c>
      <c r="G824" t="s">
        <v>8</v>
      </c>
      <c r="H824" t="s">
        <v>74</v>
      </c>
      <c r="I824" t="s">
        <v>84</v>
      </c>
      <c r="J824" t="s">
        <v>85</v>
      </c>
      <c r="K824" t="s">
        <v>73</v>
      </c>
      <c r="L824">
        <v>701000</v>
      </c>
      <c r="M824" t="s">
        <v>62</v>
      </c>
      <c r="N824" t="s">
        <v>33</v>
      </c>
      <c r="O824">
        <v>2966</v>
      </c>
      <c r="P824">
        <v>0.95</v>
      </c>
      <c r="Q824">
        <v>2.82</v>
      </c>
      <c r="R824" t="s">
        <v>1202</v>
      </c>
      <c r="S824" t="s">
        <v>195</v>
      </c>
    </row>
    <row r="825" spans="1:19" x14ac:dyDescent="0.3">
      <c r="A825" t="s">
        <v>1008</v>
      </c>
      <c r="B825" t="s">
        <v>23</v>
      </c>
      <c r="C825">
        <v>2026</v>
      </c>
      <c r="D825">
        <v>2</v>
      </c>
      <c r="E825" s="2">
        <v>46055</v>
      </c>
      <c r="F825" t="s">
        <v>7</v>
      </c>
      <c r="G825" t="s">
        <v>8</v>
      </c>
      <c r="H825" t="s">
        <v>74</v>
      </c>
      <c r="I825" t="s">
        <v>84</v>
      </c>
      <c r="J825" t="s">
        <v>85</v>
      </c>
      <c r="K825" t="s">
        <v>73</v>
      </c>
      <c r="L825">
        <v>701000</v>
      </c>
      <c r="M825" t="s">
        <v>62</v>
      </c>
      <c r="N825" t="s">
        <v>33</v>
      </c>
      <c r="O825">
        <v>4026</v>
      </c>
      <c r="P825">
        <v>0.95</v>
      </c>
      <c r="Q825">
        <v>3.83</v>
      </c>
      <c r="R825" t="s">
        <v>1197</v>
      </c>
      <c r="S825" t="s">
        <v>195</v>
      </c>
    </row>
    <row r="826" spans="1:19" x14ac:dyDescent="0.3">
      <c r="A826" t="s">
        <v>1009</v>
      </c>
      <c r="B826" t="s">
        <v>23</v>
      </c>
      <c r="C826">
        <v>2026</v>
      </c>
      <c r="D826">
        <v>2</v>
      </c>
      <c r="E826" s="2">
        <v>46055</v>
      </c>
      <c r="F826" t="s">
        <v>7</v>
      </c>
      <c r="G826" t="s">
        <v>8</v>
      </c>
      <c r="H826" t="s">
        <v>74</v>
      </c>
      <c r="I826" t="s">
        <v>84</v>
      </c>
      <c r="J826" t="s">
        <v>85</v>
      </c>
      <c r="K826" t="s">
        <v>73</v>
      </c>
      <c r="L826">
        <v>701000</v>
      </c>
      <c r="M826" t="s">
        <v>62</v>
      </c>
      <c r="N826" t="s">
        <v>33</v>
      </c>
      <c r="O826">
        <v>2957</v>
      </c>
      <c r="P826">
        <v>0.95</v>
      </c>
      <c r="Q826">
        <v>2.8</v>
      </c>
      <c r="R826" t="s">
        <v>1201</v>
      </c>
      <c r="S826" t="s">
        <v>195</v>
      </c>
    </row>
    <row r="827" spans="1:19" x14ac:dyDescent="0.3">
      <c r="A827" t="s">
        <v>1035</v>
      </c>
      <c r="B827" t="s">
        <v>23</v>
      </c>
      <c r="C827">
        <v>2026</v>
      </c>
      <c r="D827">
        <v>2</v>
      </c>
      <c r="E827" s="2">
        <v>46055</v>
      </c>
      <c r="F827" t="s">
        <v>7</v>
      </c>
      <c r="G827" t="s">
        <v>8</v>
      </c>
      <c r="H827" t="s">
        <v>70</v>
      </c>
      <c r="I827" t="s">
        <v>84</v>
      </c>
      <c r="J827" t="s">
        <v>85</v>
      </c>
      <c r="K827" t="s">
        <v>73</v>
      </c>
      <c r="L827">
        <v>701000</v>
      </c>
      <c r="M827" t="s">
        <v>62</v>
      </c>
      <c r="N827" t="s">
        <v>33</v>
      </c>
      <c r="O827">
        <v>4303</v>
      </c>
      <c r="P827">
        <v>0.95</v>
      </c>
      <c r="Q827">
        <v>4.09</v>
      </c>
      <c r="R827" t="s">
        <v>1202</v>
      </c>
      <c r="S827" t="s">
        <v>195</v>
      </c>
    </row>
    <row r="828" spans="1:19" x14ac:dyDescent="0.3">
      <c r="A828" t="s">
        <v>1036</v>
      </c>
      <c r="B828" t="s">
        <v>23</v>
      </c>
      <c r="C828">
        <v>2026</v>
      </c>
      <c r="D828">
        <v>2</v>
      </c>
      <c r="E828" s="2">
        <v>46055</v>
      </c>
      <c r="F828" t="s">
        <v>7</v>
      </c>
      <c r="G828" t="s">
        <v>8</v>
      </c>
      <c r="H828" t="s">
        <v>70</v>
      </c>
      <c r="I828" t="s">
        <v>84</v>
      </c>
      <c r="J828" t="s">
        <v>85</v>
      </c>
      <c r="K828" t="s">
        <v>73</v>
      </c>
      <c r="L828">
        <v>701000</v>
      </c>
      <c r="M828" t="s">
        <v>62</v>
      </c>
      <c r="N828" t="s">
        <v>33</v>
      </c>
      <c r="O828">
        <v>5000</v>
      </c>
      <c r="P828">
        <v>0.95</v>
      </c>
      <c r="Q828">
        <v>4.75</v>
      </c>
      <c r="R828" t="s">
        <v>1198</v>
      </c>
      <c r="S828" t="s">
        <v>195</v>
      </c>
    </row>
    <row r="829" spans="1:19" x14ac:dyDescent="0.3">
      <c r="A829" t="s">
        <v>1037</v>
      </c>
      <c r="B829" t="s">
        <v>23</v>
      </c>
      <c r="C829">
        <v>2026</v>
      </c>
      <c r="D829">
        <v>2</v>
      </c>
      <c r="E829" s="2">
        <v>46055</v>
      </c>
      <c r="F829" t="s">
        <v>7</v>
      </c>
      <c r="G829" t="s">
        <v>8</v>
      </c>
      <c r="H829" t="s">
        <v>70</v>
      </c>
      <c r="I829" t="s">
        <v>84</v>
      </c>
      <c r="J829" t="s">
        <v>85</v>
      </c>
      <c r="K829" t="s">
        <v>73</v>
      </c>
      <c r="L829">
        <v>701000</v>
      </c>
      <c r="M829" t="s">
        <v>62</v>
      </c>
      <c r="N829" t="s">
        <v>33</v>
      </c>
      <c r="O829">
        <v>3103</v>
      </c>
      <c r="P829">
        <v>0.95</v>
      </c>
      <c r="Q829">
        <v>2.95</v>
      </c>
      <c r="R829" t="s">
        <v>1197</v>
      </c>
      <c r="S829" t="s">
        <v>195</v>
      </c>
    </row>
    <row r="830" spans="1:19" x14ac:dyDescent="0.3">
      <c r="A830" t="s">
        <v>1038</v>
      </c>
      <c r="B830" t="s">
        <v>23</v>
      </c>
      <c r="C830">
        <v>2026</v>
      </c>
      <c r="D830">
        <v>2</v>
      </c>
      <c r="E830" s="2">
        <v>46055</v>
      </c>
      <c r="F830" t="s">
        <v>7</v>
      </c>
      <c r="G830" t="s">
        <v>8</v>
      </c>
      <c r="H830" t="s">
        <v>70</v>
      </c>
      <c r="I830" t="s">
        <v>84</v>
      </c>
      <c r="J830" t="s">
        <v>85</v>
      </c>
      <c r="K830" t="s">
        <v>73</v>
      </c>
      <c r="L830">
        <v>701000</v>
      </c>
      <c r="M830" t="s">
        <v>62</v>
      </c>
      <c r="N830" t="s">
        <v>33</v>
      </c>
      <c r="O830">
        <v>2940</v>
      </c>
      <c r="P830">
        <v>0.95</v>
      </c>
      <c r="Q830">
        <v>2.79</v>
      </c>
      <c r="R830" t="s">
        <v>1204</v>
      </c>
      <c r="S830" t="s">
        <v>195</v>
      </c>
    </row>
    <row r="831" spans="1:19" x14ac:dyDescent="0.3">
      <c r="A831" t="s">
        <v>1039</v>
      </c>
      <c r="B831" t="s">
        <v>23</v>
      </c>
      <c r="C831">
        <v>2026</v>
      </c>
      <c r="D831">
        <v>2</v>
      </c>
      <c r="E831" s="2">
        <v>46055</v>
      </c>
      <c r="F831" t="s">
        <v>7</v>
      </c>
      <c r="G831" t="s">
        <v>8</v>
      </c>
      <c r="H831" t="s">
        <v>70</v>
      </c>
      <c r="I831" t="s">
        <v>84</v>
      </c>
      <c r="J831" t="s">
        <v>85</v>
      </c>
      <c r="K831" t="s">
        <v>73</v>
      </c>
      <c r="L831">
        <v>701000</v>
      </c>
      <c r="M831" t="s">
        <v>62</v>
      </c>
      <c r="N831" t="s">
        <v>33</v>
      </c>
      <c r="O831">
        <v>848</v>
      </c>
      <c r="P831">
        <v>0.94</v>
      </c>
      <c r="Q831">
        <v>0.8</v>
      </c>
      <c r="R831" t="s">
        <v>1201</v>
      </c>
      <c r="S831" t="s">
        <v>195</v>
      </c>
    </row>
    <row r="832" spans="1:19" x14ac:dyDescent="0.3">
      <c r="A832" t="s">
        <v>1050</v>
      </c>
      <c r="B832" t="s">
        <v>23</v>
      </c>
      <c r="C832">
        <v>2026</v>
      </c>
      <c r="D832">
        <v>2</v>
      </c>
      <c r="E832" s="2">
        <v>46055</v>
      </c>
      <c r="F832" t="s">
        <v>7</v>
      </c>
      <c r="G832" t="s">
        <v>8</v>
      </c>
      <c r="H832" t="s">
        <v>70</v>
      </c>
      <c r="I832" t="s">
        <v>84</v>
      </c>
      <c r="J832" t="s">
        <v>85</v>
      </c>
      <c r="K832" t="s">
        <v>73</v>
      </c>
      <c r="L832">
        <v>701000</v>
      </c>
      <c r="M832" t="s">
        <v>62</v>
      </c>
      <c r="N832" t="s">
        <v>33</v>
      </c>
      <c r="O832">
        <v>3535</v>
      </c>
      <c r="P832">
        <v>0.95</v>
      </c>
      <c r="Q832">
        <v>3.36</v>
      </c>
      <c r="R832" t="s">
        <v>1203</v>
      </c>
      <c r="S832" t="s">
        <v>195</v>
      </c>
    </row>
    <row r="833" spans="1:19" x14ac:dyDescent="0.3">
      <c r="A833" t="s">
        <v>1051</v>
      </c>
      <c r="B833" t="s">
        <v>23</v>
      </c>
      <c r="C833">
        <v>2026</v>
      </c>
      <c r="D833">
        <v>2</v>
      </c>
      <c r="E833" s="2">
        <v>46055</v>
      </c>
      <c r="F833" t="s">
        <v>7</v>
      </c>
      <c r="G833" t="s">
        <v>8</v>
      </c>
      <c r="H833" t="s">
        <v>70</v>
      </c>
      <c r="I833" t="s">
        <v>84</v>
      </c>
      <c r="J833" t="s">
        <v>85</v>
      </c>
      <c r="K833" t="s">
        <v>73</v>
      </c>
      <c r="L833">
        <v>701000</v>
      </c>
      <c r="M833" t="s">
        <v>62</v>
      </c>
      <c r="N833" t="s">
        <v>33</v>
      </c>
      <c r="O833">
        <v>2114</v>
      </c>
      <c r="P833">
        <v>0.95</v>
      </c>
      <c r="Q833">
        <v>2.0099999999999998</v>
      </c>
      <c r="R833" t="s">
        <v>1198</v>
      </c>
      <c r="S833" t="s">
        <v>195</v>
      </c>
    </row>
    <row r="834" spans="1:19" x14ac:dyDescent="0.3">
      <c r="A834" t="s">
        <v>1052</v>
      </c>
      <c r="B834" t="s">
        <v>23</v>
      </c>
      <c r="C834">
        <v>2026</v>
      </c>
      <c r="D834">
        <v>2</v>
      </c>
      <c r="E834" s="2">
        <v>46055</v>
      </c>
      <c r="F834" t="s">
        <v>7</v>
      </c>
      <c r="G834" t="s">
        <v>8</v>
      </c>
      <c r="H834" t="s">
        <v>70</v>
      </c>
      <c r="I834" t="s">
        <v>84</v>
      </c>
      <c r="J834" t="s">
        <v>85</v>
      </c>
      <c r="K834" t="s">
        <v>73</v>
      </c>
      <c r="L834">
        <v>701000</v>
      </c>
      <c r="M834" t="s">
        <v>62</v>
      </c>
      <c r="N834" t="s">
        <v>33</v>
      </c>
      <c r="O834">
        <v>3423</v>
      </c>
      <c r="P834">
        <v>0.95</v>
      </c>
      <c r="Q834">
        <v>3.25</v>
      </c>
      <c r="R834" t="s">
        <v>1205</v>
      </c>
      <c r="S834" t="s">
        <v>195</v>
      </c>
    </row>
    <row r="835" spans="1:19" x14ac:dyDescent="0.3">
      <c r="A835" t="s">
        <v>1053</v>
      </c>
      <c r="B835" t="s">
        <v>23</v>
      </c>
      <c r="C835">
        <v>2026</v>
      </c>
      <c r="D835">
        <v>2</v>
      </c>
      <c r="E835" s="2">
        <v>46055</v>
      </c>
      <c r="F835" t="s">
        <v>7</v>
      </c>
      <c r="G835" t="s">
        <v>8</v>
      </c>
      <c r="H835" t="s">
        <v>70</v>
      </c>
      <c r="I835" t="s">
        <v>84</v>
      </c>
      <c r="J835" t="s">
        <v>85</v>
      </c>
      <c r="K835" t="s">
        <v>73</v>
      </c>
      <c r="L835">
        <v>701000</v>
      </c>
      <c r="M835" t="s">
        <v>62</v>
      </c>
      <c r="N835" t="s">
        <v>33</v>
      </c>
      <c r="O835">
        <v>4106</v>
      </c>
      <c r="P835">
        <v>0.95</v>
      </c>
      <c r="Q835">
        <v>3.9</v>
      </c>
      <c r="R835" t="s">
        <v>1197</v>
      </c>
      <c r="S835" t="s">
        <v>195</v>
      </c>
    </row>
    <row r="836" spans="1:19" x14ac:dyDescent="0.3">
      <c r="A836" t="s">
        <v>1054</v>
      </c>
      <c r="B836" t="s">
        <v>23</v>
      </c>
      <c r="C836">
        <v>2026</v>
      </c>
      <c r="D836">
        <v>2</v>
      </c>
      <c r="E836" s="2">
        <v>46055</v>
      </c>
      <c r="F836" t="s">
        <v>7</v>
      </c>
      <c r="G836" t="s">
        <v>8</v>
      </c>
      <c r="H836" t="s">
        <v>70</v>
      </c>
      <c r="I836" t="s">
        <v>84</v>
      </c>
      <c r="J836" t="s">
        <v>85</v>
      </c>
      <c r="K836" t="s">
        <v>73</v>
      </c>
      <c r="L836">
        <v>701000</v>
      </c>
      <c r="M836" t="s">
        <v>62</v>
      </c>
      <c r="N836" t="s">
        <v>33</v>
      </c>
      <c r="O836">
        <v>4389</v>
      </c>
      <c r="P836">
        <v>0.95</v>
      </c>
      <c r="Q836">
        <v>4.17</v>
      </c>
      <c r="R836" t="s">
        <v>1200</v>
      </c>
      <c r="S836" t="s">
        <v>195</v>
      </c>
    </row>
    <row r="837" spans="1:19" x14ac:dyDescent="0.3">
      <c r="A837" t="s">
        <v>1155</v>
      </c>
      <c r="B837" t="s">
        <v>23</v>
      </c>
      <c r="C837">
        <v>2026</v>
      </c>
      <c r="D837">
        <v>2</v>
      </c>
      <c r="E837" s="2">
        <v>46057</v>
      </c>
      <c r="F837" t="s">
        <v>7</v>
      </c>
      <c r="G837" t="s">
        <v>8</v>
      </c>
      <c r="H837" t="s">
        <v>70</v>
      </c>
      <c r="I837" t="s">
        <v>71</v>
      </c>
      <c r="J837" t="s">
        <v>72</v>
      </c>
      <c r="K837" t="s">
        <v>73</v>
      </c>
      <c r="L837">
        <v>701000</v>
      </c>
      <c r="M837" t="s">
        <v>62</v>
      </c>
      <c r="N837" t="s">
        <v>33</v>
      </c>
      <c r="O837">
        <v>7687</v>
      </c>
      <c r="P837">
        <v>1.05</v>
      </c>
      <c r="Q837">
        <v>8.07</v>
      </c>
      <c r="R837" t="s">
        <v>1200</v>
      </c>
      <c r="S837" t="s">
        <v>195</v>
      </c>
    </row>
    <row r="838" spans="1:19" x14ac:dyDescent="0.3">
      <c r="A838" t="s">
        <v>1156</v>
      </c>
      <c r="B838" t="s">
        <v>23</v>
      </c>
      <c r="C838">
        <v>2026</v>
      </c>
      <c r="D838">
        <v>2</v>
      </c>
      <c r="E838" s="2">
        <v>46057</v>
      </c>
      <c r="F838" t="s">
        <v>7</v>
      </c>
      <c r="G838" t="s">
        <v>8</v>
      </c>
      <c r="H838" t="s">
        <v>70</v>
      </c>
      <c r="I838" t="s">
        <v>71</v>
      </c>
      <c r="J838" t="s">
        <v>72</v>
      </c>
      <c r="K838" t="s">
        <v>73</v>
      </c>
      <c r="L838">
        <v>701000</v>
      </c>
      <c r="M838" t="s">
        <v>62</v>
      </c>
      <c r="N838" t="s">
        <v>33</v>
      </c>
      <c r="O838">
        <v>1232</v>
      </c>
      <c r="P838">
        <v>1.05</v>
      </c>
      <c r="Q838">
        <v>1.29</v>
      </c>
      <c r="R838" t="s">
        <v>1201</v>
      </c>
      <c r="S838" t="s">
        <v>195</v>
      </c>
    </row>
    <row r="839" spans="1:19" x14ac:dyDescent="0.3">
      <c r="A839" t="s">
        <v>1157</v>
      </c>
      <c r="B839" t="s">
        <v>23</v>
      </c>
      <c r="C839">
        <v>2026</v>
      </c>
      <c r="D839">
        <v>2</v>
      </c>
      <c r="E839" s="2">
        <v>46057</v>
      </c>
      <c r="F839" t="s">
        <v>7</v>
      </c>
      <c r="G839" t="s">
        <v>8</v>
      </c>
      <c r="H839" t="s">
        <v>70</v>
      </c>
      <c r="I839" t="s">
        <v>71</v>
      </c>
      <c r="J839" t="s">
        <v>72</v>
      </c>
      <c r="K839" t="s">
        <v>73</v>
      </c>
      <c r="L839">
        <v>701000</v>
      </c>
      <c r="M839" t="s">
        <v>62</v>
      </c>
      <c r="N839" t="s">
        <v>33</v>
      </c>
      <c r="O839">
        <v>5256</v>
      </c>
      <c r="P839">
        <v>1.05</v>
      </c>
      <c r="Q839">
        <v>5.52</v>
      </c>
      <c r="R839" t="s">
        <v>1204</v>
      </c>
      <c r="S839" t="s">
        <v>195</v>
      </c>
    </row>
    <row r="840" spans="1:19" x14ac:dyDescent="0.3">
      <c r="A840" t="s">
        <v>1158</v>
      </c>
      <c r="B840" t="s">
        <v>23</v>
      </c>
      <c r="C840">
        <v>2026</v>
      </c>
      <c r="D840">
        <v>2</v>
      </c>
      <c r="E840" s="2">
        <v>46057</v>
      </c>
      <c r="F840" t="s">
        <v>7</v>
      </c>
      <c r="G840" t="s">
        <v>8</v>
      </c>
      <c r="H840" t="s">
        <v>70</v>
      </c>
      <c r="I840" t="s">
        <v>71</v>
      </c>
      <c r="J840" t="s">
        <v>72</v>
      </c>
      <c r="K840" t="s">
        <v>73</v>
      </c>
      <c r="L840">
        <v>701000</v>
      </c>
      <c r="M840" t="s">
        <v>62</v>
      </c>
      <c r="N840" t="s">
        <v>33</v>
      </c>
      <c r="O840">
        <v>489</v>
      </c>
      <c r="P840">
        <v>1.04</v>
      </c>
      <c r="Q840">
        <v>0.51</v>
      </c>
      <c r="R840" t="s">
        <v>1205</v>
      </c>
      <c r="S840" t="s">
        <v>195</v>
      </c>
    </row>
    <row r="841" spans="1:19" x14ac:dyDescent="0.3">
      <c r="A841" t="s">
        <v>1159</v>
      </c>
      <c r="B841" t="s">
        <v>23</v>
      </c>
      <c r="C841">
        <v>2026</v>
      </c>
      <c r="D841">
        <v>2</v>
      </c>
      <c r="E841" s="2">
        <v>46057</v>
      </c>
      <c r="F841" t="s">
        <v>7</v>
      </c>
      <c r="G841" t="s">
        <v>8</v>
      </c>
      <c r="H841" t="s">
        <v>70</v>
      </c>
      <c r="I841" t="s">
        <v>71</v>
      </c>
      <c r="J841" t="s">
        <v>72</v>
      </c>
      <c r="K841" t="s">
        <v>73</v>
      </c>
      <c r="L841">
        <v>701000</v>
      </c>
      <c r="M841" t="s">
        <v>62</v>
      </c>
      <c r="N841" t="s">
        <v>33</v>
      </c>
      <c r="O841">
        <v>1700</v>
      </c>
      <c r="P841">
        <v>1.05</v>
      </c>
      <c r="Q841">
        <v>1.79</v>
      </c>
      <c r="R841" t="s">
        <v>1202</v>
      </c>
      <c r="S841" t="s">
        <v>195</v>
      </c>
    </row>
    <row r="842" spans="1:19" x14ac:dyDescent="0.3">
      <c r="A842" t="s">
        <v>1045</v>
      </c>
      <c r="B842" t="s">
        <v>23</v>
      </c>
      <c r="C842">
        <v>2026</v>
      </c>
      <c r="D842">
        <v>2</v>
      </c>
      <c r="E842" s="2">
        <v>46058</v>
      </c>
      <c r="F842" t="s">
        <v>7</v>
      </c>
      <c r="G842" t="s">
        <v>8</v>
      </c>
      <c r="H842" t="s">
        <v>74</v>
      </c>
      <c r="I842" t="s">
        <v>84</v>
      </c>
      <c r="J842" t="s">
        <v>85</v>
      </c>
      <c r="K842" t="s">
        <v>73</v>
      </c>
      <c r="L842">
        <v>701000</v>
      </c>
      <c r="M842" t="s">
        <v>62</v>
      </c>
      <c r="N842" t="s">
        <v>33</v>
      </c>
      <c r="O842">
        <v>1486</v>
      </c>
      <c r="P842">
        <v>0.95</v>
      </c>
      <c r="Q842">
        <v>1.41</v>
      </c>
      <c r="R842" t="s">
        <v>1197</v>
      </c>
      <c r="S842" t="s">
        <v>195</v>
      </c>
    </row>
    <row r="843" spans="1:19" x14ac:dyDescent="0.3">
      <c r="A843" t="s">
        <v>1046</v>
      </c>
      <c r="B843" t="s">
        <v>23</v>
      </c>
      <c r="C843">
        <v>2026</v>
      </c>
      <c r="D843">
        <v>2</v>
      </c>
      <c r="E843" s="2">
        <v>46058</v>
      </c>
      <c r="F843" t="s">
        <v>7</v>
      </c>
      <c r="G843" t="s">
        <v>8</v>
      </c>
      <c r="H843" t="s">
        <v>74</v>
      </c>
      <c r="I843" t="s">
        <v>84</v>
      </c>
      <c r="J843" t="s">
        <v>85</v>
      </c>
      <c r="K843" t="s">
        <v>73</v>
      </c>
      <c r="L843">
        <v>701000</v>
      </c>
      <c r="M843" t="s">
        <v>62</v>
      </c>
      <c r="N843" t="s">
        <v>33</v>
      </c>
      <c r="O843">
        <v>1850</v>
      </c>
      <c r="P843">
        <v>0.95</v>
      </c>
      <c r="Q843">
        <v>1.76</v>
      </c>
      <c r="R843" t="s">
        <v>1205</v>
      </c>
      <c r="S843" t="s">
        <v>195</v>
      </c>
    </row>
    <row r="844" spans="1:19" x14ac:dyDescent="0.3">
      <c r="A844" t="s">
        <v>1047</v>
      </c>
      <c r="B844" t="s">
        <v>23</v>
      </c>
      <c r="C844">
        <v>2026</v>
      </c>
      <c r="D844">
        <v>2</v>
      </c>
      <c r="E844" s="2">
        <v>46058</v>
      </c>
      <c r="F844" t="s">
        <v>7</v>
      </c>
      <c r="G844" t="s">
        <v>8</v>
      </c>
      <c r="H844" t="s">
        <v>74</v>
      </c>
      <c r="I844" t="s">
        <v>84</v>
      </c>
      <c r="J844" t="s">
        <v>85</v>
      </c>
      <c r="K844" t="s">
        <v>73</v>
      </c>
      <c r="L844">
        <v>701000</v>
      </c>
      <c r="M844" t="s">
        <v>62</v>
      </c>
      <c r="N844" t="s">
        <v>33</v>
      </c>
      <c r="O844">
        <v>2797</v>
      </c>
      <c r="P844">
        <v>0.95</v>
      </c>
      <c r="Q844">
        <v>2.66</v>
      </c>
      <c r="R844" t="s">
        <v>1198</v>
      </c>
      <c r="S844" t="s">
        <v>195</v>
      </c>
    </row>
    <row r="845" spans="1:19" x14ac:dyDescent="0.3">
      <c r="A845" t="s">
        <v>1048</v>
      </c>
      <c r="B845" t="s">
        <v>23</v>
      </c>
      <c r="C845">
        <v>2026</v>
      </c>
      <c r="D845">
        <v>2</v>
      </c>
      <c r="E845" s="2">
        <v>46058</v>
      </c>
      <c r="F845" t="s">
        <v>7</v>
      </c>
      <c r="G845" t="s">
        <v>8</v>
      </c>
      <c r="H845" t="s">
        <v>74</v>
      </c>
      <c r="I845" t="s">
        <v>84</v>
      </c>
      <c r="J845" t="s">
        <v>85</v>
      </c>
      <c r="K845" t="s">
        <v>73</v>
      </c>
      <c r="L845">
        <v>701000</v>
      </c>
      <c r="M845" t="s">
        <v>62</v>
      </c>
      <c r="N845" t="s">
        <v>33</v>
      </c>
      <c r="O845">
        <v>4748</v>
      </c>
      <c r="P845">
        <v>0.95</v>
      </c>
      <c r="Q845">
        <v>4.51</v>
      </c>
      <c r="R845" t="s">
        <v>1201</v>
      </c>
      <c r="S845" t="s">
        <v>195</v>
      </c>
    </row>
    <row r="846" spans="1:19" x14ac:dyDescent="0.3">
      <c r="A846" t="s">
        <v>1049</v>
      </c>
      <c r="B846" t="s">
        <v>23</v>
      </c>
      <c r="C846">
        <v>2026</v>
      </c>
      <c r="D846">
        <v>2</v>
      </c>
      <c r="E846" s="2">
        <v>46058</v>
      </c>
      <c r="F846" t="s">
        <v>7</v>
      </c>
      <c r="G846" t="s">
        <v>8</v>
      </c>
      <c r="H846" t="s">
        <v>74</v>
      </c>
      <c r="I846" t="s">
        <v>84</v>
      </c>
      <c r="J846" t="s">
        <v>85</v>
      </c>
      <c r="K846" t="s">
        <v>73</v>
      </c>
      <c r="L846">
        <v>701000</v>
      </c>
      <c r="M846" t="s">
        <v>62</v>
      </c>
      <c r="N846" t="s">
        <v>33</v>
      </c>
      <c r="O846">
        <v>7657</v>
      </c>
      <c r="P846">
        <v>0.95</v>
      </c>
      <c r="Q846">
        <v>7.27</v>
      </c>
      <c r="R846" t="s">
        <v>1200</v>
      </c>
      <c r="S846" t="s">
        <v>195</v>
      </c>
    </row>
    <row r="847" spans="1:19" x14ac:dyDescent="0.3">
      <c r="A847" t="s">
        <v>1030</v>
      </c>
      <c r="B847" t="s">
        <v>23</v>
      </c>
      <c r="C847">
        <v>2026</v>
      </c>
      <c r="D847">
        <v>2</v>
      </c>
      <c r="E847" s="2">
        <v>46059</v>
      </c>
      <c r="F847" t="s">
        <v>7</v>
      </c>
      <c r="G847" t="s">
        <v>8</v>
      </c>
      <c r="H847" t="s">
        <v>74</v>
      </c>
      <c r="I847" t="s">
        <v>84</v>
      </c>
      <c r="J847" t="s">
        <v>85</v>
      </c>
      <c r="K847" t="s">
        <v>73</v>
      </c>
      <c r="L847">
        <v>701000</v>
      </c>
      <c r="M847" t="s">
        <v>62</v>
      </c>
      <c r="N847" t="s">
        <v>33</v>
      </c>
      <c r="O847">
        <v>2661</v>
      </c>
      <c r="P847">
        <v>0.95</v>
      </c>
      <c r="Q847">
        <v>2.5299999999999998</v>
      </c>
      <c r="R847" t="s">
        <v>1200</v>
      </c>
      <c r="S847" t="s">
        <v>195</v>
      </c>
    </row>
    <row r="848" spans="1:19" x14ac:dyDescent="0.3">
      <c r="A848" t="s">
        <v>1031</v>
      </c>
      <c r="B848" t="s">
        <v>23</v>
      </c>
      <c r="C848">
        <v>2026</v>
      </c>
      <c r="D848">
        <v>2</v>
      </c>
      <c r="E848" s="2">
        <v>46059</v>
      </c>
      <c r="F848" t="s">
        <v>7</v>
      </c>
      <c r="G848" t="s">
        <v>8</v>
      </c>
      <c r="H848" t="s">
        <v>74</v>
      </c>
      <c r="I848" t="s">
        <v>84</v>
      </c>
      <c r="J848" t="s">
        <v>85</v>
      </c>
      <c r="K848" t="s">
        <v>73</v>
      </c>
      <c r="L848">
        <v>701000</v>
      </c>
      <c r="M848" t="s">
        <v>62</v>
      </c>
      <c r="N848" t="s">
        <v>33</v>
      </c>
      <c r="O848">
        <v>8281</v>
      </c>
      <c r="P848">
        <v>0.95</v>
      </c>
      <c r="Q848">
        <v>7.87</v>
      </c>
      <c r="R848" t="s">
        <v>1197</v>
      </c>
      <c r="S848" t="s">
        <v>195</v>
      </c>
    </row>
    <row r="849" spans="1:19" x14ac:dyDescent="0.3">
      <c r="A849" t="s">
        <v>1032</v>
      </c>
      <c r="B849" t="s">
        <v>23</v>
      </c>
      <c r="C849">
        <v>2026</v>
      </c>
      <c r="D849">
        <v>2</v>
      </c>
      <c r="E849" s="2">
        <v>46059</v>
      </c>
      <c r="F849" t="s">
        <v>7</v>
      </c>
      <c r="G849" t="s">
        <v>8</v>
      </c>
      <c r="H849" t="s">
        <v>74</v>
      </c>
      <c r="I849" t="s">
        <v>84</v>
      </c>
      <c r="J849" t="s">
        <v>85</v>
      </c>
      <c r="K849" t="s">
        <v>73</v>
      </c>
      <c r="L849">
        <v>701000</v>
      </c>
      <c r="M849" t="s">
        <v>62</v>
      </c>
      <c r="N849" t="s">
        <v>33</v>
      </c>
      <c r="O849">
        <v>1723</v>
      </c>
      <c r="P849">
        <v>0.95</v>
      </c>
      <c r="Q849">
        <v>1.64</v>
      </c>
      <c r="R849" t="s">
        <v>1199</v>
      </c>
      <c r="S849" t="s">
        <v>195</v>
      </c>
    </row>
    <row r="850" spans="1:19" x14ac:dyDescent="0.3">
      <c r="A850" t="s">
        <v>1033</v>
      </c>
      <c r="B850" t="s">
        <v>23</v>
      </c>
      <c r="C850">
        <v>2026</v>
      </c>
      <c r="D850">
        <v>2</v>
      </c>
      <c r="E850" s="2">
        <v>46059</v>
      </c>
      <c r="F850" t="s">
        <v>7</v>
      </c>
      <c r="G850" t="s">
        <v>8</v>
      </c>
      <c r="H850" t="s">
        <v>74</v>
      </c>
      <c r="I850" t="s">
        <v>84</v>
      </c>
      <c r="J850" t="s">
        <v>85</v>
      </c>
      <c r="K850" t="s">
        <v>73</v>
      </c>
      <c r="L850">
        <v>701000</v>
      </c>
      <c r="M850" t="s">
        <v>62</v>
      </c>
      <c r="N850" t="s">
        <v>33</v>
      </c>
      <c r="O850">
        <v>5333</v>
      </c>
      <c r="P850">
        <v>0.95</v>
      </c>
      <c r="Q850">
        <v>5.07</v>
      </c>
      <c r="R850" t="s">
        <v>1201</v>
      </c>
      <c r="S850" t="s">
        <v>195</v>
      </c>
    </row>
    <row r="851" spans="1:19" x14ac:dyDescent="0.3">
      <c r="A851" t="s">
        <v>1034</v>
      </c>
      <c r="B851" t="s">
        <v>23</v>
      </c>
      <c r="C851">
        <v>2026</v>
      </c>
      <c r="D851">
        <v>2</v>
      </c>
      <c r="E851" s="2">
        <v>46059</v>
      </c>
      <c r="F851" t="s">
        <v>7</v>
      </c>
      <c r="G851" t="s">
        <v>8</v>
      </c>
      <c r="H851" t="s">
        <v>74</v>
      </c>
      <c r="I851" t="s">
        <v>84</v>
      </c>
      <c r="J851" t="s">
        <v>85</v>
      </c>
      <c r="K851" t="s">
        <v>73</v>
      </c>
      <c r="L851">
        <v>701000</v>
      </c>
      <c r="M851" t="s">
        <v>62</v>
      </c>
      <c r="N851" t="s">
        <v>33</v>
      </c>
      <c r="O851">
        <v>2002</v>
      </c>
      <c r="P851">
        <v>0.94</v>
      </c>
      <c r="Q851">
        <v>1.89</v>
      </c>
      <c r="R851" t="s">
        <v>1203</v>
      </c>
      <c r="S851" t="s">
        <v>195</v>
      </c>
    </row>
    <row r="852" spans="1:19" x14ac:dyDescent="0.3">
      <c r="A852" t="s">
        <v>1040</v>
      </c>
      <c r="B852" t="s">
        <v>23</v>
      </c>
      <c r="C852">
        <v>2026</v>
      </c>
      <c r="D852">
        <v>2</v>
      </c>
      <c r="E852" s="2">
        <v>46059</v>
      </c>
      <c r="F852" t="s">
        <v>7</v>
      </c>
      <c r="G852" t="s">
        <v>8</v>
      </c>
      <c r="H852" t="s">
        <v>70</v>
      </c>
      <c r="I852" t="s">
        <v>84</v>
      </c>
      <c r="J852" t="s">
        <v>85</v>
      </c>
      <c r="K852" t="s">
        <v>73</v>
      </c>
      <c r="L852">
        <v>701000</v>
      </c>
      <c r="M852" t="s">
        <v>62</v>
      </c>
      <c r="N852" t="s">
        <v>33</v>
      </c>
      <c r="O852">
        <v>2095</v>
      </c>
      <c r="P852">
        <v>0.95</v>
      </c>
      <c r="Q852">
        <v>1.99</v>
      </c>
      <c r="R852" t="s">
        <v>1204</v>
      </c>
      <c r="S852" t="s">
        <v>195</v>
      </c>
    </row>
    <row r="853" spans="1:19" x14ac:dyDescent="0.3">
      <c r="A853" t="s">
        <v>1041</v>
      </c>
      <c r="B853" t="s">
        <v>23</v>
      </c>
      <c r="C853">
        <v>2026</v>
      </c>
      <c r="D853">
        <v>2</v>
      </c>
      <c r="E853" s="2">
        <v>46059</v>
      </c>
      <c r="F853" t="s">
        <v>7</v>
      </c>
      <c r="G853" t="s">
        <v>8</v>
      </c>
      <c r="H853" t="s">
        <v>70</v>
      </c>
      <c r="I853" t="s">
        <v>84</v>
      </c>
      <c r="J853" t="s">
        <v>85</v>
      </c>
      <c r="K853" t="s">
        <v>73</v>
      </c>
      <c r="L853">
        <v>701000</v>
      </c>
      <c r="M853" t="s">
        <v>62</v>
      </c>
      <c r="N853" t="s">
        <v>33</v>
      </c>
      <c r="O853">
        <v>831</v>
      </c>
      <c r="P853">
        <v>0.95</v>
      </c>
      <c r="Q853">
        <v>0.79</v>
      </c>
      <c r="R853" t="s">
        <v>1199</v>
      </c>
      <c r="S853" t="s">
        <v>195</v>
      </c>
    </row>
    <row r="854" spans="1:19" x14ac:dyDescent="0.3">
      <c r="A854" t="s">
        <v>1042</v>
      </c>
      <c r="B854" t="s">
        <v>23</v>
      </c>
      <c r="C854">
        <v>2026</v>
      </c>
      <c r="D854">
        <v>2</v>
      </c>
      <c r="E854" s="2">
        <v>46059</v>
      </c>
      <c r="F854" t="s">
        <v>7</v>
      </c>
      <c r="G854" t="s">
        <v>8</v>
      </c>
      <c r="H854" t="s">
        <v>70</v>
      </c>
      <c r="I854" t="s">
        <v>84</v>
      </c>
      <c r="J854" t="s">
        <v>85</v>
      </c>
      <c r="K854" t="s">
        <v>73</v>
      </c>
      <c r="L854">
        <v>701000</v>
      </c>
      <c r="M854" t="s">
        <v>62</v>
      </c>
      <c r="N854" t="s">
        <v>33</v>
      </c>
      <c r="O854">
        <v>3890</v>
      </c>
      <c r="P854">
        <v>0.95</v>
      </c>
      <c r="Q854">
        <v>3.69</v>
      </c>
      <c r="R854" t="s">
        <v>1201</v>
      </c>
      <c r="S854" t="s">
        <v>195</v>
      </c>
    </row>
    <row r="855" spans="1:19" x14ac:dyDescent="0.3">
      <c r="A855" t="s">
        <v>1043</v>
      </c>
      <c r="B855" t="s">
        <v>23</v>
      </c>
      <c r="C855">
        <v>2026</v>
      </c>
      <c r="D855">
        <v>2</v>
      </c>
      <c r="E855" s="2">
        <v>46059</v>
      </c>
      <c r="F855" t="s">
        <v>7</v>
      </c>
      <c r="G855" t="s">
        <v>8</v>
      </c>
      <c r="H855" t="s">
        <v>70</v>
      </c>
      <c r="I855" t="s">
        <v>84</v>
      </c>
      <c r="J855" t="s">
        <v>85</v>
      </c>
      <c r="K855" t="s">
        <v>73</v>
      </c>
      <c r="L855">
        <v>701000</v>
      </c>
      <c r="M855" t="s">
        <v>62</v>
      </c>
      <c r="N855" t="s">
        <v>33</v>
      </c>
      <c r="O855">
        <v>6412</v>
      </c>
      <c r="P855">
        <v>0.95</v>
      </c>
      <c r="Q855">
        <v>6.09</v>
      </c>
      <c r="R855" t="s">
        <v>1205</v>
      </c>
      <c r="S855" t="s">
        <v>195</v>
      </c>
    </row>
    <row r="856" spans="1:19" x14ac:dyDescent="0.3">
      <c r="A856" t="s">
        <v>1044</v>
      </c>
      <c r="B856" t="s">
        <v>23</v>
      </c>
      <c r="C856">
        <v>2026</v>
      </c>
      <c r="D856">
        <v>2</v>
      </c>
      <c r="E856" s="2">
        <v>46059</v>
      </c>
      <c r="F856" t="s">
        <v>7</v>
      </c>
      <c r="G856" t="s">
        <v>8</v>
      </c>
      <c r="H856" t="s">
        <v>70</v>
      </c>
      <c r="I856" t="s">
        <v>84</v>
      </c>
      <c r="J856" t="s">
        <v>85</v>
      </c>
      <c r="K856" t="s">
        <v>73</v>
      </c>
      <c r="L856">
        <v>701000</v>
      </c>
      <c r="M856" t="s">
        <v>62</v>
      </c>
      <c r="N856" t="s">
        <v>33</v>
      </c>
      <c r="O856">
        <v>3945</v>
      </c>
      <c r="P856">
        <v>0.95</v>
      </c>
      <c r="Q856">
        <v>3.75</v>
      </c>
      <c r="R856" t="s">
        <v>1202</v>
      </c>
      <c r="S856" t="s">
        <v>195</v>
      </c>
    </row>
    <row r="857" spans="1:19" x14ac:dyDescent="0.3">
      <c r="A857" t="s">
        <v>1065</v>
      </c>
      <c r="B857" t="s">
        <v>23</v>
      </c>
      <c r="C857">
        <v>2026</v>
      </c>
      <c r="D857">
        <v>2</v>
      </c>
      <c r="E857" s="2">
        <v>46059</v>
      </c>
      <c r="F857" t="s">
        <v>7</v>
      </c>
      <c r="G857" t="s">
        <v>8</v>
      </c>
      <c r="H857" t="s">
        <v>70</v>
      </c>
      <c r="I857" t="s">
        <v>84</v>
      </c>
      <c r="J857" t="s">
        <v>85</v>
      </c>
      <c r="K857" t="s">
        <v>73</v>
      </c>
      <c r="L857">
        <v>701000</v>
      </c>
      <c r="M857" t="s">
        <v>62</v>
      </c>
      <c r="N857" t="s">
        <v>33</v>
      </c>
      <c r="O857">
        <v>5672</v>
      </c>
      <c r="P857">
        <v>0.95</v>
      </c>
      <c r="Q857">
        <v>5.39</v>
      </c>
      <c r="R857" t="s">
        <v>1204</v>
      </c>
      <c r="S857" t="s">
        <v>195</v>
      </c>
    </row>
    <row r="858" spans="1:19" x14ac:dyDescent="0.3">
      <c r="A858" t="s">
        <v>1066</v>
      </c>
      <c r="B858" t="s">
        <v>23</v>
      </c>
      <c r="C858">
        <v>2026</v>
      </c>
      <c r="D858">
        <v>2</v>
      </c>
      <c r="E858" s="2">
        <v>46059</v>
      </c>
      <c r="F858" t="s">
        <v>7</v>
      </c>
      <c r="G858" t="s">
        <v>8</v>
      </c>
      <c r="H858" t="s">
        <v>70</v>
      </c>
      <c r="I858" t="s">
        <v>84</v>
      </c>
      <c r="J858" t="s">
        <v>85</v>
      </c>
      <c r="K858" t="s">
        <v>73</v>
      </c>
      <c r="L858">
        <v>701000</v>
      </c>
      <c r="M858" t="s">
        <v>62</v>
      </c>
      <c r="N858" t="s">
        <v>33</v>
      </c>
      <c r="O858">
        <v>4222</v>
      </c>
      <c r="P858">
        <v>0.95</v>
      </c>
      <c r="Q858">
        <v>4.01</v>
      </c>
      <c r="R858" t="s">
        <v>1200</v>
      </c>
      <c r="S858" t="s">
        <v>195</v>
      </c>
    </row>
    <row r="859" spans="1:19" x14ac:dyDescent="0.3">
      <c r="A859" t="s">
        <v>1067</v>
      </c>
      <c r="B859" t="s">
        <v>23</v>
      </c>
      <c r="C859">
        <v>2026</v>
      </c>
      <c r="D859">
        <v>2</v>
      </c>
      <c r="E859" s="2">
        <v>46059</v>
      </c>
      <c r="F859" t="s">
        <v>7</v>
      </c>
      <c r="G859" t="s">
        <v>8</v>
      </c>
      <c r="H859" t="s">
        <v>70</v>
      </c>
      <c r="I859" t="s">
        <v>84</v>
      </c>
      <c r="J859" t="s">
        <v>85</v>
      </c>
      <c r="K859" t="s">
        <v>73</v>
      </c>
      <c r="L859">
        <v>701000</v>
      </c>
      <c r="M859" t="s">
        <v>62</v>
      </c>
      <c r="N859" t="s">
        <v>33</v>
      </c>
      <c r="O859">
        <v>2316</v>
      </c>
      <c r="P859">
        <v>0.95</v>
      </c>
      <c r="Q859">
        <v>2.2000000000000002</v>
      </c>
      <c r="R859" t="s">
        <v>1198</v>
      </c>
      <c r="S859" t="s">
        <v>195</v>
      </c>
    </row>
    <row r="860" spans="1:19" x14ac:dyDescent="0.3">
      <c r="A860" t="s">
        <v>1068</v>
      </c>
      <c r="B860" t="s">
        <v>23</v>
      </c>
      <c r="C860">
        <v>2026</v>
      </c>
      <c r="D860">
        <v>2</v>
      </c>
      <c r="E860" s="2">
        <v>46059</v>
      </c>
      <c r="F860" t="s">
        <v>7</v>
      </c>
      <c r="G860" t="s">
        <v>8</v>
      </c>
      <c r="H860" t="s">
        <v>70</v>
      </c>
      <c r="I860" t="s">
        <v>84</v>
      </c>
      <c r="J860" t="s">
        <v>85</v>
      </c>
      <c r="K860" t="s">
        <v>73</v>
      </c>
      <c r="L860">
        <v>701000</v>
      </c>
      <c r="M860" t="s">
        <v>62</v>
      </c>
      <c r="N860" t="s">
        <v>33</v>
      </c>
      <c r="O860">
        <v>5616</v>
      </c>
      <c r="P860">
        <v>0.95</v>
      </c>
      <c r="Q860">
        <v>5.33</v>
      </c>
      <c r="R860" t="s">
        <v>1202</v>
      </c>
      <c r="S860" t="s">
        <v>195</v>
      </c>
    </row>
    <row r="861" spans="1:19" x14ac:dyDescent="0.3">
      <c r="A861" t="s">
        <v>1069</v>
      </c>
      <c r="B861" t="s">
        <v>23</v>
      </c>
      <c r="C861">
        <v>2026</v>
      </c>
      <c r="D861">
        <v>2</v>
      </c>
      <c r="E861" s="2">
        <v>46059</v>
      </c>
      <c r="F861" t="s">
        <v>7</v>
      </c>
      <c r="G861" t="s">
        <v>8</v>
      </c>
      <c r="H861" t="s">
        <v>70</v>
      </c>
      <c r="I861" t="s">
        <v>84</v>
      </c>
      <c r="J861" t="s">
        <v>85</v>
      </c>
      <c r="K861" t="s">
        <v>73</v>
      </c>
      <c r="L861">
        <v>701000</v>
      </c>
      <c r="M861" t="s">
        <v>62</v>
      </c>
      <c r="N861" t="s">
        <v>33</v>
      </c>
      <c r="O861">
        <v>2874</v>
      </c>
      <c r="P861">
        <v>0.95</v>
      </c>
      <c r="Q861">
        <v>2.73</v>
      </c>
      <c r="R861" t="s">
        <v>1201</v>
      </c>
      <c r="S861" t="s">
        <v>195</v>
      </c>
    </row>
    <row r="862" spans="1:19" x14ac:dyDescent="0.3">
      <c r="A862" t="s">
        <v>1060</v>
      </c>
      <c r="B862" t="s">
        <v>23</v>
      </c>
      <c r="C862">
        <v>2026</v>
      </c>
      <c r="D862">
        <v>2</v>
      </c>
      <c r="E862" s="2">
        <v>46061</v>
      </c>
      <c r="F862" t="s">
        <v>7</v>
      </c>
      <c r="G862" t="s">
        <v>8</v>
      </c>
      <c r="H862" t="s">
        <v>74</v>
      </c>
      <c r="I862" t="s">
        <v>84</v>
      </c>
      <c r="J862" t="s">
        <v>85</v>
      </c>
      <c r="K862" t="s">
        <v>73</v>
      </c>
      <c r="L862">
        <v>701000</v>
      </c>
      <c r="M862" t="s">
        <v>62</v>
      </c>
      <c r="N862" t="s">
        <v>33</v>
      </c>
      <c r="O862">
        <v>5208</v>
      </c>
      <c r="P862">
        <v>0.95</v>
      </c>
      <c r="Q862">
        <v>4.95</v>
      </c>
      <c r="R862" t="s">
        <v>1203</v>
      </c>
      <c r="S862" t="s">
        <v>195</v>
      </c>
    </row>
    <row r="863" spans="1:19" x14ac:dyDescent="0.3">
      <c r="A863" t="s">
        <v>1061</v>
      </c>
      <c r="B863" t="s">
        <v>23</v>
      </c>
      <c r="C863">
        <v>2026</v>
      </c>
      <c r="D863">
        <v>2</v>
      </c>
      <c r="E863" s="2">
        <v>46061</v>
      </c>
      <c r="F863" t="s">
        <v>7</v>
      </c>
      <c r="G863" t="s">
        <v>8</v>
      </c>
      <c r="H863" t="s">
        <v>74</v>
      </c>
      <c r="I863" t="s">
        <v>84</v>
      </c>
      <c r="J863" t="s">
        <v>85</v>
      </c>
      <c r="K863" t="s">
        <v>73</v>
      </c>
      <c r="L863">
        <v>701000</v>
      </c>
      <c r="M863" t="s">
        <v>62</v>
      </c>
      <c r="N863" t="s">
        <v>33</v>
      </c>
      <c r="O863">
        <v>6177</v>
      </c>
      <c r="P863">
        <v>0.95</v>
      </c>
      <c r="Q863">
        <v>5.87</v>
      </c>
      <c r="R863" t="s">
        <v>1199</v>
      </c>
      <c r="S863" t="s">
        <v>195</v>
      </c>
    </row>
    <row r="864" spans="1:19" x14ac:dyDescent="0.3">
      <c r="A864" t="s">
        <v>1062</v>
      </c>
      <c r="B864" t="s">
        <v>23</v>
      </c>
      <c r="C864">
        <v>2026</v>
      </c>
      <c r="D864">
        <v>2</v>
      </c>
      <c r="E864" s="2">
        <v>46061</v>
      </c>
      <c r="F864" t="s">
        <v>7</v>
      </c>
      <c r="G864" t="s">
        <v>8</v>
      </c>
      <c r="H864" t="s">
        <v>74</v>
      </c>
      <c r="I864" t="s">
        <v>84</v>
      </c>
      <c r="J864" t="s">
        <v>85</v>
      </c>
      <c r="K864" t="s">
        <v>73</v>
      </c>
      <c r="L864">
        <v>701000</v>
      </c>
      <c r="M864" t="s">
        <v>62</v>
      </c>
      <c r="N864" t="s">
        <v>33</v>
      </c>
      <c r="O864">
        <v>3661</v>
      </c>
      <c r="P864">
        <v>0.95</v>
      </c>
      <c r="Q864">
        <v>3.48</v>
      </c>
      <c r="R864" t="s">
        <v>1201</v>
      </c>
      <c r="S864" t="s">
        <v>195</v>
      </c>
    </row>
    <row r="865" spans="1:19" x14ac:dyDescent="0.3">
      <c r="A865" t="s">
        <v>1063</v>
      </c>
      <c r="B865" t="s">
        <v>23</v>
      </c>
      <c r="C865">
        <v>2026</v>
      </c>
      <c r="D865">
        <v>2</v>
      </c>
      <c r="E865" s="2">
        <v>46061</v>
      </c>
      <c r="F865" t="s">
        <v>7</v>
      </c>
      <c r="G865" t="s">
        <v>8</v>
      </c>
      <c r="H865" t="s">
        <v>74</v>
      </c>
      <c r="I865" t="s">
        <v>84</v>
      </c>
      <c r="J865" t="s">
        <v>85</v>
      </c>
      <c r="K865" t="s">
        <v>73</v>
      </c>
      <c r="L865">
        <v>701000</v>
      </c>
      <c r="M865" t="s">
        <v>62</v>
      </c>
      <c r="N865" t="s">
        <v>33</v>
      </c>
      <c r="O865">
        <v>1951</v>
      </c>
      <c r="P865">
        <v>0.95</v>
      </c>
      <c r="Q865">
        <v>1.85</v>
      </c>
      <c r="R865" t="s">
        <v>1204</v>
      </c>
      <c r="S865" t="s">
        <v>195</v>
      </c>
    </row>
    <row r="866" spans="1:19" x14ac:dyDescent="0.3">
      <c r="A866" t="s">
        <v>1064</v>
      </c>
      <c r="B866" t="s">
        <v>23</v>
      </c>
      <c r="C866">
        <v>2026</v>
      </c>
      <c r="D866">
        <v>2</v>
      </c>
      <c r="E866" s="2">
        <v>46061</v>
      </c>
      <c r="F866" t="s">
        <v>7</v>
      </c>
      <c r="G866" t="s">
        <v>8</v>
      </c>
      <c r="H866" t="s">
        <v>74</v>
      </c>
      <c r="I866" t="s">
        <v>84</v>
      </c>
      <c r="J866" t="s">
        <v>85</v>
      </c>
      <c r="K866" t="s">
        <v>73</v>
      </c>
      <c r="L866">
        <v>701000</v>
      </c>
      <c r="M866" t="s">
        <v>62</v>
      </c>
      <c r="N866" t="s">
        <v>33</v>
      </c>
      <c r="O866">
        <v>538</v>
      </c>
      <c r="P866">
        <v>0.95</v>
      </c>
      <c r="Q866">
        <v>0.51</v>
      </c>
      <c r="R866" t="s">
        <v>1205</v>
      </c>
      <c r="S866" t="s">
        <v>195</v>
      </c>
    </row>
    <row r="867" spans="1:19" x14ac:dyDescent="0.3">
      <c r="A867" t="s">
        <v>1090</v>
      </c>
      <c r="B867" t="s">
        <v>23</v>
      </c>
      <c r="C867">
        <v>2026</v>
      </c>
      <c r="D867">
        <v>2</v>
      </c>
      <c r="E867" s="2">
        <v>46061</v>
      </c>
      <c r="F867" t="s">
        <v>7</v>
      </c>
      <c r="G867" t="s">
        <v>8</v>
      </c>
      <c r="H867" t="s">
        <v>74</v>
      </c>
      <c r="I867" t="s">
        <v>84</v>
      </c>
      <c r="J867" t="s">
        <v>85</v>
      </c>
      <c r="K867" t="s">
        <v>73</v>
      </c>
      <c r="L867">
        <v>707000</v>
      </c>
      <c r="M867" t="s">
        <v>81</v>
      </c>
      <c r="N867" t="s">
        <v>33</v>
      </c>
      <c r="O867">
        <v>4195</v>
      </c>
      <c r="P867">
        <v>0.95</v>
      </c>
      <c r="Q867">
        <v>3.99</v>
      </c>
      <c r="R867" t="s">
        <v>1202</v>
      </c>
      <c r="S867" t="s">
        <v>195</v>
      </c>
    </row>
    <row r="868" spans="1:19" x14ac:dyDescent="0.3">
      <c r="A868" t="s">
        <v>1091</v>
      </c>
      <c r="B868" t="s">
        <v>23</v>
      </c>
      <c r="C868">
        <v>2026</v>
      </c>
      <c r="D868">
        <v>2</v>
      </c>
      <c r="E868" s="2">
        <v>46061</v>
      </c>
      <c r="F868" t="s">
        <v>7</v>
      </c>
      <c r="G868" t="s">
        <v>8</v>
      </c>
      <c r="H868" t="s">
        <v>74</v>
      </c>
      <c r="I868" t="s">
        <v>84</v>
      </c>
      <c r="J868" t="s">
        <v>85</v>
      </c>
      <c r="K868" t="s">
        <v>73</v>
      </c>
      <c r="L868">
        <v>707000</v>
      </c>
      <c r="M868" t="s">
        <v>81</v>
      </c>
      <c r="N868" t="s">
        <v>33</v>
      </c>
      <c r="O868">
        <v>4416</v>
      </c>
      <c r="P868">
        <v>0.95</v>
      </c>
      <c r="Q868">
        <v>4.2</v>
      </c>
      <c r="R868" t="s">
        <v>1199</v>
      </c>
      <c r="S868" t="s">
        <v>195</v>
      </c>
    </row>
    <row r="869" spans="1:19" x14ac:dyDescent="0.3">
      <c r="A869" t="s">
        <v>1092</v>
      </c>
      <c r="B869" t="s">
        <v>23</v>
      </c>
      <c r="C869">
        <v>2026</v>
      </c>
      <c r="D869">
        <v>2</v>
      </c>
      <c r="E869" s="2">
        <v>46061</v>
      </c>
      <c r="F869" t="s">
        <v>7</v>
      </c>
      <c r="G869" t="s">
        <v>8</v>
      </c>
      <c r="H869" t="s">
        <v>74</v>
      </c>
      <c r="I869" t="s">
        <v>84</v>
      </c>
      <c r="J869" t="s">
        <v>85</v>
      </c>
      <c r="K869" t="s">
        <v>73</v>
      </c>
      <c r="L869">
        <v>707000</v>
      </c>
      <c r="M869" t="s">
        <v>81</v>
      </c>
      <c r="N869" t="s">
        <v>33</v>
      </c>
      <c r="O869">
        <v>3776</v>
      </c>
      <c r="P869">
        <v>0.95</v>
      </c>
      <c r="Q869">
        <v>3.59</v>
      </c>
      <c r="R869" t="s">
        <v>1197</v>
      </c>
      <c r="S869" t="s">
        <v>195</v>
      </c>
    </row>
    <row r="870" spans="1:19" x14ac:dyDescent="0.3">
      <c r="A870" t="s">
        <v>1093</v>
      </c>
      <c r="B870" t="s">
        <v>23</v>
      </c>
      <c r="C870">
        <v>2026</v>
      </c>
      <c r="D870">
        <v>2</v>
      </c>
      <c r="E870" s="2">
        <v>46061</v>
      </c>
      <c r="F870" t="s">
        <v>7</v>
      </c>
      <c r="G870" t="s">
        <v>8</v>
      </c>
      <c r="H870" t="s">
        <v>74</v>
      </c>
      <c r="I870" t="s">
        <v>84</v>
      </c>
      <c r="J870" t="s">
        <v>85</v>
      </c>
      <c r="K870" t="s">
        <v>73</v>
      </c>
      <c r="L870">
        <v>707000</v>
      </c>
      <c r="M870" t="s">
        <v>81</v>
      </c>
      <c r="N870" t="s">
        <v>33</v>
      </c>
      <c r="O870">
        <v>2815</v>
      </c>
      <c r="P870">
        <v>0.95</v>
      </c>
      <c r="Q870">
        <v>2.67</v>
      </c>
      <c r="R870" t="s">
        <v>1205</v>
      </c>
      <c r="S870" t="s">
        <v>195</v>
      </c>
    </row>
    <row r="871" spans="1:19" x14ac:dyDescent="0.3">
      <c r="A871" t="s">
        <v>1094</v>
      </c>
      <c r="B871" t="s">
        <v>23</v>
      </c>
      <c r="C871">
        <v>2026</v>
      </c>
      <c r="D871">
        <v>2</v>
      </c>
      <c r="E871" s="2">
        <v>46061</v>
      </c>
      <c r="F871" t="s">
        <v>7</v>
      </c>
      <c r="G871" t="s">
        <v>8</v>
      </c>
      <c r="H871" t="s">
        <v>74</v>
      </c>
      <c r="I871" t="s">
        <v>84</v>
      </c>
      <c r="J871" t="s">
        <v>85</v>
      </c>
      <c r="K871" t="s">
        <v>73</v>
      </c>
      <c r="L871">
        <v>707000</v>
      </c>
      <c r="M871" t="s">
        <v>81</v>
      </c>
      <c r="N871" t="s">
        <v>33</v>
      </c>
      <c r="O871">
        <v>2523</v>
      </c>
      <c r="P871">
        <v>0.95</v>
      </c>
      <c r="Q871">
        <v>2.39</v>
      </c>
      <c r="R871" t="s">
        <v>1204</v>
      </c>
      <c r="S871" t="s">
        <v>195</v>
      </c>
    </row>
    <row r="872" spans="1:19" x14ac:dyDescent="0.3">
      <c r="A872" t="s">
        <v>1140</v>
      </c>
      <c r="B872" t="s">
        <v>23</v>
      </c>
      <c r="C872">
        <v>2026</v>
      </c>
      <c r="D872">
        <v>2</v>
      </c>
      <c r="E872" s="2">
        <v>46061</v>
      </c>
      <c r="F872" t="s">
        <v>7</v>
      </c>
      <c r="G872" t="s">
        <v>8</v>
      </c>
      <c r="H872" t="s">
        <v>74</v>
      </c>
      <c r="I872" t="s">
        <v>71</v>
      </c>
      <c r="J872" t="s">
        <v>72</v>
      </c>
      <c r="K872" t="s">
        <v>73</v>
      </c>
      <c r="L872">
        <v>701000</v>
      </c>
      <c r="M872" t="s">
        <v>62</v>
      </c>
      <c r="N872" t="s">
        <v>33</v>
      </c>
      <c r="O872">
        <v>1379</v>
      </c>
      <c r="P872">
        <v>1.05</v>
      </c>
      <c r="Q872">
        <v>1.45</v>
      </c>
      <c r="R872" t="s">
        <v>1201</v>
      </c>
      <c r="S872" t="s">
        <v>195</v>
      </c>
    </row>
    <row r="873" spans="1:19" x14ac:dyDescent="0.3">
      <c r="A873" t="s">
        <v>1141</v>
      </c>
      <c r="B873" t="s">
        <v>23</v>
      </c>
      <c r="C873">
        <v>2026</v>
      </c>
      <c r="D873">
        <v>2</v>
      </c>
      <c r="E873" s="2">
        <v>46061</v>
      </c>
      <c r="F873" t="s">
        <v>7</v>
      </c>
      <c r="G873" t="s">
        <v>8</v>
      </c>
      <c r="H873" t="s">
        <v>74</v>
      </c>
      <c r="I873" t="s">
        <v>71</v>
      </c>
      <c r="J873" t="s">
        <v>72</v>
      </c>
      <c r="K873" t="s">
        <v>73</v>
      </c>
      <c r="L873">
        <v>701000</v>
      </c>
      <c r="M873" t="s">
        <v>62</v>
      </c>
      <c r="N873" t="s">
        <v>33</v>
      </c>
      <c r="O873">
        <v>3742</v>
      </c>
      <c r="P873">
        <v>1.05</v>
      </c>
      <c r="Q873">
        <v>3.93</v>
      </c>
      <c r="R873" t="s">
        <v>1203</v>
      </c>
      <c r="S873" t="s">
        <v>195</v>
      </c>
    </row>
    <row r="874" spans="1:19" x14ac:dyDescent="0.3">
      <c r="A874" t="s">
        <v>1142</v>
      </c>
      <c r="B874" t="s">
        <v>23</v>
      </c>
      <c r="C874">
        <v>2026</v>
      </c>
      <c r="D874">
        <v>2</v>
      </c>
      <c r="E874" s="2">
        <v>46061</v>
      </c>
      <c r="F874" t="s">
        <v>7</v>
      </c>
      <c r="G874" t="s">
        <v>8</v>
      </c>
      <c r="H874" t="s">
        <v>74</v>
      </c>
      <c r="I874" t="s">
        <v>71</v>
      </c>
      <c r="J874" t="s">
        <v>72</v>
      </c>
      <c r="K874" t="s">
        <v>73</v>
      </c>
      <c r="L874">
        <v>701000</v>
      </c>
      <c r="M874" t="s">
        <v>62</v>
      </c>
      <c r="N874" t="s">
        <v>33</v>
      </c>
      <c r="O874">
        <v>4491</v>
      </c>
      <c r="P874">
        <v>1.05</v>
      </c>
      <c r="Q874">
        <v>4.71</v>
      </c>
      <c r="R874" t="s">
        <v>1204</v>
      </c>
      <c r="S874" t="s">
        <v>195</v>
      </c>
    </row>
    <row r="875" spans="1:19" x14ac:dyDescent="0.3">
      <c r="A875" t="s">
        <v>1143</v>
      </c>
      <c r="B875" t="s">
        <v>23</v>
      </c>
      <c r="C875">
        <v>2026</v>
      </c>
      <c r="D875">
        <v>2</v>
      </c>
      <c r="E875" s="2">
        <v>46061</v>
      </c>
      <c r="F875" t="s">
        <v>7</v>
      </c>
      <c r="G875" t="s">
        <v>8</v>
      </c>
      <c r="H875" t="s">
        <v>74</v>
      </c>
      <c r="I875" t="s">
        <v>71</v>
      </c>
      <c r="J875" t="s">
        <v>72</v>
      </c>
      <c r="K875" t="s">
        <v>73</v>
      </c>
      <c r="L875">
        <v>701000</v>
      </c>
      <c r="M875" t="s">
        <v>62</v>
      </c>
      <c r="N875" t="s">
        <v>33</v>
      </c>
      <c r="O875">
        <v>2989</v>
      </c>
      <c r="P875">
        <v>1.05</v>
      </c>
      <c r="Q875">
        <v>3.14</v>
      </c>
      <c r="R875" t="s">
        <v>1200</v>
      </c>
      <c r="S875" t="s">
        <v>195</v>
      </c>
    </row>
    <row r="876" spans="1:19" x14ac:dyDescent="0.3">
      <c r="A876" t="s">
        <v>1144</v>
      </c>
      <c r="B876" t="s">
        <v>23</v>
      </c>
      <c r="C876">
        <v>2026</v>
      </c>
      <c r="D876">
        <v>2</v>
      </c>
      <c r="E876" s="2">
        <v>46061</v>
      </c>
      <c r="F876" t="s">
        <v>7</v>
      </c>
      <c r="G876" t="s">
        <v>8</v>
      </c>
      <c r="H876" t="s">
        <v>74</v>
      </c>
      <c r="I876" t="s">
        <v>71</v>
      </c>
      <c r="J876" t="s">
        <v>72</v>
      </c>
      <c r="K876" t="s">
        <v>73</v>
      </c>
      <c r="L876">
        <v>701000</v>
      </c>
      <c r="M876" t="s">
        <v>62</v>
      </c>
      <c r="N876" t="s">
        <v>33</v>
      </c>
      <c r="O876">
        <v>6736</v>
      </c>
      <c r="P876">
        <v>1.05</v>
      </c>
      <c r="Q876">
        <v>7.07</v>
      </c>
      <c r="R876" t="s">
        <v>1199</v>
      </c>
      <c r="S876" t="s">
        <v>195</v>
      </c>
    </row>
    <row r="877" spans="1:19" x14ac:dyDescent="0.3">
      <c r="A877" t="s">
        <v>1025</v>
      </c>
      <c r="B877" t="s">
        <v>23</v>
      </c>
      <c r="C877">
        <v>2026</v>
      </c>
      <c r="D877">
        <v>2</v>
      </c>
      <c r="E877" s="2">
        <v>46063</v>
      </c>
      <c r="F877" t="s">
        <v>7</v>
      </c>
      <c r="G877" t="s">
        <v>8</v>
      </c>
      <c r="H877" t="s">
        <v>70</v>
      </c>
      <c r="I877" t="s">
        <v>84</v>
      </c>
      <c r="J877" t="s">
        <v>85</v>
      </c>
      <c r="K877" t="s">
        <v>73</v>
      </c>
      <c r="L877">
        <v>701000</v>
      </c>
      <c r="M877" t="s">
        <v>62</v>
      </c>
      <c r="N877" t="s">
        <v>33</v>
      </c>
      <c r="O877">
        <v>5256</v>
      </c>
      <c r="P877">
        <v>0.95</v>
      </c>
      <c r="Q877">
        <v>4.99</v>
      </c>
      <c r="R877" t="s">
        <v>1198</v>
      </c>
      <c r="S877" t="s">
        <v>195</v>
      </c>
    </row>
    <row r="878" spans="1:19" x14ac:dyDescent="0.3">
      <c r="A878" t="s">
        <v>1026</v>
      </c>
      <c r="B878" t="s">
        <v>23</v>
      </c>
      <c r="C878">
        <v>2026</v>
      </c>
      <c r="D878">
        <v>2</v>
      </c>
      <c r="E878" s="2">
        <v>46063</v>
      </c>
      <c r="F878" t="s">
        <v>7</v>
      </c>
      <c r="G878" t="s">
        <v>8</v>
      </c>
      <c r="H878" t="s">
        <v>70</v>
      </c>
      <c r="I878" t="s">
        <v>84</v>
      </c>
      <c r="J878" t="s">
        <v>85</v>
      </c>
      <c r="K878" t="s">
        <v>73</v>
      </c>
      <c r="L878">
        <v>701000</v>
      </c>
      <c r="M878" t="s">
        <v>62</v>
      </c>
      <c r="N878" t="s">
        <v>33</v>
      </c>
      <c r="O878">
        <v>9180</v>
      </c>
      <c r="P878">
        <v>0.95</v>
      </c>
      <c r="Q878">
        <v>8.7200000000000006</v>
      </c>
      <c r="R878" t="s">
        <v>1202</v>
      </c>
      <c r="S878" t="s">
        <v>195</v>
      </c>
    </row>
    <row r="879" spans="1:19" x14ac:dyDescent="0.3">
      <c r="A879" t="s">
        <v>1027</v>
      </c>
      <c r="B879" t="s">
        <v>23</v>
      </c>
      <c r="C879">
        <v>2026</v>
      </c>
      <c r="D879">
        <v>2</v>
      </c>
      <c r="E879" s="2">
        <v>46063</v>
      </c>
      <c r="F879" t="s">
        <v>7</v>
      </c>
      <c r="G879" t="s">
        <v>8</v>
      </c>
      <c r="H879" t="s">
        <v>70</v>
      </c>
      <c r="I879" t="s">
        <v>84</v>
      </c>
      <c r="J879" t="s">
        <v>85</v>
      </c>
      <c r="K879" t="s">
        <v>73</v>
      </c>
      <c r="L879">
        <v>701000</v>
      </c>
      <c r="M879" t="s">
        <v>62</v>
      </c>
      <c r="N879" t="s">
        <v>33</v>
      </c>
      <c r="O879">
        <v>3210</v>
      </c>
      <c r="P879">
        <v>0.95</v>
      </c>
      <c r="Q879">
        <v>3.05</v>
      </c>
      <c r="R879" t="s">
        <v>1201</v>
      </c>
      <c r="S879" t="s">
        <v>195</v>
      </c>
    </row>
    <row r="880" spans="1:19" x14ac:dyDescent="0.3">
      <c r="A880" t="s">
        <v>1028</v>
      </c>
      <c r="B880" t="s">
        <v>23</v>
      </c>
      <c r="C880">
        <v>2026</v>
      </c>
      <c r="D880">
        <v>2</v>
      </c>
      <c r="E880" s="2">
        <v>46063</v>
      </c>
      <c r="F880" t="s">
        <v>7</v>
      </c>
      <c r="G880" t="s">
        <v>8</v>
      </c>
      <c r="H880" t="s">
        <v>70</v>
      </c>
      <c r="I880" t="s">
        <v>84</v>
      </c>
      <c r="J880" t="s">
        <v>85</v>
      </c>
      <c r="K880" t="s">
        <v>73</v>
      </c>
      <c r="L880">
        <v>701000</v>
      </c>
      <c r="M880" t="s">
        <v>62</v>
      </c>
      <c r="N880" t="s">
        <v>33</v>
      </c>
      <c r="O880">
        <v>1674</v>
      </c>
      <c r="P880">
        <v>0.95</v>
      </c>
      <c r="Q880">
        <v>1.59</v>
      </c>
      <c r="R880" t="s">
        <v>1203</v>
      </c>
      <c r="S880" t="s">
        <v>195</v>
      </c>
    </row>
    <row r="881" spans="1:19" x14ac:dyDescent="0.3">
      <c r="A881" t="s">
        <v>1029</v>
      </c>
      <c r="B881" t="s">
        <v>23</v>
      </c>
      <c r="C881">
        <v>2026</v>
      </c>
      <c r="D881">
        <v>2</v>
      </c>
      <c r="E881" s="2">
        <v>46063</v>
      </c>
      <c r="F881" t="s">
        <v>7</v>
      </c>
      <c r="G881" t="s">
        <v>8</v>
      </c>
      <c r="H881" t="s">
        <v>70</v>
      </c>
      <c r="I881" t="s">
        <v>84</v>
      </c>
      <c r="J881" t="s">
        <v>85</v>
      </c>
      <c r="K881" t="s">
        <v>73</v>
      </c>
      <c r="L881">
        <v>701000</v>
      </c>
      <c r="M881" t="s">
        <v>62</v>
      </c>
      <c r="N881" t="s">
        <v>33</v>
      </c>
      <c r="O881">
        <v>2582</v>
      </c>
      <c r="P881">
        <v>0.95</v>
      </c>
      <c r="Q881">
        <v>2.46</v>
      </c>
      <c r="R881" t="s">
        <v>1199</v>
      </c>
      <c r="S881" t="s">
        <v>195</v>
      </c>
    </row>
    <row r="882" spans="1:19" x14ac:dyDescent="0.3">
      <c r="A882" t="s">
        <v>1075</v>
      </c>
      <c r="B882" t="s">
        <v>23</v>
      </c>
      <c r="C882">
        <v>2026</v>
      </c>
      <c r="D882">
        <v>2</v>
      </c>
      <c r="E882" s="2">
        <v>46064</v>
      </c>
      <c r="F882" t="s">
        <v>7</v>
      </c>
      <c r="G882" t="s">
        <v>8</v>
      </c>
      <c r="H882" t="s">
        <v>70</v>
      </c>
      <c r="I882" t="s">
        <v>84</v>
      </c>
      <c r="J882" t="s">
        <v>85</v>
      </c>
      <c r="K882" t="s">
        <v>73</v>
      </c>
      <c r="L882">
        <v>701000</v>
      </c>
      <c r="M882" t="s">
        <v>62</v>
      </c>
      <c r="N882" t="s">
        <v>33</v>
      </c>
      <c r="O882">
        <v>5023</v>
      </c>
      <c r="P882">
        <v>0.95</v>
      </c>
      <c r="Q882">
        <v>4.7699999999999996</v>
      </c>
      <c r="R882" t="s">
        <v>1203</v>
      </c>
      <c r="S882" t="s">
        <v>195</v>
      </c>
    </row>
    <row r="883" spans="1:19" x14ac:dyDescent="0.3">
      <c r="A883" t="s">
        <v>1076</v>
      </c>
      <c r="B883" t="s">
        <v>23</v>
      </c>
      <c r="C883">
        <v>2026</v>
      </c>
      <c r="D883">
        <v>2</v>
      </c>
      <c r="E883" s="2">
        <v>46064</v>
      </c>
      <c r="F883" t="s">
        <v>7</v>
      </c>
      <c r="G883" t="s">
        <v>8</v>
      </c>
      <c r="H883" t="s">
        <v>70</v>
      </c>
      <c r="I883" t="s">
        <v>84</v>
      </c>
      <c r="J883" t="s">
        <v>85</v>
      </c>
      <c r="K883" t="s">
        <v>73</v>
      </c>
      <c r="L883">
        <v>701000</v>
      </c>
      <c r="M883" t="s">
        <v>62</v>
      </c>
      <c r="N883" t="s">
        <v>33</v>
      </c>
      <c r="O883">
        <v>2623</v>
      </c>
      <c r="P883">
        <v>0.95</v>
      </c>
      <c r="Q883">
        <v>2.4900000000000002</v>
      </c>
      <c r="R883" t="s">
        <v>1197</v>
      </c>
      <c r="S883" t="s">
        <v>195</v>
      </c>
    </row>
    <row r="884" spans="1:19" x14ac:dyDescent="0.3">
      <c r="A884" t="s">
        <v>1077</v>
      </c>
      <c r="B884" t="s">
        <v>23</v>
      </c>
      <c r="C884">
        <v>2026</v>
      </c>
      <c r="D884">
        <v>2</v>
      </c>
      <c r="E884" s="2">
        <v>46064</v>
      </c>
      <c r="F884" t="s">
        <v>7</v>
      </c>
      <c r="G884" t="s">
        <v>8</v>
      </c>
      <c r="H884" t="s">
        <v>70</v>
      </c>
      <c r="I884" t="s">
        <v>84</v>
      </c>
      <c r="J884" t="s">
        <v>85</v>
      </c>
      <c r="K884" t="s">
        <v>73</v>
      </c>
      <c r="L884">
        <v>701000</v>
      </c>
      <c r="M884" t="s">
        <v>62</v>
      </c>
      <c r="N884" t="s">
        <v>33</v>
      </c>
      <c r="O884">
        <v>2173</v>
      </c>
      <c r="P884">
        <v>0.95</v>
      </c>
      <c r="Q884">
        <v>2.06</v>
      </c>
      <c r="R884" t="s">
        <v>1205</v>
      </c>
      <c r="S884" t="s">
        <v>195</v>
      </c>
    </row>
    <row r="885" spans="1:19" x14ac:dyDescent="0.3">
      <c r="A885" t="s">
        <v>1078</v>
      </c>
      <c r="B885" t="s">
        <v>23</v>
      </c>
      <c r="C885">
        <v>2026</v>
      </c>
      <c r="D885">
        <v>2</v>
      </c>
      <c r="E885" s="2">
        <v>46064</v>
      </c>
      <c r="F885" t="s">
        <v>7</v>
      </c>
      <c r="G885" t="s">
        <v>8</v>
      </c>
      <c r="H885" t="s">
        <v>70</v>
      </c>
      <c r="I885" t="s">
        <v>84</v>
      </c>
      <c r="J885" t="s">
        <v>85</v>
      </c>
      <c r="K885" t="s">
        <v>73</v>
      </c>
      <c r="L885">
        <v>701000</v>
      </c>
      <c r="M885" t="s">
        <v>62</v>
      </c>
      <c r="N885" t="s">
        <v>33</v>
      </c>
      <c r="O885">
        <v>4863</v>
      </c>
      <c r="P885">
        <v>0.95</v>
      </c>
      <c r="Q885">
        <v>4.62</v>
      </c>
      <c r="R885" t="s">
        <v>1200</v>
      </c>
      <c r="S885" t="s">
        <v>195</v>
      </c>
    </row>
    <row r="886" spans="1:19" x14ac:dyDescent="0.3">
      <c r="A886" t="s">
        <v>1079</v>
      </c>
      <c r="B886" t="s">
        <v>23</v>
      </c>
      <c r="C886">
        <v>2026</v>
      </c>
      <c r="D886">
        <v>2</v>
      </c>
      <c r="E886" s="2">
        <v>46064</v>
      </c>
      <c r="F886" t="s">
        <v>7</v>
      </c>
      <c r="G886" t="s">
        <v>8</v>
      </c>
      <c r="H886" t="s">
        <v>70</v>
      </c>
      <c r="I886" t="s">
        <v>84</v>
      </c>
      <c r="J886" t="s">
        <v>85</v>
      </c>
      <c r="K886" t="s">
        <v>73</v>
      </c>
      <c r="L886">
        <v>701000</v>
      </c>
      <c r="M886" t="s">
        <v>62</v>
      </c>
      <c r="N886" t="s">
        <v>33</v>
      </c>
      <c r="O886">
        <v>5187</v>
      </c>
      <c r="P886">
        <v>0.95</v>
      </c>
      <c r="Q886">
        <v>4.9400000000000004</v>
      </c>
      <c r="R886" t="s">
        <v>1202</v>
      </c>
      <c r="S886" t="s">
        <v>195</v>
      </c>
    </row>
    <row r="887" spans="1:19" x14ac:dyDescent="0.3">
      <c r="A887" t="s">
        <v>1095</v>
      </c>
      <c r="B887" t="s">
        <v>23</v>
      </c>
      <c r="C887">
        <v>2026</v>
      </c>
      <c r="D887">
        <v>2</v>
      </c>
      <c r="E887" s="2">
        <v>46064</v>
      </c>
      <c r="F887" t="s">
        <v>7</v>
      </c>
      <c r="G887" t="s">
        <v>8</v>
      </c>
      <c r="H887" t="s">
        <v>70</v>
      </c>
      <c r="I887" t="s">
        <v>84</v>
      </c>
      <c r="J887" t="s">
        <v>85</v>
      </c>
      <c r="K887" t="s">
        <v>73</v>
      </c>
      <c r="L887">
        <v>707000</v>
      </c>
      <c r="M887" t="s">
        <v>81</v>
      </c>
      <c r="N887" t="s">
        <v>33</v>
      </c>
      <c r="O887">
        <v>4491</v>
      </c>
      <c r="P887">
        <v>0.95</v>
      </c>
      <c r="Q887">
        <v>4.2699999999999996</v>
      </c>
      <c r="R887" t="s">
        <v>1205</v>
      </c>
      <c r="S887" t="s">
        <v>195</v>
      </c>
    </row>
    <row r="888" spans="1:19" x14ac:dyDescent="0.3">
      <c r="A888" t="s">
        <v>1096</v>
      </c>
      <c r="B888" t="s">
        <v>23</v>
      </c>
      <c r="C888">
        <v>2026</v>
      </c>
      <c r="D888">
        <v>2</v>
      </c>
      <c r="E888" s="2">
        <v>46064</v>
      </c>
      <c r="F888" t="s">
        <v>7</v>
      </c>
      <c r="G888" t="s">
        <v>8</v>
      </c>
      <c r="H888" t="s">
        <v>70</v>
      </c>
      <c r="I888" t="s">
        <v>84</v>
      </c>
      <c r="J888" t="s">
        <v>85</v>
      </c>
      <c r="K888" t="s">
        <v>73</v>
      </c>
      <c r="L888">
        <v>707000</v>
      </c>
      <c r="M888" t="s">
        <v>81</v>
      </c>
      <c r="N888" t="s">
        <v>33</v>
      </c>
      <c r="O888">
        <v>2754</v>
      </c>
      <c r="P888">
        <v>0.95</v>
      </c>
      <c r="Q888">
        <v>2.62</v>
      </c>
      <c r="R888" t="s">
        <v>1203</v>
      </c>
      <c r="S888" t="s">
        <v>195</v>
      </c>
    </row>
    <row r="889" spans="1:19" x14ac:dyDescent="0.3">
      <c r="A889" t="s">
        <v>1097</v>
      </c>
      <c r="B889" t="s">
        <v>23</v>
      </c>
      <c r="C889">
        <v>2026</v>
      </c>
      <c r="D889">
        <v>2</v>
      </c>
      <c r="E889" s="2">
        <v>46064</v>
      </c>
      <c r="F889" t="s">
        <v>7</v>
      </c>
      <c r="G889" t="s">
        <v>8</v>
      </c>
      <c r="H889" t="s">
        <v>70</v>
      </c>
      <c r="I889" t="s">
        <v>84</v>
      </c>
      <c r="J889" t="s">
        <v>85</v>
      </c>
      <c r="K889" t="s">
        <v>73</v>
      </c>
      <c r="L889">
        <v>707000</v>
      </c>
      <c r="M889" t="s">
        <v>81</v>
      </c>
      <c r="N889" t="s">
        <v>33</v>
      </c>
      <c r="O889">
        <v>4247</v>
      </c>
      <c r="P889">
        <v>0.95</v>
      </c>
      <c r="Q889">
        <v>4.03</v>
      </c>
      <c r="R889" t="s">
        <v>1202</v>
      </c>
      <c r="S889" t="s">
        <v>195</v>
      </c>
    </row>
    <row r="890" spans="1:19" x14ac:dyDescent="0.3">
      <c r="A890" t="s">
        <v>1098</v>
      </c>
      <c r="B890" t="s">
        <v>23</v>
      </c>
      <c r="C890">
        <v>2026</v>
      </c>
      <c r="D890">
        <v>2</v>
      </c>
      <c r="E890" s="2">
        <v>46064</v>
      </c>
      <c r="F890" t="s">
        <v>7</v>
      </c>
      <c r="G890" t="s">
        <v>8</v>
      </c>
      <c r="H890" t="s">
        <v>70</v>
      </c>
      <c r="I890" t="s">
        <v>84</v>
      </c>
      <c r="J890" t="s">
        <v>85</v>
      </c>
      <c r="K890" t="s">
        <v>73</v>
      </c>
      <c r="L890">
        <v>707000</v>
      </c>
      <c r="M890" t="s">
        <v>81</v>
      </c>
      <c r="N890" t="s">
        <v>33</v>
      </c>
      <c r="O890">
        <v>2489</v>
      </c>
      <c r="P890">
        <v>0.95</v>
      </c>
      <c r="Q890">
        <v>2.37</v>
      </c>
      <c r="R890" t="s">
        <v>1204</v>
      </c>
      <c r="S890" t="s">
        <v>195</v>
      </c>
    </row>
    <row r="891" spans="1:19" x14ac:dyDescent="0.3">
      <c r="A891" t="s">
        <v>1099</v>
      </c>
      <c r="B891" t="s">
        <v>23</v>
      </c>
      <c r="C891">
        <v>2026</v>
      </c>
      <c r="D891">
        <v>2</v>
      </c>
      <c r="E891" s="2">
        <v>46064</v>
      </c>
      <c r="F891" t="s">
        <v>7</v>
      </c>
      <c r="G891" t="s">
        <v>8</v>
      </c>
      <c r="H891" t="s">
        <v>70</v>
      </c>
      <c r="I891" t="s">
        <v>84</v>
      </c>
      <c r="J891" t="s">
        <v>85</v>
      </c>
      <c r="K891" t="s">
        <v>73</v>
      </c>
      <c r="L891">
        <v>707000</v>
      </c>
      <c r="M891" t="s">
        <v>81</v>
      </c>
      <c r="N891" t="s">
        <v>33</v>
      </c>
      <c r="O891">
        <v>6018</v>
      </c>
      <c r="P891">
        <v>0.95</v>
      </c>
      <c r="Q891">
        <v>5.71</v>
      </c>
      <c r="R891" t="s">
        <v>1197</v>
      </c>
      <c r="S891" t="s">
        <v>195</v>
      </c>
    </row>
    <row r="892" spans="1:19" x14ac:dyDescent="0.3">
      <c r="A892" t="s">
        <v>1115</v>
      </c>
      <c r="B892" t="s">
        <v>23</v>
      </c>
      <c r="C892">
        <v>2026</v>
      </c>
      <c r="D892">
        <v>2</v>
      </c>
      <c r="E892" s="2">
        <v>46064</v>
      </c>
      <c r="F892" t="s">
        <v>7</v>
      </c>
      <c r="G892" t="s">
        <v>8</v>
      </c>
      <c r="H892" t="s">
        <v>74</v>
      </c>
      <c r="I892" t="s">
        <v>84</v>
      </c>
      <c r="J892" t="s">
        <v>85</v>
      </c>
      <c r="K892" t="s">
        <v>73</v>
      </c>
      <c r="L892">
        <v>707000</v>
      </c>
      <c r="M892" t="s">
        <v>81</v>
      </c>
      <c r="N892" t="s">
        <v>33</v>
      </c>
      <c r="O892">
        <v>7113</v>
      </c>
      <c r="P892">
        <v>0.95</v>
      </c>
      <c r="Q892">
        <v>6.76</v>
      </c>
      <c r="R892" t="s">
        <v>1203</v>
      </c>
      <c r="S892" t="s">
        <v>195</v>
      </c>
    </row>
    <row r="893" spans="1:19" x14ac:dyDescent="0.3">
      <c r="A893" t="s">
        <v>1116</v>
      </c>
      <c r="B893" t="s">
        <v>23</v>
      </c>
      <c r="C893">
        <v>2026</v>
      </c>
      <c r="D893">
        <v>2</v>
      </c>
      <c r="E893" s="2">
        <v>46064</v>
      </c>
      <c r="F893" t="s">
        <v>7</v>
      </c>
      <c r="G893" t="s">
        <v>8</v>
      </c>
      <c r="H893" t="s">
        <v>74</v>
      </c>
      <c r="I893" t="s">
        <v>84</v>
      </c>
      <c r="J893" t="s">
        <v>85</v>
      </c>
      <c r="K893" t="s">
        <v>73</v>
      </c>
      <c r="L893">
        <v>707000</v>
      </c>
      <c r="M893" t="s">
        <v>81</v>
      </c>
      <c r="N893" t="s">
        <v>33</v>
      </c>
      <c r="O893">
        <v>1436</v>
      </c>
      <c r="P893">
        <v>0.95</v>
      </c>
      <c r="Q893">
        <v>1.36</v>
      </c>
      <c r="R893" t="s">
        <v>1200</v>
      </c>
      <c r="S893" t="s">
        <v>195</v>
      </c>
    </row>
    <row r="894" spans="1:19" x14ac:dyDescent="0.3">
      <c r="A894" t="s">
        <v>1117</v>
      </c>
      <c r="B894" t="s">
        <v>23</v>
      </c>
      <c r="C894">
        <v>2026</v>
      </c>
      <c r="D894">
        <v>2</v>
      </c>
      <c r="E894" s="2">
        <v>46064</v>
      </c>
      <c r="F894" t="s">
        <v>7</v>
      </c>
      <c r="G894" t="s">
        <v>8</v>
      </c>
      <c r="H894" t="s">
        <v>74</v>
      </c>
      <c r="I894" t="s">
        <v>84</v>
      </c>
      <c r="J894" t="s">
        <v>85</v>
      </c>
      <c r="K894" t="s">
        <v>73</v>
      </c>
      <c r="L894">
        <v>707000</v>
      </c>
      <c r="M894" t="s">
        <v>81</v>
      </c>
      <c r="N894" t="s">
        <v>33</v>
      </c>
      <c r="O894">
        <v>7425</v>
      </c>
      <c r="P894">
        <v>0.95</v>
      </c>
      <c r="Q894">
        <v>7.05</v>
      </c>
      <c r="R894" t="s">
        <v>1198</v>
      </c>
      <c r="S894" t="s">
        <v>195</v>
      </c>
    </row>
    <row r="895" spans="1:19" x14ac:dyDescent="0.3">
      <c r="A895" t="s">
        <v>1118</v>
      </c>
      <c r="B895" t="s">
        <v>23</v>
      </c>
      <c r="C895">
        <v>2026</v>
      </c>
      <c r="D895">
        <v>2</v>
      </c>
      <c r="E895" s="2">
        <v>46064</v>
      </c>
      <c r="F895" t="s">
        <v>7</v>
      </c>
      <c r="G895" t="s">
        <v>8</v>
      </c>
      <c r="H895" t="s">
        <v>74</v>
      </c>
      <c r="I895" t="s">
        <v>84</v>
      </c>
      <c r="J895" t="s">
        <v>85</v>
      </c>
      <c r="K895" t="s">
        <v>73</v>
      </c>
      <c r="L895">
        <v>707000</v>
      </c>
      <c r="M895" t="s">
        <v>81</v>
      </c>
      <c r="N895" t="s">
        <v>33</v>
      </c>
      <c r="O895">
        <v>2865</v>
      </c>
      <c r="P895">
        <v>0.95</v>
      </c>
      <c r="Q895">
        <v>2.72</v>
      </c>
      <c r="R895" t="s">
        <v>1202</v>
      </c>
      <c r="S895" t="s">
        <v>195</v>
      </c>
    </row>
    <row r="896" spans="1:19" x14ac:dyDescent="0.3">
      <c r="A896" t="s">
        <v>1119</v>
      </c>
      <c r="B896" t="s">
        <v>23</v>
      </c>
      <c r="C896">
        <v>2026</v>
      </c>
      <c r="D896">
        <v>2</v>
      </c>
      <c r="E896" s="2">
        <v>46064</v>
      </c>
      <c r="F896" t="s">
        <v>7</v>
      </c>
      <c r="G896" t="s">
        <v>8</v>
      </c>
      <c r="H896" t="s">
        <v>74</v>
      </c>
      <c r="I896" t="s">
        <v>84</v>
      </c>
      <c r="J896" t="s">
        <v>85</v>
      </c>
      <c r="K896" t="s">
        <v>73</v>
      </c>
      <c r="L896">
        <v>707000</v>
      </c>
      <c r="M896" t="s">
        <v>81</v>
      </c>
      <c r="N896" t="s">
        <v>33</v>
      </c>
      <c r="O896">
        <v>950</v>
      </c>
      <c r="P896">
        <v>0.96</v>
      </c>
      <c r="Q896">
        <v>0.91</v>
      </c>
      <c r="R896" t="s">
        <v>1204</v>
      </c>
      <c r="S896" t="s">
        <v>195</v>
      </c>
    </row>
    <row r="897" spans="1:19" x14ac:dyDescent="0.3">
      <c r="A897" t="s">
        <v>1185</v>
      </c>
      <c r="B897" t="s">
        <v>23</v>
      </c>
      <c r="C897">
        <v>2026</v>
      </c>
      <c r="D897">
        <v>2</v>
      </c>
      <c r="E897" s="2">
        <v>46064</v>
      </c>
      <c r="F897" t="s">
        <v>7</v>
      </c>
      <c r="G897" t="s">
        <v>8</v>
      </c>
      <c r="H897" t="s">
        <v>70</v>
      </c>
      <c r="I897" t="s">
        <v>71</v>
      </c>
      <c r="J897" t="s">
        <v>72</v>
      </c>
      <c r="K897" t="s">
        <v>73</v>
      </c>
      <c r="L897">
        <v>707000</v>
      </c>
      <c r="M897" t="s">
        <v>81</v>
      </c>
      <c r="N897" t="s">
        <v>33</v>
      </c>
      <c r="O897">
        <v>1955</v>
      </c>
      <c r="P897">
        <v>1.05</v>
      </c>
      <c r="Q897">
        <v>2.0499999999999998</v>
      </c>
      <c r="R897" t="s">
        <v>1201</v>
      </c>
      <c r="S897" t="s">
        <v>195</v>
      </c>
    </row>
    <row r="898" spans="1:19" x14ac:dyDescent="0.3">
      <c r="A898" t="s">
        <v>1186</v>
      </c>
      <c r="B898" t="s">
        <v>23</v>
      </c>
      <c r="C898">
        <v>2026</v>
      </c>
      <c r="D898">
        <v>2</v>
      </c>
      <c r="E898" s="2">
        <v>46064</v>
      </c>
      <c r="F898" t="s">
        <v>7</v>
      </c>
      <c r="G898" t="s">
        <v>8</v>
      </c>
      <c r="H898" t="s">
        <v>70</v>
      </c>
      <c r="I898" t="s">
        <v>71</v>
      </c>
      <c r="J898" t="s">
        <v>72</v>
      </c>
      <c r="K898" t="s">
        <v>73</v>
      </c>
      <c r="L898">
        <v>707000</v>
      </c>
      <c r="M898" t="s">
        <v>81</v>
      </c>
      <c r="N898" t="s">
        <v>33</v>
      </c>
      <c r="O898">
        <v>893</v>
      </c>
      <c r="P898">
        <v>1.05</v>
      </c>
      <c r="Q898">
        <v>0.94</v>
      </c>
      <c r="R898" t="s">
        <v>1200</v>
      </c>
      <c r="S898" t="s">
        <v>195</v>
      </c>
    </row>
    <row r="899" spans="1:19" x14ac:dyDescent="0.3">
      <c r="A899" t="s">
        <v>1187</v>
      </c>
      <c r="B899" t="s">
        <v>23</v>
      </c>
      <c r="C899">
        <v>2026</v>
      </c>
      <c r="D899">
        <v>2</v>
      </c>
      <c r="E899" s="2">
        <v>46064</v>
      </c>
      <c r="F899" t="s">
        <v>7</v>
      </c>
      <c r="G899" t="s">
        <v>8</v>
      </c>
      <c r="H899" t="s">
        <v>70</v>
      </c>
      <c r="I899" t="s">
        <v>71</v>
      </c>
      <c r="J899" t="s">
        <v>72</v>
      </c>
      <c r="K899" t="s">
        <v>73</v>
      </c>
      <c r="L899">
        <v>707000</v>
      </c>
      <c r="M899" t="s">
        <v>81</v>
      </c>
      <c r="N899" t="s">
        <v>33</v>
      </c>
      <c r="O899">
        <v>4789</v>
      </c>
      <c r="P899">
        <v>1.05</v>
      </c>
      <c r="Q899">
        <v>5.03</v>
      </c>
      <c r="R899" t="s">
        <v>1204</v>
      </c>
      <c r="S899" t="s">
        <v>195</v>
      </c>
    </row>
    <row r="900" spans="1:19" x14ac:dyDescent="0.3">
      <c r="A900" t="s">
        <v>1188</v>
      </c>
      <c r="B900" t="s">
        <v>23</v>
      </c>
      <c r="C900">
        <v>2026</v>
      </c>
      <c r="D900">
        <v>2</v>
      </c>
      <c r="E900" s="2">
        <v>46064</v>
      </c>
      <c r="F900" t="s">
        <v>7</v>
      </c>
      <c r="G900" t="s">
        <v>8</v>
      </c>
      <c r="H900" t="s">
        <v>70</v>
      </c>
      <c r="I900" t="s">
        <v>71</v>
      </c>
      <c r="J900" t="s">
        <v>72</v>
      </c>
      <c r="K900" t="s">
        <v>73</v>
      </c>
      <c r="L900">
        <v>707000</v>
      </c>
      <c r="M900" t="s">
        <v>81</v>
      </c>
      <c r="N900" t="s">
        <v>33</v>
      </c>
      <c r="O900">
        <v>5951</v>
      </c>
      <c r="P900">
        <v>1.05</v>
      </c>
      <c r="Q900">
        <v>6.25</v>
      </c>
      <c r="R900" t="s">
        <v>1203</v>
      </c>
      <c r="S900" t="s">
        <v>195</v>
      </c>
    </row>
    <row r="901" spans="1:19" x14ac:dyDescent="0.3">
      <c r="A901" t="s">
        <v>1189</v>
      </c>
      <c r="B901" t="s">
        <v>23</v>
      </c>
      <c r="C901">
        <v>2026</v>
      </c>
      <c r="D901">
        <v>2</v>
      </c>
      <c r="E901" s="2">
        <v>46064</v>
      </c>
      <c r="F901" t="s">
        <v>7</v>
      </c>
      <c r="G901" t="s">
        <v>8</v>
      </c>
      <c r="H901" t="s">
        <v>70</v>
      </c>
      <c r="I901" t="s">
        <v>71</v>
      </c>
      <c r="J901" t="s">
        <v>72</v>
      </c>
      <c r="K901" t="s">
        <v>73</v>
      </c>
      <c r="L901">
        <v>707000</v>
      </c>
      <c r="M901" t="s">
        <v>81</v>
      </c>
      <c r="N901" t="s">
        <v>33</v>
      </c>
      <c r="O901">
        <v>2088</v>
      </c>
      <c r="P901">
        <v>1.05</v>
      </c>
      <c r="Q901">
        <v>2.19</v>
      </c>
      <c r="R901" t="s">
        <v>1205</v>
      </c>
      <c r="S901" t="s">
        <v>195</v>
      </c>
    </row>
    <row r="902" spans="1:19" x14ac:dyDescent="0.3">
      <c r="A902" t="s">
        <v>1055</v>
      </c>
      <c r="B902" t="s">
        <v>23</v>
      </c>
      <c r="C902">
        <v>2026</v>
      </c>
      <c r="D902">
        <v>2</v>
      </c>
      <c r="E902" s="2">
        <v>46065</v>
      </c>
      <c r="F902" t="s">
        <v>7</v>
      </c>
      <c r="G902" t="s">
        <v>8</v>
      </c>
      <c r="H902" t="s">
        <v>74</v>
      </c>
      <c r="I902" t="s">
        <v>84</v>
      </c>
      <c r="J902" t="s">
        <v>85</v>
      </c>
      <c r="K902" t="s">
        <v>73</v>
      </c>
      <c r="L902">
        <v>701000</v>
      </c>
      <c r="M902" t="s">
        <v>62</v>
      </c>
      <c r="N902" t="s">
        <v>33</v>
      </c>
      <c r="O902">
        <v>5415</v>
      </c>
      <c r="P902">
        <v>0.95</v>
      </c>
      <c r="Q902">
        <v>5.14</v>
      </c>
      <c r="R902" t="s">
        <v>1205</v>
      </c>
      <c r="S902" t="s">
        <v>195</v>
      </c>
    </row>
    <row r="903" spans="1:19" x14ac:dyDescent="0.3">
      <c r="A903" t="s">
        <v>1056</v>
      </c>
      <c r="B903" t="s">
        <v>23</v>
      </c>
      <c r="C903">
        <v>2026</v>
      </c>
      <c r="D903">
        <v>2</v>
      </c>
      <c r="E903" s="2">
        <v>46065</v>
      </c>
      <c r="F903" t="s">
        <v>7</v>
      </c>
      <c r="G903" t="s">
        <v>8</v>
      </c>
      <c r="H903" t="s">
        <v>74</v>
      </c>
      <c r="I903" t="s">
        <v>84</v>
      </c>
      <c r="J903" t="s">
        <v>85</v>
      </c>
      <c r="K903" t="s">
        <v>73</v>
      </c>
      <c r="L903">
        <v>701000</v>
      </c>
      <c r="M903" t="s">
        <v>62</v>
      </c>
      <c r="N903" t="s">
        <v>33</v>
      </c>
      <c r="O903">
        <v>7683</v>
      </c>
      <c r="P903">
        <v>0.95</v>
      </c>
      <c r="Q903">
        <v>7.3</v>
      </c>
      <c r="R903" t="s">
        <v>1202</v>
      </c>
      <c r="S903" t="s">
        <v>195</v>
      </c>
    </row>
    <row r="904" spans="1:19" x14ac:dyDescent="0.3">
      <c r="A904" t="s">
        <v>1057</v>
      </c>
      <c r="B904" t="s">
        <v>23</v>
      </c>
      <c r="C904">
        <v>2026</v>
      </c>
      <c r="D904">
        <v>2</v>
      </c>
      <c r="E904" s="2">
        <v>46065</v>
      </c>
      <c r="F904" t="s">
        <v>7</v>
      </c>
      <c r="G904" t="s">
        <v>8</v>
      </c>
      <c r="H904" t="s">
        <v>74</v>
      </c>
      <c r="I904" t="s">
        <v>84</v>
      </c>
      <c r="J904" t="s">
        <v>85</v>
      </c>
      <c r="K904" t="s">
        <v>73</v>
      </c>
      <c r="L904">
        <v>701000</v>
      </c>
      <c r="M904" t="s">
        <v>62</v>
      </c>
      <c r="N904" t="s">
        <v>33</v>
      </c>
      <c r="O904">
        <v>1960</v>
      </c>
      <c r="P904">
        <v>0.95</v>
      </c>
      <c r="Q904">
        <v>1.86</v>
      </c>
      <c r="R904" t="s">
        <v>1200</v>
      </c>
      <c r="S904" t="s">
        <v>195</v>
      </c>
    </row>
    <row r="905" spans="1:19" x14ac:dyDescent="0.3">
      <c r="A905" t="s">
        <v>1058</v>
      </c>
      <c r="B905" t="s">
        <v>23</v>
      </c>
      <c r="C905">
        <v>2026</v>
      </c>
      <c r="D905">
        <v>2</v>
      </c>
      <c r="E905" s="2">
        <v>46065</v>
      </c>
      <c r="F905" t="s">
        <v>7</v>
      </c>
      <c r="G905" t="s">
        <v>8</v>
      </c>
      <c r="H905" t="s">
        <v>74</v>
      </c>
      <c r="I905" t="s">
        <v>84</v>
      </c>
      <c r="J905" t="s">
        <v>85</v>
      </c>
      <c r="K905" t="s">
        <v>73</v>
      </c>
      <c r="L905">
        <v>701000</v>
      </c>
      <c r="M905" t="s">
        <v>62</v>
      </c>
      <c r="N905" t="s">
        <v>33</v>
      </c>
      <c r="O905">
        <v>2573</v>
      </c>
      <c r="P905">
        <v>0.95</v>
      </c>
      <c r="Q905">
        <v>2.44</v>
      </c>
      <c r="R905" t="s">
        <v>1203</v>
      </c>
      <c r="S905" t="s">
        <v>195</v>
      </c>
    </row>
    <row r="906" spans="1:19" x14ac:dyDescent="0.3">
      <c r="A906" t="s">
        <v>1059</v>
      </c>
      <c r="B906" t="s">
        <v>23</v>
      </c>
      <c r="C906">
        <v>2026</v>
      </c>
      <c r="D906">
        <v>2</v>
      </c>
      <c r="E906" s="2">
        <v>46065</v>
      </c>
      <c r="F906" t="s">
        <v>7</v>
      </c>
      <c r="G906" t="s">
        <v>8</v>
      </c>
      <c r="H906" t="s">
        <v>74</v>
      </c>
      <c r="I906" t="s">
        <v>84</v>
      </c>
      <c r="J906" t="s">
        <v>85</v>
      </c>
      <c r="K906" t="s">
        <v>73</v>
      </c>
      <c r="L906">
        <v>701000</v>
      </c>
      <c r="M906" t="s">
        <v>62</v>
      </c>
      <c r="N906" t="s">
        <v>33</v>
      </c>
      <c r="O906">
        <v>1626</v>
      </c>
      <c r="P906">
        <v>0.95</v>
      </c>
      <c r="Q906">
        <v>1.55</v>
      </c>
      <c r="R906" t="s">
        <v>1204</v>
      </c>
      <c r="S906" t="s">
        <v>195</v>
      </c>
    </row>
    <row r="907" spans="1:19" x14ac:dyDescent="0.3">
      <c r="A907" t="s">
        <v>1070</v>
      </c>
      <c r="B907" t="s">
        <v>23</v>
      </c>
      <c r="C907">
        <v>2026</v>
      </c>
      <c r="D907">
        <v>2</v>
      </c>
      <c r="E907" s="2">
        <v>46065</v>
      </c>
      <c r="F907" t="s">
        <v>7</v>
      </c>
      <c r="G907" t="s">
        <v>8</v>
      </c>
      <c r="H907" t="s">
        <v>74</v>
      </c>
      <c r="I907" t="s">
        <v>84</v>
      </c>
      <c r="J907" t="s">
        <v>85</v>
      </c>
      <c r="K907" t="s">
        <v>73</v>
      </c>
      <c r="L907">
        <v>701000</v>
      </c>
      <c r="M907" t="s">
        <v>62</v>
      </c>
      <c r="N907" t="s">
        <v>33</v>
      </c>
      <c r="O907">
        <v>4878</v>
      </c>
      <c r="P907">
        <v>0.95</v>
      </c>
      <c r="Q907">
        <v>4.63</v>
      </c>
      <c r="R907" t="s">
        <v>1197</v>
      </c>
      <c r="S907" t="s">
        <v>195</v>
      </c>
    </row>
    <row r="908" spans="1:19" x14ac:dyDescent="0.3">
      <c r="A908" t="s">
        <v>1071</v>
      </c>
      <c r="B908" t="s">
        <v>23</v>
      </c>
      <c r="C908">
        <v>2026</v>
      </c>
      <c r="D908">
        <v>2</v>
      </c>
      <c r="E908" s="2">
        <v>46065</v>
      </c>
      <c r="F908" t="s">
        <v>7</v>
      </c>
      <c r="G908" t="s">
        <v>8</v>
      </c>
      <c r="H908" t="s">
        <v>74</v>
      </c>
      <c r="I908" t="s">
        <v>84</v>
      </c>
      <c r="J908" t="s">
        <v>85</v>
      </c>
      <c r="K908" t="s">
        <v>73</v>
      </c>
      <c r="L908">
        <v>701000</v>
      </c>
      <c r="M908" t="s">
        <v>62</v>
      </c>
      <c r="N908" t="s">
        <v>33</v>
      </c>
      <c r="O908">
        <v>1334</v>
      </c>
      <c r="P908">
        <v>0.95</v>
      </c>
      <c r="Q908">
        <v>1.27</v>
      </c>
      <c r="R908" t="s">
        <v>1203</v>
      </c>
      <c r="S908" t="s">
        <v>195</v>
      </c>
    </row>
    <row r="909" spans="1:19" x14ac:dyDescent="0.3">
      <c r="A909" t="s">
        <v>1072</v>
      </c>
      <c r="B909" t="s">
        <v>23</v>
      </c>
      <c r="C909">
        <v>2026</v>
      </c>
      <c r="D909">
        <v>2</v>
      </c>
      <c r="E909" s="2">
        <v>46065</v>
      </c>
      <c r="F909" t="s">
        <v>7</v>
      </c>
      <c r="G909" t="s">
        <v>8</v>
      </c>
      <c r="H909" t="s">
        <v>74</v>
      </c>
      <c r="I909" t="s">
        <v>84</v>
      </c>
      <c r="J909" t="s">
        <v>85</v>
      </c>
      <c r="K909" t="s">
        <v>73</v>
      </c>
      <c r="L909">
        <v>701000</v>
      </c>
      <c r="M909" t="s">
        <v>62</v>
      </c>
      <c r="N909" t="s">
        <v>33</v>
      </c>
      <c r="O909">
        <v>3786</v>
      </c>
      <c r="P909">
        <v>0.95</v>
      </c>
      <c r="Q909">
        <v>3.6</v>
      </c>
      <c r="R909" t="s">
        <v>1198</v>
      </c>
      <c r="S909" t="s">
        <v>195</v>
      </c>
    </row>
    <row r="910" spans="1:19" x14ac:dyDescent="0.3">
      <c r="A910" t="s">
        <v>1073</v>
      </c>
      <c r="B910" t="s">
        <v>23</v>
      </c>
      <c r="C910">
        <v>2026</v>
      </c>
      <c r="D910">
        <v>2</v>
      </c>
      <c r="E910" s="2">
        <v>46065</v>
      </c>
      <c r="F910" t="s">
        <v>7</v>
      </c>
      <c r="G910" t="s">
        <v>8</v>
      </c>
      <c r="H910" t="s">
        <v>74</v>
      </c>
      <c r="I910" t="s">
        <v>84</v>
      </c>
      <c r="J910" t="s">
        <v>85</v>
      </c>
      <c r="K910" t="s">
        <v>73</v>
      </c>
      <c r="L910">
        <v>701000</v>
      </c>
      <c r="M910" t="s">
        <v>62</v>
      </c>
      <c r="N910" t="s">
        <v>33</v>
      </c>
      <c r="O910">
        <v>2454</v>
      </c>
      <c r="P910">
        <v>0.95</v>
      </c>
      <c r="Q910">
        <v>2.33</v>
      </c>
      <c r="R910" t="s">
        <v>1202</v>
      </c>
      <c r="S910" t="s">
        <v>195</v>
      </c>
    </row>
    <row r="911" spans="1:19" x14ac:dyDescent="0.3">
      <c r="A911" t="s">
        <v>1074</v>
      </c>
      <c r="B911" t="s">
        <v>23</v>
      </c>
      <c r="C911">
        <v>2026</v>
      </c>
      <c r="D911">
        <v>2</v>
      </c>
      <c r="E911" s="2">
        <v>46065</v>
      </c>
      <c r="F911" t="s">
        <v>7</v>
      </c>
      <c r="G911" t="s">
        <v>8</v>
      </c>
      <c r="H911" t="s">
        <v>74</v>
      </c>
      <c r="I911" t="s">
        <v>84</v>
      </c>
      <c r="J911" t="s">
        <v>85</v>
      </c>
      <c r="K911" t="s">
        <v>73</v>
      </c>
      <c r="L911">
        <v>701000</v>
      </c>
      <c r="M911" t="s">
        <v>62</v>
      </c>
      <c r="N911" t="s">
        <v>33</v>
      </c>
      <c r="O911">
        <v>5661</v>
      </c>
      <c r="P911">
        <v>0.95</v>
      </c>
      <c r="Q911">
        <v>5.38</v>
      </c>
      <c r="R911" t="s">
        <v>1205</v>
      </c>
      <c r="S911" t="s">
        <v>195</v>
      </c>
    </row>
    <row r="912" spans="1:19" x14ac:dyDescent="0.3">
      <c r="A912" t="s">
        <v>1100</v>
      </c>
      <c r="B912" t="s">
        <v>23</v>
      </c>
      <c r="C912">
        <v>2026</v>
      </c>
      <c r="D912">
        <v>2</v>
      </c>
      <c r="E912" s="2">
        <v>46066</v>
      </c>
      <c r="F912" t="s">
        <v>7</v>
      </c>
      <c r="G912" t="s">
        <v>8</v>
      </c>
      <c r="H912" t="s">
        <v>70</v>
      </c>
      <c r="I912" t="s">
        <v>84</v>
      </c>
      <c r="J912" t="s">
        <v>85</v>
      </c>
      <c r="K912" t="s">
        <v>73</v>
      </c>
      <c r="L912">
        <v>701000</v>
      </c>
      <c r="M912" t="s">
        <v>62</v>
      </c>
      <c r="N912" t="s">
        <v>33</v>
      </c>
      <c r="O912">
        <v>3628</v>
      </c>
      <c r="P912">
        <v>0.95</v>
      </c>
      <c r="Q912">
        <v>3.45</v>
      </c>
      <c r="R912" t="s">
        <v>1198</v>
      </c>
      <c r="S912" t="s">
        <v>195</v>
      </c>
    </row>
    <row r="913" spans="1:19" x14ac:dyDescent="0.3">
      <c r="A913" t="s">
        <v>1101</v>
      </c>
      <c r="B913" t="s">
        <v>23</v>
      </c>
      <c r="C913">
        <v>2026</v>
      </c>
      <c r="D913">
        <v>2</v>
      </c>
      <c r="E913" s="2">
        <v>46066</v>
      </c>
      <c r="F913" t="s">
        <v>7</v>
      </c>
      <c r="G913" t="s">
        <v>8</v>
      </c>
      <c r="H913" t="s">
        <v>70</v>
      </c>
      <c r="I913" t="s">
        <v>84</v>
      </c>
      <c r="J913" t="s">
        <v>85</v>
      </c>
      <c r="K913" t="s">
        <v>73</v>
      </c>
      <c r="L913">
        <v>701000</v>
      </c>
      <c r="M913" t="s">
        <v>62</v>
      </c>
      <c r="N913" t="s">
        <v>33</v>
      </c>
      <c r="O913">
        <v>3719</v>
      </c>
      <c r="P913">
        <v>0.95</v>
      </c>
      <c r="Q913">
        <v>3.53</v>
      </c>
      <c r="R913" t="s">
        <v>1201</v>
      </c>
      <c r="S913" t="s">
        <v>195</v>
      </c>
    </row>
    <row r="914" spans="1:19" x14ac:dyDescent="0.3">
      <c r="A914" t="s">
        <v>1102</v>
      </c>
      <c r="B914" t="s">
        <v>23</v>
      </c>
      <c r="C914">
        <v>2026</v>
      </c>
      <c r="D914">
        <v>2</v>
      </c>
      <c r="E914" s="2">
        <v>46066</v>
      </c>
      <c r="F914" t="s">
        <v>7</v>
      </c>
      <c r="G914" t="s">
        <v>8</v>
      </c>
      <c r="H914" t="s">
        <v>70</v>
      </c>
      <c r="I914" t="s">
        <v>84</v>
      </c>
      <c r="J914" t="s">
        <v>85</v>
      </c>
      <c r="K914" t="s">
        <v>73</v>
      </c>
      <c r="L914">
        <v>701000</v>
      </c>
      <c r="M914" t="s">
        <v>62</v>
      </c>
      <c r="N914" t="s">
        <v>33</v>
      </c>
      <c r="O914">
        <v>5956</v>
      </c>
      <c r="P914">
        <v>0.95</v>
      </c>
      <c r="Q914">
        <v>5.66</v>
      </c>
      <c r="R914" t="s">
        <v>1203</v>
      </c>
      <c r="S914" t="s">
        <v>195</v>
      </c>
    </row>
    <row r="915" spans="1:19" x14ac:dyDescent="0.3">
      <c r="A915" t="s">
        <v>1103</v>
      </c>
      <c r="B915" t="s">
        <v>23</v>
      </c>
      <c r="C915">
        <v>2026</v>
      </c>
      <c r="D915">
        <v>2</v>
      </c>
      <c r="E915" s="2">
        <v>46066</v>
      </c>
      <c r="F915" t="s">
        <v>7</v>
      </c>
      <c r="G915" t="s">
        <v>8</v>
      </c>
      <c r="H915" t="s">
        <v>70</v>
      </c>
      <c r="I915" t="s">
        <v>84</v>
      </c>
      <c r="J915" t="s">
        <v>85</v>
      </c>
      <c r="K915" t="s">
        <v>73</v>
      </c>
      <c r="L915">
        <v>701000</v>
      </c>
      <c r="M915" t="s">
        <v>62</v>
      </c>
      <c r="N915" t="s">
        <v>33</v>
      </c>
      <c r="O915">
        <v>3354</v>
      </c>
      <c r="P915">
        <v>0.95</v>
      </c>
      <c r="Q915">
        <v>3.19</v>
      </c>
      <c r="R915" t="s">
        <v>1204</v>
      </c>
      <c r="S915" t="s">
        <v>195</v>
      </c>
    </row>
    <row r="916" spans="1:19" x14ac:dyDescent="0.3">
      <c r="A916" t="s">
        <v>1104</v>
      </c>
      <c r="B916" t="s">
        <v>23</v>
      </c>
      <c r="C916">
        <v>2026</v>
      </c>
      <c r="D916">
        <v>2</v>
      </c>
      <c r="E916" s="2">
        <v>46066</v>
      </c>
      <c r="F916" t="s">
        <v>7</v>
      </c>
      <c r="G916" t="s">
        <v>8</v>
      </c>
      <c r="H916" t="s">
        <v>70</v>
      </c>
      <c r="I916" t="s">
        <v>84</v>
      </c>
      <c r="J916" t="s">
        <v>85</v>
      </c>
      <c r="K916" t="s">
        <v>73</v>
      </c>
      <c r="L916">
        <v>701000</v>
      </c>
      <c r="M916" t="s">
        <v>62</v>
      </c>
      <c r="N916" t="s">
        <v>33</v>
      </c>
      <c r="O916">
        <v>5115</v>
      </c>
      <c r="P916">
        <v>0.95</v>
      </c>
      <c r="Q916">
        <v>4.8499999999999996</v>
      </c>
      <c r="R916" t="s">
        <v>1205</v>
      </c>
      <c r="S916" t="s">
        <v>195</v>
      </c>
    </row>
    <row r="917" spans="1:19" x14ac:dyDescent="0.3">
      <c r="A917" t="s">
        <v>1180</v>
      </c>
      <c r="B917" t="s">
        <v>23</v>
      </c>
      <c r="C917">
        <v>2026</v>
      </c>
      <c r="D917">
        <v>2</v>
      </c>
      <c r="E917" s="2">
        <v>46066</v>
      </c>
      <c r="F917" t="s">
        <v>7</v>
      </c>
      <c r="G917" t="s">
        <v>8</v>
      </c>
      <c r="H917" t="s">
        <v>74</v>
      </c>
      <c r="I917" t="s">
        <v>71</v>
      </c>
      <c r="J917" t="s">
        <v>72</v>
      </c>
      <c r="K917" t="s">
        <v>73</v>
      </c>
      <c r="L917">
        <v>701000</v>
      </c>
      <c r="M917" t="s">
        <v>62</v>
      </c>
      <c r="N917" t="s">
        <v>33</v>
      </c>
      <c r="O917">
        <v>1547</v>
      </c>
      <c r="P917">
        <v>1.05</v>
      </c>
      <c r="Q917">
        <v>1.62</v>
      </c>
      <c r="R917" t="s">
        <v>1201</v>
      </c>
      <c r="S917" t="s">
        <v>195</v>
      </c>
    </row>
    <row r="918" spans="1:19" x14ac:dyDescent="0.3">
      <c r="A918" t="s">
        <v>1181</v>
      </c>
      <c r="B918" t="s">
        <v>23</v>
      </c>
      <c r="C918">
        <v>2026</v>
      </c>
      <c r="D918">
        <v>2</v>
      </c>
      <c r="E918" s="2">
        <v>46066</v>
      </c>
      <c r="F918" t="s">
        <v>7</v>
      </c>
      <c r="G918" t="s">
        <v>8</v>
      </c>
      <c r="H918" t="s">
        <v>74</v>
      </c>
      <c r="I918" t="s">
        <v>71</v>
      </c>
      <c r="J918" t="s">
        <v>72</v>
      </c>
      <c r="K918" t="s">
        <v>73</v>
      </c>
      <c r="L918">
        <v>701000</v>
      </c>
      <c r="M918" t="s">
        <v>62</v>
      </c>
      <c r="N918" t="s">
        <v>33</v>
      </c>
      <c r="O918">
        <v>2364</v>
      </c>
      <c r="P918">
        <v>1.05</v>
      </c>
      <c r="Q918">
        <v>2.48</v>
      </c>
      <c r="R918" t="s">
        <v>1202</v>
      </c>
      <c r="S918" t="s">
        <v>195</v>
      </c>
    </row>
    <row r="919" spans="1:19" x14ac:dyDescent="0.3">
      <c r="A919" t="s">
        <v>1182</v>
      </c>
      <c r="B919" t="s">
        <v>23</v>
      </c>
      <c r="C919">
        <v>2026</v>
      </c>
      <c r="D919">
        <v>2</v>
      </c>
      <c r="E919" s="2">
        <v>46066</v>
      </c>
      <c r="F919" t="s">
        <v>7</v>
      </c>
      <c r="G919" t="s">
        <v>8</v>
      </c>
      <c r="H919" t="s">
        <v>74</v>
      </c>
      <c r="I919" t="s">
        <v>71</v>
      </c>
      <c r="J919" t="s">
        <v>72</v>
      </c>
      <c r="K919" t="s">
        <v>73</v>
      </c>
      <c r="L919">
        <v>701000</v>
      </c>
      <c r="M919" t="s">
        <v>62</v>
      </c>
      <c r="N919" t="s">
        <v>33</v>
      </c>
      <c r="O919">
        <v>5263</v>
      </c>
      <c r="P919">
        <v>1.05</v>
      </c>
      <c r="Q919">
        <v>5.52</v>
      </c>
      <c r="R919" t="s">
        <v>1197</v>
      </c>
      <c r="S919" t="s">
        <v>195</v>
      </c>
    </row>
    <row r="920" spans="1:19" x14ac:dyDescent="0.3">
      <c r="A920" t="s">
        <v>1183</v>
      </c>
      <c r="B920" t="s">
        <v>23</v>
      </c>
      <c r="C920">
        <v>2026</v>
      </c>
      <c r="D920">
        <v>2</v>
      </c>
      <c r="E920" s="2">
        <v>46066</v>
      </c>
      <c r="F920" t="s">
        <v>7</v>
      </c>
      <c r="G920" t="s">
        <v>8</v>
      </c>
      <c r="H920" t="s">
        <v>74</v>
      </c>
      <c r="I920" t="s">
        <v>71</v>
      </c>
      <c r="J920" t="s">
        <v>72</v>
      </c>
      <c r="K920" t="s">
        <v>73</v>
      </c>
      <c r="L920">
        <v>701000</v>
      </c>
      <c r="M920" t="s">
        <v>62</v>
      </c>
      <c r="N920" t="s">
        <v>33</v>
      </c>
      <c r="O920">
        <v>4736</v>
      </c>
      <c r="P920">
        <v>1.05</v>
      </c>
      <c r="Q920">
        <v>4.97</v>
      </c>
      <c r="R920" t="s">
        <v>1200</v>
      </c>
      <c r="S920" t="s">
        <v>195</v>
      </c>
    </row>
    <row r="921" spans="1:19" x14ac:dyDescent="0.3">
      <c r="A921" t="s">
        <v>1184</v>
      </c>
      <c r="B921" t="s">
        <v>23</v>
      </c>
      <c r="C921">
        <v>2026</v>
      </c>
      <c r="D921">
        <v>2</v>
      </c>
      <c r="E921" s="2">
        <v>46066</v>
      </c>
      <c r="F921" t="s">
        <v>7</v>
      </c>
      <c r="G921" t="s">
        <v>8</v>
      </c>
      <c r="H921" t="s">
        <v>74</v>
      </c>
      <c r="I921" t="s">
        <v>71</v>
      </c>
      <c r="J921" t="s">
        <v>72</v>
      </c>
      <c r="K921" t="s">
        <v>73</v>
      </c>
      <c r="L921">
        <v>701000</v>
      </c>
      <c r="M921" t="s">
        <v>62</v>
      </c>
      <c r="N921" t="s">
        <v>33</v>
      </c>
      <c r="O921">
        <v>1940</v>
      </c>
      <c r="P921">
        <v>1.06</v>
      </c>
      <c r="Q921">
        <v>2.0499999999999998</v>
      </c>
      <c r="R921" t="s">
        <v>1199</v>
      </c>
      <c r="S921" t="s">
        <v>195</v>
      </c>
    </row>
    <row r="922" spans="1:19" x14ac:dyDescent="0.3">
      <c r="A922" t="s">
        <v>1110</v>
      </c>
      <c r="B922" t="s">
        <v>23</v>
      </c>
      <c r="C922">
        <v>2026</v>
      </c>
      <c r="D922">
        <v>2</v>
      </c>
      <c r="E922" s="2">
        <v>46069</v>
      </c>
      <c r="F922" t="s">
        <v>7</v>
      </c>
      <c r="G922" t="s">
        <v>8</v>
      </c>
      <c r="H922" t="s">
        <v>74</v>
      </c>
      <c r="I922" t="s">
        <v>84</v>
      </c>
      <c r="J922" t="s">
        <v>85</v>
      </c>
      <c r="K922" t="s">
        <v>73</v>
      </c>
      <c r="L922">
        <v>701000</v>
      </c>
      <c r="M922" t="s">
        <v>62</v>
      </c>
      <c r="N922" t="s">
        <v>33</v>
      </c>
      <c r="O922">
        <v>3380</v>
      </c>
      <c r="P922">
        <v>0.95</v>
      </c>
      <c r="Q922">
        <v>3.21</v>
      </c>
      <c r="R922" t="s">
        <v>1198</v>
      </c>
      <c r="S922" t="s">
        <v>195</v>
      </c>
    </row>
    <row r="923" spans="1:19" x14ac:dyDescent="0.3">
      <c r="A923" t="s">
        <v>1111</v>
      </c>
      <c r="B923" t="s">
        <v>23</v>
      </c>
      <c r="C923">
        <v>2026</v>
      </c>
      <c r="D923">
        <v>2</v>
      </c>
      <c r="E923" s="2">
        <v>46069</v>
      </c>
      <c r="F923" t="s">
        <v>7</v>
      </c>
      <c r="G923" t="s">
        <v>8</v>
      </c>
      <c r="H923" t="s">
        <v>74</v>
      </c>
      <c r="I923" t="s">
        <v>84</v>
      </c>
      <c r="J923" t="s">
        <v>85</v>
      </c>
      <c r="K923" t="s">
        <v>73</v>
      </c>
      <c r="L923">
        <v>701000</v>
      </c>
      <c r="M923" t="s">
        <v>62</v>
      </c>
      <c r="N923" t="s">
        <v>33</v>
      </c>
      <c r="O923">
        <v>6539</v>
      </c>
      <c r="P923">
        <v>0.95</v>
      </c>
      <c r="Q923">
        <v>6.21</v>
      </c>
      <c r="R923" t="s">
        <v>1200</v>
      </c>
      <c r="S923" t="s">
        <v>195</v>
      </c>
    </row>
    <row r="924" spans="1:19" x14ac:dyDescent="0.3">
      <c r="A924" t="s">
        <v>1112</v>
      </c>
      <c r="B924" t="s">
        <v>23</v>
      </c>
      <c r="C924">
        <v>2026</v>
      </c>
      <c r="D924">
        <v>2</v>
      </c>
      <c r="E924" s="2">
        <v>46069</v>
      </c>
      <c r="F924" t="s">
        <v>7</v>
      </c>
      <c r="G924" t="s">
        <v>8</v>
      </c>
      <c r="H924" t="s">
        <v>74</v>
      </c>
      <c r="I924" t="s">
        <v>84</v>
      </c>
      <c r="J924" t="s">
        <v>85</v>
      </c>
      <c r="K924" t="s">
        <v>73</v>
      </c>
      <c r="L924">
        <v>701000</v>
      </c>
      <c r="M924" t="s">
        <v>62</v>
      </c>
      <c r="N924" t="s">
        <v>33</v>
      </c>
      <c r="O924">
        <v>1429</v>
      </c>
      <c r="P924">
        <v>0.95</v>
      </c>
      <c r="Q924">
        <v>1.36</v>
      </c>
      <c r="R924" t="s">
        <v>1204</v>
      </c>
      <c r="S924" t="s">
        <v>195</v>
      </c>
    </row>
    <row r="925" spans="1:19" x14ac:dyDescent="0.3">
      <c r="A925" t="s">
        <v>1113</v>
      </c>
      <c r="B925" t="s">
        <v>23</v>
      </c>
      <c r="C925">
        <v>2026</v>
      </c>
      <c r="D925">
        <v>2</v>
      </c>
      <c r="E925" s="2">
        <v>46069</v>
      </c>
      <c r="F925" t="s">
        <v>7</v>
      </c>
      <c r="G925" t="s">
        <v>8</v>
      </c>
      <c r="H925" t="s">
        <v>74</v>
      </c>
      <c r="I925" t="s">
        <v>84</v>
      </c>
      <c r="J925" t="s">
        <v>85</v>
      </c>
      <c r="K925" t="s">
        <v>73</v>
      </c>
      <c r="L925">
        <v>701000</v>
      </c>
      <c r="M925" t="s">
        <v>62</v>
      </c>
      <c r="N925" t="s">
        <v>33</v>
      </c>
      <c r="O925">
        <v>1397</v>
      </c>
      <c r="P925">
        <v>0.95</v>
      </c>
      <c r="Q925">
        <v>1.33</v>
      </c>
      <c r="R925" t="s">
        <v>1203</v>
      </c>
      <c r="S925" t="s">
        <v>195</v>
      </c>
    </row>
    <row r="926" spans="1:19" x14ac:dyDescent="0.3">
      <c r="A926" t="s">
        <v>1114</v>
      </c>
      <c r="B926" t="s">
        <v>23</v>
      </c>
      <c r="C926">
        <v>2026</v>
      </c>
      <c r="D926">
        <v>2</v>
      </c>
      <c r="E926" s="2">
        <v>46069</v>
      </c>
      <c r="F926" t="s">
        <v>7</v>
      </c>
      <c r="G926" t="s">
        <v>8</v>
      </c>
      <c r="H926" t="s">
        <v>74</v>
      </c>
      <c r="I926" t="s">
        <v>84</v>
      </c>
      <c r="J926" t="s">
        <v>85</v>
      </c>
      <c r="K926" t="s">
        <v>73</v>
      </c>
      <c r="L926">
        <v>701000</v>
      </c>
      <c r="M926" t="s">
        <v>62</v>
      </c>
      <c r="N926" t="s">
        <v>33</v>
      </c>
      <c r="O926">
        <v>6080</v>
      </c>
      <c r="P926">
        <v>0.95</v>
      </c>
      <c r="Q926">
        <v>5.77</v>
      </c>
      <c r="R926" t="s">
        <v>1202</v>
      </c>
      <c r="S926" t="s">
        <v>195</v>
      </c>
    </row>
    <row r="927" spans="1:19" x14ac:dyDescent="0.3">
      <c r="A927" t="s">
        <v>1105</v>
      </c>
      <c r="B927" t="s">
        <v>23</v>
      </c>
      <c r="C927">
        <v>2026</v>
      </c>
      <c r="D927">
        <v>2</v>
      </c>
      <c r="E927" s="2">
        <v>46070</v>
      </c>
      <c r="F927" t="s">
        <v>7</v>
      </c>
      <c r="G927" t="s">
        <v>8</v>
      </c>
      <c r="H927" t="s">
        <v>70</v>
      </c>
      <c r="I927" t="s">
        <v>84</v>
      </c>
      <c r="J927" t="s">
        <v>85</v>
      </c>
      <c r="K927" t="s">
        <v>73</v>
      </c>
      <c r="L927">
        <v>701000</v>
      </c>
      <c r="M927" t="s">
        <v>62</v>
      </c>
      <c r="N927" t="s">
        <v>33</v>
      </c>
      <c r="O927">
        <v>1732</v>
      </c>
      <c r="P927">
        <v>0.95</v>
      </c>
      <c r="Q927">
        <v>1.65</v>
      </c>
      <c r="R927" t="s">
        <v>1204</v>
      </c>
      <c r="S927" t="s">
        <v>195</v>
      </c>
    </row>
    <row r="928" spans="1:19" x14ac:dyDescent="0.3">
      <c r="A928" t="s">
        <v>1106</v>
      </c>
      <c r="B928" t="s">
        <v>23</v>
      </c>
      <c r="C928">
        <v>2026</v>
      </c>
      <c r="D928">
        <v>2</v>
      </c>
      <c r="E928" s="2">
        <v>46070</v>
      </c>
      <c r="F928" t="s">
        <v>7</v>
      </c>
      <c r="G928" t="s">
        <v>8</v>
      </c>
      <c r="H928" t="s">
        <v>70</v>
      </c>
      <c r="I928" t="s">
        <v>84</v>
      </c>
      <c r="J928" t="s">
        <v>85</v>
      </c>
      <c r="K928" t="s">
        <v>73</v>
      </c>
      <c r="L928">
        <v>701000</v>
      </c>
      <c r="M928" t="s">
        <v>62</v>
      </c>
      <c r="N928" t="s">
        <v>33</v>
      </c>
      <c r="O928">
        <v>4405</v>
      </c>
      <c r="P928">
        <v>0.95</v>
      </c>
      <c r="Q928">
        <v>4.18</v>
      </c>
      <c r="R928" t="s">
        <v>1205</v>
      </c>
      <c r="S928" t="s">
        <v>195</v>
      </c>
    </row>
    <row r="929" spans="1:19" x14ac:dyDescent="0.3">
      <c r="A929" t="s">
        <v>1107</v>
      </c>
      <c r="B929" t="s">
        <v>23</v>
      </c>
      <c r="C929">
        <v>2026</v>
      </c>
      <c r="D929">
        <v>2</v>
      </c>
      <c r="E929" s="2">
        <v>46070</v>
      </c>
      <c r="F929" t="s">
        <v>7</v>
      </c>
      <c r="G929" t="s">
        <v>8</v>
      </c>
      <c r="H929" t="s">
        <v>70</v>
      </c>
      <c r="I929" t="s">
        <v>84</v>
      </c>
      <c r="J929" t="s">
        <v>85</v>
      </c>
      <c r="K929" t="s">
        <v>73</v>
      </c>
      <c r="L929">
        <v>701000</v>
      </c>
      <c r="M929" t="s">
        <v>62</v>
      </c>
      <c r="N929" t="s">
        <v>33</v>
      </c>
      <c r="O929">
        <v>2272</v>
      </c>
      <c r="P929">
        <v>0.95</v>
      </c>
      <c r="Q929">
        <v>2.16</v>
      </c>
      <c r="R929" t="s">
        <v>1201</v>
      </c>
      <c r="S929" t="s">
        <v>195</v>
      </c>
    </row>
    <row r="930" spans="1:19" x14ac:dyDescent="0.3">
      <c r="A930" t="s">
        <v>1108</v>
      </c>
      <c r="B930" t="s">
        <v>23</v>
      </c>
      <c r="C930">
        <v>2026</v>
      </c>
      <c r="D930">
        <v>2</v>
      </c>
      <c r="E930" s="2">
        <v>46070</v>
      </c>
      <c r="F930" t="s">
        <v>7</v>
      </c>
      <c r="G930" t="s">
        <v>8</v>
      </c>
      <c r="H930" t="s">
        <v>70</v>
      </c>
      <c r="I930" t="s">
        <v>84</v>
      </c>
      <c r="J930" t="s">
        <v>85</v>
      </c>
      <c r="K930" t="s">
        <v>73</v>
      </c>
      <c r="L930">
        <v>701000</v>
      </c>
      <c r="M930" t="s">
        <v>62</v>
      </c>
      <c r="N930" t="s">
        <v>33</v>
      </c>
      <c r="O930">
        <v>1922</v>
      </c>
      <c r="P930">
        <v>0.95</v>
      </c>
      <c r="Q930">
        <v>1.83</v>
      </c>
      <c r="R930" t="s">
        <v>1203</v>
      </c>
      <c r="S930" t="s">
        <v>195</v>
      </c>
    </row>
    <row r="931" spans="1:19" x14ac:dyDescent="0.3">
      <c r="A931" t="s">
        <v>1109</v>
      </c>
      <c r="B931" t="s">
        <v>23</v>
      </c>
      <c r="C931">
        <v>2026</v>
      </c>
      <c r="D931">
        <v>2</v>
      </c>
      <c r="E931" s="2">
        <v>46070</v>
      </c>
      <c r="F931" t="s">
        <v>7</v>
      </c>
      <c r="G931" t="s">
        <v>8</v>
      </c>
      <c r="H931" t="s">
        <v>70</v>
      </c>
      <c r="I931" t="s">
        <v>84</v>
      </c>
      <c r="J931" t="s">
        <v>85</v>
      </c>
      <c r="K931" t="s">
        <v>73</v>
      </c>
      <c r="L931">
        <v>701000</v>
      </c>
      <c r="M931" t="s">
        <v>62</v>
      </c>
      <c r="N931" t="s">
        <v>33</v>
      </c>
      <c r="O931">
        <v>6968</v>
      </c>
      <c r="P931">
        <v>0.95</v>
      </c>
      <c r="Q931">
        <v>6.61</v>
      </c>
      <c r="R931" t="s">
        <v>1199</v>
      </c>
      <c r="S931" t="s">
        <v>195</v>
      </c>
    </row>
    <row r="932" spans="1:19" x14ac:dyDescent="0.3">
      <c r="A932" t="s">
        <v>1130</v>
      </c>
      <c r="B932" t="s">
        <v>23</v>
      </c>
      <c r="C932">
        <v>2026</v>
      </c>
      <c r="D932">
        <v>2</v>
      </c>
      <c r="E932" s="2">
        <v>46071</v>
      </c>
      <c r="F932" t="s">
        <v>7</v>
      </c>
      <c r="G932" t="s">
        <v>8</v>
      </c>
      <c r="H932" t="s">
        <v>70</v>
      </c>
      <c r="I932" t="s">
        <v>71</v>
      </c>
      <c r="J932" t="s">
        <v>72</v>
      </c>
      <c r="K932" t="s">
        <v>73</v>
      </c>
      <c r="L932">
        <v>701000</v>
      </c>
      <c r="M932" t="s">
        <v>62</v>
      </c>
      <c r="N932" t="s">
        <v>33</v>
      </c>
      <c r="O932">
        <v>9756</v>
      </c>
      <c r="P932">
        <v>1.05</v>
      </c>
      <c r="Q932">
        <v>10.24</v>
      </c>
      <c r="R932" t="s">
        <v>1205</v>
      </c>
      <c r="S932" t="s">
        <v>195</v>
      </c>
    </row>
    <row r="933" spans="1:19" x14ac:dyDescent="0.3">
      <c r="A933" t="s">
        <v>1131</v>
      </c>
      <c r="B933" t="s">
        <v>23</v>
      </c>
      <c r="C933">
        <v>2026</v>
      </c>
      <c r="D933">
        <v>2</v>
      </c>
      <c r="E933" s="2">
        <v>46071</v>
      </c>
      <c r="F933" t="s">
        <v>7</v>
      </c>
      <c r="G933" t="s">
        <v>8</v>
      </c>
      <c r="H933" t="s">
        <v>70</v>
      </c>
      <c r="I933" t="s">
        <v>71</v>
      </c>
      <c r="J933" t="s">
        <v>72</v>
      </c>
      <c r="K933" t="s">
        <v>73</v>
      </c>
      <c r="L933">
        <v>701000</v>
      </c>
      <c r="M933" t="s">
        <v>62</v>
      </c>
      <c r="N933" t="s">
        <v>33</v>
      </c>
      <c r="O933">
        <v>3375</v>
      </c>
      <c r="P933">
        <v>1.05</v>
      </c>
      <c r="Q933">
        <v>3.54</v>
      </c>
      <c r="R933" t="s">
        <v>1201</v>
      </c>
      <c r="S933" t="s">
        <v>195</v>
      </c>
    </row>
    <row r="934" spans="1:19" x14ac:dyDescent="0.3">
      <c r="A934" t="s">
        <v>1132</v>
      </c>
      <c r="B934" t="s">
        <v>23</v>
      </c>
      <c r="C934">
        <v>2026</v>
      </c>
      <c r="D934">
        <v>2</v>
      </c>
      <c r="E934" s="2">
        <v>46071</v>
      </c>
      <c r="F934" t="s">
        <v>7</v>
      </c>
      <c r="G934" t="s">
        <v>8</v>
      </c>
      <c r="H934" t="s">
        <v>70</v>
      </c>
      <c r="I934" t="s">
        <v>71</v>
      </c>
      <c r="J934" t="s">
        <v>72</v>
      </c>
      <c r="K934" t="s">
        <v>73</v>
      </c>
      <c r="L934">
        <v>701000</v>
      </c>
      <c r="M934" t="s">
        <v>62</v>
      </c>
      <c r="N934" t="s">
        <v>33</v>
      </c>
      <c r="O934">
        <v>1577</v>
      </c>
      <c r="P934">
        <v>1.05</v>
      </c>
      <c r="Q934">
        <v>1.66</v>
      </c>
      <c r="R934" t="s">
        <v>1204</v>
      </c>
      <c r="S934" t="s">
        <v>195</v>
      </c>
    </row>
    <row r="935" spans="1:19" x14ac:dyDescent="0.3">
      <c r="A935" t="s">
        <v>1133</v>
      </c>
      <c r="B935" t="s">
        <v>23</v>
      </c>
      <c r="C935">
        <v>2026</v>
      </c>
      <c r="D935">
        <v>2</v>
      </c>
      <c r="E935" s="2">
        <v>46071</v>
      </c>
      <c r="F935" t="s">
        <v>7</v>
      </c>
      <c r="G935" t="s">
        <v>8</v>
      </c>
      <c r="H935" t="s">
        <v>70</v>
      </c>
      <c r="I935" t="s">
        <v>71</v>
      </c>
      <c r="J935" t="s">
        <v>72</v>
      </c>
      <c r="K935" t="s">
        <v>73</v>
      </c>
      <c r="L935">
        <v>701000</v>
      </c>
      <c r="M935" t="s">
        <v>62</v>
      </c>
      <c r="N935" t="s">
        <v>33</v>
      </c>
      <c r="O935">
        <v>650</v>
      </c>
      <c r="P935">
        <v>1.05</v>
      </c>
      <c r="Q935">
        <v>0.68</v>
      </c>
      <c r="R935" t="s">
        <v>1200</v>
      </c>
      <c r="S935" t="s">
        <v>195</v>
      </c>
    </row>
    <row r="936" spans="1:19" x14ac:dyDescent="0.3">
      <c r="A936" t="s">
        <v>1134</v>
      </c>
      <c r="B936" t="s">
        <v>23</v>
      </c>
      <c r="C936">
        <v>2026</v>
      </c>
      <c r="D936">
        <v>2</v>
      </c>
      <c r="E936" s="2">
        <v>46071</v>
      </c>
      <c r="F936" t="s">
        <v>7</v>
      </c>
      <c r="G936" t="s">
        <v>8</v>
      </c>
      <c r="H936" t="s">
        <v>70</v>
      </c>
      <c r="I936" t="s">
        <v>71</v>
      </c>
      <c r="J936" t="s">
        <v>72</v>
      </c>
      <c r="K936" t="s">
        <v>73</v>
      </c>
      <c r="L936">
        <v>701000</v>
      </c>
      <c r="M936" t="s">
        <v>62</v>
      </c>
      <c r="N936" t="s">
        <v>33</v>
      </c>
      <c r="O936">
        <v>4627</v>
      </c>
      <c r="P936">
        <v>1.05</v>
      </c>
      <c r="Q936">
        <v>4.8600000000000003</v>
      </c>
      <c r="R936" t="s">
        <v>1197</v>
      </c>
      <c r="S936" t="s">
        <v>195</v>
      </c>
    </row>
    <row r="937" spans="1:19" x14ac:dyDescent="0.3">
      <c r="A937" t="s">
        <v>1150</v>
      </c>
      <c r="B937" t="s">
        <v>23</v>
      </c>
      <c r="C937">
        <v>2026</v>
      </c>
      <c r="D937">
        <v>2</v>
      </c>
      <c r="E937" s="2">
        <v>46071</v>
      </c>
      <c r="F937" t="s">
        <v>7</v>
      </c>
      <c r="G937" t="s">
        <v>8</v>
      </c>
      <c r="H937" t="s">
        <v>74</v>
      </c>
      <c r="I937" t="s">
        <v>71</v>
      </c>
      <c r="J937" t="s">
        <v>72</v>
      </c>
      <c r="K937" t="s">
        <v>73</v>
      </c>
      <c r="L937">
        <v>701000</v>
      </c>
      <c r="M937" t="s">
        <v>62</v>
      </c>
      <c r="N937" t="s">
        <v>33</v>
      </c>
      <c r="O937">
        <v>1016</v>
      </c>
      <c r="P937">
        <v>1.05</v>
      </c>
      <c r="Q937">
        <v>1.07</v>
      </c>
      <c r="R937" t="s">
        <v>1201</v>
      </c>
      <c r="S937" t="s">
        <v>195</v>
      </c>
    </row>
    <row r="938" spans="1:19" x14ac:dyDescent="0.3">
      <c r="A938" t="s">
        <v>1151</v>
      </c>
      <c r="B938" t="s">
        <v>23</v>
      </c>
      <c r="C938">
        <v>2026</v>
      </c>
      <c r="D938">
        <v>2</v>
      </c>
      <c r="E938" s="2">
        <v>46071</v>
      </c>
      <c r="F938" t="s">
        <v>7</v>
      </c>
      <c r="G938" t="s">
        <v>8</v>
      </c>
      <c r="H938" t="s">
        <v>74</v>
      </c>
      <c r="I938" t="s">
        <v>71</v>
      </c>
      <c r="J938" t="s">
        <v>72</v>
      </c>
      <c r="K938" t="s">
        <v>73</v>
      </c>
      <c r="L938">
        <v>701000</v>
      </c>
      <c r="M938" t="s">
        <v>62</v>
      </c>
      <c r="N938" t="s">
        <v>33</v>
      </c>
      <c r="O938">
        <v>7991</v>
      </c>
      <c r="P938">
        <v>1.05</v>
      </c>
      <c r="Q938">
        <v>8.39</v>
      </c>
      <c r="R938" t="s">
        <v>1198</v>
      </c>
      <c r="S938" t="s">
        <v>195</v>
      </c>
    </row>
    <row r="939" spans="1:19" x14ac:dyDescent="0.3">
      <c r="A939" t="s">
        <v>1152</v>
      </c>
      <c r="B939" t="s">
        <v>23</v>
      </c>
      <c r="C939">
        <v>2026</v>
      </c>
      <c r="D939">
        <v>2</v>
      </c>
      <c r="E939" s="2">
        <v>46071</v>
      </c>
      <c r="F939" t="s">
        <v>7</v>
      </c>
      <c r="G939" t="s">
        <v>8</v>
      </c>
      <c r="H939" t="s">
        <v>74</v>
      </c>
      <c r="I939" t="s">
        <v>71</v>
      </c>
      <c r="J939" t="s">
        <v>72</v>
      </c>
      <c r="K939" t="s">
        <v>73</v>
      </c>
      <c r="L939">
        <v>701000</v>
      </c>
      <c r="M939" t="s">
        <v>62</v>
      </c>
      <c r="N939" t="s">
        <v>33</v>
      </c>
      <c r="O939">
        <v>2123</v>
      </c>
      <c r="P939">
        <v>1.05</v>
      </c>
      <c r="Q939">
        <v>2.23</v>
      </c>
      <c r="R939" t="s">
        <v>1197</v>
      </c>
      <c r="S939" t="s">
        <v>195</v>
      </c>
    </row>
    <row r="940" spans="1:19" x14ac:dyDescent="0.3">
      <c r="A940" t="s">
        <v>1153</v>
      </c>
      <c r="B940" t="s">
        <v>23</v>
      </c>
      <c r="C940">
        <v>2026</v>
      </c>
      <c r="D940">
        <v>2</v>
      </c>
      <c r="E940" s="2">
        <v>46071</v>
      </c>
      <c r="F940" t="s">
        <v>7</v>
      </c>
      <c r="G940" t="s">
        <v>8</v>
      </c>
      <c r="H940" t="s">
        <v>74</v>
      </c>
      <c r="I940" t="s">
        <v>71</v>
      </c>
      <c r="J940" t="s">
        <v>72</v>
      </c>
      <c r="K940" t="s">
        <v>73</v>
      </c>
      <c r="L940">
        <v>701000</v>
      </c>
      <c r="M940" t="s">
        <v>62</v>
      </c>
      <c r="N940" t="s">
        <v>33</v>
      </c>
      <c r="O940">
        <v>3629</v>
      </c>
      <c r="P940">
        <v>1.05</v>
      </c>
      <c r="Q940">
        <v>3.81</v>
      </c>
      <c r="R940" t="s">
        <v>1205</v>
      </c>
      <c r="S940" t="s">
        <v>195</v>
      </c>
    </row>
    <row r="941" spans="1:19" x14ac:dyDescent="0.3">
      <c r="A941" t="s">
        <v>1154</v>
      </c>
      <c r="B941" t="s">
        <v>23</v>
      </c>
      <c r="C941">
        <v>2026</v>
      </c>
      <c r="D941">
        <v>2</v>
      </c>
      <c r="E941" s="2">
        <v>46071</v>
      </c>
      <c r="F941" t="s">
        <v>7</v>
      </c>
      <c r="G941" t="s">
        <v>8</v>
      </c>
      <c r="H941" t="s">
        <v>74</v>
      </c>
      <c r="I941" t="s">
        <v>71</v>
      </c>
      <c r="J941" t="s">
        <v>72</v>
      </c>
      <c r="K941" t="s">
        <v>73</v>
      </c>
      <c r="L941">
        <v>701000</v>
      </c>
      <c r="M941" t="s">
        <v>62</v>
      </c>
      <c r="N941" t="s">
        <v>33</v>
      </c>
      <c r="O941">
        <v>2644</v>
      </c>
      <c r="P941">
        <v>1.05</v>
      </c>
      <c r="Q941">
        <v>2.77</v>
      </c>
      <c r="R941" t="s">
        <v>1200</v>
      </c>
      <c r="S941" t="s">
        <v>195</v>
      </c>
    </row>
    <row r="942" spans="1:19" x14ac:dyDescent="0.3">
      <c r="A942" t="s">
        <v>1135</v>
      </c>
      <c r="B942" t="s">
        <v>23</v>
      </c>
      <c r="C942">
        <v>2026</v>
      </c>
      <c r="D942">
        <v>2</v>
      </c>
      <c r="E942" s="2">
        <v>46072</v>
      </c>
      <c r="F942" t="s">
        <v>7</v>
      </c>
      <c r="G942" t="s">
        <v>8</v>
      </c>
      <c r="H942" t="s">
        <v>70</v>
      </c>
      <c r="I942" t="s">
        <v>71</v>
      </c>
      <c r="J942" t="s">
        <v>72</v>
      </c>
      <c r="K942" t="s">
        <v>73</v>
      </c>
      <c r="L942">
        <v>701000</v>
      </c>
      <c r="M942" t="s">
        <v>62</v>
      </c>
      <c r="N942" t="s">
        <v>33</v>
      </c>
      <c r="O942">
        <v>2441</v>
      </c>
      <c r="P942">
        <v>1.05</v>
      </c>
      <c r="Q942">
        <v>2.56</v>
      </c>
      <c r="R942" t="s">
        <v>1201</v>
      </c>
      <c r="S942" t="s">
        <v>195</v>
      </c>
    </row>
    <row r="943" spans="1:19" x14ac:dyDescent="0.3">
      <c r="A943" t="s">
        <v>1136</v>
      </c>
      <c r="B943" t="s">
        <v>23</v>
      </c>
      <c r="C943">
        <v>2026</v>
      </c>
      <c r="D943">
        <v>2</v>
      </c>
      <c r="E943" s="2">
        <v>46072</v>
      </c>
      <c r="F943" t="s">
        <v>7</v>
      </c>
      <c r="G943" t="s">
        <v>8</v>
      </c>
      <c r="H943" t="s">
        <v>70</v>
      </c>
      <c r="I943" t="s">
        <v>71</v>
      </c>
      <c r="J943" t="s">
        <v>72</v>
      </c>
      <c r="K943" t="s">
        <v>73</v>
      </c>
      <c r="L943">
        <v>701000</v>
      </c>
      <c r="M943" t="s">
        <v>62</v>
      </c>
      <c r="N943" t="s">
        <v>33</v>
      </c>
      <c r="O943">
        <v>5035</v>
      </c>
      <c r="P943">
        <v>1.05</v>
      </c>
      <c r="Q943">
        <v>5.29</v>
      </c>
      <c r="R943" t="s">
        <v>1204</v>
      </c>
      <c r="S943" t="s">
        <v>195</v>
      </c>
    </row>
    <row r="944" spans="1:19" x14ac:dyDescent="0.3">
      <c r="A944" t="s">
        <v>1137</v>
      </c>
      <c r="B944" t="s">
        <v>23</v>
      </c>
      <c r="C944">
        <v>2026</v>
      </c>
      <c r="D944">
        <v>2</v>
      </c>
      <c r="E944" s="2">
        <v>46072</v>
      </c>
      <c r="F944" t="s">
        <v>7</v>
      </c>
      <c r="G944" t="s">
        <v>8</v>
      </c>
      <c r="H944" t="s">
        <v>70</v>
      </c>
      <c r="I944" t="s">
        <v>71</v>
      </c>
      <c r="J944" t="s">
        <v>72</v>
      </c>
      <c r="K944" t="s">
        <v>73</v>
      </c>
      <c r="L944">
        <v>701000</v>
      </c>
      <c r="M944" t="s">
        <v>62</v>
      </c>
      <c r="N944" t="s">
        <v>33</v>
      </c>
      <c r="O944">
        <v>2489</v>
      </c>
      <c r="P944">
        <v>1.05</v>
      </c>
      <c r="Q944">
        <v>2.61</v>
      </c>
      <c r="R944" t="s">
        <v>1197</v>
      </c>
      <c r="S944" t="s">
        <v>195</v>
      </c>
    </row>
    <row r="945" spans="1:19" x14ac:dyDescent="0.3">
      <c r="A945" t="s">
        <v>1138</v>
      </c>
      <c r="B945" t="s">
        <v>23</v>
      </c>
      <c r="C945">
        <v>2026</v>
      </c>
      <c r="D945">
        <v>2</v>
      </c>
      <c r="E945" s="2">
        <v>46072</v>
      </c>
      <c r="F945" t="s">
        <v>7</v>
      </c>
      <c r="G945" t="s">
        <v>8</v>
      </c>
      <c r="H945" t="s">
        <v>70</v>
      </c>
      <c r="I945" t="s">
        <v>71</v>
      </c>
      <c r="J945" t="s">
        <v>72</v>
      </c>
      <c r="K945" t="s">
        <v>73</v>
      </c>
      <c r="L945">
        <v>701000</v>
      </c>
      <c r="M945" t="s">
        <v>62</v>
      </c>
      <c r="N945" t="s">
        <v>33</v>
      </c>
      <c r="O945">
        <v>6509</v>
      </c>
      <c r="P945">
        <v>1.05</v>
      </c>
      <c r="Q945">
        <v>6.83</v>
      </c>
      <c r="R945" t="s">
        <v>1202</v>
      </c>
      <c r="S945" t="s">
        <v>195</v>
      </c>
    </row>
    <row r="946" spans="1:19" x14ac:dyDescent="0.3">
      <c r="A946" t="s">
        <v>1139</v>
      </c>
      <c r="B946" t="s">
        <v>23</v>
      </c>
      <c r="C946">
        <v>2026</v>
      </c>
      <c r="D946">
        <v>2</v>
      </c>
      <c r="E946" s="2">
        <v>46072</v>
      </c>
      <c r="F946" t="s">
        <v>7</v>
      </c>
      <c r="G946" t="s">
        <v>8</v>
      </c>
      <c r="H946" t="s">
        <v>70</v>
      </c>
      <c r="I946" t="s">
        <v>71</v>
      </c>
      <c r="J946" t="s">
        <v>72</v>
      </c>
      <c r="K946" t="s">
        <v>73</v>
      </c>
      <c r="L946">
        <v>701000</v>
      </c>
      <c r="M946" t="s">
        <v>62</v>
      </c>
      <c r="N946" t="s">
        <v>33</v>
      </c>
      <c r="O946">
        <v>1260</v>
      </c>
      <c r="P946">
        <v>1.06</v>
      </c>
      <c r="Q946">
        <v>1.33</v>
      </c>
      <c r="R946" t="s">
        <v>1199</v>
      </c>
      <c r="S946" t="s">
        <v>195</v>
      </c>
    </row>
    <row r="947" spans="1:19" x14ac:dyDescent="0.3">
      <c r="A947" t="s">
        <v>1160</v>
      </c>
      <c r="B947" t="s">
        <v>23</v>
      </c>
      <c r="C947">
        <v>2026</v>
      </c>
      <c r="D947">
        <v>2</v>
      </c>
      <c r="E947" s="2">
        <v>46072</v>
      </c>
      <c r="F947" t="s">
        <v>7</v>
      </c>
      <c r="G947" t="s">
        <v>8</v>
      </c>
      <c r="H947" t="s">
        <v>70</v>
      </c>
      <c r="I947" t="s">
        <v>71</v>
      </c>
      <c r="J947" t="s">
        <v>72</v>
      </c>
      <c r="K947" t="s">
        <v>73</v>
      </c>
      <c r="L947">
        <v>701000</v>
      </c>
      <c r="M947" t="s">
        <v>62</v>
      </c>
      <c r="N947" t="s">
        <v>33</v>
      </c>
      <c r="O947">
        <v>2631</v>
      </c>
      <c r="P947">
        <v>1.05</v>
      </c>
      <c r="Q947">
        <v>2.76</v>
      </c>
      <c r="R947" t="s">
        <v>1201</v>
      </c>
      <c r="S947" t="s">
        <v>195</v>
      </c>
    </row>
    <row r="948" spans="1:19" x14ac:dyDescent="0.3">
      <c r="A948" t="s">
        <v>1161</v>
      </c>
      <c r="B948" t="s">
        <v>23</v>
      </c>
      <c r="C948">
        <v>2026</v>
      </c>
      <c r="D948">
        <v>2</v>
      </c>
      <c r="E948" s="2">
        <v>46072</v>
      </c>
      <c r="F948" t="s">
        <v>7</v>
      </c>
      <c r="G948" t="s">
        <v>8</v>
      </c>
      <c r="H948" t="s">
        <v>70</v>
      </c>
      <c r="I948" t="s">
        <v>71</v>
      </c>
      <c r="J948" t="s">
        <v>72</v>
      </c>
      <c r="K948" t="s">
        <v>73</v>
      </c>
      <c r="L948">
        <v>701000</v>
      </c>
      <c r="M948" t="s">
        <v>62</v>
      </c>
      <c r="N948" t="s">
        <v>33</v>
      </c>
      <c r="O948">
        <v>4164</v>
      </c>
      <c r="P948">
        <v>1.05</v>
      </c>
      <c r="Q948">
        <v>4.37</v>
      </c>
      <c r="R948" t="s">
        <v>1200</v>
      </c>
      <c r="S948" t="s">
        <v>195</v>
      </c>
    </row>
    <row r="949" spans="1:19" x14ac:dyDescent="0.3">
      <c r="A949" t="s">
        <v>1162</v>
      </c>
      <c r="B949" t="s">
        <v>23</v>
      </c>
      <c r="C949">
        <v>2026</v>
      </c>
      <c r="D949">
        <v>2</v>
      </c>
      <c r="E949" s="2">
        <v>46072</v>
      </c>
      <c r="F949" t="s">
        <v>7</v>
      </c>
      <c r="G949" t="s">
        <v>8</v>
      </c>
      <c r="H949" t="s">
        <v>70</v>
      </c>
      <c r="I949" t="s">
        <v>71</v>
      </c>
      <c r="J949" t="s">
        <v>72</v>
      </c>
      <c r="K949" t="s">
        <v>73</v>
      </c>
      <c r="L949">
        <v>701000</v>
      </c>
      <c r="M949" t="s">
        <v>62</v>
      </c>
      <c r="N949" t="s">
        <v>33</v>
      </c>
      <c r="O949">
        <v>4697</v>
      </c>
      <c r="P949">
        <v>1.05</v>
      </c>
      <c r="Q949">
        <v>4.93</v>
      </c>
      <c r="R949" t="s">
        <v>1203</v>
      </c>
      <c r="S949" t="s">
        <v>195</v>
      </c>
    </row>
    <row r="950" spans="1:19" x14ac:dyDescent="0.3">
      <c r="A950" t="s">
        <v>1163</v>
      </c>
      <c r="B950" t="s">
        <v>23</v>
      </c>
      <c r="C950">
        <v>2026</v>
      </c>
      <c r="D950">
        <v>2</v>
      </c>
      <c r="E950" s="2">
        <v>46072</v>
      </c>
      <c r="F950" t="s">
        <v>7</v>
      </c>
      <c r="G950" t="s">
        <v>8</v>
      </c>
      <c r="H950" t="s">
        <v>70</v>
      </c>
      <c r="I950" t="s">
        <v>71</v>
      </c>
      <c r="J950" t="s">
        <v>72</v>
      </c>
      <c r="K950" t="s">
        <v>73</v>
      </c>
      <c r="L950">
        <v>701000</v>
      </c>
      <c r="M950" t="s">
        <v>62</v>
      </c>
      <c r="N950" t="s">
        <v>33</v>
      </c>
      <c r="O950">
        <v>6252</v>
      </c>
      <c r="P950">
        <v>1.05</v>
      </c>
      <c r="Q950">
        <v>6.56</v>
      </c>
      <c r="R950" t="s">
        <v>1204</v>
      </c>
      <c r="S950" t="s">
        <v>195</v>
      </c>
    </row>
    <row r="951" spans="1:19" x14ac:dyDescent="0.3">
      <c r="A951" t="s">
        <v>1164</v>
      </c>
      <c r="B951" t="s">
        <v>23</v>
      </c>
      <c r="C951">
        <v>2026</v>
      </c>
      <c r="D951">
        <v>2</v>
      </c>
      <c r="E951" s="2">
        <v>46072</v>
      </c>
      <c r="F951" t="s">
        <v>7</v>
      </c>
      <c r="G951" t="s">
        <v>8</v>
      </c>
      <c r="H951" t="s">
        <v>70</v>
      </c>
      <c r="I951" t="s">
        <v>71</v>
      </c>
      <c r="J951" t="s">
        <v>72</v>
      </c>
      <c r="K951" t="s">
        <v>73</v>
      </c>
      <c r="L951">
        <v>701000</v>
      </c>
      <c r="M951" t="s">
        <v>62</v>
      </c>
      <c r="N951" t="s">
        <v>33</v>
      </c>
      <c r="O951">
        <v>1578</v>
      </c>
      <c r="P951">
        <v>1.06</v>
      </c>
      <c r="Q951">
        <v>1.67</v>
      </c>
      <c r="R951" t="s">
        <v>1197</v>
      </c>
      <c r="S951" t="s">
        <v>195</v>
      </c>
    </row>
    <row r="952" spans="1:19" x14ac:dyDescent="0.3">
      <c r="A952" t="s">
        <v>1165</v>
      </c>
      <c r="B952" t="s">
        <v>23</v>
      </c>
      <c r="C952">
        <v>2026</v>
      </c>
      <c r="D952">
        <v>2</v>
      </c>
      <c r="E952" s="2">
        <v>46072</v>
      </c>
      <c r="F952" t="s">
        <v>7</v>
      </c>
      <c r="G952" t="s">
        <v>8</v>
      </c>
      <c r="H952" t="s">
        <v>70</v>
      </c>
      <c r="I952" t="s">
        <v>71</v>
      </c>
      <c r="J952" t="s">
        <v>72</v>
      </c>
      <c r="K952" t="s">
        <v>73</v>
      </c>
      <c r="L952">
        <v>701000</v>
      </c>
      <c r="M952" t="s">
        <v>62</v>
      </c>
      <c r="N952" t="s">
        <v>33</v>
      </c>
      <c r="O952">
        <v>538</v>
      </c>
      <c r="P952">
        <v>1.06</v>
      </c>
      <c r="Q952">
        <v>0.56999999999999995</v>
      </c>
      <c r="R952" t="s">
        <v>1197</v>
      </c>
      <c r="S952" t="s">
        <v>195</v>
      </c>
    </row>
    <row r="953" spans="1:19" x14ac:dyDescent="0.3">
      <c r="A953" t="s">
        <v>1166</v>
      </c>
      <c r="B953" t="s">
        <v>23</v>
      </c>
      <c r="C953">
        <v>2026</v>
      </c>
      <c r="D953">
        <v>2</v>
      </c>
      <c r="E953" s="2">
        <v>46072</v>
      </c>
      <c r="F953" t="s">
        <v>7</v>
      </c>
      <c r="G953" t="s">
        <v>8</v>
      </c>
      <c r="H953" t="s">
        <v>70</v>
      </c>
      <c r="I953" t="s">
        <v>71</v>
      </c>
      <c r="J953" t="s">
        <v>72</v>
      </c>
      <c r="K953" t="s">
        <v>73</v>
      </c>
      <c r="L953">
        <v>701000</v>
      </c>
      <c r="M953" t="s">
        <v>62</v>
      </c>
      <c r="N953" t="s">
        <v>33</v>
      </c>
      <c r="O953">
        <v>8236</v>
      </c>
      <c r="P953">
        <v>1.05</v>
      </c>
      <c r="Q953">
        <v>8.65</v>
      </c>
      <c r="R953" t="s">
        <v>1201</v>
      </c>
      <c r="S953" t="s">
        <v>195</v>
      </c>
    </row>
    <row r="954" spans="1:19" x14ac:dyDescent="0.3">
      <c r="A954" t="s">
        <v>1167</v>
      </c>
      <c r="B954" t="s">
        <v>23</v>
      </c>
      <c r="C954">
        <v>2026</v>
      </c>
      <c r="D954">
        <v>2</v>
      </c>
      <c r="E954" s="2">
        <v>46072</v>
      </c>
      <c r="F954" t="s">
        <v>7</v>
      </c>
      <c r="G954" t="s">
        <v>8</v>
      </c>
      <c r="H954" t="s">
        <v>70</v>
      </c>
      <c r="I954" t="s">
        <v>71</v>
      </c>
      <c r="J954" t="s">
        <v>72</v>
      </c>
      <c r="K954" t="s">
        <v>73</v>
      </c>
      <c r="L954">
        <v>701000</v>
      </c>
      <c r="M954" t="s">
        <v>62</v>
      </c>
      <c r="N954" t="s">
        <v>33</v>
      </c>
      <c r="O954">
        <v>1599</v>
      </c>
      <c r="P954">
        <v>1.05</v>
      </c>
      <c r="Q954">
        <v>1.68</v>
      </c>
      <c r="R954" t="s">
        <v>1205</v>
      </c>
      <c r="S954" t="s">
        <v>195</v>
      </c>
    </row>
    <row r="955" spans="1:19" x14ac:dyDescent="0.3">
      <c r="A955" t="s">
        <v>1168</v>
      </c>
      <c r="B955" t="s">
        <v>23</v>
      </c>
      <c r="C955">
        <v>2026</v>
      </c>
      <c r="D955">
        <v>2</v>
      </c>
      <c r="E955" s="2">
        <v>46072</v>
      </c>
      <c r="F955" t="s">
        <v>7</v>
      </c>
      <c r="G955" t="s">
        <v>8</v>
      </c>
      <c r="H955" t="s">
        <v>70</v>
      </c>
      <c r="I955" t="s">
        <v>71</v>
      </c>
      <c r="J955" t="s">
        <v>72</v>
      </c>
      <c r="K955" t="s">
        <v>73</v>
      </c>
      <c r="L955">
        <v>701000</v>
      </c>
      <c r="M955" t="s">
        <v>62</v>
      </c>
      <c r="N955" t="s">
        <v>33</v>
      </c>
      <c r="O955">
        <v>4208</v>
      </c>
      <c r="P955">
        <v>1.05</v>
      </c>
      <c r="Q955">
        <v>4.42</v>
      </c>
      <c r="R955" t="s">
        <v>1203</v>
      </c>
      <c r="S955" t="s">
        <v>195</v>
      </c>
    </row>
    <row r="956" spans="1:19" x14ac:dyDescent="0.3">
      <c r="A956" t="s">
        <v>1169</v>
      </c>
      <c r="B956" t="s">
        <v>23</v>
      </c>
      <c r="C956">
        <v>2026</v>
      </c>
      <c r="D956">
        <v>2</v>
      </c>
      <c r="E956" s="2">
        <v>46072</v>
      </c>
      <c r="F956" t="s">
        <v>7</v>
      </c>
      <c r="G956" t="s">
        <v>8</v>
      </c>
      <c r="H956" t="s">
        <v>70</v>
      </c>
      <c r="I956" t="s">
        <v>71</v>
      </c>
      <c r="J956" t="s">
        <v>72</v>
      </c>
      <c r="K956" t="s">
        <v>73</v>
      </c>
      <c r="L956">
        <v>701000</v>
      </c>
      <c r="M956" t="s">
        <v>62</v>
      </c>
      <c r="N956" t="s">
        <v>33</v>
      </c>
      <c r="O956">
        <v>5697</v>
      </c>
      <c r="P956">
        <v>1.05</v>
      </c>
      <c r="Q956">
        <v>5.97</v>
      </c>
      <c r="R956" t="s">
        <v>1199</v>
      </c>
      <c r="S956" t="s">
        <v>195</v>
      </c>
    </row>
    <row r="957" spans="1:19" x14ac:dyDescent="0.3">
      <c r="A957" t="s">
        <v>1020</v>
      </c>
      <c r="B957" t="s">
        <v>23</v>
      </c>
      <c r="C957">
        <v>2026</v>
      </c>
      <c r="D957">
        <v>2</v>
      </c>
      <c r="E957" s="2">
        <v>46073</v>
      </c>
      <c r="F957" t="s">
        <v>7</v>
      </c>
      <c r="G957" t="s">
        <v>8</v>
      </c>
      <c r="H957" t="s">
        <v>74</v>
      </c>
      <c r="I957" t="s">
        <v>84</v>
      </c>
      <c r="J957" t="s">
        <v>85</v>
      </c>
      <c r="K957" t="s">
        <v>73</v>
      </c>
      <c r="L957">
        <v>701000</v>
      </c>
      <c r="M957" t="s">
        <v>62</v>
      </c>
      <c r="N957" t="s">
        <v>33</v>
      </c>
      <c r="O957">
        <v>3573</v>
      </c>
      <c r="P957">
        <v>0.95</v>
      </c>
      <c r="Q957">
        <v>3.4</v>
      </c>
      <c r="R957" t="s">
        <v>1203</v>
      </c>
      <c r="S957" t="s">
        <v>195</v>
      </c>
    </row>
    <row r="958" spans="1:19" x14ac:dyDescent="0.3">
      <c r="A958" t="s">
        <v>1021</v>
      </c>
      <c r="B958" t="s">
        <v>23</v>
      </c>
      <c r="C958">
        <v>2026</v>
      </c>
      <c r="D958">
        <v>2</v>
      </c>
      <c r="E958" s="2">
        <v>46073</v>
      </c>
      <c r="F958" t="s">
        <v>7</v>
      </c>
      <c r="G958" t="s">
        <v>8</v>
      </c>
      <c r="H958" t="s">
        <v>74</v>
      </c>
      <c r="I958" t="s">
        <v>84</v>
      </c>
      <c r="J958" t="s">
        <v>85</v>
      </c>
      <c r="K958" t="s">
        <v>73</v>
      </c>
      <c r="L958">
        <v>701000</v>
      </c>
      <c r="M958" t="s">
        <v>62</v>
      </c>
      <c r="N958" t="s">
        <v>33</v>
      </c>
      <c r="O958">
        <v>3205</v>
      </c>
      <c r="P958">
        <v>0.95</v>
      </c>
      <c r="Q958">
        <v>3.04</v>
      </c>
      <c r="R958" t="s">
        <v>1205</v>
      </c>
      <c r="S958" t="s">
        <v>195</v>
      </c>
    </row>
    <row r="959" spans="1:19" x14ac:dyDescent="0.3">
      <c r="A959" t="s">
        <v>1022</v>
      </c>
      <c r="B959" t="s">
        <v>23</v>
      </c>
      <c r="C959">
        <v>2026</v>
      </c>
      <c r="D959">
        <v>2</v>
      </c>
      <c r="E959" s="2">
        <v>46073</v>
      </c>
      <c r="F959" t="s">
        <v>7</v>
      </c>
      <c r="G959" t="s">
        <v>8</v>
      </c>
      <c r="H959" t="s">
        <v>74</v>
      </c>
      <c r="I959" t="s">
        <v>84</v>
      </c>
      <c r="J959" t="s">
        <v>85</v>
      </c>
      <c r="K959" t="s">
        <v>73</v>
      </c>
      <c r="L959">
        <v>701000</v>
      </c>
      <c r="M959" t="s">
        <v>62</v>
      </c>
      <c r="N959" t="s">
        <v>33</v>
      </c>
      <c r="O959">
        <v>4059</v>
      </c>
      <c r="P959">
        <v>0.95</v>
      </c>
      <c r="Q959">
        <v>3.86</v>
      </c>
      <c r="R959" t="s">
        <v>1199</v>
      </c>
      <c r="S959" t="s">
        <v>195</v>
      </c>
    </row>
    <row r="960" spans="1:19" x14ac:dyDescent="0.3">
      <c r="A960" t="s">
        <v>1023</v>
      </c>
      <c r="B960" t="s">
        <v>23</v>
      </c>
      <c r="C960">
        <v>2026</v>
      </c>
      <c r="D960">
        <v>2</v>
      </c>
      <c r="E960" s="2">
        <v>46073</v>
      </c>
      <c r="F960" t="s">
        <v>7</v>
      </c>
      <c r="G960" t="s">
        <v>8</v>
      </c>
      <c r="H960" t="s">
        <v>74</v>
      </c>
      <c r="I960" t="s">
        <v>84</v>
      </c>
      <c r="J960" t="s">
        <v>85</v>
      </c>
      <c r="K960" t="s">
        <v>73</v>
      </c>
      <c r="L960">
        <v>701000</v>
      </c>
      <c r="M960" t="s">
        <v>62</v>
      </c>
      <c r="N960" t="s">
        <v>33</v>
      </c>
      <c r="O960">
        <v>5877</v>
      </c>
      <c r="P960">
        <v>0.95</v>
      </c>
      <c r="Q960">
        <v>5.58</v>
      </c>
      <c r="R960" t="s">
        <v>1198</v>
      </c>
      <c r="S960" t="s">
        <v>195</v>
      </c>
    </row>
    <row r="961" spans="1:19" x14ac:dyDescent="0.3">
      <c r="A961" t="s">
        <v>1024</v>
      </c>
      <c r="B961" t="s">
        <v>23</v>
      </c>
      <c r="C961">
        <v>2026</v>
      </c>
      <c r="D961">
        <v>2</v>
      </c>
      <c r="E961" s="2">
        <v>46073</v>
      </c>
      <c r="F961" t="s">
        <v>7</v>
      </c>
      <c r="G961" t="s">
        <v>8</v>
      </c>
      <c r="H961" t="s">
        <v>74</v>
      </c>
      <c r="I961" t="s">
        <v>84</v>
      </c>
      <c r="J961" t="s">
        <v>85</v>
      </c>
      <c r="K961" t="s">
        <v>73</v>
      </c>
      <c r="L961">
        <v>701000</v>
      </c>
      <c r="M961" t="s">
        <v>62</v>
      </c>
      <c r="N961" t="s">
        <v>33</v>
      </c>
      <c r="O961">
        <v>2367</v>
      </c>
      <c r="P961">
        <v>0.95</v>
      </c>
      <c r="Q961">
        <v>2.25</v>
      </c>
      <c r="R961" t="s">
        <v>1202</v>
      </c>
      <c r="S961" t="s">
        <v>195</v>
      </c>
    </row>
    <row r="962" spans="1:19" x14ac:dyDescent="0.3">
      <c r="A962" t="s">
        <v>1080</v>
      </c>
      <c r="B962" t="s">
        <v>23</v>
      </c>
      <c r="C962">
        <v>2026</v>
      </c>
      <c r="D962">
        <v>2</v>
      </c>
      <c r="E962" s="2">
        <v>46073</v>
      </c>
      <c r="F962" t="s">
        <v>7</v>
      </c>
      <c r="G962" t="s">
        <v>8</v>
      </c>
      <c r="H962" t="s">
        <v>70</v>
      </c>
      <c r="I962" t="s">
        <v>84</v>
      </c>
      <c r="J962" t="s">
        <v>85</v>
      </c>
      <c r="K962" t="s">
        <v>73</v>
      </c>
      <c r="L962">
        <v>706000</v>
      </c>
      <c r="M962" t="s">
        <v>63</v>
      </c>
      <c r="N962" t="s">
        <v>33</v>
      </c>
      <c r="O962">
        <v>1389</v>
      </c>
      <c r="P962">
        <v>0.95</v>
      </c>
      <c r="Q962">
        <v>1.32</v>
      </c>
      <c r="R962" t="s">
        <v>1201</v>
      </c>
      <c r="S962" t="s">
        <v>195</v>
      </c>
    </row>
    <row r="963" spans="1:19" x14ac:dyDescent="0.3">
      <c r="A963" t="s">
        <v>1081</v>
      </c>
      <c r="B963" t="s">
        <v>23</v>
      </c>
      <c r="C963">
        <v>2026</v>
      </c>
      <c r="D963">
        <v>2</v>
      </c>
      <c r="E963" s="2">
        <v>46073</v>
      </c>
      <c r="F963" t="s">
        <v>7</v>
      </c>
      <c r="G963" t="s">
        <v>8</v>
      </c>
      <c r="H963" t="s">
        <v>70</v>
      </c>
      <c r="I963" t="s">
        <v>84</v>
      </c>
      <c r="J963" t="s">
        <v>85</v>
      </c>
      <c r="K963" t="s">
        <v>73</v>
      </c>
      <c r="L963">
        <v>706000</v>
      </c>
      <c r="M963" t="s">
        <v>63</v>
      </c>
      <c r="N963" t="s">
        <v>33</v>
      </c>
      <c r="O963">
        <v>9185</v>
      </c>
      <c r="P963">
        <v>0.95</v>
      </c>
      <c r="Q963">
        <v>8.73</v>
      </c>
      <c r="R963" t="s">
        <v>1205</v>
      </c>
      <c r="S963" t="s">
        <v>195</v>
      </c>
    </row>
    <row r="964" spans="1:19" x14ac:dyDescent="0.3">
      <c r="A964" t="s">
        <v>1082</v>
      </c>
      <c r="B964" t="s">
        <v>23</v>
      </c>
      <c r="C964">
        <v>2026</v>
      </c>
      <c r="D964">
        <v>2</v>
      </c>
      <c r="E964" s="2">
        <v>46073</v>
      </c>
      <c r="F964" t="s">
        <v>7</v>
      </c>
      <c r="G964" t="s">
        <v>8</v>
      </c>
      <c r="H964" t="s">
        <v>70</v>
      </c>
      <c r="I964" t="s">
        <v>84</v>
      </c>
      <c r="J964" t="s">
        <v>85</v>
      </c>
      <c r="K964" t="s">
        <v>73</v>
      </c>
      <c r="L964">
        <v>706000</v>
      </c>
      <c r="M964" t="s">
        <v>63</v>
      </c>
      <c r="N964" t="s">
        <v>33</v>
      </c>
      <c r="O964">
        <v>3297</v>
      </c>
      <c r="P964">
        <v>0.95</v>
      </c>
      <c r="Q964">
        <v>3.13</v>
      </c>
      <c r="R964" t="s">
        <v>1202</v>
      </c>
      <c r="S964" t="s">
        <v>195</v>
      </c>
    </row>
    <row r="965" spans="1:19" x14ac:dyDescent="0.3">
      <c r="A965" t="s">
        <v>1083</v>
      </c>
      <c r="B965" t="s">
        <v>23</v>
      </c>
      <c r="C965">
        <v>2026</v>
      </c>
      <c r="D965">
        <v>2</v>
      </c>
      <c r="E965" s="2">
        <v>46073</v>
      </c>
      <c r="F965" t="s">
        <v>7</v>
      </c>
      <c r="G965" t="s">
        <v>8</v>
      </c>
      <c r="H965" t="s">
        <v>70</v>
      </c>
      <c r="I965" t="s">
        <v>84</v>
      </c>
      <c r="J965" t="s">
        <v>85</v>
      </c>
      <c r="K965" t="s">
        <v>73</v>
      </c>
      <c r="L965">
        <v>706000</v>
      </c>
      <c r="M965" t="s">
        <v>63</v>
      </c>
      <c r="N965" t="s">
        <v>33</v>
      </c>
      <c r="O965">
        <v>3496</v>
      </c>
      <c r="P965">
        <v>0.95</v>
      </c>
      <c r="Q965">
        <v>3.32</v>
      </c>
      <c r="R965" t="s">
        <v>1197</v>
      </c>
      <c r="S965" t="s">
        <v>195</v>
      </c>
    </row>
    <row r="966" spans="1:19" x14ac:dyDescent="0.3">
      <c r="A966" t="s">
        <v>1084</v>
      </c>
      <c r="B966" t="s">
        <v>23</v>
      </c>
      <c r="C966">
        <v>2026</v>
      </c>
      <c r="D966">
        <v>2</v>
      </c>
      <c r="E966" s="2">
        <v>46073</v>
      </c>
      <c r="F966" t="s">
        <v>7</v>
      </c>
      <c r="G966" t="s">
        <v>8</v>
      </c>
      <c r="H966" t="s">
        <v>70</v>
      </c>
      <c r="I966" t="s">
        <v>84</v>
      </c>
      <c r="J966" t="s">
        <v>85</v>
      </c>
      <c r="K966" t="s">
        <v>73</v>
      </c>
      <c r="L966">
        <v>706000</v>
      </c>
      <c r="M966" t="s">
        <v>63</v>
      </c>
      <c r="N966" t="s">
        <v>33</v>
      </c>
      <c r="O966">
        <v>4441</v>
      </c>
      <c r="P966">
        <v>0.95</v>
      </c>
      <c r="Q966">
        <v>4.22</v>
      </c>
      <c r="R966" t="s">
        <v>1199</v>
      </c>
      <c r="S966" t="s">
        <v>195</v>
      </c>
    </row>
    <row r="967" spans="1:19" x14ac:dyDescent="0.3">
      <c r="A967" t="s">
        <v>1085</v>
      </c>
      <c r="B967" t="s">
        <v>23</v>
      </c>
      <c r="C967">
        <v>2026</v>
      </c>
      <c r="D967">
        <v>2</v>
      </c>
      <c r="E967" s="2">
        <v>46074</v>
      </c>
      <c r="F967" t="s">
        <v>7</v>
      </c>
      <c r="G967" t="s">
        <v>8</v>
      </c>
      <c r="H967" t="s">
        <v>74</v>
      </c>
      <c r="I967" t="s">
        <v>84</v>
      </c>
      <c r="J967" t="s">
        <v>85</v>
      </c>
      <c r="K967" t="s">
        <v>73</v>
      </c>
      <c r="L967">
        <v>701000</v>
      </c>
      <c r="M967" t="s">
        <v>62</v>
      </c>
      <c r="N967" t="s">
        <v>33</v>
      </c>
      <c r="O967">
        <v>3131</v>
      </c>
      <c r="P967">
        <v>0.95</v>
      </c>
      <c r="Q967">
        <v>2.97</v>
      </c>
      <c r="R967" t="s">
        <v>1203</v>
      </c>
      <c r="S967" t="s">
        <v>195</v>
      </c>
    </row>
    <row r="968" spans="1:19" x14ac:dyDescent="0.3">
      <c r="A968" t="s">
        <v>1086</v>
      </c>
      <c r="B968" t="s">
        <v>23</v>
      </c>
      <c r="C968">
        <v>2026</v>
      </c>
      <c r="D968">
        <v>2</v>
      </c>
      <c r="E968" s="2">
        <v>46074</v>
      </c>
      <c r="F968" t="s">
        <v>7</v>
      </c>
      <c r="G968" t="s">
        <v>8</v>
      </c>
      <c r="H968" t="s">
        <v>74</v>
      </c>
      <c r="I968" t="s">
        <v>84</v>
      </c>
      <c r="J968" t="s">
        <v>85</v>
      </c>
      <c r="K968" t="s">
        <v>73</v>
      </c>
      <c r="L968">
        <v>701000</v>
      </c>
      <c r="M968" t="s">
        <v>62</v>
      </c>
      <c r="N968" t="s">
        <v>33</v>
      </c>
      <c r="O968">
        <v>2643</v>
      </c>
      <c r="P968">
        <v>0.95</v>
      </c>
      <c r="Q968">
        <v>2.5099999999999998</v>
      </c>
      <c r="R968" t="s">
        <v>1200</v>
      </c>
      <c r="S968" t="s">
        <v>195</v>
      </c>
    </row>
    <row r="969" spans="1:19" x14ac:dyDescent="0.3">
      <c r="A969" t="s">
        <v>1087</v>
      </c>
      <c r="B969" t="s">
        <v>23</v>
      </c>
      <c r="C969">
        <v>2026</v>
      </c>
      <c r="D969">
        <v>2</v>
      </c>
      <c r="E969" s="2">
        <v>46074</v>
      </c>
      <c r="F969" t="s">
        <v>7</v>
      </c>
      <c r="G969" t="s">
        <v>8</v>
      </c>
      <c r="H969" t="s">
        <v>74</v>
      </c>
      <c r="I969" t="s">
        <v>84</v>
      </c>
      <c r="J969" t="s">
        <v>85</v>
      </c>
      <c r="K969" t="s">
        <v>73</v>
      </c>
      <c r="L969">
        <v>701000</v>
      </c>
      <c r="M969" t="s">
        <v>62</v>
      </c>
      <c r="N969" t="s">
        <v>33</v>
      </c>
      <c r="O969">
        <v>7136</v>
      </c>
      <c r="P969">
        <v>0.95</v>
      </c>
      <c r="Q969">
        <v>6.78</v>
      </c>
      <c r="R969" t="s">
        <v>1201</v>
      </c>
      <c r="S969" t="s">
        <v>195</v>
      </c>
    </row>
    <row r="970" spans="1:19" x14ac:dyDescent="0.3">
      <c r="A970" t="s">
        <v>1088</v>
      </c>
      <c r="B970" t="s">
        <v>23</v>
      </c>
      <c r="C970">
        <v>2026</v>
      </c>
      <c r="D970">
        <v>2</v>
      </c>
      <c r="E970" s="2">
        <v>46074</v>
      </c>
      <c r="F970" t="s">
        <v>7</v>
      </c>
      <c r="G970" t="s">
        <v>8</v>
      </c>
      <c r="H970" t="s">
        <v>74</v>
      </c>
      <c r="I970" t="s">
        <v>84</v>
      </c>
      <c r="J970" t="s">
        <v>85</v>
      </c>
      <c r="K970" t="s">
        <v>73</v>
      </c>
      <c r="L970">
        <v>701000</v>
      </c>
      <c r="M970" t="s">
        <v>62</v>
      </c>
      <c r="N970" t="s">
        <v>33</v>
      </c>
      <c r="O970">
        <v>4903</v>
      </c>
      <c r="P970">
        <v>0.95</v>
      </c>
      <c r="Q970">
        <v>4.66</v>
      </c>
      <c r="R970" t="s">
        <v>1202</v>
      </c>
      <c r="S970" t="s">
        <v>195</v>
      </c>
    </row>
    <row r="971" spans="1:19" x14ac:dyDescent="0.3">
      <c r="A971" t="s">
        <v>1089</v>
      </c>
      <c r="B971" t="s">
        <v>23</v>
      </c>
      <c r="C971">
        <v>2026</v>
      </c>
      <c r="D971">
        <v>2</v>
      </c>
      <c r="E971" s="2">
        <v>46074</v>
      </c>
      <c r="F971" t="s">
        <v>7</v>
      </c>
      <c r="G971" t="s">
        <v>8</v>
      </c>
      <c r="H971" t="s">
        <v>74</v>
      </c>
      <c r="I971" t="s">
        <v>84</v>
      </c>
      <c r="J971" t="s">
        <v>85</v>
      </c>
      <c r="K971" t="s">
        <v>73</v>
      </c>
      <c r="L971">
        <v>701000</v>
      </c>
      <c r="M971" t="s">
        <v>62</v>
      </c>
      <c r="N971" t="s">
        <v>33</v>
      </c>
      <c r="O971">
        <v>3139</v>
      </c>
      <c r="P971">
        <v>0.95</v>
      </c>
      <c r="Q971">
        <v>2.98</v>
      </c>
      <c r="R971" t="s">
        <v>1204</v>
      </c>
      <c r="S971" t="s">
        <v>195</v>
      </c>
    </row>
    <row r="972" spans="1:19" x14ac:dyDescent="0.3">
      <c r="A972" t="s">
        <v>1015</v>
      </c>
      <c r="B972" t="s">
        <v>23</v>
      </c>
      <c r="C972">
        <v>2026</v>
      </c>
      <c r="D972">
        <v>2</v>
      </c>
      <c r="E972" s="2">
        <v>46076</v>
      </c>
      <c r="F972" t="s">
        <v>7</v>
      </c>
      <c r="G972" t="s">
        <v>8</v>
      </c>
      <c r="H972" t="s">
        <v>70</v>
      </c>
      <c r="I972" t="s">
        <v>84</v>
      </c>
      <c r="J972" t="s">
        <v>85</v>
      </c>
      <c r="K972" t="s">
        <v>73</v>
      </c>
      <c r="L972">
        <v>701000</v>
      </c>
      <c r="M972" t="s">
        <v>62</v>
      </c>
      <c r="N972" t="s">
        <v>33</v>
      </c>
      <c r="O972">
        <v>2312</v>
      </c>
      <c r="P972">
        <v>0.95</v>
      </c>
      <c r="Q972">
        <v>2.2000000000000002</v>
      </c>
      <c r="R972" t="s">
        <v>1200</v>
      </c>
      <c r="S972" t="s">
        <v>195</v>
      </c>
    </row>
    <row r="973" spans="1:19" x14ac:dyDescent="0.3">
      <c r="A973" t="s">
        <v>1016</v>
      </c>
      <c r="B973" t="s">
        <v>23</v>
      </c>
      <c r="C973">
        <v>2026</v>
      </c>
      <c r="D973">
        <v>2</v>
      </c>
      <c r="E973" s="2">
        <v>46076</v>
      </c>
      <c r="F973" t="s">
        <v>7</v>
      </c>
      <c r="G973" t="s">
        <v>8</v>
      </c>
      <c r="H973" t="s">
        <v>70</v>
      </c>
      <c r="I973" t="s">
        <v>84</v>
      </c>
      <c r="J973" t="s">
        <v>85</v>
      </c>
      <c r="K973" t="s">
        <v>73</v>
      </c>
      <c r="L973">
        <v>701000</v>
      </c>
      <c r="M973" t="s">
        <v>62</v>
      </c>
      <c r="N973" t="s">
        <v>33</v>
      </c>
      <c r="O973">
        <v>1490</v>
      </c>
      <c r="P973">
        <v>0.95</v>
      </c>
      <c r="Q973">
        <v>1.42</v>
      </c>
      <c r="R973" t="s">
        <v>1197</v>
      </c>
      <c r="S973" t="s">
        <v>195</v>
      </c>
    </row>
    <row r="974" spans="1:19" x14ac:dyDescent="0.3">
      <c r="A974" t="s">
        <v>1017</v>
      </c>
      <c r="B974" t="s">
        <v>23</v>
      </c>
      <c r="C974">
        <v>2026</v>
      </c>
      <c r="D974">
        <v>2</v>
      </c>
      <c r="E974" s="2">
        <v>46076</v>
      </c>
      <c r="F974" t="s">
        <v>7</v>
      </c>
      <c r="G974" t="s">
        <v>8</v>
      </c>
      <c r="H974" t="s">
        <v>70</v>
      </c>
      <c r="I974" t="s">
        <v>84</v>
      </c>
      <c r="J974" t="s">
        <v>85</v>
      </c>
      <c r="K974" t="s">
        <v>73</v>
      </c>
      <c r="L974">
        <v>701000</v>
      </c>
      <c r="M974" t="s">
        <v>62</v>
      </c>
      <c r="N974" t="s">
        <v>33</v>
      </c>
      <c r="O974">
        <v>2083</v>
      </c>
      <c r="P974">
        <v>0.95</v>
      </c>
      <c r="Q974">
        <v>1.98</v>
      </c>
      <c r="R974" t="s">
        <v>1202</v>
      </c>
      <c r="S974" t="s">
        <v>195</v>
      </c>
    </row>
    <row r="975" spans="1:19" x14ac:dyDescent="0.3">
      <c r="A975" t="s">
        <v>1018</v>
      </c>
      <c r="B975" t="s">
        <v>23</v>
      </c>
      <c r="C975">
        <v>2026</v>
      </c>
      <c r="D975">
        <v>2</v>
      </c>
      <c r="E975" s="2">
        <v>46076</v>
      </c>
      <c r="F975" t="s">
        <v>7</v>
      </c>
      <c r="G975" t="s">
        <v>8</v>
      </c>
      <c r="H975" t="s">
        <v>70</v>
      </c>
      <c r="I975" t="s">
        <v>84</v>
      </c>
      <c r="J975" t="s">
        <v>85</v>
      </c>
      <c r="K975" t="s">
        <v>73</v>
      </c>
      <c r="L975">
        <v>701000</v>
      </c>
      <c r="M975" t="s">
        <v>62</v>
      </c>
      <c r="N975" t="s">
        <v>33</v>
      </c>
      <c r="O975">
        <v>3672</v>
      </c>
      <c r="P975">
        <v>0.95</v>
      </c>
      <c r="Q975">
        <v>3.49</v>
      </c>
      <c r="R975" t="s">
        <v>1204</v>
      </c>
      <c r="S975" t="s">
        <v>195</v>
      </c>
    </row>
    <row r="976" spans="1:19" x14ac:dyDescent="0.3">
      <c r="A976" t="s">
        <v>1019</v>
      </c>
      <c r="B976" t="s">
        <v>23</v>
      </c>
      <c r="C976">
        <v>2026</v>
      </c>
      <c r="D976">
        <v>2</v>
      </c>
      <c r="E976" s="2">
        <v>46076</v>
      </c>
      <c r="F976" t="s">
        <v>7</v>
      </c>
      <c r="G976" t="s">
        <v>8</v>
      </c>
      <c r="H976" t="s">
        <v>70</v>
      </c>
      <c r="I976" t="s">
        <v>84</v>
      </c>
      <c r="J976" t="s">
        <v>85</v>
      </c>
      <c r="K976" t="s">
        <v>73</v>
      </c>
      <c r="L976">
        <v>701000</v>
      </c>
      <c r="M976" t="s">
        <v>62</v>
      </c>
      <c r="N976" t="s">
        <v>33</v>
      </c>
      <c r="O976">
        <v>11989</v>
      </c>
      <c r="P976">
        <v>0.95</v>
      </c>
      <c r="Q976">
        <v>11.38</v>
      </c>
      <c r="R976" t="s">
        <v>1205</v>
      </c>
      <c r="S976" t="s">
        <v>195</v>
      </c>
    </row>
    <row r="977" spans="1:19" x14ac:dyDescent="0.3">
      <c r="A977" t="s">
        <v>1120</v>
      </c>
      <c r="B977" t="s">
        <v>23</v>
      </c>
      <c r="C977">
        <v>2026</v>
      </c>
      <c r="D977">
        <v>2</v>
      </c>
      <c r="E977" s="2">
        <v>46078</v>
      </c>
      <c r="F977" t="s">
        <v>7</v>
      </c>
      <c r="G977" t="s">
        <v>8</v>
      </c>
      <c r="H977" t="s">
        <v>74</v>
      </c>
      <c r="I977" t="s">
        <v>84</v>
      </c>
      <c r="J977" t="s">
        <v>85</v>
      </c>
      <c r="K977" t="s">
        <v>73</v>
      </c>
      <c r="L977">
        <v>701000</v>
      </c>
      <c r="M977" t="s">
        <v>62</v>
      </c>
      <c r="N977" t="s">
        <v>33</v>
      </c>
      <c r="O977">
        <v>3160</v>
      </c>
      <c r="P977">
        <v>0.95</v>
      </c>
      <c r="Q977">
        <v>3</v>
      </c>
      <c r="R977" t="s">
        <v>1200</v>
      </c>
      <c r="S977" t="s">
        <v>195</v>
      </c>
    </row>
    <row r="978" spans="1:19" x14ac:dyDescent="0.3">
      <c r="A978" t="s">
        <v>1121</v>
      </c>
      <c r="B978" t="s">
        <v>23</v>
      </c>
      <c r="C978">
        <v>2026</v>
      </c>
      <c r="D978">
        <v>2</v>
      </c>
      <c r="E978" s="2">
        <v>46078</v>
      </c>
      <c r="F978" t="s">
        <v>7</v>
      </c>
      <c r="G978" t="s">
        <v>8</v>
      </c>
      <c r="H978" t="s">
        <v>74</v>
      </c>
      <c r="I978" t="s">
        <v>84</v>
      </c>
      <c r="J978" t="s">
        <v>85</v>
      </c>
      <c r="K978" t="s">
        <v>73</v>
      </c>
      <c r="L978">
        <v>701000</v>
      </c>
      <c r="M978" t="s">
        <v>62</v>
      </c>
      <c r="N978" t="s">
        <v>33</v>
      </c>
      <c r="O978">
        <v>3278</v>
      </c>
      <c r="P978">
        <v>0.95</v>
      </c>
      <c r="Q978">
        <v>3.11</v>
      </c>
      <c r="R978" t="s">
        <v>1198</v>
      </c>
      <c r="S978" t="s">
        <v>195</v>
      </c>
    </row>
    <row r="979" spans="1:19" x14ac:dyDescent="0.3">
      <c r="A979" t="s">
        <v>1122</v>
      </c>
      <c r="B979" t="s">
        <v>23</v>
      </c>
      <c r="C979">
        <v>2026</v>
      </c>
      <c r="D979">
        <v>2</v>
      </c>
      <c r="E979" s="2">
        <v>46078</v>
      </c>
      <c r="F979" t="s">
        <v>7</v>
      </c>
      <c r="G979" t="s">
        <v>8</v>
      </c>
      <c r="H979" t="s">
        <v>74</v>
      </c>
      <c r="I979" t="s">
        <v>84</v>
      </c>
      <c r="J979" t="s">
        <v>85</v>
      </c>
      <c r="K979" t="s">
        <v>73</v>
      </c>
      <c r="L979">
        <v>701000</v>
      </c>
      <c r="M979" t="s">
        <v>62</v>
      </c>
      <c r="N979" t="s">
        <v>33</v>
      </c>
      <c r="O979">
        <v>4125</v>
      </c>
      <c r="P979">
        <v>0.95</v>
      </c>
      <c r="Q979">
        <v>3.92</v>
      </c>
      <c r="R979" t="s">
        <v>1204</v>
      </c>
      <c r="S979" t="s">
        <v>195</v>
      </c>
    </row>
    <row r="980" spans="1:19" x14ac:dyDescent="0.3">
      <c r="A980" t="s">
        <v>1123</v>
      </c>
      <c r="B980" t="s">
        <v>23</v>
      </c>
      <c r="C980">
        <v>2026</v>
      </c>
      <c r="D980">
        <v>2</v>
      </c>
      <c r="E980" s="2">
        <v>46078</v>
      </c>
      <c r="F980" t="s">
        <v>7</v>
      </c>
      <c r="G980" t="s">
        <v>8</v>
      </c>
      <c r="H980" t="s">
        <v>74</v>
      </c>
      <c r="I980" t="s">
        <v>84</v>
      </c>
      <c r="J980" t="s">
        <v>85</v>
      </c>
      <c r="K980" t="s">
        <v>73</v>
      </c>
      <c r="L980">
        <v>701000</v>
      </c>
      <c r="M980" t="s">
        <v>62</v>
      </c>
      <c r="N980" t="s">
        <v>33</v>
      </c>
      <c r="O980">
        <v>3686</v>
      </c>
      <c r="P980">
        <v>0.95</v>
      </c>
      <c r="Q980">
        <v>3.5</v>
      </c>
      <c r="R980" t="s">
        <v>1202</v>
      </c>
      <c r="S980" t="s">
        <v>195</v>
      </c>
    </row>
    <row r="981" spans="1:19" x14ac:dyDescent="0.3">
      <c r="A981" t="s">
        <v>1124</v>
      </c>
      <c r="B981" t="s">
        <v>23</v>
      </c>
      <c r="C981">
        <v>2026</v>
      </c>
      <c r="D981">
        <v>2</v>
      </c>
      <c r="E981" s="2">
        <v>46078</v>
      </c>
      <c r="F981" t="s">
        <v>7</v>
      </c>
      <c r="G981" t="s">
        <v>8</v>
      </c>
      <c r="H981" t="s">
        <v>74</v>
      </c>
      <c r="I981" t="s">
        <v>84</v>
      </c>
      <c r="J981" t="s">
        <v>85</v>
      </c>
      <c r="K981" t="s">
        <v>73</v>
      </c>
      <c r="L981">
        <v>701000</v>
      </c>
      <c r="M981" t="s">
        <v>62</v>
      </c>
      <c r="N981" t="s">
        <v>33</v>
      </c>
      <c r="O981">
        <v>2270</v>
      </c>
      <c r="P981">
        <v>0.95</v>
      </c>
      <c r="Q981">
        <v>2.16</v>
      </c>
      <c r="R981" t="s">
        <v>1201</v>
      </c>
      <c r="S981" t="s">
        <v>195</v>
      </c>
    </row>
    <row r="982" spans="1:19" x14ac:dyDescent="0.3">
      <c r="A982" t="s">
        <v>1170</v>
      </c>
      <c r="B982" t="s">
        <v>23</v>
      </c>
      <c r="C982">
        <v>2026</v>
      </c>
      <c r="D982">
        <v>2</v>
      </c>
      <c r="E982" s="2">
        <v>46078</v>
      </c>
      <c r="F982" t="s">
        <v>7</v>
      </c>
      <c r="G982" t="s">
        <v>8</v>
      </c>
      <c r="H982" t="s">
        <v>70</v>
      </c>
      <c r="I982" t="s">
        <v>71</v>
      </c>
      <c r="J982" t="s">
        <v>72</v>
      </c>
      <c r="K982" t="s">
        <v>73</v>
      </c>
      <c r="L982">
        <v>701000</v>
      </c>
      <c r="M982" t="s">
        <v>62</v>
      </c>
      <c r="N982" t="s">
        <v>33</v>
      </c>
      <c r="O982">
        <v>5773</v>
      </c>
      <c r="P982">
        <v>1.05</v>
      </c>
      <c r="Q982">
        <v>6.06</v>
      </c>
      <c r="R982" t="s">
        <v>1198</v>
      </c>
      <c r="S982" t="s">
        <v>195</v>
      </c>
    </row>
    <row r="983" spans="1:19" x14ac:dyDescent="0.3">
      <c r="A983" t="s">
        <v>1171</v>
      </c>
      <c r="B983" t="s">
        <v>23</v>
      </c>
      <c r="C983">
        <v>2026</v>
      </c>
      <c r="D983">
        <v>2</v>
      </c>
      <c r="E983" s="2">
        <v>46078</v>
      </c>
      <c r="F983" t="s">
        <v>7</v>
      </c>
      <c r="G983" t="s">
        <v>8</v>
      </c>
      <c r="H983" t="s">
        <v>70</v>
      </c>
      <c r="I983" t="s">
        <v>71</v>
      </c>
      <c r="J983" t="s">
        <v>72</v>
      </c>
      <c r="K983" t="s">
        <v>73</v>
      </c>
      <c r="L983">
        <v>701000</v>
      </c>
      <c r="M983" t="s">
        <v>62</v>
      </c>
      <c r="N983" t="s">
        <v>33</v>
      </c>
      <c r="O983">
        <v>2667</v>
      </c>
      <c r="P983">
        <v>1.05</v>
      </c>
      <c r="Q983">
        <v>2.8</v>
      </c>
      <c r="R983" t="s">
        <v>1203</v>
      </c>
      <c r="S983" t="s">
        <v>195</v>
      </c>
    </row>
    <row r="984" spans="1:19" x14ac:dyDescent="0.3">
      <c r="A984" t="s">
        <v>1172</v>
      </c>
      <c r="B984" t="s">
        <v>23</v>
      </c>
      <c r="C984">
        <v>2026</v>
      </c>
      <c r="D984">
        <v>2</v>
      </c>
      <c r="E984" s="2">
        <v>46078</v>
      </c>
      <c r="F984" t="s">
        <v>7</v>
      </c>
      <c r="G984" t="s">
        <v>8</v>
      </c>
      <c r="H984" t="s">
        <v>70</v>
      </c>
      <c r="I984" t="s">
        <v>71</v>
      </c>
      <c r="J984" t="s">
        <v>72</v>
      </c>
      <c r="K984" t="s">
        <v>73</v>
      </c>
      <c r="L984">
        <v>701000</v>
      </c>
      <c r="M984" t="s">
        <v>62</v>
      </c>
      <c r="N984" t="s">
        <v>33</v>
      </c>
      <c r="O984">
        <v>4383</v>
      </c>
      <c r="P984">
        <v>1.05</v>
      </c>
      <c r="Q984">
        <v>4.5999999999999996</v>
      </c>
      <c r="R984" t="s">
        <v>1204</v>
      </c>
      <c r="S984" t="s">
        <v>195</v>
      </c>
    </row>
    <row r="985" spans="1:19" x14ac:dyDescent="0.3">
      <c r="A985" t="s">
        <v>1173</v>
      </c>
      <c r="B985" t="s">
        <v>23</v>
      </c>
      <c r="C985">
        <v>2026</v>
      </c>
      <c r="D985">
        <v>2</v>
      </c>
      <c r="E985" s="2">
        <v>46078</v>
      </c>
      <c r="F985" t="s">
        <v>7</v>
      </c>
      <c r="G985" t="s">
        <v>8</v>
      </c>
      <c r="H985" t="s">
        <v>70</v>
      </c>
      <c r="I985" t="s">
        <v>71</v>
      </c>
      <c r="J985" t="s">
        <v>72</v>
      </c>
      <c r="K985" t="s">
        <v>73</v>
      </c>
      <c r="L985">
        <v>701000</v>
      </c>
      <c r="M985" t="s">
        <v>62</v>
      </c>
      <c r="N985" t="s">
        <v>33</v>
      </c>
      <c r="O985">
        <v>2945</v>
      </c>
      <c r="P985">
        <v>1.05</v>
      </c>
      <c r="Q985">
        <v>3.09</v>
      </c>
      <c r="R985" t="s">
        <v>1202</v>
      </c>
      <c r="S985" t="s">
        <v>195</v>
      </c>
    </row>
    <row r="986" spans="1:19" x14ac:dyDescent="0.3">
      <c r="A986" t="s">
        <v>1174</v>
      </c>
      <c r="B986" t="s">
        <v>23</v>
      </c>
      <c r="C986">
        <v>2026</v>
      </c>
      <c r="D986">
        <v>2</v>
      </c>
      <c r="E986" s="2">
        <v>46078</v>
      </c>
      <c r="F986" t="s">
        <v>7</v>
      </c>
      <c r="G986" t="s">
        <v>8</v>
      </c>
      <c r="H986" t="s">
        <v>70</v>
      </c>
      <c r="I986" t="s">
        <v>71</v>
      </c>
      <c r="J986" t="s">
        <v>72</v>
      </c>
      <c r="K986" t="s">
        <v>73</v>
      </c>
      <c r="L986">
        <v>701000</v>
      </c>
      <c r="M986" t="s">
        <v>62</v>
      </c>
      <c r="N986" t="s">
        <v>33</v>
      </c>
      <c r="O986">
        <v>3206</v>
      </c>
      <c r="P986">
        <v>1.05</v>
      </c>
      <c r="Q986">
        <v>3.37</v>
      </c>
      <c r="R986" t="s">
        <v>1205</v>
      </c>
      <c r="S986" t="s">
        <v>195</v>
      </c>
    </row>
    <row r="987" spans="1:19" x14ac:dyDescent="0.3">
      <c r="A987" t="s">
        <v>1010</v>
      </c>
      <c r="B987" t="s">
        <v>23</v>
      </c>
      <c r="C987">
        <v>2026</v>
      </c>
      <c r="D987">
        <v>2</v>
      </c>
      <c r="E987" s="2">
        <v>46081</v>
      </c>
      <c r="F987" t="s">
        <v>7</v>
      </c>
      <c r="G987" t="s">
        <v>8</v>
      </c>
      <c r="H987" t="s">
        <v>70</v>
      </c>
      <c r="I987" t="s">
        <v>84</v>
      </c>
      <c r="J987" t="s">
        <v>85</v>
      </c>
      <c r="K987" t="s">
        <v>73</v>
      </c>
      <c r="L987">
        <v>701000</v>
      </c>
      <c r="M987" t="s">
        <v>62</v>
      </c>
      <c r="N987" t="s">
        <v>33</v>
      </c>
      <c r="O987">
        <v>6468</v>
      </c>
      <c r="P987">
        <v>0.95</v>
      </c>
      <c r="Q987">
        <v>6.14</v>
      </c>
      <c r="R987" t="s">
        <v>1205</v>
      </c>
      <c r="S987" t="s">
        <v>195</v>
      </c>
    </row>
    <row r="988" spans="1:19" x14ac:dyDescent="0.3">
      <c r="A988" t="s">
        <v>1011</v>
      </c>
      <c r="B988" t="s">
        <v>23</v>
      </c>
      <c r="C988">
        <v>2026</v>
      </c>
      <c r="D988">
        <v>2</v>
      </c>
      <c r="E988" s="2">
        <v>46081</v>
      </c>
      <c r="F988" t="s">
        <v>7</v>
      </c>
      <c r="G988" t="s">
        <v>8</v>
      </c>
      <c r="H988" t="s">
        <v>70</v>
      </c>
      <c r="I988" t="s">
        <v>84</v>
      </c>
      <c r="J988" t="s">
        <v>85</v>
      </c>
      <c r="K988" t="s">
        <v>73</v>
      </c>
      <c r="L988">
        <v>701000</v>
      </c>
      <c r="M988" t="s">
        <v>62</v>
      </c>
      <c r="N988" t="s">
        <v>33</v>
      </c>
      <c r="O988">
        <v>909</v>
      </c>
      <c r="P988">
        <v>0.95</v>
      </c>
      <c r="Q988">
        <v>0.86</v>
      </c>
      <c r="R988" t="s">
        <v>1200</v>
      </c>
      <c r="S988" t="s">
        <v>195</v>
      </c>
    </row>
    <row r="989" spans="1:19" x14ac:dyDescent="0.3">
      <c r="A989" t="s">
        <v>1012</v>
      </c>
      <c r="B989" t="s">
        <v>23</v>
      </c>
      <c r="C989">
        <v>2026</v>
      </c>
      <c r="D989">
        <v>2</v>
      </c>
      <c r="E989" s="2">
        <v>46081</v>
      </c>
      <c r="F989" t="s">
        <v>7</v>
      </c>
      <c r="G989" t="s">
        <v>8</v>
      </c>
      <c r="H989" t="s">
        <v>70</v>
      </c>
      <c r="I989" t="s">
        <v>84</v>
      </c>
      <c r="J989" t="s">
        <v>85</v>
      </c>
      <c r="K989" t="s">
        <v>73</v>
      </c>
      <c r="L989">
        <v>701000</v>
      </c>
      <c r="M989" t="s">
        <v>62</v>
      </c>
      <c r="N989" t="s">
        <v>33</v>
      </c>
      <c r="O989">
        <v>2456</v>
      </c>
      <c r="P989">
        <v>0.95</v>
      </c>
      <c r="Q989">
        <v>2.33</v>
      </c>
      <c r="R989" t="s">
        <v>1201</v>
      </c>
      <c r="S989" t="s">
        <v>195</v>
      </c>
    </row>
    <row r="990" spans="1:19" x14ac:dyDescent="0.3">
      <c r="A990" t="s">
        <v>1013</v>
      </c>
      <c r="B990" t="s">
        <v>23</v>
      </c>
      <c r="C990">
        <v>2026</v>
      </c>
      <c r="D990">
        <v>2</v>
      </c>
      <c r="E990" s="2">
        <v>46081</v>
      </c>
      <c r="F990" t="s">
        <v>7</v>
      </c>
      <c r="G990" t="s">
        <v>8</v>
      </c>
      <c r="H990" t="s">
        <v>70</v>
      </c>
      <c r="I990" t="s">
        <v>84</v>
      </c>
      <c r="J990" t="s">
        <v>85</v>
      </c>
      <c r="K990" t="s">
        <v>73</v>
      </c>
      <c r="L990">
        <v>701000</v>
      </c>
      <c r="M990" t="s">
        <v>62</v>
      </c>
      <c r="N990" t="s">
        <v>33</v>
      </c>
      <c r="O990">
        <v>3609</v>
      </c>
      <c r="P990">
        <v>0.95</v>
      </c>
      <c r="Q990">
        <v>3.43</v>
      </c>
      <c r="R990" t="s">
        <v>1198</v>
      </c>
      <c r="S990" t="s">
        <v>195</v>
      </c>
    </row>
    <row r="991" spans="1:19" x14ac:dyDescent="0.3">
      <c r="A991" t="s">
        <v>1014</v>
      </c>
      <c r="B991" t="s">
        <v>23</v>
      </c>
      <c r="C991">
        <v>2026</v>
      </c>
      <c r="D991">
        <v>2</v>
      </c>
      <c r="E991" s="2">
        <v>46081</v>
      </c>
      <c r="F991" t="s">
        <v>7</v>
      </c>
      <c r="G991" t="s">
        <v>8</v>
      </c>
      <c r="H991" t="s">
        <v>70</v>
      </c>
      <c r="I991" t="s">
        <v>84</v>
      </c>
      <c r="J991" t="s">
        <v>85</v>
      </c>
      <c r="K991" t="s">
        <v>73</v>
      </c>
      <c r="L991">
        <v>701000</v>
      </c>
      <c r="M991" t="s">
        <v>62</v>
      </c>
      <c r="N991" t="s">
        <v>33</v>
      </c>
      <c r="O991">
        <v>3318</v>
      </c>
      <c r="P991">
        <v>0.95</v>
      </c>
      <c r="Q991">
        <v>3.16</v>
      </c>
      <c r="R991" t="s">
        <v>1203</v>
      </c>
      <c r="S991" t="s">
        <v>195</v>
      </c>
    </row>
    <row r="992" spans="1:19" x14ac:dyDescent="0.3">
      <c r="A992" t="s">
        <v>1125</v>
      </c>
      <c r="B992" t="s">
        <v>23</v>
      </c>
      <c r="C992">
        <v>2026</v>
      </c>
      <c r="D992">
        <v>2</v>
      </c>
      <c r="E992" s="2">
        <v>46081</v>
      </c>
      <c r="F992" t="s">
        <v>7</v>
      </c>
      <c r="G992" t="s">
        <v>8</v>
      </c>
      <c r="H992" t="s">
        <v>74</v>
      </c>
      <c r="I992" t="s">
        <v>84</v>
      </c>
      <c r="J992" t="s">
        <v>85</v>
      </c>
      <c r="K992" t="s">
        <v>73</v>
      </c>
      <c r="L992">
        <v>709000</v>
      </c>
      <c r="M992" t="s">
        <v>86</v>
      </c>
      <c r="N992" t="s">
        <v>33</v>
      </c>
      <c r="O992">
        <v>0</v>
      </c>
      <c r="P992">
        <v>-1020</v>
      </c>
      <c r="Q992">
        <v>-1.02</v>
      </c>
      <c r="R992" t="s">
        <v>1199</v>
      </c>
      <c r="S992" t="s">
        <v>195</v>
      </c>
    </row>
    <row r="993" spans="1:19" x14ac:dyDescent="0.3">
      <c r="A993" t="s">
        <v>1126</v>
      </c>
      <c r="B993" t="s">
        <v>23</v>
      </c>
      <c r="C993">
        <v>2026</v>
      </c>
      <c r="D993">
        <v>2</v>
      </c>
      <c r="E993" s="2">
        <v>46081</v>
      </c>
      <c r="F993" t="s">
        <v>7</v>
      </c>
      <c r="G993" t="s">
        <v>8</v>
      </c>
      <c r="H993" t="s">
        <v>74</v>
      </c>
      <c r="I993" t="s">
        <v>84</v>
      </c>
      <c r="J993" t="s">
        <v>85</v>
      </c>
      <c r="K993" t="s">
        <v>73</v>
      </c>
      <c r="L993">
        <v>709000</v>
      </c>
      <c r="M993" t="s">
        <v>86</v>
      </c>
      <c r="N993" t="s">
        <v>33</v>
      </c>
      <c r="O993">
        <v>0</v>
      </c>
      <c r="P993">
        <v>-720</v>
      </c>
      <c r="Q993">
        <v>-0.72</v>
      </c>
      <c r="R993" t="s">
        <v>1203</v>
      </c>
      <c r="S993" t="s">
        <v>195</v>
      </c>
    </row>
    <row r="994" spans="1:19" x14ac:dyDescent="0.3">
      <c r="A994" t="s">
        <v>1127</v>
      </c>
      <c r="B994" t="s">
        <v>23</v>
      </c>
      <c r="C994">
        <v>2026</v>
      </c>
      <c r="D994">
        <v>2</v>
      </c>
      <c r="E994" s="2">
        <v>46081</v>
      </c>
      <c r="F994" t="s">
        <v>7</v>
      </c>
      <c r="G994" t="s">
        <v>8</v>
      </c>
      <c r="H994" t="s">
        <v>74</v>
      </c>
      <c r="I994" t="s">
        <v>84</v>
      </c>
      <c r="J994" t="s">
        <v>85</v>
      </c>
      <c r="K994" t="s">
        <v>73</v>
      </c>
      <c r="L994">
        <v>709000</v>
      </c>
      <c r="M994" t="s">
        <v>86</v>
      </c>
      <c r="N994" t="s">
        <v>33</v>
      </c>
      <c r="O994">
        <v>0</v>
      </c>
      <c r="P994">
        <v>-3170</v>
      </c>
      <c r="Q994">
        <v>-3.17</v>
      </c>
      <c r="R994" t="s">
        <v>1205</v>
      </c>
      <c r="S994" t="s">
        <v>195</v>
      </c>
    </row>
    <row r="995" spans="1:19" x14ac:dyDescent="0.3">
      <c r="A995" t="s">
        <v>1128</v>
      </c>
      <c r="B995" t="s">
        <v>23</v>
      </c>
      <c r="C995">
        <v>2026</v>
      </c>
      <c r="D995">
        <v>2</v>
      </c>
      <c r="E995" s="2">
        <v>46081</v>
      </c>
      <c r="F995" t="s">
        <v>7</v>
      </c>
      <c r="G995" t="s">
        <v>8</v>
      </c>
      <c r="H995" t="s">
        <v>74</v>
      </c>
      <c r="I995" t="s">
        <v>84</v>
      </c>
      <c r="J995" t="s">
        <v>85</v>
      </c>
      <c r="K995" t="s">
        <v>73</v>
      </c>
      <c r="L995">
        <v>709000</v>
      </c>
      <c r="M995" t="s">
        <v>86</v>
      </c>
      <c r="N995" t="s">
        <v>33</v>
      </c>
      <c r="O995">
        <v>0</v>
      </c>
      <c r="P995">
        <v>-1110</v>
      </c>
      <c r="Q995">
        <v>-1.1100000000000001</v>
      </c>
      <c r="R995" t="s">
        <v>1198</v>
      </c>
      <c r="S995" t="s">
        <v>195</v>
      </c>
    </row>
    <row r="996" spans="1:19" x14ac:dyDescent="0.3">
      <c r="A996" t="s">
        <v>1129</v>
      </c>
      <c r="B996" t="s">
        <v>23</v>
      </c>
      <c r="C996">
        <v>2026</v>
      </c>
      <c r="D996">
        <v>2</v>
      </c>
      <c r="E996" s="2">
        <v>46081</v>
      </c>
      <c r="F996" t="s">
        <v>7</v>
      </c>
      <c r="G996" t="s">
        <v>8</v>
      </c>
      <c r="H996" t="s">
        <v>74</v>
      </c>
      <c r="I996" t="s">
        <v>84</v>
      </c>
      <c r="J996" t="s">
        <v>85</v>
      </c>
      <c r="K996" t="s">
        <v>73</v>
      </c>
      <c r="L996">
        <v>709000</v>
      </c>
      <c r="M996" t="s">
        <v>86</v>
      </c>
      <c r="N996" t="s">
        <v>33</v>
      </c>
      <c r="O996">
        <v>0</v>
      </c>
      <c r="P996">
        <v>-3200</v>
      </c>
      <c r="Q996">
        <v>-3.2</v>
      </c>
      <c r="R996" t="s">
        <v>1201</v>
      </c>
      <c r="S996" t="s">
        <v>195</v>
      </c>
    </row>
    <row r="997" spans="1:19" x14ac:dyDescent="0.3">
      <c r="A997" t="s">
        <v>1175</v>
      </c>
      <c r="B997" t="s">
        <v>23</v>
      </c>
      <c r="C997">
        <v>2026</v>
      </c>
      <c r="D997">
        <v>2</v>
      </c>
      <c r="E997" s="2">
        <v>46081</v>
      </c>
      <c r="F997" t="s">
        <v>7</v>
      </c>
      <c r="G997" t="s">
        <v>8</v>
      </c>
      <c r="H997" t="s">
        <v>74</v>
      </c>
      <c r="I997" t="s">
        <v>71</v>
      </c>
      <c r="J997" t="s">
        <v>72</v>
      </c>
      <c r="K997" t="s">
        <v>73</v>
      </c>
      <c r="L997">
        <v>701000</v>
      </c>
      <c r="M997" t="s">
        <v>62</v>
      </c>
      <c r="N997" t="s">
        <v>33</v>
      </c>
      <c r="O997">
        <v>2485</v>
      </c>
      <c r="P997">
        <v>1.05</v>
      </c>
      <c r="Q997">
        <v>2.61</v>
      </c>
      <c r="R997" t="s">
        <v>1203</v>
      </c>
      <c r="S997" t="s">
        <v>195</v>
      </c>
    </row>
    <row r="998" spans="1:19" x14ac:dyDescent="0.3">
      <c r="A998" t="s">
        <v>1176</v>
      </c>
      <c r="B998" t="s">
        <v>23</v>
      </c>
      <c r="C998">
        <v>2026</v>
      </c>
      <c r="D998">
        <v>2</v>
      </c>
      <c r="E998" s="2">
        <v>46081</v>
      </c>
      <c r="F998" t="s">
        <v>7</v>
      </c>
      <c r="G998" t="s">
        <v>8</v>
      </c>
      <c r="H998" t="s">
        <v>74</v>
      </c>
      <c r="I998" t="s">
        <v>71</v>
      </c>
      <c r="J998" t="s">
        <v>72</v>
      </c>
      <c r="K998" t="s">
        <v>73</v>
      </c>
      <c r="L998">
        <v>701000</v>
      </c>
      <c r="M998" t="s">
        <v>62</v>
      </c>
      <c r="N998" t="s">
        <v>33</v>
      </c>
      <c r="O998">
        <v>2131</v>
      </c>
      <c r="P998">
        <v>1.05</v>
      </c>
      <c r="Q998">
        <v>2.2400000000000002</v>
      </c>
      <c r="R998" t="s">
        <v>1202</v>
      </c>
      <c r="S998" t="s">
        <v>195</v>
      </c>
    </row>
    <row r="999" spans="1:19" x14ac:dyDescent="0.3">
      <c r="A999" t="s">
        <v>1177</v>
      </c>
      <c r="B999" t="s">
        <v>23</v>
      </c>
      <c r="C999">
        <v>2026</v>
      </c>
      <c r="D999">
        <v>2</v>
      </c>
      <c r="E999" s="2">
        <v>46081</v>
      </c>
      <c r="F999" t="s">
        <v>7</v>
      </c>
      <c r="G999" t="s">
        <v>8</v>
      </c>
      <c r="H999" t="s">
        <v>74</v>
      </c>
      <c r="I999" t="s">
        <v>71</v>
      </c>
      <c r="J999" t="s">
        <v>72</v>
      </c>
      <c r="K999" t="s">
        <v>73</v>
      </c>
      <c r="L999">
        <v>701000</v>
      </c>
      <c r="M999" t="s">
        <v>62</v>
      </c>
      <c r="N999" t="s">
        <v>33</v>
      </c>
      <c r="O999">
        <v>5743</v>
      </c>
      <c r="P999">
        <v>1.05</v>
      </c>
      <c r="Q999">
        <v>6.03</v>
      </c>
      <c r="R999" t="s">
        <v>1197</v>
      </c>
      <c r="S999" t="s">
        <v>195</v>
      </c>
    </row>
    <row r="1000" spans="1:19" x14ac:dyDescent="0.3">
      <c r="A1000" t="s">
        <v>1178</v>
      </c>
      <c r="B1000" t="s">
        <v>23</v>
      </c>
      <c r="C1000">
        <v>2026</v>
      </c>
      <c r="D1000">
        <v>2</v>
      </c>
      <c r="E1000" s="2">
        <v>46081</v>
      </c>
      <c r="F1000" t="s">
        <v>7</v>
      </c>
      <c r="G1000" t="s">
        <v>8</v>
      </c>
      <c r="H1000" t="s">
        <v>74</v>
      </c>
      <c r="I1000" t="s">
        <v>71</v>
      </c>
      <c r="J1000" t="s">
        <v>72</v>
      </c>
      <c r="K1000" t="s">
        <v>73</v>
      </c>
      <c r="L1000">
        <v>701000</v>
      </c>
      <c r="M1000" t="s">
        <v>62</v>
      </c>
      <c r="N1000" t="s">
        <v>33</v>
      </c>
      <c r="O1000">
        <v>4382</v>
      </c>
      <c r="P1000">
        <v>1.05</v>
      </c>
      <c r="Q1000">
        <v>4.5999999999999996</v>
      </c>
      <c r="R1000" t="s">
        <v>1204</v>
      </c>
      <c r="S1000" t="s">
        <v>195</v>
      </c>
    </row>
    <row r="1001" spans="1:19" x14ac:dyDescent="0.3">
      <c r="A1001" t="s">
        <v>1179</v>
      </c>
      <c r="B1001" t="s">
        <v>23</v>
      </c>
      <c r="C1001">
        <v>2026</v>
      </c>
      <c r="D1001">
        <v>2</v>
      </c>
      <c r="E1001" s="2">
        <v>46081</v>
      </c>
      <c r="F1001" t="s">
        <v>7</v>
      </c>
      <c r="G1001" t="s">
        <v>8</v>
      </c>
      <c r="H1001" t="s">
        <v>74</v>
      </c>
      <c r="I1001" t="s">
        <v>71</v>
      </c>
      <c r="J1001" t="s">
        <v>72</v>
      </c>
      <c r="K1001" t="s">
        <v>73</v>
      </c>
      <c r="L1001">
        <v>701000</v>
      </c>
      <c r="M1001" t="s">
        <v>62</v>
      </c>
      <c r="N1001" t="s">
        <v>33</v>
      </c>
      <c r="O1001">
        <v>5102</v>
      </c>
      <c r="P1001">
        <v>1.05</v>
      </c>
      <c r="Q1001">
        <v>5.36</v>
      </c>
      <c r="R1001" t="s">
        <v>1198</v>
      </c>
      <c r="S1001" t="s">
        <v>195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8ED0-3A8A-40AA-8CB4-D95B0DA3A87B}">
  <sheetPr codeName="Feuil9"/>
  <dimension ref="A1:S1001"/>
  <sheetViews>
    <sheetView topLeftCell="A22" workbookViewId="0">
      <selection activeCell="R20" sqref="R19:R20"/>
    </sheetView>
  </sheetViews>
  <sheetFormatPr baseColWidth="10" defaultRowHeight="14.4" x14ac:dyDescent="0.3"/>
  <cols>
    <col min="1" max="1" width="11.6640625" bestFit="1" customWidth="1"/>
    <col min="2" max="2" width="10.5546875" bestFit="1" customWidth="1"/>
    <col min="3" max="3" width="8.88671875" bestFit="1" customWidth="1"/>
    <col min="4" max="4" width="7.44140625" bestFit="1" customWidth="1"/>
    <col min="5" max="5" width="10.5546875" bestFit="1" customWidth="1"/>
    <col min="6" max="6" width="12.77734375" bestFit="1" customWidth="1"/>
    <col min="7" max="7" width="19.33203125" bestFit="1" customWidth="1"/>
    <col min="8" max="8" width="7.88671875" bestFit="1" customWidth="1"/>
    <col min="9" max="9" width="14" bestFit="1" customWidth="1"/>
    <col min="10" max="10" width="21.109375" bestFit="1" customWidth="1"/>
    <col min="11" max="11" width="7.88671875" bestFit="1" customWidth="1"/>
    <col min="12" max="12" width="10" bestFit="1" customWidth="1"/>
    <col min="13" max="13" width="22.21875" bestFit="1" customWidth="1"/>
    <col min="14" max="14" width="15.44140625" bestFit="1" customWidth="1"/>
    <col min="15" max="15" width="10.77734375" bestFit="1" customWidth="1"/>
    <col min="16" max="16" width="18.21875" bestFit="1" customWidth="1"/>
    <col min="17" max="17" width="16.109375" bestFit="1" customWidth="1"/>
    <col min="18" max="18" width="12.21875" bestFit="1" customWidth="1"/>
    <col min="19" max="19" width="13" bestFit="1" customWidth="1"/>
  </cols>
  <sheetData>
    <row r="1" spans="1:19" x14ac:dyDescent="0.3">
      <c r="A1" t="s">
        <v>51</v>
      </c>
      <c r="B1" t="s">
        <v>52</v>
      </c>
      <c r="C1" t="s">
        <v>53</v>
      </c>
      <c r="D1" t="s">
        <v>54</v>
      </c>
      <c r="E1" t="s">
        <v>55</v>
      </c>
      <c r="F1" t="s">
        <v>56</v>
      </c>
      <c r="G1" t="s">
        <v>57</v>
      </c>
      <c r="H1" t="s">
        <v>64</v>
      </c>
      <c r="I1" t="s">
        <v>65</v>
      </c>
      <c r="J1" t="s">
        <v>66</v>
      </c>
      <c r="K1" t="s">
        <v>67</v>
      </c>
      <c r="L1" t="s">
        <v>58</v>
      </c>
      <c r="M1" t="s">
        <v>59</v>
      </c>
      <c r="N1" t="s">
        <v>60</v>
      </c>
      <c r="O1" t="s">
        <v>68</v>
      </c>
      <c r="P1" t="s">
        <v>69</v>
      </c>
      <c r="Q1" t="s">
        <v>61</v>
      </c>
      <c r="R1" t="s">
        <v>1195</v>
      </c>
      <c r="S1" t="s">
        <v>1196</v>
      </c>
    </row>
    <row r="2" spans="1:19" x14ac:dyDescent="0.3">
      <c r="A2" t="s">
        <v>194</v>
      </c>
      <c r="B2" t="s">
        <v>22</v>
      </c>
      <c r="C2">
        <v>2025</v>
      </c>
      <c r="D2">
        <v>1</v>
      </c>
      <c r="E2" s="2">
        <v>45683</v>
      </c>
      <c r="F2" t="s">
        <v>7</v>
      </c>
      <c r="G2" t="s">
        <v>8</v>
      </c>
      <c r="H2" t="s">
        <v>74</v>
      </c>
      <c r="I2" t="s">
        <v>84</v>
      </c>
      <c r="J2" t="s">
        <v>85</v>
      </c>
      <c r="K2" t="s">
        <v>73</v>
      </c>
      <c r="L2">
        <v>701000</v>
      </c>
      <c r="M2" t="s">
        <v>62</v>
      </c>
      <c r="N2" t="s">
        <v>33</v>
      </c>
      <c r="O2">
        <v>733</v>
      </c>
      <c r="P2">
        <v>0.95</v>
      </c>
      <c r="Q2">
        <v>0.7</v>
      </c>
      <c r="R2" t="s">
        <v>1204</v>
      </c>
      <c r="S2" t="s">
        <v>195</v>
      </c>
    </row>
    <row r="3" spans="1:19" x14ac:dyDescent="0.3">
      <c r="A3" t="s">
        <v>196</v>
      </c>
      <c r="B3" t="s">
        <v>22</v>
      </c>
      <c r="C3">
        <v>2025</v>
      </c>
      <c r="D3">
        <v>1</v>
      </c>
      <c r="E3" s="2">
        <v>45683</v>
      </c>
      <c r="F3" t="s">
        <v>7</v>
      </c>
      <c r="G3" t="s">
        <v>8</v>
      </c>
      <c r="H3" t="s">
        <v>74</v>
      </c>
      <c r="I3" t="s">
        <v>84</v>
      </c>
      <c r="J3" t="s">
        <v>85</v>
      </c>
      <c r="K3" t="s">
        <v>73</v>
      </c>
      <c r="L3">
        <v>701000</v>
      </c>
      <c r="M3" t="s">
        <v>62</v>
      </c>
      <c r="N3" t="s">
        <v>33</v>
      </c>
      <c r="O3">
        <v>2507</v>
      </c>
      <c r="P3">
        <v>0.95</v>
      </c>
      <c r="Q3">
        <v>2.38</v>
      </c>
      <c r="R3" t="s">
        <v>1201</v>
      </c>
      <c r="S3" t="s">
        <v>195</v>
      </c>
    </row>
    <row r="4" spans="1:19" x14ac:dyDescent="0.3">
      <c r="A4" t="s">
        <v>197</v>
      </c>
      <c r="B4" t="s">
        <v>22</v>
      </c>
      <c r="C4">
        <v>2025</v>
      </c>
      <c r="D4">
        <v>1</v>
      </c>
      <c r="E4" s="2">
        <v>45683</v>
      </c>
      <c r="F4" t="s">
        <v>7</v>
      </c>
      <c r="G4" t="s">
        <v>8</v>
      </c>
      <c r="H4" t="s">
        <v>74</v>
      </c>
      <c r="I4" t="s">
        <v>84</v>
      </c>
      <c r="J4" t="s">
        <v>85</v>
      </c>
      <c r="K4" t="s">
        <v>73</v>
      </c>
      <c r="L4">
        <v>701000</v>
      </c>
      <c r="M4" t="s">
        <v>62</v>
      </c>
      <c r="N4" t="s">
        <v>33</v>
      </c>
      <c r="O4">
        <v>4042</v>
      </c>
      <c r="P4">
        <v>0.95</v>
      </c>
      <c r="Q4">
        <v>3.84</v>
      </c>
      <c r="R4" t="s">
        <v>1205</v>
      </c>
      <c r="S4" t="s">
        <v>195</v>
      </c>
    </row>
    <row r="5" spans="1:19" x14ac:dyDescent="0.3">
      <c r="A5" t="s">
        <v>198</v>
      </c>
      <c r="B5" t="s">
        <v>22</v>
      </c>
      <c r="C5">
        <v>2025</v>
      </c>
      <c r="D5">
        <v>1</v>
      </c>
      <c r="E5" s="2">
        <v>45683</v>
      </c>
      <c r="F5" t="s">
        <v>7</v>
      </c>
      <c r="G5" t="s">
        <v>8</v>
      </c>
      <c r="H5" t="s">
        <v>74</v>
      </c>
      <c r="I5" t="s">
        <v>84</v>
      </c>
      <c r="J5" t="s">
        <v>85</v>
      </c>
      <c r="K5" t="s">
        <v>73</v>
      </c>
      <c r="L5">
        <v>701000</v>
      </c>
      <c r="M5" t="s">
        <v>62</v>
      </c>
      <c r="N5" t="s">
        <v>33</v>
      </c>
      <c r="O5">
        <v>3951</v>
      </c>
      <c r="P5">
        <v>0.95</v>
      </c>
      <c r="Q5">
        <v>3.75</v>
      </c>
      <c r="R5" t="s">
        <v>1200</v>
      </c>
      <c r="S5" t="s">
        <v>195</v>
      </c>
    </row>
    <row r="6" spans="1:19" x14ac:dyDescent="0.3">
      <c r="A6" t="s">
        <v>199</v>
      </c>
      <c r="B6" t="s">
        <v>22</v>
      </c>
      <c r="C6">
        <v>2025</v>
      </c>
      <c r="D6">
        <v>1</v>
      </c>
      <c r="E6" s="2">
        <v>45683</v>
      </c>
      <c r="F6" t="s">
        <v>7</v>
      </c>
      <c r="G6" t="s">
        <v>8</v>
      </c>
      <c r="H6" t="s">
        <v>74</v>
      </c>
      <c r="I6" t="s">
        <v>84</v>
      </c>
      <c r="J6" t="s">
        <v>85</v>
      </c>
      <c r="K6" t="s">
        <v>73</v>
      </c>
      <c r="L6">
        <v>701000</v>
      </c>
      <c r="M6" t="s">
        <v>62</v>
      </c>
      <c r="N6" t="s">
        <v>33</v>
      </c>
      <c r="O6">
        <v>2296</v>
      </c>
      <c r="P6">
        <v>0.95</v>
      </c>
      <c r="Q6">
        <v>2.1800000000000002</v>
      </c>
      <c r="R6" t="s">
        <v>1198</v>
      </c>
      <c r="S6" t="s">
        <v>195</v>
      </c>
    </row>
    <row r="7" spans="1:19" x14ac:dyDescent="0.3">
      <c r="A7" t="s">
        <v>200</v>
      </c>
      <c r="B7" t="s">
        <v>22</v>
      </c>
      <c r="C7">
        <v>2025</v>
      </c>
      <c r="D7">
        <v>1</v>
      </c>
      <c r="E7" s="2">
        <v>45680</v>
      </c>
      <c r="F7" t="s">
        <v>7</v>
      </c>
      <c r="G7" t="s">
        <v>8</v>
      </c>
      <c r="H7" t="s">
        <v>74</v>
      </c>
      <c r="I7" t="s">
        <v>84</v>
      </c>
      <c r="J7" t="s">
        <v>85</v>
      </c>
      <c r="K7" t="s">
        <v>73</v>
      </c>
      <c r="L7">
        <v>701000</v>
      </c>
      <c r="M7" t="s">
        <v>62</v>
      </c>
      <c r="N7" t="s">
        <v>33</v>
      </c>
      <c r="O7">
        <v>2120</v>
      </c>
      <c r="P7">
        <v>0.95</v>
      </c>
      <c r="Q7">
        <v>2.0099999999999998</v>
      </c>
      <c r="R7" t="s">
        <v>1204</v>
      </c>
      <c r="S7" t="s">
        <v>195</v>
      </c>
    </row>
    <row r="8" spans="1:19" x14ac:dyDescent="0.3">
      <c r="A8" t="s">
        <v>201</v>
      </c>
      <c r="B8" t="s">
        <v>22</v>
      </c>
      <c r="C8">
        <v>2025</v>
      </c>
      <c r="D8">
        <v>1</v>
      </c>
      <c r="E8" s="2">
        <v>45680</v>
      </c>
      <c r="F8" t="s">
        <v>7</v>
      </c>
      <c r="G8" t="s">
        <v>8</v>
      </c>
      <c r="H8" t="s">
        <v>74</v>
      </c>
      <c r="I8" t="s">
        <v>84</v>
      </c>
      <c r="J8" t="s">
        <v>85</v>
      </c>
      <c r="K8" t="s">
        <v>73</v>
      </c>
      <c r="L8">
        <v>701000</v>
      </c>
      <c r="M8" t="s">
        <v>62</v>
      </c>
      <c r="N8" t="s">
        <v>33</v>
      </c>
      <c r="O8">
        <v>1061</v>
      </c>
      <c r="P8">
        <v>0.95</v>
      </c>
      <c r="Q8">
        <v>1.01</v>
      </c>
      <c r="R8" t="s">
        <v>1203</v>
      </c>
      <c r="S8" t="s">
        <v>195</v>
      </c>
    </row>
    <row r="9" spans="1:19" x14ac:dyDescent="0.3">
      <c r="A9" t="s">
        <v>202</v>
      </c>
      <c r="B9" t="s">
        <v>22</v>
      </c>
      <c r="C9">
        <v>2025</v>
      </c>
      <c r="D9">
        <v>1</v>
      </c>
      <c r="E9" s="2">
        <v>45680</v>
      </c>
      <c r="F9" t="s">
        <v>7</v>
      </c>
      <c r="G9" t="s">
        <v>8</v>
      </c>
      <c r="H9" t="s">
        <v>74</v>
      </c>
      <c r="I9" t="s">
        <v>84</v>
      </c>
      <c r="J9" t="s">
        <v>85</v>
      </c>
      <c r="K9" t="s">
        <v>73</v>
      </c>
      <c r="L9">
        <v>701000</v>
      </c>
      <c r="M9" t="s">
        <v>62</v>
      </c>
      <c r="N9" t="s">
        <v>33</v>
      </c>
      <c r="O9">
        <v>2537</v>
      </c>
      <c r="P9">
        <v>0.95</v>
      </c>
      <c r="Q9">
        <v>2.41</v>
      </c>
      <c r="R9" t="s">
        <v>1205</v>
      </c>
      <c r="S9" t="s">
        <v>195</v>
      </c>
    </row>
    <row r="10" spans="1:19" x14ac:dyDescent="0.3">
      <c r="A10" t="s">
        <v>203</v>
      </c>
      <c r="B10" t="s">
        <v>22</v>
      </c>
      <c r="C10">
        <v>2025</v>
      </c>
      <c r="D10">
        <v>1</v>
      </c>
      <c r="E10" s="2">
        <v>45680</v>
      </c>
      <c r="F10" t="s">
        <v>7</v>
      </c>
      <c r="G10" t="s">
        <v>8</v>
      </c>
      <c r="H10" t="s">
        <v>74</v>
      </c>
      <c r="I10" t="s">
        <v>84</v>
      </c>
      <c r="J10" t="s">
        <v>85</v>
      </c>
      <c r="K10" t="s">
        <v>73</v>
      </c>
      <c r="L10">
        <v>701000</v>
      </c>
      <c r="M10" t="s">
        <v>62</v>
      </c>
      <c r="N10" t="s">
        <v>33</v>
      </c>
      <c r="O10">
        <v>4051</v>
      </c>
      <c r="P10">
        <v>0.95</v>
      </c>
      <c r="Q10">
        <v>3.85</v>
      </c>
      <c r="R10" t="s">
        <v>1199</v>
      </c>
      <c r="S10" t="s">
        <v>195</v>
      </c>
    </row>
    <row r="11" spans="1:19" x14ac:dyDescent="0.3">
      <c r="A11" t="s">
        <v>204</v>
      </c>
      <c r="B11" t="s">
        <v>22</v>
      </c>
      <c r="C11">
        <v>2025</v>
      </c>
      <c r="D11">
        <v>1</v>
      </c>
      <c r="E11" s="2">
        <v>45680</v>
      </c>
      <c r="F11" t="s">
        <v>7</v>
      </c>
      <c r="G11" t="s">
        <v>8</v>
      </c>
      <c r="H11" t="s">
        <v>74</v>
      </c>
      <c r="I11" t="s">
        <v>84</v>
      </c>
      <c r="J11" t="s">
        <v>85</v>
      </c>
      <c r="K11" t="s">
        <v>73</v>
      </c>
      <c r="L11">
        <v>701000</v>
      </c>
      <c r="M11" t="s">
        <v>62</v>
      </c>
      <c r="N11" t="s">
        <v>33</v>
      </c>
      <c r="O11">
        <v>2494</v>
      </c>
      <c r="P11">
        <v>0.95</v>
      </c>
      <c r="Q11">
        <v>2.37</v>
      </c>
      <c r="R11" t="s">
        <v>1201</v>
      </c>
      <c r="S11" t="s">
        <v>195</v>
      </c>
    </row>
    <row r="12" spans="1:19" x14ac:dyDescent="0.3">
      <c r="A12" t="s">
        <v>205</v>
      </c>
      <c r="B12" t="s">
        <v>22</v>
      </c>
      <c r="C12">
        <v>2025</v>
      </c>
      <c r="D12">
        <v>1</v>
      </c>
      <c r="E12" s="2">
        <v>45684</v>
      </c>
      <c r="F12" t="s">
        <v>7</v>
      </c>
      <c r="G12" t="s">
        <v>8</v>
      </c>
      <c r="H12" t="s">
        <v>74</v>
      </c>
      <c r="I12" t="s">
        <v>84</v>
      </c>
      <c r="J12" t="s">
        <v>85</v>
      </c>
      <c r="K12" t="s">
        <v>73</v>
      </c>
      <c r="L12">
        <v>701000</v>
      </c>
      <c r="M12" t="s">
        <v>62</v>
      </c>
      <c r="N12" t="s">
        <v>33</v>
      </c>
      <c r="O12">
        <v>1379</v>
      </c>
      <c r="P12">
        <v>0.95</v>
      </c>
      <c r="Q12">
        <v>1.31</v>
      </c>
      <c r="R12" t="s">
        <v>1203</v>
      </c>
      <c r="S12" t="s">
        <v>195</v>
      </c>
    </row>
    <row r="13" spans="1:19" x14ac:dyDescent="0.3">
      <c r="A13" t="s">
        <v>206</v>
      </c>
      <c r="B13" t="s">
        <v>22</v>
      </c>
      <c r="C13">
        <v>2025</v>
      </c>
      <c r="D13">
        <v>1</v>
      </c>
      <c r="E13" s="2">
        <v>45684</v>
      </c>
      <c r="F13" t="s">
        <v>7</v>
      </c>
      <c r="G13" t="s">
        <v>8</v>
      </c>
      <c r="H13" t="s">
        <v>74</v>
      </c>
      <c r="I13" t="s">
        <v>84</v>
      </c>
      <c r="J13" t="s">
        <v>85</v>
      </c>
      <c r="K13" t="s">
        <v>73</v>
      </c>
      <c r="L13">
        <v>701000</v>
      </c>
      <c r="M13" t="s">
        <v>62</v>
      </c>
      <c r="N13" t="s">
        <v>33</v>
      </c>
      <c r="O13">
        <v>1249</v>
      </c>
      <c r="P13">
        <v>0.95</v>
      </c>
      <c r="Q13">
        <v>1.19</v>
      </c>
      <c r="R13" t="s">
        <v>1205</v>
      </c>
      <c r="S13" t="s">
        <v>195</v>
      </c>
    </row>
    <row r="14" spans="1:19" x14ac:dyDescent="0.3">
      <c r="A14" t="s">
        <v>207</v>
      </c>
      <c r="B14" t="s">
        <v>22</v>
      </c>
      <c r="C14">
        <v>2025</v>
      </c>
      <c r="D14">
        <v>1</v>
      </c>
      <c r="E14" s="2">
        <v>45684</v>
      </c>
      <c r="F14" t="s">
        <v>7</v>
      </c>
      <c r="G14" t="s">
        <v>8</v>
      </c>
      <c r="H14" t="s">
        <v>74</v>
      </c>
      <c r="I14" t="s">
        <v>84</v>
      </c>
      <c r="J14" t="s">
        <v>85</v>
      </c>
      <c r="K14" t="s">
        <v>73</v>
      </c>
      <c r="L14">
        <v>701000</v>
      </c>
      <c r="M14" t="s">
        <v>62</v>
      </c>
      <c r="N14" t="s">
        <v>33</v>
      </c>
      <c r="O14">
        <v>2440</v>
      </c>
      <c r="P14">
        <v>0.95</v>
      </c>
      <c r="Q14">
        <v>2.3199999999999998</v>
      </c>
      <c r="R14" t="s">
        <v>1204</v>
      </c>
      <c r="S14" t="s">
        <v>195</v>
      </c>
    </row>
    <row r="15" spans="1:19" x14ac:dyDescent="0.3">
      <c r="A15" t="s">
        <v>208</v>
      </c>
      <c r="B15" t="s">
        <v>22</v>
      </c>
      <c r="C15">
        <v>2025</v>
      </c>
      <c r="D15">
        <v>1</v>
      </c>
      <c r="E15" s="2">
        <v>45684</v>
      </c>
      <c r="F15" t="s">
        <v>7</v>
      </c>
      <c r="G15" t="s">
        <v>8</v>
      </c>
      <c r="H15" t="s">
        <v>74</v>
      </c>
      <c r="I15" t="s">
        <v>84</v>
      </c>
      <c r="J15" t="s">
        <v>85</v>
      </c>
      <c r="K15" t="s">
        <v>73</v>
      </c>
      <c r="L15">
        <v>701000</v>
      </c>
      <c r="M15" t="s">
        <v>62</v>
      </c>
      <c r="N15" t="s">
        <v>33</v>
      </c>
      <c r="O15">
        <v>926</v>
      </c>
      <c r="P15">
        <v>0.95</v>
      </c>
      <c r="Q15">
        <v>0.88</v>
      </c>
      <c r="R15" t="s">
        <v>1200</v>
      </c>
      <c r="S15" t="s">
        <v>195</v>
      </c>
    </row>
    <row r="16" spans="1:19" x14ac:dyDescent="0.3">
      <c r="A16" t="s">
        <v>209</v>
      </c>
      <c r="B16" t="s">
        <v>22</v>
      </c>
      <c r="C16">
        <v>2025</v>
      </c>
      <c r="D16">
        <v>1</v>
      </c>
      <c r="E16" s="2">
        <v>45684</v>
      </c>
      <c r="F16" t="s">
        <v>7</v>
      </c>
      <c r="G16" t="s">
        <v>8</v>
      </c>
      <c r="H16" t="s">
        <v>74</v>
      </c>
      <c r="I16" t="s">
        <v>84</v>
      </c>
      <c r="J16" t="s">
        <v>85</v>
      </c>
      <c r="K16" t="s">
        <v>73</v>
      </c>
      <c r="L16">
        <v>701000</v>
      </c>
      <c r="M16" t="s">
        <v>62</v>
      </c>
      <c r="N16" t="s">
        <v>33</v>
      </c>
      <c r="O16">
        <v>6389</v>
      </c>
      <c r="P16">
        <v>0.95</v>
      </c>
      <c r="Q16">
        <v>6.06</v>
      </c>
      <c r="R16" t="s">
        <v>1198</v>
      </c>
      <c r="S16" t="s">
        <v>195</v>
      </c>
    </row>
    <row r="17" spans="1:19" x14ac:dyDescent="0.3">
      <c r="A17" t="s">
        <v>210</v>
      </c>
      <c r="B17" t="s">
        <v>22</v>
      </c>
      <c r="C17">
        <v>2025</v>
      </c>
      <c r="D17">
        <v>1</v>
      </c>
      <c r="E17" s="2">
        <v>45674</v>
      </c>
      <c r="F17" t="s">
        <v>7</v>
      </c>
      <c r="G17" t="s">
        <v>8</v>
      </c>
      <c r="H17" t="s">
        <v>74</v>
      </c>
      <c r="I17" t="s">
        <v>84</v>
      </c>
      <c r="J17" t="s">
        <v>85</v>
      </c>
      <c r="K17" t="s">
        <v>73</v>
      </c>
      <c r="L17">
        <v>701000</v>
      </c>
      <c r="M17" t="s">
        <v>62</v>
      </c>
      <c r="N17" t="s">
        <v>33</v>
      </c>
      <c r="O17">
        <v>4345</v>
      </c>
      <c r="P17">
        <v>0.95</v>
      </c>
      <c r="Q17">
        <v>4.13</v>
      </c>
      <c r="R17" t="s">
        <v>1199</v>
      </c>
      <c r="S17" t="s">
        <v>195</v>
      </c>
    </row>
    <row r="18" spans="1:19" x14ac:dyDescent="0.3">
      <c r="A18" t="s">
        <v>211</v>
      </c>
      <c r="B18" t="s">
        <v>22</v>
      </c>
      <c r="C18">
        <v>2025</v>
      </c>
      <c r="D18">
        <v>1</v>
      </c>
      <c r="E18" s="2">
        <v>45674</v>
      </c>
      <c r="F18" t="s">
        <v>7</v>
      </c>
      <c r="G18" t="s">
        <v>8</v>
      </c>
      <c r="H18" t="s">
        <v>74</v>
      </c>
      <c r="I18" t="s">
        <v>84</v>
      </c>
      <c r="J18" t="s">
        <v>85</v>
      </c>
      <c r="K18" t="s">
        <v>73</v>
      </c>
      <c r="L18">
        <v>701000</v>
      </c>
      <c r="M18" t="s">
        <v>62</v>
      </c>
      <c r="N18" t="s">
        <v>33</v>
      </c>
      <c r="O18">
        <v>2345</v>
      </c>
      <c r="P18">
        <v>0.95</v>
      </c>
      <c r="Q18">
        <v>2.23</v>
      </c>
      <c r="R18" t="s">
        <v>1202</v>
      </c>
      <c r="S18" t="s">
        <v>195</v>
      </c>
    </row>
    <row r="19" spans="1:19" x14ac:dyDescent="0.3">
      <c r="A19" t="s">
        <v>212</v>
      </c>
      <c r="B19" t="s">
        <v>22</v>
      </c>
      <c r="C19">
        <v>2025</v>
      </c>
      <c r="D19">
        <v>1</v>
      </c>
      <c r="E19" s="2">
        <v>45674</v>
      </c>
      <c r="F19" t="s">
        <v>7</v>
      </c>
      <c r="G19" t="s">
        <v>8</v>
      </c>
      <c r="H19" t="s">
        <v>74</v>
      </c>
      <c r="I19" t="s">
        <v>84</v>
      </c>
      <c r="J19" t="s">
        <v>85</v>
      </c>
      <c r="K19" t="s">
        <v>73</v>
      </c>
      <c r="L19">
        <v>701000</v>
      </c>
      <c r="M19" t="s">
        <v>62</v>
      </c>
      <c r="N19" t="s">
        <v>33</v>
      </c>
      <c r="O19">
        <v>1955</v>
      </c>
      <c r="P19">
        <v>0.95</v>
      </c>
      <c r="Q19">
        <v>1.86</v>
      </c>
      <c r="R19" t="s">
        <v>1198</v>
      </c>
      <c r="S19" t="s">
        <v>195</v>
      </c>
    </row>
    <row r="20" spans="1:19" x14ac:dyDescent="0.3">
      <c r="A20" t="s">
        <v>213</v>
      </c>
      <c r="B20" t="s">
        <v>22</v>
      </c>
      <c r="C20">
        <v>2025</v>
      </c>
      <c r="D20">
        <v>1</v>
      </c>
      <c r="E20" s="2">
        <v>45674</v>
      </c>
      <c r="F20" t="s">
        <v>7</v>
      </c>
      <c r="G20" t="s">
        <v>8</v>
      </c>
      <c r="H20" t="s">
        <v>74</v>
      </c>
      <c r="I20" t="s">
        <v>84</v>
      </c>
      <c r="J20" t="s">
        <v>85</v>
      </c>
      <c r="K20" t="s">
        <v>73</v>
      </c>
      <c r="L20">
        <v>701000</v>
      </c>
      <c r="M20" t="s">
        <v>62</v>
      </c>
      <c r="N20" t="s">
        <v>33</v>
      </c>
      <c r="O20">
        <v>1465</v>
      </c>
      <c r="P20">
        <v>0.95</v>
      </c>
      <c r="Q20">
        <v>1.39</v>
      </c>
      <c r="R20" t="s">
        <v>1205</v>
      </c>
      <c r="S20" t="s">
        <v>195</v>
      </c>
    </row>
    <row r="21" spans="1:19" x14ac:dyDescent="0.3">
      <c r="A21" t="s">
        <v>214</v>
      </c>
      <c r="B21" t="s">
        <v>22</v>
      </c>
      <c r="C21">
        <v>2025</v>
      </c>
      <c r="D21">
        <v>1</v>
      </c>
      <c r="E21" s="2">
        <v>45674</v>
      </c>
      <c r="F21" t="s">
        <v>7</v>
      </c>
      <c r="G21" t="s">
        <v>8</v>
      </c>
      <c r="H21" t="s">
        <v>74</v>
      </c>
      <c r="I21" t="s">
        <v>84</v>
      </c>
      <c r="J21" t="s">
        <v>85</v>
      </c>
      <c r="K21" t="s">
        <v>73</v>
      </c>
      <c r="L21">
        <v>701000</v>
      </c>
      <c r="M21" t="s">
        <v>62</v>
      </c>
      <c r="N21" t="s">
        <v>33</v>
      </c>
      <c r="O21">
        <v>1871</v>
      </c>
      <c r="P21">
        <v>0.95</v>
      </c>
      <c r="Q21">
        <v>1.77</v>
      </c>
      <c r="R21" t="s">
        <v>1203</v>
      </c>
      <c r="S21" t="s">
        <v>195</v>
      </c>
    </row>
    <row r="22" spans="1:19" x14ac:dyDescent="0.3">
      <c r="A22" t="s">
        <v>215</v>
      </c>
      <c r="B22" t="s">
        <v>22</v>
      </c>
      <c r="C22">
        <v>2025</v>
      </c>
      <c r="D22">
        <v>1</v>
      </c>
      <c r="E22" s="2">
        <v>45680</v>
      </c>
      <c r="F22" t="s">
        <v>7</v>
      </c>
      <c r="G22" t="s">
        <v>8</v>
      </c>
      <c r="H22" t="s">
        <v>70</v>
      </c>
      <c r="I22" t="s">
        <v>84</v>
      </c>
      <c r="J22" t="s">
        <v>85</v>
      </c>
      <c r="K22" t="s">
        <v>73</v>
      </c>
      <c r="L22">
        <v>707000</v>
      </c>
      <c r="M22" t="s">
        <v>81</v>
      </c>
      <c r="N22" t="s">
        <v>33</v>
      </c>
      <c r="O22">
        <v>2464</v>
      </c>
      <c r="P22">
        <v>0.95</v>
      </c>
      <c r="Q22">
        <v>2.34</v>
      </c>
      <c r="R22" t="s">
        <v>1200</v>
      </c>
      <c r="S22" t="s">
        <v>195</v>
      </c>
    </row>
    <row r="23" spans="1:19" x14ac:dyDescent="0.3">
      <c r="A23" t="s">
        <v>216</v>
      </c>
      <c r="B23" t="s">
        <v>22</v>
      </c>
      <c r="C23">
        <v>2025</v>
      </c>
      <c r="D23">
        <v>1</v>
      </c>
      <c r="E23" s="2">
        <v>45680</v>
      </c>
      <c r="F23" t="s">
        <v>7</v>
      </c>
      <c r="G23" t="s">
        <v>8</v>
      </c>
      <c r="H23" t="s">
        <v>70</v>
      </c>
      <c r="I23" t="s">
        <v>84</v>
      </c>
      <c r="J23" t="s">
        <v>85</v>
      </c>
      <c r="K23" t="s">
        <v>73</v>
      </c>
      <c r="L23">
        <v>707000</v>
      </c>
      <c r="M23" t="s">
        <v>81</v>
      </c>
      <c r="N23" t="s">
        <v>33</v>
      </c>
      <c r="O23">
        <v>2082</v>
      </c>
      <c r="P23">
        <v>0.95</v>
      </c>
      <c r="Q23">
        <v>1.98</v>
      </c>
      <c r="R23" t="s">
        <v>1197</v>
      </c>
      <c r="S23" t="s">
        <v>195</v>
      </c>
    </row>
    <row r="24" spans="1:19" x14ac:dyDescent="0.3">
      <c r="A24" t="s">
        <v>217</v>
      </c>
      <c r="B24" t="s">
        <v>22</v>
      </c>
      <c r="C24">
        <v>2025</v>
      </c>
      <c r="D24">
        <v>1</v>
      </c>
      <c r="E24" s="2">
        <v>45680</v>
      </c>
      <c r="F24" t="s">
        <v>7</v>
      </c>
      <c r="G24" t="s">
        <v>8</v>
      </c>
      <c r="H24" t="s">
        <v>70</v>
      </c>
      <c r="I24" t="s">
        <v>84</v>
      </c>
      <c r="J24" t="s">
        <v>85</v>
      </c>
      <c r="K24" t="s">
        <v>73</v>
      </c>
      <c r="L24">
        <v>707000</v>
      </c>
      <c r="M24" t="s">
        <v>81</v>
      </c>
      <c r="N24" t="s">
        <v>33</v>
      </c>
      <c r="O24">
        <v>793</v>
      </c>
      <c r="P24">
        <v>0.95</v>
      </c>
      <c r="Q24">
        <v>0.75</v>
      </c>
      <c r="R24" t="s">
        <v>1199</v>
      </c>
      <c r="S24" t="s">
        <v>195</v>
      </c>
    </row>
    <row r="25" spans="1:19" x14ac:dyDescent="0.3">
      <c r="A25" t="s">
        <v>218</v>
      </c>
      <c r="B25" t="s">
        <v>22</v>
      </c>
      <c r="C25">
        <v>2025</v>
      </c>
      <c r="D25">
        <v>1</v>
      </c>
      <c r="E25" s="2">
        <v>45680</v>
      </c>
      <c r="F25" t="s">
        <v>7</v>
      </c>
      <c r="G25" t="s">
        <v>8</v>
      </c>
      <c r="H25" t="s">
        <v>70</v>
      </c>
      <c r="I25" t="s">
        <v>84</v>
      </c>
      <c r="J25" t="s">
        <v>85</v>
      </c>
      <c r="K25" t="s">
        <v>73</v>
      </c>
      <c r="L25">
        <v>707000</v>
      </c>
      <c r="M25" t="s">
        <v>81</v>
      </c>
      <c r="N25" t="s">
        <v>33</v>
      </c>
      <c r="O25">
        <v>1722</v>
      </c>
      <c r="P25">
        <v>0.95</v>
      </c>
      <c r="Q25">
        <v>1.64</v>
      </c>
      <c r="R25" t="s">
        <v>1204</v>
      </c>
      <c r="S25" t="s">
        <v>195</v>
      </c>
    </row>
    <row r="26" spans="1:19" x14ac:dyDescent="0.3">
      <c r="A26" t="s">
        <v>219</v>
      </c>
      <c r="B26" t="s">
        <v>22</v>
      </c>
      <c r="C26">
        <v>2025</v>
      </c>
      <c r="D26">
        <v>1</v>
      </c>
      <c r="E26" s="2">
        <v>45680</v>
      </c>
      <c r="F26" t="s">
        <v>7</v>
      </c>
      <c r="G26" t="s">
        <v>8</v>
      </c>
      <c r="H26" t="s">
        <v>70</v>
      </c>
      <c r="I26" t="s">
        <v>84</v>
      </c>
      <c r="J26" t="s">
        <v>85</v>
      </c>
      <c r="K26" t="s">
        <v>73</v>
      </c>
      <c r="L26">
        <v>707000</v>
      </c>
      <c r="M26" t="s">
        <v>81</v>
      </c>
      <c r="N26" t="s">
        <v>33</v>
      </c>
      <c r="O26">
        <v>3803</v>
      </c>
      <c r="P26">
        <v>0.95</v>
      </c>
      <c r="Q26">
        <v>3.61</v>
      </c>
      <c r="R26" t="s">
        <v>1198</v>
      </c>
      <c r="S26" t="s">
        <v>195</v>
      </c>
    </row>
    <row r="27" spans="1:19" x14ac:dyDescent="0.3">
      <c r="A27" t="s">
        <v>220</v>
      </c>
      <c r="B27" t="s">
        <v>22</v>
      </c>
      <c r="C27">
        <v>2025</v>
      </c>
      <c r="D27">
        <v>1</v>
      </c>
      <c r="E27" s="2">
        <v>45671</v>
      </c>
      <c r="F27" t="s">
        <v>7</v>
      </c>
      <c r="G27" t="s">
        <v>8</v>
      </c>
      <c r="H27" t="s">
        <v>74</v>
      </c>
      <c r="I27" t="s">
        <v>84</v>
      </c>
      <c r="J27" t="s">
        <v>85</v>
      </c>
      <c r="K27" t="s">
        <v>73</v>
      </c>
      <c r="L27">
        <v>701000</v>
      </c>
      <c r="M27" t="s">
        <v>62</v>
      </c>
      <c r="N27" t="s">
        <v>33</v>
      </c>
      <c r="O27">
        <v>1142</v>
      </c>
      <c r="P27">
        <v>0.95</v>
      </c>
      <c r="Q27">
        <v>1.0900000000000001</v>
      </c>
      <c r="R27" t="s">
        <v>1198</v>
      </c>
      <c r="S27" t="s">
        <v>195</v>
      </c>
    </row>
    <row r="28" spans="1:19" x14ac:dyDescent="0.3">
      <c r="A28" t="s">
        <v>221</v>
      </c>
      <c r="B28" t="s">
        <v>22</v>
      </c>
      <c r="C28">
        <v>2025</v>
      </c>
      <c r="D28">
        <v>1</v>
      </c>
      <c r="E28" s="2">
        <v>45671</v>
      </c>
      <c r="F28" t="s">
        <v>7</v>
      </c>
      <c r="G28" t="s">
        <v>8</v>
      </c>
      <c r="H28" t="s">
        <v>74</v>
      </c>
      <c r="I28" t="s">
        <v>84</v>
      </c>
      <c r="J28" t="s">
        <v>85</v>
      </c>
      <c r="K28" t="s">
        <v>73</v>
      </c>
      <c r="L28">
        <v>701000</v>
      </c>
      <c r="M28" t="s">
        <v>62</v>
      </c>
      <c r="N28" t="s">
        <v>33</v>
      </c>
      <c r="O28">
        <v>3460</v>
      </c>
      <c r="P28">
        <v>0.95</v>
      </c>
      <c r="Q28">
        <v>3.29</v>
      </c>
      <c r="R28" t="s">
        <v>1197</v>
      </c>
      <c r="S28" t="s">
        <v>195</v>
      </c>
    </row>
    <row r="29" spans="1:19" x14ac:dyDescent="0.3">
      <c r="A29" t="s">
        <v>222</v>
      </c>
      <c r="B29" t="s">
        <v>22</v>
      </c>
      <c r="C29">
        <v>2025</v>
      </c>
      <c r="D29">
        <v>1</v>
      </c>
      <c r="E29" s="2">
        <v>45671</v>
      </c>
      <c r="F29" t="s">
        <v>7</v>
      </c>
      <c r="G29" t="s">
        <v>8</v>
      </c>
      <c r="H29" t="s">
        <v>74</v>
      </c>
      <c r="I29" t="s">
        <v>84</v>
      </c>
      <c r="J29" t="s">
        <v>85</v>
      </c>
      <c r="K29" t="s">
        <v>73</v>
      </c>
      <c r="L29">
        <v>701000</v>
      </c>
      <c r="M29" t="s">
        <v>62</v>
      </c>
      <c r="N29" t="s">
        <v>33</v>
      </c>
      <c r="O29">
        <v>4394</v>
      </c>
      <c r="P29">
        <v>0.95</v>
      </c>
      <c r="Q29">
        <v>4.17</v>
      </c>
      <c r="R29" t="s">
        <v>1204</v>
      </c>
      <c r="S29" t="s">
        <v>195</v>
      </c>
    </row>
    <row r="30" spans="1:19" x14ac:dyDescent="0.3">
      <c r="A30" t="s">
        <v>223</v>
      </c>
      <c r="B30" t="s">
        <v>22</v>
      </c>
      <c r="C30">
        <v>2025</v>
      </c>
      <c r="D30">
        <v>1</v>
      </c>
      <c r="E30" s="2">
        <v>45671</v>
      </c>
      <c r="F30" t="s">
        <v>7</v>
      </c>
      <c r="G30" t="s">
        <v>8</v>
      </c>
      <c r="H30" t="s">
        <v>74</v>
      </c>
      <c r="I30" t="s">
        <v>84</v>
      </c>
      <c r="J30" t="s">
        <v>85</v>
      </c>
      <c r="K30" t="s">
        <v>73</v>
      </c>
      <c r="L30">
        <v>701000</v>
      </c>
      <c r="M30" t="s">
        <v>62</v>
      </c>
      <c r="N30" t="s">
        <v>33</v>
      </c>
      <c r="O30">
        <v>834</v>
      </c>
      <c r="P30">
        <v>0.95</v>
      </c>
      <c r="Q30">
        <v>0.79</v>
      </c>
      <c r="R30" t="s">
        <v>1202</v>
      </c>
      <c r="S30" t="s">
        <v>195</v>
      </c>
    </row>
    <row r="31" spans="1:19" x14ac:dyDescent="0.3">
      <c r="A31" t="s">
        <v>224</v>
      </c>
      <c r="B31" t="s">
        <v>22</v>
      </c>
      <c r="C31">
        <v>2025</v>
      </c>
      <c r="D31">
        <v>1</v>
      </c>
      <c r="E31" s="2">
        <v>45671</v>
      </c>
      <c r="F31" t="s">
        <v>7</v>
      </c>
      <c r="G31" t="s">
        <v>8</v>
      </c>
      <c r="H31" t="s">
        <v>74</v>
      </c>
      <c r="I31" t="s">
        <v>84</v>
      </c>
      <c r="J31" t="s">
        <v>85</v>
      </c>
      <c r="K31" t="s">
        <v>73</v>
      </c>
      <c r="L31">
        <v>701000</v>
      </c>
      <c r="M31" t="s">
        <v>62</v>
      </c>
      <c r="N31" t="s">
        <v>33</v>
      </c>
      <c r="O31">
        <v>5311</v>
      </c>
      <c r="P31">
        <v>0.95</v>
      </c>
      <c r="Q31">
        <v>5.04</v>
      </c>
      <c r="R31" t="s">
        <v>1200</v>
      </c>
      <c r="S31" t="s">
        <v>195</v>
      </c>
    </row>
    <row r="32" spans="1:19" x14ac:dyDescent="0.3">
      <c r="A32" t="s">
        <v>225</v>
      </c>
      <c r="B32" t="s">
        <v>22</v>
      </c>
      <c r="C32">
        <v>2025</v>
      </c>
      <c r="D32">
        <v>1</v>
      </c>
      <c r="E32" s="2">
        <v>45677</v>
      </c>
      <c r="F32" t="s">
        <v>7</v>
      </c>
      <c r="G32" t="s">
        <v>8</v>
      </c>
      <c r="H32" t="s">
        <v>74</v>
      </c>
      <c r="I32" t="s">
        <v>84</v>
      </c>
      <c r="J32" t="s">
        <v>85</v>
      </c>
      <c r="K32" t="s">
        <v>73</v>
      </c>
      <c r="L32">
        <v>701000</v>
      </c>
      <c r="M32" t="s">
        <v>62</v>
      </c>
      <c r="N32" t="s">
        <v>33</v>
      </c>
      <c r="O32">
        <v>1889</v>
      </c>
      <c r="P32">
        <v>0.95</v>
      </c>
      <c r="Q32">
        <v>1.79</v>
      </c>
      <c r="R32" t="s">
        <v>1197</v>
      </c>
      <c r="S32" t="s">
        <v>195</v>
      </c>
    </row>
    <row r="33" spans="1:19" x14ac:dyDescent="0.3">
      <c r="A33" t="s">
        <v>226</v>
      </c>
      <c r="B33" t="s">
        <v>22</v>
      </c>
      <c r="C33">
        <v>2025</v>
      </c>
      <c r="D33">
        <v>1</v>
      </c>
      <c r="E33" s="2">
        <v>45677</v>
      </c>
      <c r="F33" t="s">
        <v>7</v>
      </c>
      <c r="G33" t="s">
        <v>8</v>
      </c>
      <c r="H33" t="s">
        <v>74</v>
      </c>
      <c r="I33" t="s">
        <v>84</v>
      </c>
      <c r="J33" t="s">
        <v>85</v>
      </c>
      <c r="K33" t="s">
        <v>73</v>
      </c>
      <c r="L33">
        <v>701000</v>
      </c>
      <c r="M33" t="s">
        <v>62</v>
      </c>
      <c r="N33" t="s">
        <v>33</v>
      </c>
      <c r="O33">
        <v>3827</v>
      </c>
      <c r="P33">
        <v>0.95</v>
      </c>
      <c r="Q33">
        <v>3.63</v>
      </c>
      <c r="R33" t="s">
        <v>1204</v>
      </c>
      <c r="S33" t="s">
        <v>195</v>
      </c>
    </row>
    <row r="34" spans="1:19" x14ac:dyDescent="0.3">
      <c r="A34" t="s">
        <v>227</v>
      </c>
      <c r="B34" t="s">
        <v>22</v>
      </c>
      <c r="C34">
        <v>2025</v>
      </c>
      <c r="D34">
        <v>1</v>
      </c>
      <c r="E34" s="2">
        <v>45677</v>
      </c>
      <c r="F34" t="s">
        <v>7</v>
      </c>
      <c r="G34" t="s">
        <v>8</v>
      </c>
      <c r="H34" t="s">
        <v>74</v>
      </c>
      <c r="I34" t="s">
        <v>84</v>
      </c>
      <c r="J34" t="s">
        <v>85</v>
      </c>
      <c r="K34" t="s">
        <v>73</v>
      </c>
      <c r="L34">
        <v>701000</v>
      </c>
      <c r="M34" t="s">
        <v>62</v>
      </c>
      <c r="N34" t="s">
        <v>33</v>
      </c>
      <c r="O34">
        <v>1398</v>
      </c>
      <c r="P34">
        <v>0.95</v>
      </c>
      <c r="Q34">
        <v>1.33</v>
      </c>
      <c r="R34" t="s">
        <v>1205</v>
      </c>
      <c r="S34" t="s">
        <v>195</v>
      </c>
    </row>
    <row r="35" spans="1:19" x14ac:dyDescent="0.3">
      <c r="A35" t="s">
        <v>228</v>
      </c>
      <c r="B35" t="s">
        <v>22</v>
      </c>
      <c r="C35">
        <v>2025</v>
      </c>
      <c r="D35">
        <v>1</v>
      </c>
      <c r="E35" s="2">
        <v>45677</v>
      </c>
      <c r="F35" t="s">
        <v>7</v>
      </c>
      <c r="G35" t="s">
        <v>8</v>
      </c>
      <c r="H35" t="s">
        <v>74</v>
      </c>
      <c r="I35" t="s">
        <v>84</v>
      </c>
      <c r="J35" t="s">
        <v>85</v>
      </c>
      <c r="K35" t="s">
        <v>73</v>
      </c>
      <c r="L35">
        <v>701000</v>
      </c>
      <c r="M35" t="s">
        <v>62</v>
      </c>
      <c r="N35" t="s">
        <v>33</v>
      </c>
      <c r="O35">
        <v>3018</v>
      </c>
      <c r="P35">
        <v>0.95</v>
      </c>
      <c r="Q35">
        <v>2.87</v>
      </c>
      <c r="R35" t="s">
        <v>1198</v>
      </c>
      <c r="S35" t="s">
        <v>195</v>
      </c>
    </row>
    <row r="36" spans="1:19" x14ac:dyDescent="0.3">
      <c r="A36" t="s">
        <v>229</v>
      </c>
      <c r="B36" t="s">
        <v>22</v>
      </c>
      <c r="C36">
        <v>2025</v>
      </c>
      <c r="D36">
        <v>1</v>
      </c>
      <c r="E36" s="2">
        <v>45677</v>
      </c>
      <c r="F36" t="s">
        <v>7</v>
      </c>
      <c r="G36" t="s">
        <v>8</v>
      </c>
      <c r="H36" t="s">
        <v>74</v>
      </c>
      <c r="I36" t="s">
        <v>84</v>
      </c>
      <c r="J36" t="s">
        <v>85</v>
      </c>
      <c r="K36" t="s">
        <v>73</v>
      </c>
      <c r="L36">
        <v>701000</v>
      </c>
      <c r="M36" t="s">
        <v>62</v>
      </c>
      <c r="N36" t="s">
        <v>33</v>
      </c>
      <c r="O36">
        <v>3903</v>
      </c>
      <c r="P36">
        <v>0.95</v>
      </c>
      <c r="Q36">
        <v>3.71</v>
      </c>
      <c r="R36" t="s">
        <v>1199</v>
      </c>
      <c r="S36" t="s">
        <v>195</v>
      </c>
    </row>
    <row r="37" spans="1:19" x14ac:dyDescent="0.3">
      <c r="A37" t="s">
        <v>230</v>
      </c>
      <c r="B37" t="s">
        <v>22</v>
      </c>
      <c r="C37">
        <v>2025</v>
      </c>
      <c r="D37">
        <v>1</v>
      </c>
      <c r="E37" s="2">
        <v>45672</v>
      </c>
      <c r="F37" t="s">
        <v>7</v>
      </c>
      <c r="G37" t="s">
        <v>8</v>
      </c>
      <c r="H37" t="s">
        <v>74</v>
      </c>
      <c r="I37" t="s">
        <v>84</v>
      </c>
      <c r="J37" t="s">
        <v>85</v>
      </c>
      <c r="K37" t="s">
        <v>73</v>
      </c>
      <c r="L37">
        <v>701000</v>
      </c>
      <c r="M37" t="s">
        <v>62</v>
      </c>
      <c r="N37" t="s">
        <v>33</v>
      </c>
      <c r="O37">
        <v>1774</v>
      </c>
      <c r="P37">
        <v>0.95</v>
      </c>
      <c r="Q37">
        <v>1.68</v>
      </c>
      <c r="R37" t="s">
        <v>1203</v>
      </c>
      <c r="S37" t="s">
        <v>195</v>
      </c>
    </row>
    <row r="38" spans="1:19" x14ac:dyDescent="0.3">
      <c r="A38" t="s">
        <v>231</v>
      </c>
      <c r="B38" t="s">
        <v>22</v>
      </c>
      <c r="C38">
        <v>2025</v>
      </c>
      <c r="D38">
        <v>1</v>
      </c>
      <c r="E38" s="2">
        <v>45672</v>
      </c>
      <c r="F38" t="s">
        <v>7</v>
      </c>
      <c r="G38" t="s">
        <v>8</v>
      </c>
      <c r="H38" t="s">
        <v>74</v>
      </c>
      <c r="I38" t="s">
        <v>84</v>
      </c>
      <c r="J38" t="s">
        <v>85</v>
      </c>
      <c r="K38" t="s">
        <v>73</v>
      </c>
      <c r="L38">
        <v>701000</v>
      </c>
      <c r="M38" t="s">
        <v>62</v>
      </c>
      <c r="N38" t="s">
        <v>33</v>
      </c>
      <c r="O38">
        <v>3237</v>
      </c>
      <c r="P38">
        <v>0.95</v>
      </c>
      <c r="Q38">
        <v>3.07</v>
      </c>
      <c r="R38" t="s">
        <v>1198</v>
      </c>
      <c r="S38" t="s">
        <v>195</v>
      </c>
    </row>
    <row r="39" spans="1:19" x14ac:dyDescent="0.3">
      <c r="A39" t="s">
        <v>232</v>
      </c>
      <c r="B39" t="s">
        <v>22</v>
      </c>
      <c r="C39">
        <v>2025</v>
      </c>
      <c r="D39">
        <v>1</v>
      </c>
      <c r="E39" s="2">
        <v>45672</v>
      </c>
      <c r="F39" t="s">
        <v>7</v>
      </c>
      <c r="G39" t="s">
        <v>8</v>
      </c>
      <c r="H39" t="s">
        <v>74</v>
      </c>
      <c r="I39" t="s">
        <v>84</v>
      </c>
      <c r="J39" t="s">
        <v>85</v>
      </c>
      <c r="K39" t="s">
        <v>73</v>
      </c>
      <c r="L39">
        <v>701000</v>
      </c>
      <c r="M39" t="s">
        <v>62</v>
      </c>
      <c r="N39" t="s">
        <v>33</v>
      </c>
      <c r="O39">
        <v>4085</v>
      </c>
      <c r="P39">
        <v>0.95</v>
      </c>
      <c r="Q39">
        <v>3.88</v>
      </c>
      <c r="R39" t="s">
        <v>1205</v>
      </c>
      <c r="S39" t="s">
        <v>195</v>
      </c>
    </row>
    <row r="40" spans="1:19" x14ac:dyDescent="0.3">
      <c r="A40" t="s">
        <v>233</v>
      </c>
      <c r="B40" t="s">
        <v>22</v>
      </c>
      <c r="C40">
        <v>2025</v>
      </c>
      <c r="D40">
        <v>1</v>
      </c>
      <c r="E40" s="2">
        <v>45672</v>
      </c>
      <c r="F40" t="s">
        <v>7</v>
      </c>
      <c r="G40" t="s">
        <v>8</v>
      </c>
      <c r="H40" t="s">
        <v>74</v>
      </c>
      <c r="I40" t="s">
        <v>84</v>
      </c>
      <c r="J40" t="s">
        <v>85</v>
      </c>
      <c r="K40" t="s">
        <v>73</v>
      </c>
      <c r="L40">
        <v>701000</v>
      </c>
      <c r="M40" t="s">
        <v>62</v>
      </c>
      <c r="N40" t="s">
        <v>33</v>
      </c>
      <c r="O40">
        <v>2231</v>
      </c>
      <c r="P40">
        <v>0.95</v>
      </c>
      <c r="Q40">
        <v>2.12</v>
      </c>
      <c r="R40" t="s">
        <v>1200</v>
      </c>
      <c r="S40" t="s">
        <v>195</v>
      </c>
    </row>
    <row r="41" spans="1:19" x14ac:dyDescent="0.3">
      <c r="A41" t="s">
        <v>234</v>
      </c>
      <c r="B41" t="s">
        <v>22</v>
      </c>
      <c r="C41">
        <v>2025</v>
      </c>
      <c r="D41">
        <v>1</v>
      </c>
      <c r="E41" s="2">
        <v>45672</v>
      </c>
      <c r="F41" t="s">
        <v>7</v>
      </c>
      <c r="G41" t="s">
        <v>8</v>
      </c>
      <c r="H41" t="s">
        <v>74</v>
      </c>
      <c r="I41" t="s">
        <v>84</v>
      </c>
      <c r="J41" t="s">
        <v>85</v>
      </c>
      <c r="K41" t="s">
        <v>73</v>
      </c>
      <c r="L41">
        <v>701000</v>
      </c>
      <c r="M41" t="s">
        <v>62</v>
      </c>
      <c r="N41" t="s">
        <v>33</v>
      </c>
      <c r="O41">
        <v>381</v>
      </c>
      <c r="P41">
        <v>0.97</v>
      </c>
      <c r="Q41">
        <v>0.37</v>
      </c>
      <c r="R41" t="s">
        <v>1199</v>
      </c>
      <c r="S41" t="s">
        <v>195</v>
      </c>
    </row>
    <row r="42" spans="1:19" x14ac:dyDescent="0.3">
      <c r="A42" t="s">
        <v>235</v>
      </c>
      <c r="B42" t="s">
        <v>22</v>
      </c>
      <c r="C42">
        <v>2025</v>
      </c>
      <c r="D42">
        <v>1</v>
      </c>
      <c r="E42" s="2">
        <v>45668</v>
      </c>
      <c r="F42" t="s">
        <v>7</v>
      </c>
      <c r="G42" t="s">
        <v>8</v>
      </c>
      <c r="H42" t="s">
        <v>74</v>
      </c>
      <c r="I42" t="s">
        <v>84</v>
      </c>
      <c r="J42" t="s">
        <v>85</v>
      </c>
      <c r="K42" t="s">
        <v>73</v>
      </c>
      <c r="L42">
        <v>701000</v>
      </c>
      <c r="M42" t="s">
        <v>62</v>
      </c>
      <c r="N42" t="s">
        <v>33</v>
      </c>
      <c r="O42">
        <v>3029</v>
      </c>
      <c r="P42">
        <v>0.95</v>
      </c>
      <c r="Q42">
        <v>2.88</v>
      </c>
      <c r="R42" t="s">
        <v>1199</v>
      </c>
      <c r="S42" t="s">
        <v>195</v>
      </c>
    </row>
    <row r="43" spans="1:19" x14ac:dyDescent="0.3">
      <c r="A43" t="s">
        <v>236</v>
      </c>
      <c r="B43" t="s">
        <v>22</v>
      </c>
      <c r="C43">
        <v>2025</v>
      </c>
      <c r="D43">
        <v>1</v>
      </c>
      <c r="E43" s="2">
        <v>45668</v>
      </c>
      <c r="F43" t="s">
        <v>7</v>
      </c>
      <c r="G43" t="s">
        <v>8</v>
      </c>
      <c r="H43" t="s">
        <v>74</v>
      </c>
      <c r="I43" t="s">
        <v>84</v>
      </c>
      <c r="J43" t="s">
        <v>85</v>
      </c>
      <c r="K43" t="s">
        <v>73</v>
      </c>
      <c r="L43">
        <v>701000</v>
      </c>
      <c r="M43" t="s">
        <v>62</v>
      </c>
      <c r="N43" t="s">
        <v>33</v>
      </c>
      <c r="O43">
        <v>3076</v>
      </c>
      <c r="P43">
        <v>0.95</v>
      </c>
      <c r="Q43">
        <v>2.92</v>
      </c>
      <c r="R43" t="s">
        <v>1198</v>
      </c>
      <c r="S43" t="s">
        <v>195</v>
      </c>
    </row>
    <row r="44" spans="1:19" x14ac:dyDescent="0.3">
      <c r="A44" t="s">
        <v>237</v>
      </c>
      <c r="B44" t="s">
        <v>22</v>
      </c>
      <c r="C44">
        <v>2025</v>
      </c>
      <c r="D44">
        <v>1</v>
      </c>
      <c r="E44" s="2">
        <v>45668</v>
      </c>
      <c r="F44" t="s">
        <v>7</v>
      </c>
      <c r="G44" t="s">
        <v>8</v>
      </c>
      <c r="H44" t="s">
        <v>74</v>
      </c>
      <c r="I44" t="s">
        <v>84</v>
      </c>
      <c r="J44" t="s">
        <v>85</v>
      </c>
      <c r="K44" t="s">
        <v>73</v>
      </c>
      <c r="L44">
        <v>701000</v>
      </c>
      <c r="M44" t="s">
        <v>62</v>
      </c>
      <c r="N44" t="s">
        <v>33</v>
      </c>
      <c r="O44">
        <v>1509</v>
      </c>
      <c r="P44">
        <v>0.95</v>
      </c>
      <c r="Q44">
        <v>1.43</v>
      </c>
      <c r="R44" t="s">
        <v>1200</v>
      </c>
      <c r="S44" t="s">
        <v>195</v>
      </c>
    </row>
    <row r="45" spans="1:19" x14ac:dyDescent="0.3">
      <c r="A45" t="s">
        <v>238</v>
      </c>
      <c r="B45" t="s">
        <v>22</v>
      </c>
      <c r="C45">
        <v>2025</v>
      </c>
      <c r="D45">
        <v>1</v>
      </c>
      <c r="E45" s="2">
        <v>45668</v>
      </c>
      <c r="F45" t="s">
        <v>7</v>
      </c>
      <c r="G45" t="s">
        <v>8</v>
      </c>
      <c r="H45" t="s">
        <v>74</v>
      </c>
      <c r="I45" t="s">
        <v>84</v>
      </c>
      <c r="J45" t="s">
        <v>85</v>
      </c>
      <c r="K45" t="s">
        <v>73</v>
      </c>
      <c r="L45">
        <v>701000</v>
      </c>
      <c r="M45" t="s">
        <v>62</v>
      </c>
      <c r="N45" t="s">
        <v>33</v>
      </c>
      <c r="O45">
        <v>5861</v>
      </c>
      <c r="P45">
        <v>0.95</v>
      </c>
      <c r="Q45">
        <v>5.57</v>
      </c>
      <c r="R45" t="s">
        <v>1202</v>
      </c>
      <c r="S45" t="s">
        <v>195</v>
      </c>
    </row>
    <row r="46" spans="1:19" x14ac:dyDescent="0.3">
      <c r="A46" t="s">
        <v>239</v>
      </c>
      <c r="B46" t="s">
        <v>22</v>
      </c>
      <c r="C46">
        <v>2025</v>
      </c>
      <c r="D46">
        <v>1</v>
      </c>
      <c r="E46" s="2">
        <v>45668</v>
      </c>
      <c r="F46" t="s">
        <v>7</v>
      </c>
      <c r="G46" t="s">
        <v>8</v>
      </c>
      <c r="H46" t="s">
        <v>74</v>
      </c>
      <c r="I46" t="s">
        <v>84</v>
      </c>
      <c r="J46" t="s">
        <v>85</v>
      </c>
      <c r="K46" t="s">
        <v>73</v>
      </c>
      <c r="L46">
        <v>701000</v>
      </c>
      <c r="M46" t="s">
        <v>62</v>
      </c>
      <c r="N46" t="s">
        <v>33</v>
      </c>
      <c r="O46">
        <v>1434</v>
      </c>
      <c r="P46">
        <v>0.95</v>
      </c>
      <c r="Q46">
        <v>1.36</v>
      </c>
      <c r="R46" t="s">
        <v>1204</v>
      </c>
      <c r="S46" t="s">
        <v>195</v>
      </c>
    </row>
    <row r="47" spans="1:19" x14ac:dyDescent="0.3">
      <c r="A47" t="s">
        <v>240</v>
      </c>
      <c r="B47" t="s">
        <v>22</v>
      </c>
      <c r="C47">
        <v>2025</v>
      </c>
      <c r="D47">
        <v>1</v>
      </c>
      <c r="E47" s="2">
        <v>45663</v>
      </c>
      <c r="F47" t="s">
        <v>7</v>
      </c>
      <c r="G47" t="s">
        <v>8</v>
      </c>
      <c r="H47" t="s">
        <v>70</v>
      </c>
      <c r="I47" t="s">
        <v>84</v>
      </c>
      <c r="J47" t="s">
        <v>85</v>
      </c>
      <c r="K47" t="s">
        <v>73</v>
      </c>
      <c r="L47">
        <v>706000</v>
      </c>
      <c r="M47" t="s">
        <v>63</v>
      </c>
      <c r="N47" t="s">
        <v>33</v>
      </c>
      <c r="O47">
        <v>1123</v>
      </c>
      <c r="P47">
        <v>0.95</v>
      </c>
      <c r="Q47">
        <v>1.07</v>
      </c>
      <c r="R47" t="s">
        <v>1198</v>
      </c>
      <c r="S47" t="s">
        <v>195</v>
      </c>
    </row>
    <row r="48" spans="1:19" x14ac:dyDescent="0.3">
      <c r="A48" t="s">
        <v>241</v>
      </c>
      <c r="B48" t="s">
        <v>22</v>
      </c>
      <c r="C48">
        <v>2025</v>
      </c>
      <c r="D48">
        <v>1</v>
      </c>
      <c r="E48" s="2">
        <v>45663</v>
      </c>
      <c r="F48" t="s">
        <v>7</v>
      </c>
      <c r="G48" t="s">
        <v>8</v>
      </c>
      <c r="H48" t="s">
        <v>70</v>
      </c>
      <c r="I48" t="s">
        <v>84</v>
      </c>
      <c r="J48" t="s">
        <v>85</v>
      </c>
      <c r="K48" t="s">
        <v>73</v>
      </c>
      <c r="L48">
        <v>706000</v>
      </c>
      <c r="M48" t="s">
        <v>63</v>
      </c>
      <c r="N48" t="s">
        <v>33</v>
      </c>
      <c r="O48">
        <v>3424</v>
      </c>
      <c r="P48">
        <v>0.95</v>
      </c>
      <c r="Q48">
        <v>3.25</v>
      </c>
      <c r="R48" t="s">
        <v>1199</v>
      </c>
      <c r="S48" t="s">
        <v>195</v>
      </c>
    </row>
    <row r="49" spans="1:19" x14ac:dyDescent="0.3">
      <c r="A49" t="s">
        <v>242</v>
      </c>
      <c r="B49" t="s">
        <v>22</v>
      </c>
      <c r="C49">
        <v>2025</v>
      </c>
      <c r="D49">
        <v>1</v>
      </c>
      <c r="E49" s="2">
        <v>45663</v>
      </c>
      <c r="F49" t="s">
        <v>7</v>
      </c>
      <c r="G49" t="s">
        <v>8</v>
      </c>
      <c r="H49" t="s">
        <v>70</v>
      </c>
      <c r="I49" t="s">
        <v>84</v>
      </c>
      <c r="J49" t="s">
        <v>85</v>
      </c>
      <c r="K49" t="s">
        <v>73</v>
      </c>
      <c r="L49">
        <v>706000</v>
      </c>
      <c r="M49" t="s">
        <v>63</v>
      </c>
      <c r="N49" t="s">
        <v>33</v>
      </c>
      <c r="O49">
        <v>3670</v>
      </c>
      <c r="P49">
        <v>0.95</v>
      </c>
      <c r="Q49">
        <v>3.49</v>
      </c>
      <c r="R49" t="s">
        <v>1200</v>
      </c>
      <c r="S49" t="s">
        <v>195</v>
      </c>
    </row>
    <row r="50" spans="1:19" x14ac:dyDescent="0.3">
      <c r="A50" t="s">
        <v>243</v>
      </c>
      <c r="B50" t="s">
        <v>22</v>
      </c>
      <c r="C50">
        <v>2025</v>
      </c>
      <c r="D50">
        <v>1</v>
      </c>
      <c r="E50" s="2">
        <v>45663</v>
      </c>
      <c r="F50" t="s">
        <v>7</v>
      </c>
      <c r="G50" t="s">
        <v>8</v>
      </c>
      <c r="H50" t="s">
        <v>70</v>
      </c>
      <c r="I50" t="s">
        <v>84</v>
      </c>
      <c r="J50" t="s">
        <v>85</v>
      </c>
      <c r="K50" t="s">
        <v>73</v>
      </c>
      <c r="L50">
        <v>706000</v>
      </c>
      <c r="M50" t="s">
        <v>63</v>
      </c>
      <c r="N50" t="s">
        <v>33</v>
      </c>
      <c r="O50">
        <v>4565</v>
      </c>
      <c r="P50">
        <v>0.95</v>
      </c>
      <c r="Q50">
        <v>4.34</v>
      </c>
      <c r="R50" t="s">
        <v>1203</v>
      </c>
      <c r="S50" t="s">
        <v>195</v>
      </c>
    </row>
    <row r="51" spans="1:19" x14ac:dyDescent="0.3">
      <c r="A51" t="s">
        <v>244</v>
      </c>
      <c r="B51" t="s">
        <v>22</v>
      </c>
      <c r="C51">
        <v>2025</v>
      </c>
      <c r="D51">
        <v>1</v>
      </c>
      <c r="E51" s="2">
        <v>45663</v>
      </c>
      <c r="F51" t="s">
        <v>7</v>
      </c>
      <c r="G51" t="s">
        <v>8</v>
      </c>
      <c r="H51" t="s">
        <v>70</v>
      </c>
      <c r="I51" t="s">
        <v>84</v>
      </c>
      <c r="J51" t="s">
        <v>85</v>
      </c>
      <c r="K51" t="s">
        <v>73</v>
      </c>
      <c r="L51">
        <v>706000</v>
      </c>
      <c r="M51" t="s">
        <v>63</v>
      </c>
      <c r="N51" t="s">
        <v>33</v>
      </c>
      <c r="O51">
        <v>269</v>
      </c>
      <c r="P51">
        <v>0.93</v>
      </c>
      <c r="Q51">
        <v>0.25</v>
      </c>
      <c r="R51" t="s">
        <v>1202</v>
      </c>
      <c r="S51" t="s">
        <v>195</v>
      </c>
    </row>
    <row r="52" spans="1:19" x14ac:dyDescent="0.3">
      <c r="A52" t="s">
        <v>245</v>
      </c>
      <c r="B52" t="s">
        <v>22</v>
      </c>
      <c r="C52">
        <v>2025</v>
      </c>
      <c r="D52">
        <v>1</v>
      </c>
      <c r="E52" s="2">
        <v>45668</v>
      </c>
      <c r="F52" t="s">
        <v>7</v>
      </c>
      <c r="G52" t="s">
        <v>8</v>
      </c>
      <c r="H52" t="s">
        <v>74</v>
      </c>
      <c r="I52" t="s">
        <v>84</v>
      </c>
      <c r="J52" t="s">
        <v>85</v>
      </c>
      <c r="K52" t="s">
        <v>73</v>
      </c>
      <c r="L52">
        <v>701000</v>
      </c>
      <c r="M52" t="s">
        <v>62</v>
      </c>
      <c r="N52" t="s">
        <v>33</v>
      </c>
      <c r="O52">
        <v>316</v>
      </c>
      <c r="P52">
        <v>0.95</v>
      </c>
      <c r="Q52">
        <v>0.3</v>
      </c>
      <c r="R52" t="s">
        <v>1201</v>
      </c>
      <c r="S52" t="s">
        <v>195</v>
      </c>
    </row>
    <row r="53" spans="1:19" x14ac:dyDescent="0.3">
      <c r="A53" t="s">
        <v>246</v>
      </c>
      <c r="B53" t="s">
        <v>22</v>
      </c>
      <c r="C53">
        <v>2025</v>
      </c>
      <c r="D53">
        <v>1</v>
      </c>
      <c r="E53" s="2">
        <v>45668</v>
      </c>
      <c r="F53" t="s">
        <v>7</v>
      </c>
      <c r="G53" t="s">
        <v>8</v>
      </c>
      <c r="H53" t="s">
        <v>74</v>
      </c>
      <c r="I53" t="s">
        <v>84</v>
      </c>
      <c r="J53" t="s">
        <v>85</v>
      </c>
      <c r="K53" t="s">
        <v>73</v>
      </c>
      <c r="L53">
        <v>701000</v>
      </c>
      <c r="M53" t="s">
        <v>62</v>
      </c>
      <c r="N53" t="s">
        <v>33</v>
      </c>
      <c r="O53">
        <v>6727</v>
      </c>
      <c r="P53">
        <v>0.95</v>
      </c>
      <c r="Q53">
        <v>6.39</v>
      </c>
      <c r="R53" t="s">
        <v>1198</v>
      </c>
      <c r="S53" t="s">
        <v>195</v>
      </c>
    </row>
    <row r="54" spans="1:19" x14ac:dyDescent="0.3">
      <c r="A54" t="s">
        <v>247</v>
      </c>
      <c r="B54" t="s">
        <v>22</v>
      </c>
      <c r="C54">
        <v>2025</v>
      </c>
      <c r="D54">
        <v>1</v>
      </c>
      <c r="E54" s="2">
        <v>45668</v>
      </c>
      <c r="F54" t="s">
        <v>7</v>
      </c>
      <c r="G54" t="s">
        <v>8</v>
      </c>
      <c r="H54" t="s">
        <v>74</v>
      </c>
      <c r="I54" t="s">
        <v>84</v>
      </c>
      <c r="J54" t="s">
        <v>85</v>
      </c>
      <c r="K54" t="s">
        <v>73</v>
      </c>
      <c r="L54">
        <v>701000</v>
      </c>
      <c r="M54" t="s">
        <v>62</v>
      </c>
      <c r="N54" t="s">
        <v>33</v>
      </c>
      <c r="O54">
        <v>842</v>
      </c>
      <c r="P54">
        <v>0.95</v>
      </c>
      <c r="Q54">
        <v>0.8</v>
      </c>
      <c r="R54" t="s">
        <v>1197</v>
      </c>
      <c r="S54" t="s">
        <v>195</v>
      </c>
    </row>
    <row r="55" spans="1:19" x14ac:dyDescent="0.3">
      <c r="A55" t="s">
        <v>248</v>
      </c>
      <c r="B55" t="s">
        <v>22</v>
      </c>
      <c r="C55">
        <v>2025</v>
      </c>
      <c r="D55">
        <v>1</v>
      </c>
      <c r="E55" s="2">
        <v>45668</v>
      </c>
      <c r="F55" t="s">
        <v>7</v>
      </c>
      <c r="G55" t="s">
        <v>8</v>
      </c>
      <c r="H55" t="s">
        <v>74</v>
      </c>
      <c r="I55" t="s">
        <v>84</v>
      </c>
      <c r="J55" t="s">
        <v>85</v>
      </c>
      <c r="K55" t="s">
        <v>73</v>
      </c>
      <c r="L55">
        <v>701000</v>
      </c>
      <c r="M55" t="s">
        <v>62</v>
      </c>
      <c r="N55" t="s">
        <v>33</v>
      </c>
      <c r="O55">
        <v>1865</v>
      </c>
      <c r="P55">
        <v>0.95</v>
      </c>
      <c r="Q55">
        <v>1.77</v>
      </c>
      <c r="R55" t="s">
        <v>1204</v>
      </c>
      <c r="S55" t="s">
        <v>195</v>
      </c>
    </row>
    <row r="56" spans="1:19" x14ac:dyDescent="0.3">
      <c r="A56" t="s">
        <v>249</v>
      </c>
      <c r="B56" t="s">
        <v>22</v>
      </c>
      <c r="C56">
        <v>2025</v>
      </c>
      <c r="D56">
        <v>1</v>
      </c>
      <c r="E56" s="2">
        <v>45668</v>
      </c>
      <c r="F56" t="s">
        <v>7</v>
      </c>
      <c r="G56" t="s">
        <v>8</v>
      </c>
      <c r="H56" t="s">
        <v>74</v>
      </c>
      <c r="I56" t="s">
        <v>84</v>
      </c>
      <c r="J56" t="s">
        <v>85</v>
      </c>
      <c r="K56" t="s">
        <v>73</v>
      </c>
      <c r="L56">
        <v>701000</v>
      </c>
      <c r="M56" t="s">
        <v>62</v>
      </c>
      <c r="N56" t="s">
        <v>33</v>
      </c>
      <c r="O56">
        <v>3044</v>
      </c>
      <c r="P56">
        <v>0.95</v>
      </c>
      <c r="Q56">
        <v>2.89</v>
      </c>
      <c r="R56" t="s">
        <v>1200</v>
      </c>
      <c r="S56" t="s">
        <v>195</v>
      </c>
    </row>
    <row r="57" spans="1:19" x14ac:dyDescent="0.3">
      <c r="A57" t="s">
        <v>250</v>
      </c>
      <c r="B57" t="s">
        <v>22</v>
      </c>
      <c r="C57">
        <v>2025</v>
      </c>
      <c r="D57">
        <v>1</v>
      </c>
      <c r="E57" s="2">
        <v>45671</v>
      </c>
      <c r="F57" t="s">
        <v>7</v>
      </c>
      <c r="G57" t="s">
        <v>8</v>
      </c>
      <c r="H57" t="s">
        <v>70</v>
      </c>
      <c r="I57" t="s">
        <v>84</v>
      </c>
      <c r="J57" t="s">
        <v>85</v>
      </c>
      <c r="K57" t="s">
        <v>73</v>
      </c>
      <c r="L57">
        <v>701000</v>
      </c>
      <c r="M57" t="s">
        <v>62</v>
      </c>
      <c r="N57" t="s">
        <v>33</v>
      </c>
      <c r="O57">
        <v>2645</v>
      </c>
      <c r="P57">
        <v>0.95</v>
      </c>
      <c r="Q57">
        <v>2.5099999999999998</v>
      </c>
      <c r="R57" t="s">
        <v>1198</v>
      </c>
      <c r="S57" t="s">
        <v>195</v>
      </c>
    </row>
    <row r="58" spans="1:19" x14ac:dyDescent="0.3">
      <c r="A58" t="s">
        <v>251</v>
      </c>
      <c r="B58" t="s">
        <v>22</v>
      </c>
      <c r="C58">
        <v>2025</v>
      </c>
      <c r="D58">
        <v>1</v>
      </c>
      <c r="E58" s="2">
        <v>45671</v>
      </c>
      <c r="F58" t="s">
        <v>7</v>
      </c>
      <c r="G58" t="s">
        <v>8</v>
      </c>
      <c r="H58" t="s">
        <v>70</v>
      </c>
      <c r="I58" t="s">
        <v>84</v>
      </c>
      <c r="J58" t="s">
        <v>85</v>
      </c>
      <c r="K58" t="s">
        <v>73</v>
      </c>
      <c r="L58">
        <v>701000</v>
      </c>
      <c r="M58" t="s">
        <v>62</v>
      </c>
      <c r="N58" t="s">
        <v>33</v>
      </c>
      <c r="O58">
        <v>2603</v>
      </c>
      <c r="P58">
        <v>0.95</v>
      </c>
      <c r="Q58">
        <v>2.4700000000000002</v>
      </c>
      <c r="R58" t="s">
        <v>1197</v>
      </c>
      <c r="S58" t="s">
        <v>195</v>
      </c>
    </row>
    <row r="59" spans="1:19" x14ac:dyDescent="0.3">
      <c r="A59" t="s">
        <v>252</v>
      </c>
      <c r="B59" t="s">
        <v>22</v>
      </c>
      <c r="C59">
        <v>2025</v>
      </c>
      <c r="D59">
        <v>1</v>
      </c>
      <c r="E59" s="2">
        <v>45671</v>
      </c>
      <c r="F59" t="s">
        <v>7</v>
      </c>
      <c r="G59" t="s">
        <v>8</v>
      </c>
      <c r="H59" t="s">
        <v>70</v>
      </c>
      <c r="I59" t="s">
        <v>84</v>
      </c>
      <c r="J59" t="s">
        <v>85</v>
      </c>
      <c r="K59" t="s">
        <v>73</v>
      </c>
      <c r="L59">
        <v>701000</v>
      </c>
      <c r="M59" t="s">
        <v>62</v>
      </c>
      <c r="N59" t="s">
        <v>33</v>
      </c>
      <c r="O59">
        <v>1080</v>
      </c>
      <c r="P59">
        <v>0.95</v>
      </c>
      <c r="Q59">
        <v>1.03</v>
      </c>
      <c r="R59" t="s">
        <v>1205</v>
      </c>
      <c r="S59" t="s">
        <v>195</v>
      </c>
    </row>
    <row r="60" spans="1:19" x14ac:dyDescent="0.3">
      <c r="A60" t="s">
        <v>253</v>
      </c>
      <c r="B60" t="s">
        <v>22</v>
      </c>
      <c r="C60">
        <v>2025</v>
      </c>
      <c r="D60">
        <v>1</v>
      </c>
      <c r="E60" s="2">
        <v>45671</v>
      </c>
      <c r="F60" t="s">
        <v>7</v>
      </c>
      <c r="G60" t="s">
        <v>8</v>
      </c>
      <c r="H60" t="s">
        <v>70</v>
      </c>
      <c r="I60" t="s">
        <v>84</v>
      </c>
      <c r="J60" t="s">
        <v>85</v>
      </c>
      <c r="K60" t="s">
        <v>73</v>
      </c>
      <c r="L60">
        <v>701000</v>
      </c>
      <c r="M60" t="s">
        <v>62</v>
      </c>
      <c r="N60" t="s">
        <v>33</v>
      </c>
      <c r="O60">
        <v>4264</v>
      </c>
      <c r="P60">
        <v>0.95</v>
      </c>
      <c r="Q60">
        <v>4.05</v>
      </c>
      <c r="R60" t="s">
        <v>1201</v>
      </c>
      <c r="S60" t="s">
        <v>195</v>
      </c>
    </row>
    <row r="61" spans="1:19" x14ac:dyDescent="0.3">
      <c r="A61" t="s">
        <v>254</v>
      </c>
      <c r="B61" t="s">
        <v>22</v>
      </c>
      <c r="C61">
        <v>2025</v>
      </c>
      <c r="D61">
        <v>1</v>
      </c>
      <c r="E61" s="2">
        <v>45671</v>
      </c>
      <c r="F61" t="s">
        <v>7</v>
      </c>
      <c r="G61" t="s">
        <v>8</v>
      </c>
      <c r="H61" t="s">
        <v>70</v>
      </c>
      <c r="I61" t="s">
        <v>84</v>
      </c>
      <c r="J61" t="s">
        <v>85</v>
      </c>
      <c r="K61" t="s">
        <v>73</v>
      </c>
      <c r="L61">
        <v>701000</v>
      </c>
      <c r="M61" t="s">
        <v>62</v>
      </c>
      <c r="N61" t="s">
        <v>33</v>
      </c>
      <c r="O61">
        <v>1918</v>
      </c>
      <c r="P61">
        <v>0.95</v>
      </c>
      <c r="Q61">
        <v>1.82</v>
      </c>
      <c r="R61" t="s">
        <v>1204</v>
      </c>
      <c r="S61" t="s">
        <v>195</v>
      </c>
    </row>
    <row r="62" spans="1:19" x14ac:dyDescent="0.3">
      <c r="A62" t="s">
        <v>255</v>
      </c>
      <c r="B62" t="s">
        <v>22</v>
      </c>
      <c r="C62">
        <v>2025</v>
      </c>
      <c r="D62">
        <v>1</v>
      </c>
      <c r="E62" s="2">
        <v>45675</v>
      </c>
      <c r="F62" t="s">
        <v>7</v>
      </c>
      <c r="G62" t="s">
        <v>8</v>
      </c>
      <c r="H62" t="s">
        <v>70</v>
      </c>
      <c r="I62" t="s">
        <v>84</v>
      </c>
      <c r="J62" t="s">
        <v>85</v>
      </c>
      <c r="K62" t="s">
        <v>73</v>
      </c>
      <c r="L62">
        <v>701000</v>
      </c>
      <c r="M62" t="s">
        <v>62</v>
      </c>
      <c r="N62" t="s">
        <v>33</v>
      </c>
      <c r="O62">
        <v>936</v>
      </c>
      <c r="P62">
        <v>0.95</v>
      </c>
      <c r="Q62">
        <v>0.89</v>
      </c>
      <c r="R62" t="s">
        <v>1197</v>
      </c>
      <c r="S62" t="s">
        <v>195</v>
      </c>
    </row>
    <row r="63" spans="1:19" x14ac:dyDescent="0.3">
      <c r="A63" t="s">
        <v>256</v>
      </c>
      <c r="B63" t="s">
        <v>22</v>
      </c>
      <c r="C63">
        <v>2025</v>
      </c>
      <c r="D63">
        <v>1</v>
      </c>
      <c r="E63" s="2">
        <v>45675</v>
      </c>
      <c r="F63" t="s">
        <v>7</v>
      </c>
      <c r="G63" t="s">
        <v>8</v>
      </c>
      <c r="H63" t="s">
        <v>70</v>
      </c>
      <c r="I63" t="s">
        <v>84</v>
      </c>
      <c r="J63" t="s">
        <v>85</v>
      </c>
      <c r="K63" t="s">
        <v>73</v>
      </c>
      <c r="L63">
        <v>701000</v>
      </c>
      <c r="M63" t="s">
        <v>62</v>
      </c>
      <c r="N63" t="s">
        <v>33</v>
      </c>
      <c r="O63">
        <v>3885</v>
      </c>
      <c r="P63">
        <v>0.95</v>
      </c>
      <c r="Q63">
        <v>3.69</v>
      </c>
      <c r="R63" t="s">
        <v>1204</v>
      </c>
      <c r="S63" t="s">
        <v>195</v>
      </c>
    </row>
    <row r="64" spans="1:19" x14ac:dyDescent="0.3">
      <c r="A64" t="s">
        <v>257</v>
      </c>
      <c r="B64" t="s">
        <v>22</v>
      </c>
      <c r="C64">
        <v>2025</v>
      </c>
      <c r="D64">
        <v>1</v>
      </c>
      <c r="E64" s="2">
        <v>45675</v>
      </c>
      <c r="F64" t="s">
        <v>7</v>
      </c>
      <c r="G64" t="s">
        <v>8</v>
      </c>
      <c r="H64" t="s">
        <v>70</v>
      </c>
      <c r="I64" t="s">
        <v>84</v>
      </c>
      <c r="J64" t="s">
        <v>85</v>
      </c>
      <c r="K64" t="s">
        <v>73</v>
      </c>
      <c r="L64">
        <v>701000</v>
      </c>
      <c r="M64" t="s">
        <v>62</v>
      </c>
      <c r="N64" t="s">
        <v>33</v>
      </c>
      <c r="O64">
        <v>3140</v>
      </c>
      <c r="P64">
        <v>0.95</v>
      </c>
      <c r="Q64">
        <v>2.98</v>
      </c>
      <c r="R64" t="s">
        <v>1202</v>
      </c>
      <c r="S64" t="s">
        <v>195</v>
      </c>
    </row>
    <row r="65" spans="1:19" x14ac:dyDescent="0.3">
      <c r="A65" t="s">
        <v>258</v>
      </c>
      <c r="B65" t="s">
        <v>22</v>
      </c>
      <c r="C65">
        <v>2025</v>
      </c>
      <c r="D65">
        <v>1</v>
      </c>
      <c r="E65" s="2">
        <v>45675</v>
      </c>
      <c r="F65" t="s">
        <v>7</v>
      </c>
      <c r="G65" t="s">
        <v>8</v>
      </c>
      <c r="H65" t="s">
        <v>70</v>
      </c>
      <c r="I65" t="s">
        <v>84</v>
      </c>
      <c r="J65" t="s">
        <v>85</v>
      </c>
      <c r="K65" t="s">
        <v>73</v>
      </c>
      <c r="L65">
        <v>701000</v>
      </c>
      <c r="M65" t="s">
        <v>62</v>
      </c>
      <c r="N65" t="s">
        <v>33</v>
      </c>
      <c r="O65">
        <v>861</v>
      </c>
      <c r="P65">
        <v>0.95</v>
      </c>
      <c r="Q65">
        <v>0.82</v>
      </c>
      <c r="R65" t="s">
        <v>1205</v>
      </c>
      <c r="S65" t="s">
        <v>195</v>
      </c>
    </row>
    <row r="66" spans="1:19" x14ac:dyDescent="0.3">
      <c r="A66" t="s">
        <v>259</v>
      </c>
      <c r="B66" t="s">
        <v>22</v>
      </c>
      <c r="C66">
        <v>2025</v>
      </c>
      <c r="D66">
        <v>1</v>
      </c>
      <c r="E66" s="2">
        <v>45675</v>
      </c>
      <c r="F66" t="s">
        <v>7</v>
      </c>
      <c r="G66" t="s">
        <v>8</v>
      </c>
      <c r="H66" t="s">
        <v>70</v>
      </c>
      <c r="I66" t="s">
        <v>84</v>
      </c>
      <c r="J66" t="s">
        <v>85</v>
      </c>
      <c r="K66" t="s">
        <v>73</v>
      </c>
      <c r="L66">
        <v>701000</v>
      </c>
      <c r="M66" t="s">
        <v>62</v>
      </c>
      <c r="N66" t="s">
        <v>33</v>
      </c>
      <c r="O66">
        <v>3957</v>
      </c>
      <c r="P66">
        <v>0.95</v>
      </c>
      <c r="Q66">
        <v>3.76</v>
      </c>
      <c r="R66" t="s">
        <v>1201</v>
      </c>
      <c r="S66" t="s">
        <v>195</v>
      </c>
    </row>
    <row r="67" spans="1:19" x14ac:dyDescent="0.3">
      <c r="A67" t="s">
        <v>260</v>
      </c>
      <c r="B67" t="s">
        <v>22</v>
      </c>
      <c r="C67">
        <v>2025</v>
      </c>
      <c r="D67">
        <v>1</v>
      </c>
      <c r="E67" s="2">
        <v>45672</v>
      </c>
      <c r="F67" t="s">
        <v>7</v>
      </c>
      <c r="G67" t="s">
        <v>8</v>
      </c>
      <c r="H67" t="s">
        <v>70</v>
      </c>
      <c r="I67" t="s">
        <v>84</v>
      </c>
      <c r="J67" t="s">
        <v>85</v>
      </c>
      <c r="K67" t="s">
        <v>73</v>
      </c>
      <c r="L67">
        <v>701000</v>
      </c>
      <c r="M67" t="s">
        <v>62</v>
      </c>
      <c r="N67" t="s">
        <v>33</v>
      </c>
      <c r="O67">
        <v>1649</v>
      </c>
      <c r="P67">
        <v>0.95</v>
      </c>
      <c r="Q67">
        <v>1.57</v>
      </c>
      <c r="R67" t="s">
        <v>1203</v>
      </c>
      <c r="S67" t="s">
        <v>195</v>
      </c>
    </row>
    <row r="68" spans="1:19" x14ac:dyDescent="0.3">
      <c r="A68" t="s">
        <v>261</v>
      </c>
      <c r="B68" t="s">
        <v>22</v>
      </c>
      <c r="C68">
        <v>2025</v>
      </c>
      <c r="D68">
        <v>1</v>
      </c>
      <c r="E68" s="2">
        <v>45672</v>
      </c>
      <c r="F68" t="s">
        <v>7</v>
      </c>
      <c r="G68" t="s">
        <v>8</v>
      </c>
      <c r="H68" t="s">
        <v>70</v>
      </c>
      <c r="I68" t="s">
        <v>84</v>
      </c>
      <c r="J68" t="s">
        <v>85</v>
      </c>
      <c r="K68" t="s">
        <v>73</v>
      </c>
      <c r="L68">
        <v>701000</v>
      </c>
      <c r="M68" t="s">
        <v>62</v>
      </c>
      <c r="N68" t="s">
        <v>33</v>
      </c>
      <c r="O68">
        <v>7019</v>
      </c>
      <c r="P68">
        <v>0.95</v>
      </c>
      <c r="Q68">
        <v>6.67</v>
      </c>
      <c r="R68" t="s">
        <v>1200</v>
      </c>
      <c r="S68" t="s">
        <v>195</v>
      </c>
    </row>
    <row r="69" spans="1:19" x14ac:dyDescent="0.3">
      <c r="A69" t="s">
        <v>262</v>
      </c>
      <c r="B69" t="s">
        <v>22</v>
      </c>
      <c r="C69">
        <v>2025</v>
      </c>
      <c r="D69">
        <v>1</v>
      </c>
      <c r="E69" s="2">
        <v>45672</v>
      </c>
      <c r="F69" t="s">
        <v>7</v>
      </c>
      <c r="G69" t="s">
        <v>8</v>
      </c>
      <c r="H69" t="s">
        <v>70</v>
      </c>
      <c r="I69" t="s">
        <v>84</v>
      </c>
      <c r="J69" t="s">
        <v>85</v>
      </c>
      <c r="K69" t="s">
        <v>73</v>
      </c>
      <c r="L69">
        <v>701000</v>
      </c>
      <c r="M69" t="s">
        <v>62</v>
      </c>
      <c r="N69" t="s">
        <v>33</v>
      </c>
      <c r="O69">
        <v>3072</v>
      </c>
      <c r="P69">
        <v>0.95</v>
      </c>
      <c r="Q69">
        <v>2.92</v>
      </c>
      <c r="R69" t="s">
        <v>1201</v>
      </c>
      <c r="S69" t="s">
        <v>195</v>
      </c>
    </row>
    <row r="70" spans="1:19" x14ac:dyDescent="0.3">
      <c r="A70" t="s">
        <v>263</v>
      </c>
      <c r="B70" t="s">
        <v>22</v>
      </c>
      <c r="C70">
        <v>2025</v>
      </c>
      <c r="D70">
        <v>1</v>
      </c>
      <c r="E70" s="2">
        <v>45672</v>
      </c>
      <c r="F70" t="s">
        <v>7</v>
      </c>
      <c r="G70" t="s">
        <v>8</v>
      </c>
      <c r="H70" t="s">
        <v>70</v>
      </c>
      <c r="I70" t="s">
        <v>84</v>
      </c>
      <c r="J70" t="s">
        <v>85</v>
      </c>
      <c r="K70" t="s">
        <v>73</v>
      </c>
      <c r="L70">
        <v>701000</v>
      </c>
      <c r="M70" t="s">
        <v>62</v>
      </c>
      <c r="N70" t="s">
        <v>33</v>
      </c>
      <c r="O70">
        <v>563</v>
      </c>
      <c r="P70">
        <v>0.94</v>
      </c>
      <c r="Q70">
        <v>0.53</v>
      </c>
      <c r="R70" t="s">
        <v>1204</v>
      </c>
      <c r="S70" t="s">
        <v>195</v>
      </c>
    </row>
    <row r="71" spans="1:19" x14ac:dyDescent="0.3">
      <c r="A71" t="s">
        <v>264</v>
      </c>
      <c r="B71" t="s">
        <v>22</v>
      </c>
      <c r="C71">
        <v>2025</v>
      </c>
      <c r="D71">
        <v>1</v>
      </c>
      <c r="E71" s="2">
        <v>45672</v>
      </c>
      <c r="F71" t="s">
        <v>7</v>
      </c>
      <c r="G71" t="s">
        <v>8</v>
      </c>
      <c r="H71" t="s">
        <v>70</v>
      </c>
      <c r="I71" t="s">
        <v>84</v>
      </c>
      <c r="J71" t="s">
        <v>85</v>
      </c>
      <c r="K71" t="s">
        <v>73</v>
      </c>
      <c r="L71">
        <v>701000</v>
      </c>
      <c r="M71" t="s">
        <v>62</v>
      </c>
      <c r="N71" t="s">
        <v>33</v>
      </c>
      <c r="O71">
        <v>2011</v>
      </c>
      <c r="P71">
        <v>0.95</v>
      </c>
      <c r="Q71">
        <v>1.91</v>
      </c>
      <c r="R71" t="s">
        <v>1202</v>
      </c>
      <c r="S71" t="s">
        <v>195</v>
      </c>
    </row>
    <row r="72" spans="1:19" x14ac:dyDescent="0.3">
      <c r="A72" t="s">
        <v>265</v>
      </c>
      <c r="B72" t="s">
        <v>22</v>
      </c>
      <c r="C72">
        <v>2025</v>
      </c>
      <c r="D72">
        <v>1</v>
      </c>
      <c r="E72" s="2">
        <v>45669</v>
      </c>
      <c r="F72" t="s">
        <v>7</v>
      </c>
      <c r="G72" t="s">
        <v>8</v>
      </c>
      <c r="H72" t="s">
        <v>70</v>
      </c>
      <c r="I72" t="s">
        <v>84</v>
      </c>
      <c r="J72" t="s">
        <v>85</v>
      </c>
      <c r="K72" t="s">
        <v>73</v>
      </c>
      <c r="L72">
        <v>701000</v>
      </c>
      <c r="M72" t="s">
        <v>62</v>
      </c>
      <c r="N72" t="s">
        <v>33</v>
      </c>
      <c r="O72">
        <v>6988</v>
      </c>
      <c r="P72">
        <v>0.95</v>
      </c>
      <c r="Q72">
        <v>6.64</v>
      </c>
      <c r="R72" t="s">
        <v>1197</v>
      </c>
      <c r="S72" t="s">
        <v>195</v>
      </c>
    </row>
    <row r="73" spans="1:19" x14ac:dyDescent="0.3">
      <c r="A73" t="s">
        <v>266</v>
      </c>
      <c r="B73" t="s">
        <v>22</v>
      </c>
      <c r="C73">
        <v>2025</v>
      </c>
      <c r="D73">
        <v>1</v>
      </c>
      <c r="E73" s="2">
        <v>45669</v>
      </c>
      <c r="F73" t="s">
        <v>7</v>
      </c>
      <c r="G73" t="s">
        <v>8</v>
      </c>
      <c r="H73" t="s">
        <v>70</v>
      </c>
      <c r="I73" t="s">
        <v>84</v>
      </c>
      <c r="J73" t="s">
        <v>85</v>
      </c>
      <c r="K73" t="s">
        <v>73</v>
      </c>
      <c r="L73">
        <v>701000</v>
      </c>
      <c r="M73" t="s">
        <v>62</v>
      </c>
      <c r="N73" t="s">
        <v>33</v>
      </c>
      <c r="O73">
        <v>2213</v>
      </c>
      <c r="P73">
        <v>0.95</v>
      </c>
      <c r="Q73">
        <v>2.1</v>
      </c>
      <c r="R73" t="s">
        <v>1202</v>
      </c>
      <c r="S73" t="s">
        <v>195</v>
      </c>
    </row>
    <row r="74" spans="1:19" x14ac:dyDescent="0.3">
      <c r="A74" t="s">
        <v>267</v>
      </c>
      <c r="B74" t="s">
        <v>22</v>
      </c>
      <c r="C74">
        <v>2025</v>
      </c>
      <c r="D74">
        <v>1</v>
      </c>
      <c r="E74" s="2">
        <v>45669</v>
      </c>
      <c r="F74" t="s">
        <v>7</v>
      </c>
      <c r="G74" t="s">
        <v>8</v>
      </c>
      <c r="H74" t="s">
        <v>70</v>
      </c>
      <c r="I74" t="s">
        <v>84</v>
      </c>
      <c r="J74" t="s">
        <v>85</v>
      </c>
      <c r="K74" t="s">
        <v>73</v>
      </c>
      <c r="L74">
        <v>701000</v>
      </c>
      <c r="M74" t="s">
        <v>62</v>
      </c>
      <c r="N74" t="s">
        <v>33</v>
      </c>
      <c r="O74">
        <v>2181</v>
      </c>
      <c r="P74">
        <v>0.95</v>
      </c>
      <c r="Q74">
        <v>2.0699999999999998</v>
      </c>
      <c r="R74" t="s">
        <v>1203</v>
      </c>
      <c r="S74" t="s">
        <v>195</v>
      </c>
    </row>
    <row r="75" spans="1:19" x14ac:dyDescent="0.3">
      <c r="A75" t="s">
        <v>268</v>
      </c>
      <c r="B75" t="s">
        <v>22</v>
      </c>
      <c r="C75">
        <v>2025</v>
      </c>
      <c r="D75">
        <v>1</v>
      </c>
      <c r="E75" s="2">
        <v>45669</v>
      </c>
      <c r="F75" t="s">
        <v>7</v>
      </c>
      <c r="G75" t="s">
        <v>8</v>
      </c>
      <c r="H75" t="s">
        <v>70</v>
      </c>
      <c r="I75" t="s">
        <v>84</v>
      </c>
      <c r="J75" t="s">
        <v>85</v>
      </c>
      <c r="K75" t="s">
        <v>73</v>
      </c>
      <c r="L75">
        <v>701000</v>
      </c>
      <c r="M75" t="s">
        <v>62</v>
      </c>
      <c r="N75" t="s">
        <v>33</v>
      </c>
      <c r="O75">
        <v>1249</v>
      </c>
      <c r="P75">
        <v>0.95</v>
      </c>
      <c r="Q75">
        <v>1.19</v>
      </c>
      <c r="R75" t="s">
        <v>1204</v>
      </c>
      <c r="S75" t="s">
        <v>195</v>
      </c>
    </row>
    <row r="76" spans="1:19" x14ac:dyDescent="0.3">
      <c r="A76" t="s">
        <v>269</v>
      </c>
      <c r="B76" t="s">
        <v>22</v>
      </c>
      <c r="C76">
        <v>2025</v>
      </c>
      <c r="D76">
        <v>1</v>
      </c>
      <c r="E76" s="2">
        <v>45669</v>
      </c>
      <c r="F76" t="s">
        <v>7</v>
      </c>
      <c r="G76" t="s">
        <v>8</v>
      </c>
      <c r="H76" t="s">
        <v>70</v>
      </c>
      <c r="I76" t="s">
        <v>84</v>
      </c>
      <c r="J76" t="s">
        <v>85</v>
      </c>
      <c r="K76" t="s">
        <v>73</v>
      </c>
      <c r="L76">
        <v>701000</v>
      </c>
      <c r="M76" t="s">
        <v>62</v>
      </c>
      <c r="N76" t="s">
        <v>33</v>
      </c>
      <c r="O76">
        <v>1180</v>
      </c>
      <c r="P76">
        <v>0.95</v>
      </c>
      <c r="Q76">
        <v>1.1200000000000001</v>
      </c>
      <c r="R76" t="s">
        <v>1198</v>
      </c>
      <c r="S76" t="s">
        <v>195</v>
      </c>
    </row>
    <row r="77" spans="1:19" x14ac:dyDescent="0.3">
      <c r="A77" t="s">
        <v>270</v>
      </c>
      <c r="B77" t="s">
        <v>22</v>
      </c>
      <c r="C77">
        <v>2025</v>
      </c>
      <c r="D77">
        <v>1</v>
      </c>
      <c r="E77" s="2">
        <v>45670</v>
      </c>
      <c r="F77" t="s">
        <v>7</v>
      </c>
      <c r="G77" t="s">
        <v>8</v>
      </c>
      <c r="H77" t="s">
        <v>74</v>
      </c>
      <c r="I77" t="s">
        <v>84</v>
      </c>
      <c r="J77" t="s">
        <v>85</v>
      </c>
      <c r="K77" t="s">
        <v>73</v>
      </c>
      <c r="L77">
        <v>701000</v>
      </c>
      <c r="M77" t="s">
        <v>62</v>
      </c>
      <c r="N77" t="s">
        <v>33</v>
      </c>
      <c r="O77">
        <v>1616</v>
      </c>
      <c r="P77">
        <v>0.95</v>
      </c>
      <c r="Q77">
        <v>1.54</v>
      </c>
      <c r="R77" t="s">
        <v>1204</v>
      </c>
      <c r="S77" t="s">
        <v>195</v>
      </c>
    </row>
    <row r="78" spans="1:19" x14ac:dyDescent="0.3">
      <c r="A78" t="s">
        <v>271</v>
      </c>
      <c r="B78" t="s">
        <v>22</v>
      </c>
      <c r="C78">
        <v>2025</v>
      </c>
      <c r="D78">
        <v>1</v>
      </c>
      <c r="E78" s="2">
        <v>45670</v>
      </c>
      <c r="F78" t="s">
        <v>7</v>
      </c>
      <c r="G78" t="s">
        <v>8</v>
      </c>
      <c r="H78" t="s">
        <v>74</v>
      </c>
      <c r="I78" t="s">
        <v>84</v>
      </c>
      <c r="J78" t="s">
        <v>85</v>
      </c>
      <c r="K78" t="s">
        <v>73</v>
      </c>
      <c r="L78">
        <v>701000</v>
      </c>
      <c r="M78" t="s">
        <v>62</v>
      </c>
      <c r="N78" t="s">
        <v>33</v>
      </c>
      <c r="O78">
        <v>1337</v>
      </c>
      <c r="P78">
        <v>0.95</v>
      </c>
      <c r="Q78">
        <v>1.27</v>
      </c>
      <c r="R78" t="s">
        <v>1202</v>
      </c>
      <c r="S78" t="s">
        <v>195</v>
      </c>
    </row>
    <row r="79" spans="1:19" x14ac:dyDescent="0.3">
      <c r="A79" t="s">
        <v>272</v>
      </c>
      <c r="B79" t="s">
        <v>22</v>
      </c>
      <c r="C79">
        <v>2025</v>
      </c>
      <c r="D79">
        <v>1</v>
      </c>
      <c r="E79" s="2">
        <v>45670</v>
      </c>
      <c r="F79" t="s">
        <v>7</v>
      </c>
      <c r="G79" t="s">
        <v>8</v>
      </c>
      <c r="H79" t="s">
        <v>74</v>
      </c>
      <c r="I79" t="s">
        <v>84</v>
      </c>
      <c r="J79" t="s">
        <v>85</v>
      </c>
      <c r="K79" t="s">
        <v>73</v>
      </c>
      <c r="L79">
        <v>701000</v>
      </c>
      <c r="M79" t="s">
        <v>62</v>
      </c>
      <c r="N79" t="s">
        <v>33</v>
      </c>
      <c r="O79">
        <v>4962</v>
      </c>
      <c r="P79">
        <v>0.95</v>
      </c>
      <c r="Q79">
        <v>4.72</v>
      </c>
      <c r="R79" t="s">
        <v>1199</v>
      </c>
      <c r="S79" t="s">
        <v>195</v>
      </c>
    </row>
    <row r="80" spans="1:19" x14ac:dyDescent="0.3">
      <c r="A80" t="s">
        <v>273</v>
      </c>
      <c r="B80" t="s">
        <v>22</v>
      </c>
      <c r="C80">
        <v>2025</v>
      </c>
      <c r="D80">
        <v>1</v>
      </c>
      <c r="E80" s="2">
        <v>45670</v>
      </c>
      <c r="F80" t="s">
        <v>7</v>
      </c>
      <c r="G80" t="s">
        <v>8</v>
      </c>
      <c r="H80" t="s">
        <v>74</v>
      </c>
      <c r="I80" t="s">
        <v>84</v>
      </c>
      <c r="J80" t="s">
        <v>85</v>
      </c>
      <c r="K80" t="s">
        <v>73</v>
      </c>
      <c r="L80">
        <v>701000</v>
      </c>
      <c r="M80" t="s">
        <v>62</v>
      </c>
      <c r="N80" t="s">
        <v>33</v>
      </c>
      <c r="O80">
        <v>2490</v>
      </c>
      <c r="P80">
        <v>0.95</v>
      </c>
      <c r="Q80">
        <v>2.37</v>
      </c>
      <c r="R80" t="s">
        <v>1205</v>
      </c>
      <c r="S80" t="s">
        <v>195</v>
      </c>
    </row>
    <row r="81" spans="1:19" x14ac:dyDescent="0.3">
      <c r="A81" t="s">
        <v>274</v>
      </c>
      <c r="B81" t="s">
        <v>22</v>
      </c>
      <c r="C81">
        <v>2025</v>
      </c>
      <c r="D81">
        <v>1</v>
      </c>
      <c r="E81" s="2">
        <v>45670</v>
      </c>
      <c r="F81" t="s">
        <v>7</v>
      </c>
      <c r="G81" t="s">
        <v>8</v>
      </c>
      <c r="H81" t="s">
        <v>74</v>
      </c>
      <c r="I81" t="s">
        <v>84</v>
      </c>
      <c r="J81" t="s">
        <v>85</v>
      </c>
      <c r="K81" t="s">
        <v>73</v>
      </c>
      <c r="L81">
        <v>701000</v>
      </c>
      <c r="M81" t="s">
        <v>62</v>
      </c>
      <c r="N81" t="s">
        <v>33</v>
      </c>
      <c r="O81">
        <v>1950</v>
      </c>
      <c r="P81">
        <v>0.94</v>
      </c>
      <c r="Q81">
        <v>1.84</v>
      </c>
      <c r="R81" t="s">
        <v>1203</v>
      </c>
      <c r="S81" t="s">
        <v>195</v>
      </c>
    </row>
    <row r="82" spans="1:19" x14ac:dyDescent="0.3">
      <c r="A82" t="s">
        <v>275</v>
      </c>
      <c r="B82" t="s">
        <v>22</v>
      </c>
      <c r="C82">
        <v>2025</v>
      </c>
      <c r="D82">
        <v>1</v>
      </c>
      <c r="E82" s="2">
        <v>45665</v>
      </c>
      <c r="F82" t="s">
        <v>7</v>
      </c>
      <c r="G82" t="s">
        <v>8</v>
      </c>
      <c r="H82" t="s">
        <v>70</v>
      </c>
      <c r="I82" t="s">
        <v>84</v>
      </c>
      <c r="J82" t="s">
        <v>85</v>
      </c>
      <c r="K82" t="s">
        <v>73</v>
      </c>
      <c r="L82">
        <v>701000</v>
      </c>
      <c r="M82" t="s">
        <v>62</v>
      </c>
      <c r="N82" t="s">
        <v>33</v>
      </c>
      <c r="O82">
        <v>1793</v>
      </c>
      <c r="P82">
        <v>0.95</v>
      </c>
      <c r="Q82">
        <v>1.7</v>
      </c>
      <c r="R82" t="s">
        <v>1200</v>
      </c>
      <c r="S82" t="s">
        <v>195</v>
      </c>
    </row>
    <row r="83" spans="1:19" x14ac:dyDescent="0.3">
      <c r="A83" t="s">
        <v>276</v>
      </c>
      <c r="B83" t="s">
        <v>22</v>
      </c>
      <c r="C83">
        <v>2025</v>
      </c>
      <c r="D83">
        <v>1</v>
      </c>
      <c r="E83" s="2">
        <v>45665</v>
      </c>
      <c r="F83" t="s">
        <v>7</v>
      </c>
      <c r="G83" t="s">
        <v>8</v>
      </c>
      <c r="H83" t="s">
        <v>70</v>
      </c>
      <c r="I83" t="s">
        <v>84</v>
      </c>
      <c r="J83" t="s">
        <v>85</v>
      </c>
      <c r="K83" t="s">
        <v>73</v>
      </c>
      <c r="L83">
        <v>701000</v>
      </c>
      <c r="M83" t="s">
        <v>62</v>
      </c>
      <c r="N83" t="s">
        <v>33</v>
      </c>
      <c r="O83">
        <v>2757</v>
      </c>
      <c r="P83">
        <v>0.95</v>
      </c>
      <c r="Q83">
        <v>2.62</v>
      </c>
      <c r="R83" t="s">
        <v>1199</v>
      </c>
      <c r="S83" t="s">
        <v>195</v>
      </c>
    </row>
    <row r="84" spans="1:19" x14ac:dyDescent="0.3">
      <c r="A84" t="s">
        <v>277</v>
      </c>
      <c r="B84" t="s">
        <v>22</v>
      </c>
      <c r="C84">
        <v>2025</v>
      </c>
      <c r="D84">
        <v>1</v>
      </c>
      <c r="E84" s="2">
        <v>45665</v>
      </c>
      <c r="F84" t="s">
        <v>7</v>
      </c>
      <c r="G84" t="s">
        <v>8</v>
      </c>
      <c r="H84" t="s">
        <v>70</v>
      </c>
      <c r="I84" t="s">
        <v>84</v>
      </c>
      <c r="J84" t="s">
        <v>85</v>
      </c>
      <c r="K84" t="s">
        <v>73</v>
      </c>
      <c r="L84">
        <v>701000</v>
      </c>
      <c r="M84" t="s">
        <v>62</v>
      </c>
      <c r="N84" t="s">
        <v>33</v>
      </c>
      <c r="O84">
        <v>1338</v>
      </c>
      <c r="P84">
        <v>0.95</v>
      </c>
      <c r="Q84">
        <v>1.27</v>
      </c>
      <c r="R84" t="s">
        <v>1203</v>
      </c>
      <c r="S84" t="s">
        <v>195</v>
      </c>
    </row>
    <row r="85" spans="1:19" x14ac:dyDescent="0.3">
      <c r="A85" t="s">
        <v>278</v>
      </c>
      <c r="B85" t="s">
        <v>22</v>
      </c>
      <c r="C85">
        <v>2025</v>
      </c>
      <c r="D85">
        <v>1</v>
      </c>
      <c r="E85" s="2">
        <v>45665</v>
      </c>
      <c r="F85" t="s">
        <v>7</v>
      </c>
      <c r="G85" t="s">
        <v>8</v>
      </c>
      <c r="H85" t="s">
        <v>70</v>
      </c>
      <c r="I85" t="s">
        <v>84</v>
      </c>
      <c r="J85" t="s">
        <v>85</v>
      </c>
      <c r="K85" t="s">
        <v>73</v>
      </c>
      <c r="L85">
        <v>701000</v>
      </c>
      <c r="M85" t="s">
        <v>62</v>
      </c>
      <c r="N85" t="s">
        <v>33</v>
      </c>
      <c r="O85">
        <v>2493</v>
      </c>
      <c r="P85">
        <v>0.95</v>
      </c>
      <c r="Q85">
        <v>2.37</v>
      </c>
      <c r="R85" t="s">
        <v>1201</v>
      </c>
      <c r="S85" t="s">
        <v>195</v>
      </c>
    </row>
    <row r="86" spans="1:19" x14ac:dyDescent="0.3">
      <c r="A86" t="s">
        <v>279</v>
      </c>
      <c r="B86" t="s">
        <v>22</v>
      </c>
      <c r="C86">
        <v>2025</v>
      </c>
      <c r="D86">
        <v>1</v>
      </c>
      <c r="E86" s="2">
        <v>45665</v>
      </c>
      <c r="F86" t="s">
        <v>7</v>
      </c>
      <c r="G86" t="s">
        <v>8</v>
      </c>
      <c r="H86" t="s">
        <v>70</v>
      </c>
      <c r="I86" t="s">
        <v>84</v>
      </c>
      <c r="J86" t="s">
        <v>85</v>
      </c>
      <c r="K86" t="s">
        <v>73</v>
      </c>
      <c r="L86">
        <v>701000</v>
      </c>
      <c r="M86" t="s">
        <v>62</v>
      </c>
      <c r="N86" t="s">
        <v>33</v>
      </c>
      <c r="O86">
        <v>6065</v>
      </c>
      <c r="P86">
        <v>0.95</v>
      </c>
      <c r="Q86">
        <v>5.76</v>
      </c>
      <c r="R86" t="s">
        <v>1197</v>
      </c>
      <c r="S86" t="s">
        <v>195</v>
      </c>
    </row>
    <row r="87" spans="1:19" x14ac:dyDescent="0.3">
      <c r="A87" t="s">
        <v>280</v>
      </c>
      <c r="B87" t="s">
        <v>22</v>
      </c>
      <c r="C87">
        <v>2025</v>
      </c>
      <c r="D87">
        <v>1</v>
      </c>
      <c r="E87" s="2">
        <v>45685</v>
      </c>
      <c r="F87" t="s">
        <v>7</v>
      </c>
      <c r="G87" t="s">
        <v>8</v>
      </c>
      <c r="H87" t="s">
        <v>74</v>
      </c>
      <c r="I87" t="s">
        <v>84</v>
      </c>
      <c r="J87" t="s">
        <v>85</v>
      </c>
      <c r="K87" t="s">
        <v>73</v>
      </c>
      <c r="L87">
        <v>701000</v>
      </c>
      <c r="M87" t="s">
        <v>62</v>
      </c>
      <c r="N87" t="s">
        <v>33</v>
      </c>
      <c r="O87">
        <v>4681</v>
      </c>
      <c r="P87">
        <v>0.95</v>
      </c>
      <c r="Q87">
        <v>4.45</v>
      </c>
      <c r="R87" t="s">
        <v>1198</v>
      </c>
      <c r="S87" t="s">
        <v>195</v>
      </c>
    </row>
    <row r="88" spans="1:19" x14ac:dyDescent="0.3">
      <c r="A88" t="s">
        <v>281</v>
      </c>
      <c r="B88" t="s">
        <v>22</v>
      </c>
      <c r="C88">
        <v>2025</v>
      </c>
      <c r="D88">
        <v>1</v>
      </c>
      <c r="E88" s="2">
        <v>45685</v>
      </c>
      <c r="F88" t="s">
        <v>7</v>
      </c>
      <c r="G88" t="s">
        <v>8</v>
      </c>
      <c r="H88" t="s">
        <v>74</v>
      </c>
      <c r="I88" t="s">
        <v>84</v>
      </c>
      <c r="J88" t="s">
        <v>85</v>
      </c>
      <c r="K88" t="s">
        <v>73</v>
      </c>
      <c r="L88">
        <v>701000</v>
      </c>
      <c r="M88" t="s">
        <v>62</v>
      </c>
      <c r="N88" t="s">
        <v>33</v>
      </c>
      <c r="O88">
        <v>2136</v>
      </c>
      <c r="P88">
        <v>0.95</v>
      </c>
      <c r="Q88">
        <v>2.0299999999999998</v>
      </c>
      <c r="R88" t="s">
        <v>1201</v>
      </c>
      <c r="S88" t="s">
        <v>195</v>
      </c>
    </row>
    <row r="89" spans="1:19" x14ac:dyDescent="0.3">
      <c r="A89" t="s">
        <v>282</v>
      </c>
      <c r="B89" t="s">
        <v>22</v>
      </c>
      <c r="C89">
        <v>2025</v>
      </c>
      <c r="D89">
        <v>1</v>
      </c>
      <c r="E89" s="2">
        <v>45685</v>
      </c>
      <c r="F89" t="s">
        <v>7</v>
      </c>
      <c r="G89" t="s">
        <v>8</v>
      </c>
      <c r="H89" t="s">
        <v>74</v>
      </c>
      <c r="I89" t="s">
        <v>84</v>
      </c>
      <c r="J89" t="s">
        <v>85</v>
      </c>
      <c r="K89" t="s">
        <v>73</v>
      </c>
      <c r="L89">
        <v>701000</v>
      </c>
      <c r="M89" t="s">
        <v>62</v>
      </c>
      <c r="N89" t="s">
        <v>33</v>
      </c>
      <c r="O89">
        <v>2611</v>
      </c>
      <c r="P89">
        <v>0.95</v>
      </c>
      <c r="Q89">
        <v>2.48</v>
      </c>
      <c r="R89" t="s">
        <v>1202</v>
      </c>
      <c r="S89" t="s">
        <v>195</v>
      </c>
    </row>
    <row r="90" spans="1:19" x14ac:dyDescent="0.3">
      <c r="A90" t="s">
        <v>283</v>
      </c>
      <c r="B90" t="s">
        <v>22</v>
      </c>
      <c r="C90">
        <v>2025</v>
      </c>
      <c r="D90">
        <v>1</v>
      </c>
      <c r="E90" s="2">
        <v>45685</v>
      </c>
      <c r="F90" t="s">
        <v>7</v>
      </c>
      <c r="G90" t="s">
        <v>8</v>
      </c>
      <c r="H90" t="s">
        <v>74</v>
      </c>
      <c r="I90" t="s">
        <v>84</v>
      </c>
      <c r="J90" t="s">
        <v>85</v>
      </c>
      <c r="K90" t="s">
        <v>73</v>
      </c>
      <c r="L90">
        <v>701000</v>
      </c>
      <c r="M90" t="s">
        <v>62</v>
      </c>
      <c r="N90" t="s">
        <v>33</v>
      </c>
      <c r="O90">
        <v>1640</v>
      </c>
      <c r="P90">
        <v>0.95</v>
      </c>
      <c r="Q90">
        <v>1.56</v>
      </c>
      <c r="R90" t="s">
        <v>1205</v>
      </c>
      <c r="S90" t="s">
        <v>195</v>
      </c>
    </row>
    <row r="91" spans="1:19" x14ac:dyDescent="0.3">
      <c r="A91" t="s">
        <v>284</v>
      </c>
      <c r="B91" t="s">
        <v>22</v>
      </c>
      <c r="C91">
        <v>2025</v>
      </c>
      <c r="D91">
        <v>1</v>
      </c>
      <c r="E91" s="2">
        <v>45685</v>
      </c>
      <c r="F91" t="s">
        <v>7</v>
      </c>
      <c r="G91" t="s">
        <v>8</v>
      </c>
      <c r="H91" t="s">
        <v>74</v>
      </c>
      <c r="I91" t="s">
        <v>84</v>
      </c>
      <c r="J91" t="s">
        <v>85</v>
      </c>
      <c r="K91" t="s">
        <v>73</v>
      </c>
      <c r="L91">
        <v>701000</v>
      </c>
      <c r="M91" t="s">
        <v>62</v>
      </c>
      <c r="N91" t="s">
        <v>33</v>
      </c>
      <c r="O91">
        <v>1854</v>
      </c>
      <c r="P91">
        <v>0.95</v>
      </c>
      <c r="Q91">
        <v>1.76</v>
      </c>
      <c r="R91" t="s">
        <v>1203</v>
      </c>
      <c r="S91" t="s">
        <v>195</v>
      </c>
    </row>
    <row r="92" spans="1:19" x14ac:dyDescent="0.3">
      <c r="A92" t="s">
        <v>285</v>
      </c>
      <c r="B92" t="s">
        <v>22</v>
      </c>
      <c r="C92">
        <v>2025</v>
      </c>
      <c r="D92">
        <v>1</v>
      </c>
      <c r="E92" s="2">
        <v>45667</v>
      </c>
      <c r="F92" t="s">
        <v>7</v>
      </c>
      <c r="G92" t="s">
        <v>8</v>
      </c>
      <c r="H92" t="s">
        <v>70</v>
      </c>
      <c r="I92" t="s">
        <v>84</v>
      </c>
      <c r="J92" t="s">
        <v>85</v>
      </c>
      <c r="K92" t="s">
        <v>73</v>
      </c>
      <c r="L92">
        <v>701000</v>
      </c>
      <c r="M92" t="s">
        <v>62</v>
      </c>
      <c r="N92" t="s">
        <v>33</v>
      </c>
      <c r="O92">
        <v>4194</v>
      </c>
      <c r="P92">
        <v>0.95</v>
      </c>
      <c r="Q92">
        <v>3.98</v>
      </c>
      <c r="R92" t="s">
        <v>1197</v>
      </c>
      <c r="S92" t="s">
        <v>195</v>
      </c>
    </row>
    <row r="93" spans="1:19" x14ac:dyDescent="0.3">
      <c r="A93" t="s">
        <v>286</v>
      </c>
      <c r="B93" t="s">
        <v>22</v>
      </c>
      <c r="C93">
        <v>2025</v>
      </c>
      <c r="D93">
        <v>1</v>
      </c>
      <c r="E93" s="2">
        <v>45667</v>
      </c>
      <c r="F93" t="s">
        <v>7</v>
      </c>
      <c r="G93" t="s">
        <v>8</v>
      </c>
      <c r="H93" t="s">
        <v>70</v>
      </c>
      <c r="I93" t="s">
        <v>84</v>
      </c>
      <c r="J93" t="s">
        <v>85</v>
      </c>
      <c r="K93" t="s">
        <v>73</v>
      </c>
      <c r="L93">
        <v>701000</v>
      </c>
      <c r="M93" t="s">
        <v>62</v>
      </c>
      <c r="N93" t="s">
        <v>33</v>
      </c>
      <c r="O93">
        <v>2837</v>
      </c>
      <c r="P93">
        <v>0.95</v>
      </c>
      <c r="Q93">
        <v>2.69</v>
      </c>
      <c r="R93" t="s">
        <v>1200</v>
      </c>
      <c r="S93" t="s">
        <v>195</v>
      </c>
    </row>
    <row r="94" spans="1:19" x14ac:dyDescent="0.3">
      <c r="A94" t="s">
        <v>287</v>
      </c>
      <c r="B94" t="s">
        <v>22</v>
      </c>
      <c r="C94">
        <v>2025</v>
      </c>
      <c r="D94">
        <v>1</v>
      </c>
      <c r="E94" s="2">
        <v>45667</v>
      </c>
      <c r="F94" t="s">
        <v>7</v>
      </c>
      <c r="G94" t="s">
        <v>8</v>
      </c>
      <c r="H94" t="s">
        <v>70</v>
      </c>
      <c r="I94" t="s">
        <v>84</v>
      </c>
      <c r="J94" t="s">
        <v>85</v>
      </c>
      <c r="K94" t="s">
        <v>73</v>
      </c>
      <c r="L94">
        <v>701000</v>
      </c>
      <c r="M94" t="s">
        <v>62</v>
      </c>
      <c r="N94" t="s">
        <v>33</v>
      </c>
      <c r="O94">
        <v>2001</v>
      </c>
      <c r="P94">
        <v>0.95</v>
      </c>
      <c r="Q94">
        <v>1.9</v>
      </c>
      <c r="R94" t="s">
        <v>1204</v>
      </c>
      <c r="S94" t="s">
        <v>195</v>
      </c>
    </row>
    <row r="95" spans="1:19" x14ac:dyDescent="0.3">
      <c r="A95" t="s">
        <v>288</v>
      </c>
      <c r="B95" t="s">
        <v>22</v>
      </c>
      <c r="C95">
        <v>2025</v>
      </c>
      <c r="D95">
        <v>1</v>
      </c>
      <c r="E95" s="2">
        <v>45667</v>
      </c>
      <c r="F95" t="s">
        <v>7</v>
      </c>
      <c r="G95" t="s">
        <v>8</v>
      </c>
      <c r="H95" t="s">
        <v>70</v>
      </c>
      <c r="I95" t="s">
        <v>84</v>
      </c>
      <c r="J95" t="s">
        <v>85</v>
      </c>
      <c r="K95" t="s">
        <v>73</v>
      </c>
      <c r="L95">
        <v>701000</v>
      </c>
      <c r="M95" t="s">
        <v>62</v>
      </c>
      <c r="N95" t="s">
        <v>33</v>
      </c>
      <c r="O95">
        <v>2323</v>
      </c>
      <c r="P95">
        <v>0.95</v>
      </c>
      <c r="Q95">
        <v>2.21</v>
      </c>
      <c r="R95" t="s">
        <v>1202</v>
      </c>
      <c r="S95" t="s">
        <v>195</v>
      </c>
    </row>
    <row r="96" spans="1:19" x14ac:dyDescent="0.3">
      <c r="A96" t="s">
        <v>289</v>
      </c>
      <c r="B96" t="s">
        <v>22</v>
      </c>
      <c r="C96">
        <v>2025</v>
      </c>
      <c r="D96">
        <v>1</v>
      </c>
      <c r="E96" s="2">
        <v>45667</v>
      </c>
      <c r="F96" t="s">
        <v>7</v>
      </c>
      <c r="G96" t="s">
        <v>8</v>
      </c>
      <c r="H96" t="s">
        <v>70</v>
      </c>
      <c r="I96" t="s">
        <v>84</v>
      </c>
      <c r="J96" t="s">
        <v>85</v>
      </c>
      <c r="K96" t="s">
        <v>73</v>
      </c>
      <c r="L96">
        <v>701000</v>
      </c>
      <c r="M96" t="s">
        <v>62</v>
      </c>
      <c r="N96" t="s">
        <v>33</v>
      </c>
      <c r="O96">
        <v>1077</v>
      </c>
      <c r="P96">
        <v>0.96</v>
      </c>
      <c r="Q96">
        <v>1.03</v>
      </c>
      <c r="R96" t="s">
        <v>1198</v>
      </c>
      <c r="S96" t="s">
        <v>195</v>
      </c>
    </row>
    <row r="97" spans="1:19" x14ac:dyDescent="0.3">
      <c r="A97" t="s">
        <v>290</v>
      </c>
      <c r="B97" t="s">
        <v>22</v>
      </c>
      <c r="C97">
        <v>2025</v>
      </c>
      <c r="D97">
        <v>1</v>
      </c>
      <c r="E97" s="2">
        <v>45667</v>
      </c>
      <c r="F97" t="s">
        <v>7</v>
      </c>
      <c r="G97" t="s">
        <v>8</v>
      </c>
      <c r="H97" t="s">
        <v>70</v>
      </c>
      <c r="I97" t="s">
        <v>84</v>
      </c>
      <c r="J97" t="s">
        <v>85</v>
      </c>
      <c r="K97" t="s">
        <v>73</v>
      </c>
      <c r="L97">
        <v>701000</v>
      </c>
      <c r="M97" t="s">
        <v>62</v>
      </c>
      <c r="N97" t="s">
        <v>33</v>
      </c>
      <c r="O97">
        <v>690</v>
      </c>
      <c r="P97">
        <v>0.96</v>
      </c>
      <c r="Q97">
        <v>0.66</v>
      </c>
      <c r="R97" t="s">
        <v>1203</v>
      </c>
      <c r="S97" t="s">
        <v>195</v>
      </c>
    </row>
    <row r="98" spans="1:19" x14ac:dyDescent="0.3">
      <c r="A98" t="s">
        <v>291</v>
      </c>
      <c r="B98" t="s">
        <v>22</v>
      </c>
      <c r="C98">
        <v>2025</v>
      </c>
      <c r="D98">
        <v>1</v>
      </c>
      <c r="E98" s="2">
        <v>45667</v>
      </c>
      <c r="F98" t="s">
        <v>7</v>
      </c>
      <c r="G98" t="s">
        <v>8</v>
      </c>
      <c r="H98" t="s">
        <v>70</v>
      </c>
      <c r="I98" t="s">
        <v>84</v>
      </c>
      <c r="J98" t="s">
        <v>85</v>
      </c>
      <c r="K98" t="s">
        <v>73</v>
      </c>
      <c r="L98">
        <v>701000</v>
      </c>
      <c r="M98" t="s">
        <v>62</v>
      </c>
      <c r="N98" t="s">
        <v>33</v>
      </c>
      <c r="O98">
        <v>1009</v>
      </c>
      <c r="P98">
        <v>0.95</v>
      </c>
      <c r="Q98">
        <v>0.96</v>
      </c>
      <c r="R98" t="s">
        <v>1199</v>
      </c>
      <c r="S98" t="s">
        <v>195</v>
      </c>
    </row>
    <row r="99" spans="1:19" x14ac:dyDescent="0.3">
      <c r="A99" t="s">
        <v>292</v>
      </c>
      <c r="B99" t="s">
        <v>22</v>
      </c>
      <c r="C99">
        <v>2025</v>
      </c>
      <c r="D99">
        <v>1</v>
      </c>
      <c r="E99" s="2">
        <v>45667</v>
      </c>
      <c r="F99" t="s">
        <v>7</v>
      </c>
      <c r="G99" t="s">
        <v>8</v>
      </c>
      <c r="H99" t="s">
        <v>70</v>
      </c>
      <c r="I99" t="s">
        <v>84</v>
      </c>
      <c r="J99" t="s">
        <v>85</v>
      </c>
      <c r="K99" t="s">
        <v>73</v>
      </c>
      <c r="L99">
        <v>701000</v>
      </c>
      <c r="M99" t="s">
        <v>62</v>
      </c>
      <c r="N99" t="s">
        <v>33</v>
      </c>
      <c r="O99">
        <v>1419</v>
      </c>
      <c r="P99">
        <v>0.95</v>
      </c>
      <c r="Q99">
        <v>1.35</v>
      </c>
      <c r="R99" t="s">
        <v>1205</v>
      </c>
      <c r="S99" t="s">
        <v>195</v>
      </c>
    </row>
    <row r="100" spans="1:19" x14ac:dyDescent="0.3">
      <c r="A100" t="s">
        <v>293</v>
      </c>
      <c r="B100" t="s">
        <v>22</v>
      </c>
      <c r="C100">
        <v>2025</v>
      </c>
      <c r="D100">
        <v>1</v>
      </c>
      <c r="E100" s="2">
        <v>45667</v>
      </c>
      <c r="F100" t="s">
        <v>7</v>
      </c>
      <c r="G100" t="s">
        <v>8</v>
      </c>
      <c r="H100" t="s">
        <v>70</v>
      </c>
      <c r="I100" t="s">
        <v>84</v>
      </c>
      <c r="J100" t="s">
        <v>85</v>
      </c>
      <c r="K100" t="s">
        <v>73</v>
      </c>
      <c r="L100">
        <v>701000</v>
      </c>
      <c r="M100" t="s">
        <v>62</v>
      </c>
      <c r="N100" t="s">
        <v>33</v>
      </c>
      <c r="O100">
        <v>7959</v>
      </c>
      <c r="P100">
        <v>0.95</v>
      </c>
      <c r="Q100">
        <v>7.56</v>
      </c>
      <c r="R100" t="s">
        <v>1200</v>
      </c>
      <c r="S100" t="s">
        <v>195</v>
      </c>
    </row>
    <row r="101" spans="1:19" x14ac:dyDescent="0.3">
      <c r="A101" t="s">
        <v>294</v>
      </c>
      <c r="B101" t="s">
        <v>22</v>
      </c>
      <c r="C101">
        <v>2025</v>
      </c>
      <c r="D101">
        <v>1</v>
      </c>
      <c r="E101" s="2">
        <v>45667</v>
      </c>
      <c r="F101" t="s">
        <v>7</v>
      </c>
      <c r="G101" t="s">
        <v>8</v>
      </c>
      <c r="H101" t="s">
        <v>70</v>
      </c>
      <c r="I101" t="s">
        <v>84</v>
      </c>
      <c r="J101" t="s">
        <v>85</v>
      </c>
      <c r="K101" t="s">
        <v>73</v>
      </c>
      <c r="L101">
        <v>701000</v>
      </c>
      <c r="M101" t="s">
        <v>62</v>
      </c>
      <c r="N101" t="s">
        <v>33</v>
      </c>
      <c r="O101">
        <v>3346</v>
      </c>
      <c r="P101">
        <v>0.95</v>
      </c>
      <c r="Q101">
        <v>3.17</v>
      </c>
      <c r="R101" t="s">
        <v>1202</v>
      </c>
      <c r="S101" t="s">
        <v>195</v>
      </c>
    </row>
    <row r="102" spans="1:19" x14ac:dyDescent="0.3">
      <c r="A102" t="s">
        <v>295</v>
      </c>
      <c r="B102" t="s">
        <v>22</v>
      </c>
      <c r="C102">
        <v>2025</v>
      </c>
      <c r="D102">
        <v>1</v>
      </c>
      <c r="E102" s="2">
        <v>45673</v>
      </c>
      <c r="F102" t="s">
        <v>7</v>
      </c>
      <c r="G102" t="s">
        <v>8</v>
      </c>
      <c r="H102" t="s">
        <v>70</v>
      </c>
      <c r="I102" t="s">
        <v>84</v>
      </c>
      <c r="J102" t="s">
        <v>85</v>
      </c>
      <c r="K102" t="s">
        <v>73</v>
      </c>
      <c r="L102">
        <v>701000</v>
      </c>
      <c r="M102" t="s">
        <v>62</v>
      </c>
      <c r="N102" t="s">
        <v>33</v>
      </c>
      <c r="O102">
        <v>1425</v>
      </c>
      <c r="P102">
        <v>0.95</v>
      </c>
      <c r="Q102">
        <v>1.35</v>
      </c>
      <c r="R102" t="s">
        <v>1199</v>
      </c>
      <c r="S102" t="s">
        <v>195</v>
      </c>
    </row>
    <row r="103" spans="1:19" x14ac:dyDescent="0.3">
      <c r="A103" t="s">
        <v>296</v>
      </c>
      <c r="B103" t="s">
        <v>22</v>
      </c>
      <c r="C103">
        <v>2025</v>
      </c>
      <c r="D103">
        <v>1</v>
      </c>
      <c r="E103" s="2">
        <v>45673</v>
      </c>
      <c r="F103" t="s">
        <v>7</v>
      </c>
      <c r="G103" t="s">
        <v>8</v>
      </c>
      <c r="H103" t="s">
        <v>70</v>
      </c>
      <c r="I103" t="s">
        <v>84</v>
      </c>
      <c r="J103" t="s">
        <v>85</v>
      </c>
      <c r="K103" t="s">
        <v>73</v>
      </c>
      <c r="L103">
        <v>701000</v>
      </c>
      <c r="M103" t="s">
        <v>62</v>
      </c>
      <c r="N103" t="s">
        <v>33</v>
      </c>
      <c r="O103">
        <v>5223</v>
      </c>
      <c r="P103">
        <v>0.95</v>
      </c>
      <c r="Q103">
        <v>4.96</v>
      </c>
      <c r="R103" t="s">
        <v>1205</v>
      </c>
      <c r="S103" t="s">
        <v>195</v>
      </c>
    </row>
    <row r="104" spans="1:19" x14ac:dyDescent="0.3">
      <c r="A104" t="s">
        <v>297</v>
      </c>
      <c r="B104" t="s">
        <v>22</v>
      </c>
      <c r="C104">
        <v>2025</v>
      </c>
      <c r="D104">
        <v>1</v>
      </c>
      <c r="E104" s="2">
        <v>45673</v>
      </c>
      <c r="F104" t="s">
        <v>7</v>
      </c>
      <c r="G104" t="s">
        <v>8</v>
      </c>
      <c r="H104" t="s">
        <v>70</v>
      </c>
      <c r="I104" t="s">
        <v>84</v>
      </c>
      <c r="J104" t="s">
        <v>85</v>
      </c>
      <c r="K104" t="s">
        <v>73</v>
      </c>
      <c r="L104">
        <v>701000</v>
      </c>
      <c r="M104" t="s">
        <v>62</v>
      </c>
      <c r="N104" t="s">
        <v>33</v>
      </c>
      <c r="O104">
        <v>907</v>
      </c>
      <c r="P104">
        <v>0.95</v>
      </c>
      <c r="Q104">
        <v>0.86</v>
      </c>
      <c r="R104" t="s">
        <v>1202</v>
      </c>
      <c r="S104" t="s">
        <v>195</v>
      </c>
    </row>
    <row r="105" spans="1:19" x14ac:dyDescent="0.3">
      <c r="A105" t="s">
        <v>298</v>
      </c>
      <c r="B105" t="s">
        <v>22</v>
      </c>
      <c r="C105">
        <v>2025</v>
      </c>
      <c r="D105">
        <v>1</v>
      </c>
      <c r="E105" s="2">
        <v>45673</v>
      </c>
      <c r="F105" t="s">
        <v>7</v>
      </c>
      <c r="G105" t="s">
        <v>8</v>
      </c>
      <c r="H105" t="s">
        <v>70</v>
      </c>
      <c r="I105" t="s">
        <v>84</v>
      </c>
      <c r="J105" t="s">
        <v>85</v>
      </c>
      <c r="K105" t="s">
        <v>73</v>
      </c>
      <c r="L105">
        <v>701000</v>
      </c>
      <c r="M105" t="s">
        <v>62</v>
      </c>
      <c r="N105" t="s">
        <v>33</v>
      </c>
      <c r="O105">
        <v>2588</v>
      </c>
      <c r="P105">
        <v>0.95</v>
      </c>
      <c r="Q105">
        <v>2.46</v>
      </c>
      <c r="R105" t="s">
        <v>1204</v>
      </c>
      <c r="S105" t="s">
        <v>195</v>
      </c>
    </row>
    <row r="106" spans="1:19" x14ac:dyDescent="0.3">
      <c r="A106" t="s">
        <v>299</v>
      </c>
      <c r="B106" t="s">
        <v>22</v>
      </c>
      <c r="C106">
        <v>2025</v>
      </c>
      <c r="D106">
        <v>1</v>
      </c>
      <c r="E106" s="2">
        <v>45673</v>
      </c>
      <c r="F106" t="s">
        <v>7</v>
      </c>
      <c r="G106" t="s">
        <v>8</v>
      </c>
      <c r="H106" t="s">
        <v>70</v>
      </c>
      <c r="I106" t="s">
        <v>84</v>
      </c>
      <c r="J106" t="s">
        <v>85</v>
      </c>
      <c r="K106" t="s">
        <v>73</v>
      </c>
      <c r="L106">
        <v>701000</v>
      </c>
      <c r="M106" t="s">
        <v>62</v>
      </c>
      <c r="N106" t="s">
        <v>33</v>
      </c>
      <c r="O106">
        <v>581</v>
      </c>
      <c r="P106">
        <v>0.96</v>
      </c>
      <c r="Q106">
        <v>0.56000000000000005</v>
      </c>
      <c r="R106" t="s">
        <v>1198</v>
      </c>
      <c r="S106" t="s">
        <v>195</v>
      </c>
    </row>
    <row r="107" spans="1:19" x14ac:dyDescent="0.3">
      <c r="A107" t="s">
        <v>300</v>
      </c>
      <c r="B107" t="s">
        <v>22</v>
      </c>
      <c r="C107">
        <v>2025</v>
      </c>
      <c r="D107">
        <v>1</v>
      </c>
      <c r="E107" s="2">
        <v>45668</v>
      </c>
      <c r="F107" t="s">
        <v>7</v>
      </c>
      <c r="G107" t="s">
        <v>8</v>
      </c>
      <c r="H107" t="s">
        <v>70</v>
      </c>
      <c r="I107" t="s">
        <v>84</v>
      </c>
      <c r="J107" t="s">
        <v>85</v>
      </c>
      <c r="K107" t="s">
        <v>73</v>
      </c>
      <c r="L107">
        <v>701000</v>
      </c>
      <c r="M107" t="s">
        <v>62</v>
      </c>
      <c r="N107" t="s">
        <v>33</v>
      </c>
      <c r="O107">
        <v>2252</v>
      </c>
      <c r="P107">
        <v>0.95</v>
      </c>
      <c r="Q107">
        <v>2.14</v>
      </c>
      <c r="R107" t="s">
        <v>1201</v>
      </c>
      <c r="S107" t="s">
        <v>195</v>
      </c>
    </row>
    <row r="108" spans="1:19" x14ac:dyDescent="0.3">
      <c r="A108" t="s">
        <v>301</v>
      </c>
      <c r="B108" t="s">
        <v>22</v>
      </c>
      <c r="C108">
        <v>2025</v>
      </c>
      <c r="D108">
        <v>1</v>
      </c>
      <c r="E108" s="2">
        <v>45668</v>
      </c>
      <c r="F108" t="s">
        <v>7</v>
      </c>
      <c r="G108" t="s">
        <v>8</v>
      </c>
      <c r="H108" t="s">
        <v>70</v>
      </c>
      <c r="I108" t="s">
        <v>84</v>
      </c>
      <c r="J108" t="s">
        <v>85</v>
      </c>
      <c r="K108" t="s">
        <v>73</v>
      </c>
      <c r="L108">
        <v>701000</v>
      </c>
      <c r="M108" t="s">
        <v>62</v>
      </c>
      <c r="N108" t="s">
        <v>33</v>
      </c>
      <c r="O108">
        <v>3551</v>
      </c>
      <c r="P108">
        <v>0.95</v>
      </c>
      <c r="Q108">
        <v>3.37</v>
      </c>
      <c r="R108" t="s">
        <v>1200</v>
      </c>
      <c r="S108" t="s">
        <v>195</v>
      </c>
    </row>
    <row r="109" spans="1:19" x14ac:dyDescent="0.3">
      <c r="A109" t="s">
        <v>302</v>
      </c>
      <c r="B109" t="s">
        <v>22</v>
      </c>
      <c r="C109">
        <v>2025</v>
      </c>
      <c r="D109">
        <v>1</v>
      </c>
      <c r="E109" s="2">
        <v>45668</v>
      </c>
      <c r="F109" t="s">
        <v>7</v>
      </c>
      <c r="G109" t="s">
        <v>8</v>
      </c>
      <c r="H109" t="s">
        <v>70</v>
      </c>
      <c r="I109" t="s">
        <v>84</v>
      </c>
      <c r="J109" t="s">
        <v>85</v>
      </c>
      <c r="K109" t="s">
        <v>73</v>
      </c>
      <c r="L109">
        <v>701000</v>
      </c>
      <c r="M109" t="s">
        <v>62</v>
      </c>
      <c r="N109" t="s">
        <v>33</v>
      </c>
      <c r="O109">
        <v>2263</v>
      </c>
      <c r="P109">
        <v>0.95</v>
      </c>
      <c r="Q109">
        <v>2.15</v>
      </c>
      <c r="R109" t="s">
        <v>1199</v>
      </c>
      <c r="S109" t="s">
        <v>195</v>
      </c>
    </row>
    <row r="110" spans="1:19" x14ac:dyDescent="0.3">
      <c r="A110" t="s">
        <v>303</v>
      </c>
      <c r="B110" t="s">
        <v>22</v>
      </c>
      <c r="C110">
        <v>2025</v>
      </c>
      <c r="D110">
        <v>1</v>
      </c>
      <c r="E110" s="2">
        <v>45668</v>
      </c>
      <c r="F110" t="s">
        <v>7</v>
      </c>
      <c r="G110" t="s">
        <v>8</v>
      </c>
      <c r="H110" t="s">
        <v>70</v>
      </c>
      <c r="I110" t="s">
        <v>84</v>
      </c>
      <c r="J110" t="s">
        <v>85</v>
      </c>
      <c r="K110" t="s">
        <v>73</v>
      </c>
      <c r="L110">
        <v>701000</v>
      </c>
      <c r="M110" t="s">
        <v>62</v>
      </c>
      <c r="N110" t="s">
        <v>33</v>
      </c>
      <c r="O110">
        <v>1891</v>
      </c>
      <c r="P110">
        <v>0.95</v>
      </c>
      <c r="Q110">
        <v>1.8</v>
      </c>
      <c r="R110" t="s">
        <v>1204</v>
      </c>
      <c r="S110" t="s">
        <v>195</v>
      </c>
    </row>
    <row r="111" spans="1:19" x14ac:dyDescent="0.3">
      <c r="A111" t="s">
        <v>304</v>
      </c>
      <c r="B111" t="s">
        <v>22</v>
      </c>
      <c r="C111">
        <v>2025</v>
      </c>
      <c r="D111">
        <v>1</v>
      </c>
      <c r="E111" s="2">
        <v>45668</v>
      </c>
      <c r="F111" t="s">
        <v>7</v>
      </c>
      <c r="G111" t="s">
        <v>8</v>
      </c>
      <c r="H111" t="s">
        <v>70</v>
      </c>
      <c r="I111" t="s">
        <v>84</v>
      </c>
      <c r="J111" t="s">
        <v>85</v>
      </c>
      <c r="K111" t="s">
        <v>73</v>
      </c>
      <c r="L111">
        <v>701000</v>
      </c>
      <c r="M111" t="s">
        <v>62</v>
      </c>
      <c r="N111" t="s">
        <v>33</v>
      </c>
      <c r="O111">
        <v>888</v>
      </c>
      <c r="P111">
        <v>0.95</v>
      </c>
      <c r="Q111">
        <v>0.84</v>
      </c>
      <c r="R111" t="s">
        <v>1202</v>
      </c>
      <c r="S111" t="s">
        <v>195</v>
      </c>
    </row>
    <row r="112" spans="1:19" x14ac:dyDescent="0.3">
      <c r="A112" t="s">
        <v>305</v>
      </c>
      <c r="B112" t="s">
        <v>22</v>
      </c>
      <c r="C112">
        <v>2025</v>
      </c>
      <c r="D112">
        <v>1</v>
      </c>
      <c r="E112" s="2">
        <v>45671</v>
      </c>
      <c r="F112" t="s">
        <v>7</v>
      </c>
      <c r="G112" t="s">
        <v>8</v>
      </c>
      <c r="H112" t="s">
        <v>70</v>
      </c>
      <c r="I112" t="s">
        <v>84</v>
      </c>
      <c r="J112" t="s">
        <v>85</v>
      </c>
      <c r="K112" t="s">
        <v>73</v>
      </c>
      <c r="L112">
        <v>701000</v>
      </c>
      <c r="M112" t="s">
        <v>62</v>
      </c>
      <c r="N112" t="s">
        <v>33</v>
      </c>
      <c r="O112">
        <v>1621</v>
      </c>
      <c r="P112">
        <v>0.95</v>
      </c>
      <c r="Q112">
        <v>1.54</v>
      </c>
      <c r="R112" t="s">
        <v>1203</v>
      </c>
      <c r="S112" t="s">
        <v>195</v>
      </c>
    </row>
    <row r="113" spans="1:19" x14ac:dyDescent="0.3">
      <c r="A113" t="s">
        <v>306</v>
      </c>
      <c r="B113" t="s">
        <v>22</v>
      </c>
      <c r="C113">
        <v>2025</v>
      </c>
      <c r="D113">
        <v>1</v>
      </c>
      <c r="E113" s="2">
        <v>45671</v>
      </c>
      <c r="F113" t="s">
        <v>7</v>
      </c>
      <c r="G113" t="s">
        <v>8</v>
      </c>
      <c r="H113" t="s">
        <v>70</v>
      </c>
      <c r="I113" t="s">
        <v>84</v>
      </c>
      <c r="J113" t="s">
        <v>85</v>
      </c>
      <c r="K113" t="s">
        <v>73</v>
      </c>
      <c r="L113">
        <v>701000</v>
      </c>
      <c r="M113" t="s">
        <v>62</v>
      </c>
      <c r="N113" t="s">
        <v>33</v>
      </c>
      <c r="O113">
        <v>1359</v>
      </c>
      <c r="P113">
        <v>0.95</v>
      </c>
      <c r="Q113">
        <v>1.29</v>
      </c>
      <c r="R113" t="s">
        <v>1198</v>
      </c>
      <c r="S113" t="s">
        <v>195</v>
      </c>
    </row>
    <row r="114" spans="1:19" x14ac:dyDescent="0.3">
      <c r="A114" t="s">
        <v>307</v>
      </c>
      <c r="B114" t="s">
        <v>22</v>
      </c>
      <c r="C114">
        <v>2025</v>
      </c>
      <c r="D114">
        <v>1</v>
      </c>
      <c r="E114" s="2">
        <v>45671</v>
      </c>
      <c r="F114" t="s">
        <v>7</v>
      </c>
      <c r="G114" t="s">
        <v>8</v>
      </c>
      <c r="H114" t="s">
        <v>70</v>
      </c>
      <c r="I114" t="s">
        <v>84</v>
      </c>
      <c r="J114" t="s">
        <v>85</v>
      </c>
      <c r="K114" t="s">
        <v>73</v>
      </c>
      <c r="L114">
        <v>701000</v>
      </c>
      <c r="M114" t="s">
        <v>62</v>
      </c>
      <c r="N114" t="s">
        <v>33</v>
      </c>
      <c r="O114">
        <v>2894</v>
      </c>
      <c r="P114">
        <v>0.95</v>
      </c>
      <c r="Q114">
        <v>2.75</v>
      </c>
      <c r="R114" t="s">
        <v>1205</v>
      </c>
      <c r="S114" t="s">
        <v>195</v>
      </c>
    </row>
    <row r="115" spans="1:19" x14ac:dyDescent="0.3">
      <c r="A115" t="s">
        <v>308</v>
      </c>
      <c r="B115" t="s">
        <v>22</v>
      </c>
      <c r="C115">
        <v>2025</v>
      </c>
      <c r="D115">
        <v>1</v>
      </c>
      <c r="E115" s="2">
        <v>45671</v>
      </c>
      <c r="F115" t="s">
        <v>7</v>
      </c>
      <c r="G115" t="s">
        <v>8</v>
      </c>
      <c r="H115" t="s">
        <v>70</v>
      </c>
      <c r="I115" t="s">
        <v>84</v>
      </c>
      <c r="J115" t="s">
        <v>85</v>
      </c>
      <c r="K115" t="s">
        <v>73</v>
      </c>
      <c r="L115">
        <v>701000</v>
      </c>
      <c r="M115" t="s">
        <v>62</v>
      </c>
      <c r="N115" t="s">
        <v>33</v>
      </c>
      <c r="O115">
        <v>3443</v>
      </c>
      <c r="P115">
        <v>0.95</v>
      </c>
      <c r="Q115">
        <v>3.27</v>
      </c>
      <c r="R115" t="s">
        <v>1204</v>
      </c>
      <c r="S115" t="s">
        <v>195</v>
      </c>
    </row>
    <row r="116" spans="1:19" x14ac:dyDescent="0.3">
      <c r="A116" t="s">
        <v>309</v>
      </c>
      <c r="B116" t="s">
        <v>22</v>
      </c>
      <c r="C116">
        <v>2025</v>
      </c>
      <c r="D116">
        <v>1</v>
      </c>
      <c r="E116" s="2">
        <v>45671</v>
      </c>
      <c r="F116" t="s">
        <v>7</v>
      </c>
      <c r="G116" t="s">
        <v>8</v>
      </c>
      <c r="H116" t="s">
        <v>70</v>
      </c>
      <c r="I116" t="s">
        <v>84</v>
      </c>
      <c r="J116" t="s">
        <v>85</v>
      </c>
      <c r="K116" t="s">
        <v>73</v>
      </c>
      <c r="L116">
        <v>701000</v>
      </c>
      <c r="M116" t="s">
        <v>62</v>
      </c>
      <c r="N116" t="s">
        <v>33</v>
      </c>
      <c r="O116">
        <v>1871</v>
      </c>
      <c r="P116">
        <v>0.95</v>
      </c>
      <c r="Q116">
        <v>1.78</v>
      </c>
      <c r="R116" t="s">
        <v>1200</v>
      </c>
      <c r="S116" t="s">
        <v>195</v>
      </c>
    </row>
    <row r="117" spans="1:19" x14ac:dyDescent="0.3">
      <c r="A117" t="s">
        <v>310</v>
      </c>
      <c r="B117" t="s">
        <v>22</v>
      </c>
      <c r="C117">
        <v>2025</v>
      </c>
      <c r="D117">
        <v>1</v>
      </c>
      <c r="E117" s="2">
        <v>45685</v>
      </c>
      <c r="F117" t="s">
        <v>7</v>
      </c>
      <c r="G117" t="s">
        <v>8</v>
      </c>
      <c r="H117" t="s">
        <v>74</v>
      </c>
      <c r="I117" t="s">
        <v>84</v>
      </c>
      <c r="J117" t="s">
        <v>85</v>
      </c>
      <c r="K117" t="s">
        <v>73</v>
      </c>
      <c r="L117">
        <v>701000</v>
      </c>
      <c r="M117" t="s">
        <v>62</v>
      </c>
      <c r="N117" t="s">
        <v>33</v>
      </c>
      <c r="O117">
        <v>2233</v>
      </c>
      <c r="P117">
        <v>0.95</v>
      </c>
      <c r="Q117">
        <v>2.12</v>
      </c>
      <c r="R117" t="s">
        <v>1205</v>
      </c>
      <c r="S117" t="s">
        <v>195</v>
      </c>
    </row>
    <row r="118" spans="1:19" x14ac:dyDescent="0.3">
      <c r="A118" t="s">
        <v>311</v>
      </c>
      <c r="B118" t="s">
        <v>22</v>
      </c>
      <c r="C118">
        <v>2025</v>
      </c>
      <c r="D118">
        <v>1</v>
      </c>
      <c r="E118" s="2">
        <v>45685</v>
      </c>
      <c r="F118" t="s">
        <v>7</v>
      </c>
      <c r="G118" t="s">
        <v>8</v>
      </c>
      <c r="H118" t="s">
        <v>74</v>
      </c>
      <c r="I118" t="s">
        <v>84</v>
      </c>
      <c r="J118" t="s">
        <v>85</v>
      </c>
      <c r="K118" t="s">
        <v>73</v>
      </c>
      <c r="L118">
        <v>701000</v>
      </c>
      <c r="M118" t="s">
        <v>62</v>
      </c>
      <c r="N118" t="s">
        <v>33</v>
      </c>
      <c r="O118">
        <v>2146</v>
      </c>
      <c r="P118">
        <v>0.95</v>
      </c>
      <c r="Q118">
        <v>2.04</v>
      </c>
      <c r="R118" t="s">
        <v>1200</v>
      </c>
      <c r="S118" t="s">
        <v>195</v>
      </c>
    </row>
    <row r="119" spans="1:19" x14ac:dyDescent="0.3">
      <c r="A119" t="s">
        <v>312</v>
      </c>
      <c r="B119" t="s">
        <v>22</v>
      </c>
      <c r="C119">
        <v>2025</v>
      </c>
      <c r="D119">
        <v>1</v>
      </c>
      <c r="E119" s="2">
        <v>45685</v>
      </c>
      <c r="F119" t="s">
        <v>7</v>
      </c>
      <c r="G119" t="s">
        <v>8</v>
      </c>
      <c r="H119" t="s">
        <v>74</v>
      </c>
      <c r="I119" t="s">
        <v>84</v>
      </c>
      <c r="J119" t="s">
        <v>85</v>
      </c>
      <c r="K119" t="s">
        <v>73</v>
      </c>
      <c r="L119">
        <v>701000</v>
      </c>
      <c r="M119" t="s">
        <v>62</v>
      </c>
      <c r="N119" t="s">
        <v>33</v>
      </c>
      <c r="O119">
        <v>4237</v>
      </c>
      <c r="P119">
        <v>0.95</v>
      </c>
      <c r="Q119">
        <v>4.03</v>
      </c>
      <c r="R119" t="s">
        <v>1204</v>
      </c>
      <c r="S119" t="s">
        <v>195</v>
      </c>
    </row>
    <row r="120" spans="1:19" x14ac:dyDescent="0.3">
      <c r="A120" t="s">
        <v>313</v>
      </c>
      <c r="B120" t="s">
        <v>22</v>
      </c>
      <c r="C120">
        <v>2025</v>
      </c>
      <c r="D120">
        <v>1</v>
      </c>
      <c r="E120" s="2">
        <v>45685</v>
      </c>
      <c r="F120" t="s">
        <v>7</v>
      </c>
      <c r="G120" t="s">
        <v>8</v>
      </c>
      <c r="H120" t="s">
        <v>74</v>
      </c>
      <c r="I120" t="s">
        <v>84</v>
      </c>
      <c r="J120" t="s">
        <v>85</v>
      </c>
      <c r="K120" t="s">
        <v>73</v>
      </c>
      <c r="L120">
        <v>701000</v>
      </c>
      <c r="M120" t="s">
        <v>62</v>
      </c>
      <c r="N120" t="s">
        <v>33</v>
      </c>
      <c r="O120">
        <v>1414</v>
      </c>
      <c r="P120">
        <v>0.95</v>
      </c>
      <c r="Q120">
        <v>1.34</v>
      </c>
      <c r="R120" t="s">
        <v>1203</v>
      </c>
      <c r="S120" t="s">
        <v>195</v>
      </c>
    </row>
    <row r="121" spans="1:19" x14ac:dyDescent="0.3">
      <c r="A121" t="s">
        <v>314</v>
      </c>
      <c r="B121" t="s">
        <v>22</v>
      </c>
      <c r="C121">
        <v>2025</v>
      </c>
      <c r="D121">
        <v>1</v>
      </c>
      <c r="E121" s="2">
        <v>45685</v>
      </c>
      <c r="F121" t="s">
        <v>7</v>
      </c>
      <c r="G121" t="s">
        <v>8</v>
      </c>
      <c r="H121" t="s">
        <v>74</v>
      </c>
      <c r="I121" t="s">
        <v>84</v>
      </c>
      <c r="J121" t="s">
        <v>85</v>
      </c>
      <c r="K121" t="s">
        <v>73</v>
      </c>
      <c r="L121">
        <v>701000</v>
      </c>
      <c r="M121" t="s">
        <v>62</v>
      </c>
      <c r="N121" t="s">
        <v>33</v>
      </c>
      <c r="O121">
        <v>1473</v>
      </c>
      <c r="P121">
        <v>0.95</v>
      </c>
      <c r="Q121">
        <v>1.4</v>
      </c>
      <c r="R121" t="s">
        <v>1199</v>
      </c>
      <c r="S121" t="s">
        <v>195</v>
      </c>
    </row>
    <row r="122" spans="1:19" x14ac:dyDescent="0.3">
      <c r="A122" t="s">
        <v>315</v>
      </c>
      <c r="B122" t="s">
        <v>22</v>
      </c>
      <c r="C122">
        <v>2025</v>
      </c>
      <c r="D122">
        <v>1</v>
      </c>
      <c r="E122" s="2">
        <v>45680</v>
      </c>
      <c r="F122" t="s">
        <v>7</v>
      </c>
      <c r="G122" t="s">
        <v>8</v>
      </c>
      <c r="H122" t="s">
        <v>74</v>
      </c>
      <c r="I122" t="s">
        <v>84</v>
      </c>
      <c r="J122" t="s">
        <v>85</v>
      </c>
      <c r="K122" t="s">
        <v>73</v>
      </c>
      <c r="L122">
        <v>701000</v>
      </c>
      <c r="M122" t="s">
        <v>62</v>
      </c>
      <c r="N122" t="s">
        <v>33</v>
      </c>
      <c r="O122">
        <v>1239</v>
      </c>
      <c r="P122">
        <v>0.95</v>
      </c>
      <c r="Q122">
        <v>1.18</v>
      </c>
      <c r="R122" t="s">
        <v>1198</v>
      </c>
      <c r="S122" t="s">
        <v>195</v>
      </c>
    </row>
    <row r="123" spans="1:19" x14ac:dyDescent="0.3">
      <c r="A123" t="s">
        <v>316</v>
      </c>
      <c r="B123" t="s">
        <v>22</v>
      </c>
      <c r="C123">
        <v>2025</v>
      </c>
      <c r="D123">
        <v>1</v>
      </c>
      <c r="E123" s="2">
        <v>45680</v>
      </c>
      <c r="F123" t="s">
        <v>7</v>
      </c>
      <c r="G123" t="s">
        <v>8</v>
      </c>
      <c r="H123" t="s">
        <v>74</v>
      </c>
      <c r="I123" t="s">
        <v>84</v>
      </c>
      <c r="J123" t="s">
        <v>85</v>
      </c>
      <c r="K123" t="s">
        <v>73</v>
      </c>
      <c r="L123">
        <v>701000</v>
      </c>
      <c r="M123" t="s">
        <v>62</v>
      </c>
      <c r="N123" t="s">
        <v>33</v>
      </c>
      <c r="O123">
        <v>2115</v>
      </c>
      <c r="P123">
        <v>0.95</v>
      </c>
      <c r="Q123">
        <v>2.0099999999999998</v>
      </c>
      <c r="R123" t="s">
        <v>1205</v>
      </c>
      <c r="S123" t="s">
        <v>195</v>
      </c>
    </row>
    <row r="124" spans="1:19" x14ac:dyDescent="0.3">
      <c r="A124" t="s">
        <v>317</v>
      </c>
      <c r="B124" t="s">
        <v>22</v>
      </c>
      <c r="C124">
        <v>2025</v>
      </c>
      <c r="D124">
        <v>1</v>
      </c>
      <c r="E124" s="2">
        <v>45680</v>
      </c>
      <c r="F124" t="s">
        <v>7</v>
      </c>
      <c r="G124" t="s">
        <v>8</v>
      </c>
      <c r="H124" t="s">
        <v>74</v>
      </c>
      <c r="I124" t="s">
        <v>84</v>
      </c>
      <c r="J124" t="s">
        <v>85</v>
      </c>
      <c r="K124" t="s">
        <v>73</v>
      </c>
      <c r="L124">
        <v>701000</v>
      </c>
      <c r="M124" t="s">
        <v>62</v>
      </c>
      <c r="N124" t="s">
        <v>33</v>
      </c>
      <c r="O124">
        <v>3947</v>
      </c>
      <c r="P124">
        <v>0.95</v>
      </c>
      <c r="Q124">
        <v>3.75</v>
      </c>
      <c r="R124" t="s">
        <v>1199</v>
      </c>
      <c r="S124" t="s">
        <v>195</v>
      </c>
    </row>
    <row r="125" spans="1:19" x14ac:dyDescent="0.3">
      <c r="A125" t="s">
        <v>318</v>
      </c>
      <c r="B125" t="s">
        <v>22</v>
      </c>
      <c r="C125">
        <v>2025</v>
      </c>
      <c r="D125">
        <v>1</v>
      </c>
      <c r="E125" s="2">
        <v>45680</v>
      </c>
      <c r="F125" t="s">
        <v>7</v>
      </c>
      <c r="G125" t="s">
        <v>8</v>
      </c>
      <c r="H125" t="s">
        <v>74</v>
      </c>
      <c r="I125" t="s">
        <v>84</v>
      </c>
      <c r="J125" t="s">
        <v>85</v>
      </c>
      <c r="K125" t="s">
        <v>73</v>
      </c>
      <c r="L125">
        <v>701000</v>
      </c>
      <c r="M125" t="s">
        <v>62</v>
      </c>
      <c r="N125" t="s">
        <v>33</v>
      </c>
      <c r="O125">
        <v>2452</v>
      </c>
      <c r="P125">
        <v>0.95</v>
      </c>
      <c r="Q125">
        <v>2.33</v>
      </c>
      <c r="R125" t="s">
        <v>1202</v>
      </c>
      <c r="S125" t="s">
        <v>195</v>
      </c>
    </row>
    <row r="126" spans="1:19" x14ac:dyDescent="0.3">
      <c r="A126" t="s">
        <v>319</v>
      </c>
      <c r="B126" t="s">
        <v>22</v>
      </c>
      <c r="C126">
        <v>2025</v>
      </c>
      <c r="D126">
        <v>1</v>
      </c>
      <c r="E126" s="2">
        <v>45680</v>
      </c>
      <c r="F126" t="s">
        <v>7</v>
      </c>
      <c r="G126" t="s">
        <v>8</v>
      </c>
      <c r="H126" t="s">
        <v>74</v>
      </c>
      <c r="I126" t="s">
        <v>84</v>
      </c>
      <c r="J126" t="s">
        <v>85</v>
      </c>
      <c r="K126" t="s">
        <v>73</v>
      </c>
      <c r="L126">
        <v>701000</v>
      </c>
      <c r="M126" t="s">
        <v>62</v>
      </c>
      <c r="N126" t="s">
        <v>33</v>
      </c>
      <c r="O126">
        <v>1939</v>
      </c>
      <c r="P126">
        <v>0.95</v>
      </c>
      <c r="Q126">
        <v>1.84</v>
      </c>
      <c r="R126" t="s">
        <v>1197</v>
      </c>
      <c r="S126" t="s">
        <v>195</v>
      </c>
    </row>
    <row r="127" spans="1:19" x14ac:dyDescent="0.3">
      <c r="A127" t="s">
        <v>320</v>
      </c>
      <c r="B127" t="s">
        <v>22</v>
      </c>
      <c r="C127">
        <v>2025</v>
      </c>
      <c r="D127">
        <v>1</v>
      </c>
      <c r="E127" s="2">
        <v>45676</v>
      </c>
      <c r="F127" t="s">
        <v>7</v>
      </c>
      <c r="G127" t="s">
        <v>8</v>
      </c>
      <c r="H127" t="s">
        <v>70</v>
      </c>
      <c r="I127" t="s">
        <v>84</v>
      </c>
      <c r="J127" t="s">
        <v>85</v>
      </c>
      <c r="K127" t="s">
        <v>73</v>
      </c>
      <c r="L127">
        <v>701000</v>
      </c>
      <c r="M127" t="s">
        <v>62</v>
      </c>
      <c r="N127" t="s">
        <v>33</v>
      </c>
      <c r="O127">
        <v>1769</v>
      </c>
      <c r="P127">
        <v>0.95</v>
      </c>
      <c r="Q127">
        <v>1.68</v>
      </c>
      <c r="R127" t="s">
        <v>1199</v>
      </c>
      <c r="S127" t="s">
        <v>195</v>
      </c>
    </row>
    <row r="128" spans="1:19" x14ac:dyDescent="0.3">
      <c r="A128" t="s">
        <v>321</v>
      </c>
      <c r="B128" t="s">
        <v>22</v>
      </c>
      <c r="C128">
        <v>2025</v>
      </c>
      <c r="D128">
        <v>1</v>
      </c>
      <c r="E128" s="2">
        <v>45676</v>
      </c>
      <c r="F128" t="s">
        <v>7</v>
      </c>
      <c r="G128" t="s">
        <v>8</v>
      </c>
      <c r="H128" t="s">
        <v>70</v>
      </c>
      <c r="I128" t="s">
        <v>84</v>
      </c>
      <c r="J128" t="s">
        <v>85</v>
      </c>
      <c r="K128" t="s">
        <v>73</v>
      </c>
      <c r="L128">
        <v>701000</v>
      </c>
      <c r="M128" t="s">
        <v>62</v>
      </c>
      <c r="N128" t="s">
        <v>33</v>
      </c>
      <c r="O128">
        <v>2670</v>
      </c>
      <c r="P128">
        <v>0.95</v>
      </c>
      <c r="Q128">
        <v>2.54</v>
      </c>
      <c r="R128" t="s">
        <v>1200</v>
      </c>
      <c r="S128" t="s">
        <v>195</v>
      </c>
    </row>
    <row r="129" spans="1:19" x14ac:dyDescent="0.3">
      <c r="A129" t="s">
        <v>322</v>
      </c>
      <c r="B129" t="s">
        <v>22</v>
      </c>
      <c r="C129">
        <v>2025</v>
      </c>
      <c r="D129">
        <v>1</v>
      </c>
      <c r="E129" s="2">
        <v>45676</v>
      </c>
      <c r="F129" t="s">
        <v>7</v>
      </c>
      <c r="G129" t="s">
        <v>8</v>
      </c>
      <c r="H129" t="s">
        <v>70</v>
      </c>
      <c r="I129" t="s">
        <v>84</v>
      </c>
      <c r="J129" t="s">
        <v>85</v>
      </c>
      <c r="K129" t="s">
        <v>73</v>
      </c>
      <c r="L129">
        <v>701000</v>
      </c>
      <c r="M129" t="s">
        <v>62</v>
      </c>
      <c r="N129" t="s">
        <v>33</v>
      </c>
      <c r="O129">
        <v>3695</v>
      </c>
      <c r="P129">
        <v>0.95</v>
      </c>
      <c r="Q129">
        <v>3.51</v>
      </c>
      <c r="R129" t="s">
        <v>1201</v>
      </c>
      <c r="S129" t="s">
        <v>195</v>
      </c>
    </row>
    <row r="130" spans="1:19" x14ac:dyDescent="0.3">
      <c r="A130" t="s">
        <v>323</v>
      </c>
      <c r="B130" t="s">
        <v>22</v>
      </c>
      <c r="C130">
        <v>2025</v>
      </c>
      <c r="D130">
        <v>1</v>
      </c>
      <c r="E130" s="2">
        <v>45676</v>
      </c>
      <c r="F130" t="s">
        <v>7</v>
      </c>
      <c r="G130" t="s">
        <v>8</v>
      </c>
      <c r="H130" t="s">
        <v>70</v>
      </c>
      <c r="I130" t="s">
        <v>84</v>
      </c>
      <c r="J130" t="s">
        <v>85</v>
      </c>
      <c r="K130" t="s">
        <v>73</v>
      </c>
      <c r="L130">
        <v>701000</v>
      </c>
      <c r="M130" t="s">
        <v>62</v>
      </c>
      <c r="N130" t="s">
        <v>33</v>
      </c>
      <c r="O130">
        <v>1467</v>
      </c>
      <c r="P130">
        <v>0.95</v>
      </c>
      <c r="Q130">
        <v>1.39</v>
      </c>
      <c r="R130" t="s">
        <v>1202</v>
      </c>
      <c r="S130" t="s">
        <v>195</v>
      </c>
    </row>
    <row r="131" spans="1:19" x14ac:dyDescent="0.3">
      <c r="A131" t="s">
        <v>324</v>
      </c>
      <c r="B131" t="s">
        <v>22</v>
      </c>
      <c r="C131">
        <v>2025</v>
      </c>
      <c r="D131">
        <v>1</v>
      </c>
      <c r="E131" s="2">
        <v>45676</v>
      </c>
      <c r="F131" t="s">
        <v>7</v>
      </c>
      <c r="G131" t="s">
        <v>8</v>
      </c>
      <c r="H131" t="s">
        <v>70</v>
      </c>
      <c r="I131" t="s">
        <v>84</v>
      </c>
      <c r="J131" t="s">
        <v>85</v>
      </c>
      <c r="K131" t="s">
        <v>73</v>
      </c>
      <c r="L131">
        <v>701000</v>
      </c>
      <c r="M131" t="s">
        <v>62</v>
      </c>
      <c r="N131" t="s">
        <v>33</v>
      </c>
      <c r="O131">
        <v>3397</v>
      </c>
      <c r="P131">
        <v>0.95</v>
      </c>
      <c r="Q131">
        <v>3.23</v>
      </c>
      <c r="R131" t="s">
        <v>1204</v>
      </c>
      <c r="S131" t="s">
        <v>195</v>
      </c>
    </row>
    <row r="132" spans="1:19" x14ac:dyDescent="0.3">
      <c r="A132" t="s">
        <v>325</v>
      </c>
      <c r="B132" t="s">
        <v>22</v>
      </c>
      <c r="C132">
        <v>2025</v>
      </c>
      <c r="D132">
        <v>1</v>
      </c>
      <c r="E132" s="2">
        <v>45665</v>
      </c>
      <c r="F132" t="s">
        <v>7</v>
      </c>
      <c r="G132" t="s">
        <v>8</v>
      </c>
      <c r="H132" t="s">
        <v>70</v>
      </c>
      <c r="I132" t="s">
        <v>84</v>
      </c>
      <c r="J132" t="s">
        <v>85</v>
      </c>
      <c r="K132" t="s">
        <v>73</v>
      </c>
      <c r="L132">
        <v>701000</v>
      </c>
      <c r="M132" t="s">
        <v>62</v>
      </c>
      <c r="N132" t="s">
        <v>33</v>
      </c>
      <c r="O132">
        <v>2497</v>
      </c>
      <c r="P132">
        <v>0.95</v>
      </c>
      <c r="Q132">
        <v>2.37</v>
      </c>
      <c r="R132" t="s">
        <v>1202</v>
      </c>
      <c r="S132" t="s">
        <v>195</v>
      </c>
    </row>
    <row r="133" spans="1:19" x14ac:dyDescent="0.3">
      <c r="A133" t="s">
        <v>326</v>
      </c>
      <c r="B133" t="s">
        <v>22</v>
      </c>
      <c r="C133">
        <v>2025</v>
      </c>
      <c r="D133">
        <v>1</v>
      </c>
      <c r="E133" s="2">
        <v>45665</v>
      </c>
      <c r="F133" t="s">
        <v>7</v>
      </c>
      <c r="G133" t="s">
        <v>8</v>
      </c>
      <c r="H133" t="s">
        <v>70</v>
      </c>
      <c r="I133" t="s">
        <v>84</v>
      </c>
      <c r="J133" t="s">
        <v>85</v>
      </c>
      <c r="K133" t="s">
        <v>73</v>
      </c>
      <c r="L133">
        <v>701000</v>
      </c>
      <c r="M133" t="s">
        <v>62</v>
      </c>
      <c r="N133" t="s">
        <v>33</v>
      </c>
      <c r="O133">
        <v>492</v>
      </c>
      <c r="P133">
        <v>0.96</v>
      </c>
      <c r="Q133">
        <v>0.47</v>
      </c>
      <c r="R133" t="s">
        <v>1201</v>
      </c>
      <c r="S133" t="s">
        <v>195</v>
      </c>
    </row>
    <row r="134" spans="1:19" x14ac:dyDescent="0.3">
      <c r="A134" t="s">
        <v>327</v>
      </c>
      <c r="B134" t="s">
        <v>22</v>
      </c>
      <c r="C134">
        <v>2025</v>
      </c>
      <c r="D134">
        <v>1</v>
      </c>
      <c r="E134" s="2">
        <v>45665</v>
      </c>
      <c r="F134" t="s">
        <v>7</v>
      </c>
      <c r="G134" t="s">
        <v>8</v>
      </c>
      <c r="H134" t="s">
        <v>70</v>
      </c>
      <c r="I134" t="s">
        <v>84</v>
      </c>
      <c r="J134" t="s">
        <v>85</v>
      </c>
      <c r="K134" t="s">
        <v>73</v>
      </c>
      <c r="L134">
        <v>701000</v>
      </c>
      <c r="M134" t="s">
        <v>62</v>
      </c>
      <c r="N134" t="s">
        <v>33</v>
      </c>
      <c r="O134">
        <v>2414</v>
      </c>
      <c r="P134">
        <v>0.95</v>
      </c>
      <c r="Q134">
        <v>2.29</v>
      </c>
      <c r="R134" t="s">
        <v>1204</v>
      </c>
      <c r="S134" t="s">
        <v>195</v>
      </c>
    </row>
    <row r="135" spans="1:19" x14ac:dyDescent="0.3">
      <c r="A135" t="s">
        <v>328</v>
      </c>
      <c r="B135" t="s">
        <v>22</v>
      </c>
      <c r="C135">
        <v>2025</v>
      </c>
      <c r="D135">
        <v>1</v>
      </c>
      <c r="E135" s="2">
        <v>45665</v>
      </c>
      <c r="F135" t="s">
        <v>7</v>
      </c>
      <c r="G135" t="s">
        <v>8</v>
      </c>
      <c r="H135" t="s">
        <v>70</v>
      </c>
      <c r="I135" t="s">
        <v>84</v>
      </c>
      <c r="J135" t="s">
        <v>85</v>
      </c>
      <c r="K135" t="s">
        <v>73</v>
      </c>
      <c r="L135">
        <v>701000</v>
      </c>
      <c r="M135" t="s">
        <v>62</v>
      </c>
      <c r="N135" t="s">
        <v>33</v>
      </c>
      <c r="O135">
        <v>2780</v>
      </c>
      <c r="P135">
        <v>0.95</v>
      </c>
      <c r="Q135">
        <v>2.64</v>
      </c>
      <c r="R135" t="s">
        <v>1197</v>
      </c>
      <c r="S135" t="s">
        <v>195</v>
      </c>
    </row>
    <row r="136" spans="1:19" x14ac:dyDescent="0.3">
      <c r="A136" t="s">
        <v>329</v>
      </c>
      <c r="B136" t="s">
        <v>22</v>
      </c>
      <c r="C136">
        <v>2025</v>
      </c>
      <c r="D136">
        <v>1</v>
      </c>
      <c r="E136" s="2">
        <v>45665</v>
      </c>
      <c r="F136" t="s">
        <v>7</v>
      </c>
      <c r="G136" t="s">
        <v>8</v>
      </c>
      <c r="H136" t="s">
        <v>70</v>
      </c>
      <c r="I136" t="s">
        <v>84</v>
      </c>
      <c r="J136" t="s">
        <v>85</v>
      </c>
      <c r="K136" t="s">
        <v>73</v>
      </c>
      <c r="L136">
        <v>701000</v>
      </c>
      <c r="M136" t="s">
        <v>62</v>
      </c>
      <c r="N136" t="s">
        <v>33</v>
      </c>
      <c r="O136">
        <v>4548</v>
      </c>
      <c r="P136">
        <v>0.95</v>
      </c>
      <c r="Q136">
        <v>4.32</v>
      </c>
      <c r="R136" t="s">
        <v>1203</v>
      </c>
      <c r="S136" t="s">
        <v>195</v>
      </c>
    </row>
    <row r="137" spans="1:19" x14ac:dyDescent="0.3">
      <c r="A137" t="s">
        <v>330</v>
      </c>
      <c r="B137" t="s">
        <v>22</v>
      </c>
      <c r="C137">
        <v>2025</v>
      </c>
      <c r="D137">
        <v>1</v>
      </c>
      <c r="E137" s="2">
        <v>45664</v>
      </c>
      <c r="F137" t="s">
        <v>7</v>
      </c>
      <c r="G137" t="s">
        <v>8</v>
      </c>
      <c r="H137" t="s">
        <v>74</v>
      </c>
      <c r="I137" t="s">
        <v>84</v>
      </c>
      <c r="J137" t="s">
        <v>85</v>
      </c>
      <c r="K137" t="s">
        <v>73</v>
      </c>
      <c r="L137">
        <v>706000</v>
      </c>
      <c r="M137" t="s">
        <v>63</v>
      </c>
      <c r="N137" t="s">
        <v>33</v>
      </c>
      <c r="O137">
        <v>4552</v>
      </c>
      <c r="P137">
        <v>0.95</v>
      </c>
      <c r="Q137">
        <v>4.32</v>
      </c>
      <c r="R137" t="s">
        <v>1205</v>
      </c>
      <c r="S137" t="s">
        <v>195</v>
      </c>
    </row>
    <row r="138" spans="1:19" x14ac:dyDescent="0.3">
      <c r="A138" t="s">
        <v>331</v>
      </c>
      <c r="B138" t="s">
        <v>22</v>
      </c>
      <c r="C138">
        <v>2025</v>
      </c>
      <c r="D138">
        <v>1</v>
      </c>
      <c r="E138" s="2">
        <v>45664</v>
      </c>
      <c r="F138" t="s">
        <v>7</v>
      </c>
      <c r="G138" t="s">
        <v>8</v>
      </c>
      <c r="H138" t="s">
        <v>74</v>
      </c>
      <c r="I138" t="s">
        <v>84</v>
      </c>
      <c r="J138" t="s">
        <v>85</v>
      </c>
      <c r="K138" t="s">
        <v>73</v>
      </c>
      <c r="L138">
        <v>706000</v>
      </c>
      <c r="M138" t="s">
        <v>63</v>
      </c>
      <c r="N138" t="s">
        <v>33</v>
      </c>
      <c r="O138">
        <v>4137</v>
      </c>
      <c r="P138">
        <v>0.95</v>
      </c>
      <c r="Q138">
        <v>3.93</v>
      </c>
      <c r="R138" t="s">
        <v>1200</v>
      </c>
      <c r="S138" t="s">
        <v>195</v>
      </c>
    </row>
    <row r="139" spans="1:19" x14ac:dyDescent="0.3">
      <c r="A139" t="s">
        <v>332</v>
      </c>
      <c r="B139" t="s">
        <v>22</v>
      </c>
      <c r="C139">
        <v>2025</v>
      </c>
      <c r="D139">
        <v>1</v>
      </c>
      <c r="E139" s="2">
        <v>45664</v>
      </c>
      <c r="F139" t="s">
        <v>7</v>
      </c>
      <c r="G139" t="s">
        <v>8</v>
      </c>
      <c r="H139" t="s">
        <v>74</v>
      </c>
      <c r="I139" t="s">
        <v>84</v>
      </c>
      <c r="J139" t="s">
        <v>85</v>
      </c>
      <c r="K139" t="s">
        <v>73</v>
      </c>
      <c r="L139">
        <v>706000</v>
      </c>
      <c r="M139" t="s">
        <v>63</v>
      </c>
      <c r="N139" t="s">
        <v>33</v>
      </c>
      <c r="O139">
        <v>4831</v>
      </c>
      <c r="P139">
        <v>0.95</v>
      </c>
      <c r="Q139">
        <v>4.59</v>
      </c>
      <c r="R139" t="s">
        <v>1197</v>
      </c>
      <c r="S139" t="s">
        <v>195</v>
      </c>
    </row>
    <row r="140" spans="1:19" x14ac:dyDescent="0.3">
      <c r="A140" t="s">
        <v>333</v>
      </c>
      <c r="B140" t="s">
        <v>22</v>
      </c>
      <c r="C140">
        <v>2025</v>
      </c>
      <c r="D140">
        <v>1</v>
      </c>
      <c r="E140" s="2">
        <v>45664</v>
      </c>
      <c r="F140" t="s">
        <v>7</v>
      </c>
      <c r="G140" t="s">
        <v>8</v>
      </c>
      <c r="H140" t="s">
        <v>74</v>
      </c>
      <c r="I140" t="s">
        <v>84</v>
      </c>
      <c r="J140" t="s">
        <v>85</v>
      </c>
      <c r="K140" t="s">
        <v>73</v>
      </c>
      <c r="L140">
        <v>706000</v>
      </c>
      <c r="M140" t="s">
        <v>63</v>
      </c>
      <c r="N140" t="s">
        <v>33</v>
      </c>
      <c r="O140">
        <v>1189</v>
      </c>
      <c r="P140">
        <v>0.95</v>
      </c>
      <c r="Q140">
        <v>1.1299999999999999</v>
      </c>
      <c r="R140" t="s">
        <v>1202</v>
      </c>
      <c r="S140" t="s">
        <v>195</v>
      </c>
    </row>
    <row r="141" spans="1:19" x14ac:dyDescent="0.3">
      <c r="A141" t="s">
        <v>334</v>
      </c>
      <c r="B141" t="s">
        <v>22</v>
      </c>
      <c r="C141">
        <v>2025</v>
      </c>
      <c r="D141">
        <v>1</v>
      </c>
      <c r="E141" s="2">
        <v>45664</v>
      </c>
      <c r="F141" t="s">
        <v>7</v>
      </c>
      <c r="G141" t="s">
        <v>8</v>
      </c>
      <c r="H141" t="s">
        <v>74</v>
      </c>
      <c r="I141" t="s">
        <v>84</v>
      </c>
      <c r="J141" t="s">
        <v>85</v>
      </c>
      <c r="K141" t="s">
        <v>73</v>
      </c>
      <c r="L141">
        <v>706000</v>
      </c>
      <c r="M141" t="s">
        <v>63</v>
      </c>
      <c r="N141" t="s">
        <v>33</v>
      </c>
      <c r="O141">
        <v>325</v>
      </c>
      <c r="P141">
        <v>0.95</v>
      </c>
      <c r="Q141">
        <v>0.31</v>
      </c>
      <c r="R141" t="s">
        <v>1198</v>
      </c>
      <c r="S141" t="s">
        <v>195</v>
      </c>
    </row>
    <row r="142" spans="1:19" x14ac:dyDescent="0.3">
      <c r="A142" t="s">
        <v>335</v>
      </c>
      <c r="B142" t="s">
        <v>22</v>
      </c>
      <c r="C142">
        <v>2025</v>
      </c>
      <c r="D142">
        <v>1</v>
      </c>
      <c r="E142" s="2">
        <v>45669</v>
      </c>
      <c r="F142" t="s">
        <v>7</v>
      </c>
      <c r="G142" t="s">
        <v>8</v>
      </c>
      <c r="H142" t="s">
        <v>70</v>
      </c>
      <c r="I142" t="s">
        <v>84</v>
      </c>
      <c r="J142" t="s">
        <v>85</v>
      </c>
      <c r="K142" t="s">
        <v>73</v>
      </c>
      <c r="L142">
        <v>701000</v>
      </c>
      <c r="M142" t="s">
        <v>62</v>
      </c>
      <c r="N142" t="s">
        <v>33</v>
      </c>
      <c r="O142">
        <v>1379</v>
      </c>
      <c r="P142">
        <v>0.95</v>
      </c>
      <c r="Q142">
        <v>1.31</v>
      </c>
      <c r="R142" t="s">
        <v>1202</v>
      </c>
      <c r="S142" t="s">
        <v>195</v>
      </c>
    </row>
    <row r="143" spans="1:19" x14ac:dyDescent="0.3">
      <c r="A143" t="s">
        <v>336</v>
      </c>
      <c r="B143" t="s">
        <v>22</v>
      </c>
      <c r="C143">
        <v>2025</v>
      </c>
      <c r="D143">
        <v>1</v>
      </c>
      <c r="E143" s="2">
        <v>45669</v>
      </c>
      <c r="F143" t="s">
        <v>7</v>
      </c>
      <c r="G143" t="s">
        <v>8</v>
      </c>
      <c r="H143" t="s">
        <v>70</v>
      </c>
      <c r="I143" t="s">
        <v>84</v>
      </c>
      <c r="J143" t="s">
        <v>85</v>
      </c>
      <c r="K143" t="s">
        <v>73</v>
      </c>
      <c r="L143">
        <v>701000</v>
      </c>
      <c r="M143" t="s">
        <v>62</v>
      </c>
      <c r="N143" t="s">
        <v>33</v>
      </c>
      <c r="O143">
        <v>2406</v>
      </c>
      <c r="P143">
        <v>0.95</v>
      </c>
      <c r="Q143">
        <v>2.29</v>
      </c>
      <c r="R143" t="s">
        <v>1197</v>
      </c>
      <c r="S143" t="s">
        <v>195</v>
      </c>
    </row>
    <row r="144" spans="1:19" x14ac:dyDescent="0.3">
      <c r="A144" t="s">
        <v>337</v>
      </c>
      <c r="B144" t="s">
        <v>22</v>
      </c>
      <c r="C144">
        <v>2025</v>
      </c>
      <c r="D144">
        <v>1</v>
      </c>
      <c r="E144" s="2">
        <v>45669</v>
      </c>
      <c r="F144" t="s">
        <v>7</v>
      </c>
      <c r="G144" t="s">
        <v>8</v>
      </c>
      <c r="H144" t="s">
        <v>70</v>
      </c>
      <c r="I144" t="s">
        <v>84</v>
      </c>
      <c r="J144" t="s">
        <v>85</v>
      </c>
      <c r="K144" t="s">
        <v>73</v>
      </c>
      <c r="L144">
        <v>701000</v>
      </c>
      <c r="M144" t="s">
        <v>62</v>
      </c>
      <c r="N144" t="s">
        <v>33</v>
      </c>
      <c r="O144">
        <v>4097</v>
      </c>
      <c r="P144">
        <v>0.95</v>
      </c>
      <c r="Q144">
        <v>3.89</v>
      </c>
      <c r="R144" t="s">
        <v>1203</v>
      </c>
      <c r="S144" t="s">
        <v>195</v>
      </c>
    </row>
    <row r="145" spans="1:19" x14ac:dyDescent="0.3">
      <c r="A145" t="s">
        <v>338</v>
      </c>
      <c r="B145" t="s">
        <v>22</v>
      </c>
      <c r="C145">
        <v>2025</v>
      </c>
      <c r="D145">
        <v>1</v>
      </c>
      <c r="E145" s="2">
        <v>45669</v>
      </c>
      <c r="F145" t="s">
        <v>7</v>
      </c>
      <c r="G145" t="s">
        <v>8</v>
      </c>
      <c r="H145" t="s">
        <v>70</v>
      </c>
      <c r="I145" t="s">
        <v>84</v>
      </c>
      <c r="J145" t="s">
        <v>85</v>
      </c>
      <c r="K145" t="s">
        <v>73</v>
      </c>
      <c r="L145">
        <v>701000</v>
      </c>
      <c r="M145" t="s">
        <v>62</v>
      </c>
      <c r="N145" t="s">
        <v>33</v>
      </c>
      <c r="O145">
        <v>4030</v>
      </c>
      <c r="P145">
        <v>0.95</v>
      </c>
      <c r="Q145">
        <v>3.83</v>
      </c>
      <c r="R145" t="s">
        <v>1204</v>
      </c>
      <c r="S145" t="s">
        <v>195</v>
      </c>
    </row>
    <row r="146" spans="1:19" x14ac:dyDescent="0.3">
      <c r="A146" t="s">
        <v>339</v>
      </c>
      <c r="B146" t="s">
        <v>22</v>
      </c>
      <c r="C146">
        <v>2025</v>
      </c>
      <c r="D146">
        <v>1</v>
      </c>
      <c r="E146" s="2">
        <v>45669</v>
      </c>
      <c r="F146" t="s">
        <v>7</v>
      </c>
      <c r="G146" t="s">
        <v>8</v>
      </c>
      <c r="H146" t="s">
        <v>70</v>
      </c>
      <c r="I146" t="s">
        <v>84</v>
      </c>
      <c r="J146" t="s">
        <v>85</v>
      </c>
      <c r="K146" t="s">
        <v>73</v>
      </c>
      <c r="L146">
        <v>701000</v>
      </c>
      <c r="M146" t="s">
        <v>62</v>
      </c>
      <c r="N146" t="s">
        <v>33</v>
      </c>
      <c r="O146">
        <v>1349</v>
      </c>
      <c r="P146">
        <v>0.95</v>
      </c>
      <c r="Q146">
        <v>1.28</v>
      </c>
      <c r="R146" t="s">
        <v>1198</v>
      </c>
      <c r="S146" t="s">
        <v>195</v>
      </c>
    </row>
    <row r="147" spans="1:19" x14ac:dyDescent="0.3">
      <c r="A147" t="s">
        <v>340</v>
      </c>
      <c r="B147" t="s">
        <v>22</v>
      </c>
      <c r="C147">
        <v>2025</v>
      </c>
      <c r="D147">
        <v>1</v>
      </c>
      <c r="E147" s="2">
        <v>45678</v>
      </c>
      <c r="F147" t="s">
        <v>7</v>
      </c>
      <c r="G147" t="s">
        <v>8</v>
      </c>
      <c r="H147" t="s">
        <v>74</v>
      </c>
      <c r="I147" t="s">
        <v>84</v>
      </c>
      <c r="J147" t="s">
        <v>85</v>
      </c>
      <c r="K147" t="s">
        <v>73</v>
      </c>
      <c r="L147">
        <v>701000</v>
      </c>
      <c r="M147" t="s">
        <v>62</v>
      </c>
      <c r="N147" t="s">
        <v>33</v>
      </c>
      <c r="O147">
        <v>4290</v>
      </c>
      <c r="P147">
        <v>0.95</v>
      </c>
      <c r="Q147">
        <v>4.08</v>
      </c>
      <c r="R147" t="s">
        <v>1204</v>
      </c>
      <c r="S147" t="s">
        <v>195</v>
      </c>
    </row>
    <row r="148" spans="1:19" x14ac:dyDescent="0.3">
      <c r="A148" t="s">
        <v>341</v>
      </c>
      <c r="B148" t="s">
        <v>22</v>
      </c>
      <c r="C148">
        <v>2025</v>
      </c>
      <c r="D148">
        <v>1</v>
      </c>
      <c r="E148" s="2">
        <v>45678</v>
      </c>
      <c r="F148" t="s">
        <v>7</v>
      </c>
      <c r="G148" t="s">
        <v>8</v>
      </c>
      <c r="H148" t="s">
        <v>74</v>
      </c>
      <c r="I148" t="s">
        <v>84</v>
      </c>
      <c r="J148" t="s">
        <v>85</v>
      </c>
      <c r="K148" t="s">
        <v>73</v>
      </c>
      <c r="L148">
        <v>701000</v>
      </c>
      <c r="M148" t="s">
        <v>62</v>
      </c>
      <c r="N148" t="s">
        <v>33</v>
      </c>
      <c r="O148">
        <v>2606</v>
      </c>
      <c r="P148">
        <v>0.95</v>
      </c>
      <c r="Q148">
        <v>2.48</v>
      </c>
      <c r="R148" t="s">
        <v>1205</v>
      </c>
      <c r="S148" t="s">
        <v>195</v>
      </c>
    </row>
    <row r="149" spans="1:19" x14ac:dyDescent="0.3">
      <c r="A149" t="s">
        <v>342</v>
      </c>
      <c r="B149" t="s">
        <v>22</v>
      </c>
      <c r="C149">
        <v>2025</v>
      </c>
      <c r="D149">
        <v>1</v>
      </c>
      <c r="E149" s="2">
        <v>45678</v>
      </c>
      <c r="F149" t="s">
        <v>7</v>
      </c>
      <c r="G149" t="s">
        <v>8</v>
      </c>
      <c r="H149" t="s">
        <v>74</v>
      </c>
      <c r="I149" t="s">
        <v>84</v>
      </c>
      <c r="J149" t="s">
        <v>85</v>
      </c>
      <c r="K149" t="s">
        <v>73</v>
      </c>
      <c r="L149">
        <v>701000</v>
      </c>
      <c r="M149" t="s">
        <v>62</v>
      </c>
      <c r="N149" t="s">
        <v>33</v>
      </c>
      <c r="O149">
        <v>1892</v>
      </c>
      <c r="P149">
        <v>0.95</v>
      </c>
      <c r="Q149">
        <v>1.8</v>
      </c>
      <c r="R149" t="s">
        <v>1197</v>
      </c>
      <c r="S149" t="s">
        <v>195</v>
      </c>
    </row>
    <row r="150" spans="1:19" x14ac:dyDescent="0.3">
      <c r="A150" t="s">
        <v>343</v>
      </c>
      <c r="B150" t="s">
        <v>22</v>
      </c>
      <c r="C150">
        <v>2025</v>
      </c>
      <c r="D150">
        <v>1</v>
      </c>
      <c r="E150" s="2">
        <v>45678</v>
      </c>
      <c r="F150" t="s">
        <v>7</v>
      </c>
      <c r="G150" t="s">
        <v>8</v>
      </c>
      <c r="H150" t="s">
        <v>74</v>
      </c>
      <c r="I150" t="s">
        <v>84</v>
      </c>
      <c r="J150" t="s">
        <v>85</v>
      </c>
      <c r="K150" t="s">
        <v>73</v>
      </c>
      <c r="L150">
        <v>701000</v>
      </c>
      <c r="M150" t="s">
        <v>62</v>
      </c>
      <c r="N150" t="s">
        <v>33</v>
      </c>
      <c r="O150">
        <v>2131</v>
      </c>
      <c r="P150">
        <v>0.95</v>
      </c>
      <c r="Q150">
        <v>2.02</v>
      </c>
      <c r="R150" t="s">
        <v>1201</v>
      </c>
      <c r="S150" t="s">
        <v>195</v>
      </c>
    </row>
    <row r="151" spans="1:19" x14ac:dyDescent="0.3">
      <c r="A151" t="s">
        <v>344</v>
      </c>
      <c r="B151" t="s">
        <v>22</v>
      </c>
      <c r="C151">
        <v>2025</v>
      </c>
      <c r="D151">
        <v>1</v>
      </c>
      <c r="E151" s="2">
        <v>45678</v>
      </c>
      <c r="F151" t="s">
        <v>7</v>
      </c>
      <c r="G151" t="s">
        <v>8</v>
      </c>
      <c r="H151" t="s">
        <v>74</v>
      </c>
      <c r="I151" t="s">
        <v>84</v>
      </c>
      <c r="J151" t="s">
        <v>85</v>
      </c>
      <c r="K151" t="s">
        <v>73</v>
      </c>
      <c r="L151">
        <v>701000</v>
      </c>
      <c r="M151" t="s">
        <v>62</v>
      </c>
      <c r="N151" t="s">
        <v>33</v>
      </c>
      <c r="O151">
        <v>2289</v>
      </c>
      <c r="P151">
        <v>0.95</v>
      </c>
      <c r="Q151">
        <v>2.17</v>
      </c>
      <c r="R151" t="s">
        <v>1202</v>
      </c>
      <c r="S151" t="s">
        <v>195</v>
      </c>
    </row>
    <row r="152" spans="1:19" x14ac:dyDescent="0.3">
      <c r="A152" t="s">
        <v>345</v>
      </c>
      <c r="B152" t="s">
        <v>22</v>
      </c>
      <c r="C152">
        <v>2025</v>
      </c>
      <c r="D152">
        <v>1</v>
      </c>
      <c r="E152" s="2">
        <v>45677</v>
      </c>
      <c r="F152" t="s">
        <v>7</v>
      </c>
      <c r="G152" t="s">
        <v>8</v>
      </c>
      <c r="H152" t="s">
        <v>70</v>
      </c>
      <c r="I152" t="s">
        <v>84</v>
      </c>
      <c r="J152" t="s">
        <v>85</v>
      </c>
      <c r="K152" t="s">
        <v>73</v>
      </c>
      <c r="L152">
        <v>707000</v>
      </c>
      <c r="M152" t="s">
        <v>81</v>
      </c>
      <c r="N152" t="s">
        <v>33</v>
      </c>
      <c r="O152">
        <v>1935</v>
      </c>
      <c r="P152">
        <v>0.95</v>
      </c>
      <c r="Q152">
        <v>1.84</v>
      </c>
      <c r="R152" t="s">
        <v>1204</v>
      </c>
      <c r="S152" t="s">
        <v>195</v>
      </c>
    </row>
    <row r="153" spans="1:19" x14ac:dyDescent="0.3">
      <c r="A153" t="s">
        <v>346</v>
      </c>
      <c r="B153" t="s">
        <v>22</v>
      </c>
      <c r="C153">
        <v>2025</v>
      </c>
      <c r="D153">
        <v>1</v>
      </c>
      <c r="E153" s="2">
        <v>45677</v>
      </c>
      <c r="F153" t="s">
        <v>7</v>
      </c>
      <c r="G153" t="s">
        <v>8</v>
      </c>
      <c r="H153" t="s">
        <v>70</v>
      </c>
      <c r="I153" t="s">
        <v>84</v>
      </c>
      <c r="J153" t="s">
        <v>85</v>
      </c>
      <c r="K153" t="s">
        <v>73</v>
      </c>
      <c r="L153">
        <v>707000</v>
      </c>
      <c r="M153" t="s">
        <v>81</v>
      </c>
      <c r="N153" t="s">
        <v>33</v>
      </c>
      <c r="O153">
        <v>2788</v>
      </c>
      <c r="P153">
        <v>0.95</v>
      </c>
      <c r="Q153">
        <v>2.65</v>
      </c>
      <c r="R153" t="s">
        <v>1202</v>
      </c>
      <c r="S153" t="s">
        <v>195</v>
      </c>
    </row>
    <row r="154" spans="1:19" x14ac:dyDescent="0.3">
      <c r="A154" t="s">
        <v>347</v>
      </c>
      <c r="B154" t="s">
        <v>22</v>
      </c>
      <c r="C154">
        <v>2025</v>
      </c>
      <c r="D154">
        <v>1</v>
      </c>
      <c r="E154" s="2">
        <v>45677</v>
      </c>
      <c r="F154" t="s">
        <v>7</v>
      </c>
      <c r="G154" t="s">
        <v>8</v>
      </c>
      <c r="H154" t="s">
        <v>70</v>
      </c>
      <c r="I154" t="s">
        <v>84</v>
      </c>
      <c r="J154" t="s">
        <v>85</v>
      </c>
      <c r="K154" t="s">
        <v>73</v>
      </c>
      <c r="L154">
        <v>707000</v>
      </c>
      <c r="M154" t="s">
        <v>81</v>
      </c>
      <c r="N154" t="s">
        <v>33</v>
      </c>
      <c r="O154">
        <v>4748</v>
      </c>
      <c r="P154">
        <v>0.95</v>
      </c>
      <c r="Q154">
        <v>4.51</v>
      </c>
      <c r="R154" t="s">
        <v>1201</v>
      </c>
      <c r="S154" t="s">
        <v>195</v>
      </c>
    </row>
    <row r="155" spans="1:19" x14ac:dyDescent="0.3">
      <c r="A155" t="s">
        <v>348</v>
      </c>
      <c r="B155" t="s">
        <v>22</v>
      </c>
      <c r="C155">
        <v>2025</v>
      </c>
      <c r="D155">
        <v>1</v>
      </c>
      <c r="E155" s="2">
        <v>45677</v>
      </c>
      <c r="F155" t="s">
        <v>7</v>
      </c>
      <c r="G155" t="s">
        <v>8</v>
      </c>
      <c r="H155" t="s">
        <v>70</v>
      </c>
      <c r="I155" t="s">
        <v>84</v>
      </c>
      <c r="J155" t="s">
        <v>85</v>
      </c>
      <c r="K155" t="s">
        <v>73</v>
      </c>
      <c r="L155">
        <v>707000</v>
      </c>
      <c r="M155" t="s">
        <v>81</v>
      </c>
      <c r="N155" t="s">
        <v>33</v>
      </c>
      <c r="O155">
        <v>2143</v>
      </c>
      <c r="P155">
        <v>0.95</v>
      </c>
      <c r="Q155">
        <v>2.04</v>
      </c>
      <c r="R155" t="s">
        <v>1198</v>
      </c>
      <c r="S155" t="s">
        <v>195</v>
      </c>
    </row>
    <row r="156" spans="1:19" x14ac:dyDescent="0.3">
      <c r="A156" t="s">
        <v>349</v>
      </c>
      <c r="B156" t="s">
        <v>22</v>
      </c>
      <c r="C156">
        <v>2025</v>
      </c>
      <c r="D156">
        <v>1</v>
      </c>
      <c r="E156" s="2">
        <v>45677</v>
      </c>
      <c r="F156" t="s">
        <v>7</v>
      </c>
      <c r="G156" t="s">
        <v>8</v>
      </c>
      <c r="H156" t="s">
        <v>70</v>
      </c>
      <c r="I156" t="s">
        <v>84</v>
      </c>
      <c r="J156" t="s">
        <v>85</v>
      </c>
      <c r="K156" t="s">
        <v>73</v>
      </c>
      <c r="L156">
        <v>707000</v>
      </c>
      <c r="M156" t="s">
        <v>81</v>
      </c>
      <c r="N156" t="s">
        <v>33</v>
      </c>
      <c r="O156">
        <v>3464</v>
      </c>
      <c r="P156">
        <v>0.95</v>
      </c>
      <c r="Q156">
        <v>3.28</v>
      </c>
      <c r="R156" t="s">
        <v>1200</v>
      </c>
      <c r="S156" t="s">
        <v>195</v>
      </c>
    </row>
    <row r="157" spans="1:19" x14ac:dyDescent="0.3">
      <c r="A157" t="s">
        <v>350</v>
      </c>
      <c r="B157" t="s">
        <v>22</v>
      </c>
      <c r="C157">
        <v>2025</v>
      </c>
      <c r="D157">
        <v>1</v>
      </c>
      <c r="E157" s="2">
        <v>45662</v>
      </c>
      <c r="F157" t="s">
        <v>7</v>
      </c>
      <c r="G157" t="s">
        <v>8</v>
      </c>
      <c r="H157" t="s">
        <v>70</v>
      </c>
      <c r="I157" t="s">
        <v>84</v>
      </c>
      <c r="J157" t="s">
        <v>85</v>
      </c>
      <c r="K157" t="s">
        <v>73</v>
      </c>
      <c r="L157">
        <v>706000</v>
      </c>
      <c r="M157" t="s">
        <v>63</v>
      </c>
      <c r="N157" t="s">
        <v>33</v>
      </c>
      <c r="O157">
        <v>4952</v>
      </c>
      <c r="P157">
        <v>0.95</v>
      </c>
      <c r="Q157">
        <v>4.7</v>
      </c>
      <c r="R157" t="s">
        <v>1202</v>
      </c>
      <c r="S157" t="s">
        <v>195</v>
      </c>
    </row>
    <row r="158" spans="1:19" x14ac:dyDescent="0.3">
      <c r="A158" t="s">
        <v>351</v>
      </c>
      <c r="B158" t="s">
        <v>22</v>
      </c>
      <c r="C158">
        <v>2025</v>
      </c>
      <c r="D158">
        <v>1</v>
      </c>
      <c r="E158" s="2">
        <v>45662</v>
      </c>
      <c r="F158" t="s">
        <v>7</v>
      </c>
      <c r="G158" t="s">
        <v>8</v>
      </c>
      <c r="H158" t="s">
        <v>70</v>
      </c>
      <c r="I158" t="s">
        <v>84</v>
      </c>
      <c r="J158" t="s">
        <v>85</v>
      </c>
      <c r="K158" t="s">
        <v>73</v>
      </c>
      <c r="L158">
        <v>706000</v>
      </c>
      <c r="M158" t="s">
        <v>63</v>
      </c>
      <c r="N158" t="s">
        <v>33</v>
      </c>
      <c r="O158">
        <v>1392</v>
      </c>
      <c r="P158">
        <v>0.95</v>
      </c>
      <c r="Q158">
        <v>1.32</v>
      </c>
      <c r="R158" t="s">
        <v>1197</v>
      </c>
      <c r="S158" t="s">
        <v>195</v>
      </c>
    </row>
    <row r="159" spans="1:19" x14ac:dyDescent="0.3">
      <c r="A159" t="s">
        <v>352</v>
      </c>
      <c r="B159" t="s">
        <v>22</v>
      </c>
      <c r="C159">
        <v>2025</v>
      </c>
      <c r="D159">
        <v>1</v>
      </c>
      <c r="E159" s="2">
        <v>45662</v>
      </c>
      <c r="F159" t="s">
        <v>7</v>
      </c>
      <c r="G159" t="s">
        <v>8</v>
      </c>
      <c r="H159" t="s">
        <v>70</v>
      </c>
      <c r="I159" t="s">
        <v>84</v>
      </c>
      <c r="J159" t="s">
        <v>85</v>
      </c>
      <c r="K159" t="s">
        <v>73</v>
      </c>
      <c r="L159">
        <v>706000</v>
      </c>
      <c r="M159" t="s">
        <v>63</v>
      </c>
      <c r="N159" t="s">
        <v>33</v>
      </c>
      <c r="O159">
        <v>1940</v>
      </c>
      <c r="P159">
        <v>0.95</v>
      </c>
      <c r="Q159">
        <v>1.84</v>
      </c>
      <c r="R159" t="s">
        <v>1200</v>
      </c>
      <c r="S159" t="s">
        <v>195</v>
      </c>
    </row>
    <row r="160" spans="1:19" x14ac:dyDescent="0.3">
      <c r="A160" t="s">
        <v>353</v>
      </c>
      <c r="B160" t="s">
        <v>22</v>
      </c>
      <c r="C160">
        <v>2025</v>
      </c>
      <c r="D160">
        <v>1</v>
      </c>
      <c r="E160" s="2">
        <v>45662</v>
      </c>
      <c r="F160" t="s">
        <v>7</v>
      </c>
      <c r="G160" t="s">
        <v>8</v>
      </c>
      <c r="H160" t="s">
        <v>70</v>
      </c>
      <c r="I160" t="s">
        <v>84</v>
      </c>
      <c r="J160" t="s">
        <v>85</v>
      </c>
      <c r="K160" t="s">
        <v>73</v>
      </c>
      <c r="L160">
        <v>706000</v>
      </c>
      <c r="M160" t="s">
        <v>63</v>
      </c>
      <c r="N160" t="s">
        <v>33</v>
      </c>
      <c r="O160">
        <v>3288</v>
      </c>
      <c r="P160">
        <v>0.95</v>
      </c>
      <c r="Q160">
        <v>3.12</v>
      </c>
      <c r="R160" t="s">
        <v>1205</v>
      </c>
      <c r="S160" t="s">
        <v>195</v>
      </c>
    </row>
    <row r="161" spans="1:19" x14ac:dyDescent="0.3">
      <c r="A161" t="s">
        <v>354</v>
      </c>
      <c r="B161" t="s">
        <v>22</v>
      </c>
      <c r="C161">
        <v>2025</v>
      </c>
      <c r="D161">
        <v>1</v>
      </c>
      <c r="E161" s="2">
        <v>45662</v>
      </c>
      <c r="F161" t="s">
        <v>7</v>
      </c>
      <c r="G161" t="s">
        <v>8</v>
      </c>
      <c r="H161" t="s">
        <v>70</v>
      </c>
      <c r="I161" t="s">
        <v>84</v>
      </c>
      <c r="J161" t="s">
        <v>85</v>
      </c>
      <c r="K161" t="s">
        <v>73</v>
      </c>
      <c r="L161">
        <v>706000</v>
      </c>
      <c r="M161" t="s">
        <v>63</v>
      </c>
      <c r="N161" t="s">
        <v>33</v>
      </c>
      <c r="O161">
        <v>1774</v>
      </c>
      <c r="P161">
        <v>0.96</v>
      </c>
      <c r="Q161">
        <v>1.7</v>
      </c>
      <c r="R161" t="s">
        <v>1198</v>
      </c>
      <c r="S161" t="s">
        <v>195</v>
      </c>
    </row>
    <row r="162" spans="1:19" x14ac:dyDescent="0.3">
      <c r="A162" t="s">
        <v>355</v>
      </c>
      <c r="B162" t="s">
        <v>22</v>
      </c>
      <c r="C162">
        <v>2025</v>
      </c>
      <c r="D162">
        <v>1</v>
      </c>
      <c r="E162" s="2">
        <v>45683</v>
      </c>
      <c r="F162" t="s">
        <v>7</v>
      </c>
      <c r="G162" t="s">
        <v>8</v>
      </c>
      <c r="H162" t="s">
        <v>70</v>
      </c>
      <c r="I162" t="s">
        <v>71</v>
      </c>
      <c r="J162" t="s">
        <v>72</v>
      </c>
      <c r="K162" t="s">
        <v>73</v>
      </c>
      <c r="L162">
        <v>707000</v>
      </c>
      <c r="M162" t="s">
        <v>81</v>
      </c>
      <c r="N162" t="s">
        <v>33</v>
      </c>
      <c r="O162">
        <v>2145</v>
      </c>
      <c r="P162">
        <v>1.05</v>
      </c>
      <c r="Q162">
        <v>2.25</v>
      </c>
      <c r="R162" t="s">
        <v>1205</v>
      </c>
      <c r="S162" t="s">
        <v>195</v>
      </c>
    </row>
    <row r="163" spans="1:19" x14ac:dyDescent="0.3">
      <c r="A163" t="s">
        <v>356</v>
      </c>
      <c r="B163" t="s">
        <v>22</v>
      </c>
      <c r="C163">
        <v>2025</v>
      </c>
      <c r="D163">
        <v>1</v>
      </c>
      <c r="E163" s="2">
        <v>45683</v>
      </c>
      <c r="F163" t="s">
        <v>7</v>
      </c>
      <c r="G163" t="s">
        <v>8</v>
      </c>
      <c r="H163" t="s">
        <v>70</v>
      </c>
      <c r="I163" t="s">
        <v>71</v>
      </c>
      <c r="J163" t="s">
        <v>72</v>
      </c>
      <c r="K163" t="s">
        <v>73</v>
      </c>
      <c r="L163">
        <v>707000</v>
      </c>
      <c r="M163" t="s">
        <v>81</v>
      </c>
      <c r="N163" t="s">
        <v>33</v>
      </c>
      <c r="O163">
        <v>2162</v>
      </c>
      <c r="P163">
        <v>1.05</v>
      </c>
      <c r="Q163">
        <v>2.27</v>
      </c>
      <c r="R163" t="s">
        <v>1204</v>
      </c>
      <c r="S163" t="s">
        <v>195</v>
      </c>
    </row>
    <row r="164" spans="1:19" x14ac:dyDescent="0.3">
      <c r="A164" t="s">
        <v>357</v>
      </c>
      <c r="B164" t="s">
        <v>22</v>
      </c>
      <c r="C164">
        <v>2025</v>
      </c>
      <c r="D164">
        <v>1</v>
      </c>
      <c r="E164" s="2">
        <v>45683</v>
      </c>
      <c r="F164" t="s">
        <v>7</v>
      </c>
      <c r="G164" t="s">
        <v>8</v>
      </c>
      <c r="H164" t="s">
        <v>70</v>
      </c>
      <c r="I164" t="s">
        <v>71</v>
      </c>
      <c r="J164" t="s">
        <v>72</v>
      </c>
      <c r="K164" t="s">
        <v>73</v>
      </c>
      <c r="L164">
        <v>707000</v>
      </c>
      <c r="M164" t="s">
        <v>81</v>
      </c>
      <c r="N164" t="s">
        <v>33</v>
      </c>
      <c r="O164">
        <v>3008</v>
      </c>
      <c r="P164">
        <v>1.05</v>
      </c>
      <c r="Q164">
        <v>3.16</v>
      </c>
      <c r="R164" t="s">
        <v>1202</v>
      </c>
      <c r="S164" t="s">
        <v>195</v>
      </c>
    </row>
    <row r="165" spans="1:19" x14ac:dyDescent="0.3">
      <c r="A165" t="s">
        <v>358</v>
      </c>
      <c r="B165" t="s">
        <v>22</v>
      </c>
      <c r="C165">
        <v>2025</v>
      </c>
      <c r="D165">
        <v>1</v>
      </c>
      <c r="E165" s="2">
        <v>45683</v>
      </c>
      <c r="F165" t="s">
        <v>7</v>
      </c>
      <c r="G165" t="s">
        <v>8</v>
      </c>
      <c r="H165" t="s">
        <v>70</v>
      </c>
      <c r="I165" t="s">
        <v>71</v>
      </c>
      <c r="J165" t="s">
        <v>72</v>
      </c>
      <c r="K165" t="s">
        <v>73</v>
      </c>
      <c r="L165">
        <v>707000</v>
      </c>
      <c r="M165" t="s">
        <v>81</v>
      </c>
      <c r="N165" t="s">
        <v>33</v>
      </c>
      <c r="O165">
        <v>2322</v>
      </c>
      <c r="P165">
        <v>1.05</v>
      </c>
      <c r="Q165">
        <v>2.44</v>
      </c>
      <c r="R165" t="s">
        <v>1203</v>
      </c>
      <c r="S165" t="s">
        <v>195</v>
      </c>
    </row>
    <row r="166" spans="1:19" x14ac:dyDescent="0.3">
      <c r="A166" t="s">
        <v>359</v>
      </c>
      <c r="B166" t="s">
        <v>22</v>
      </c>
      <c r="C166">
        <v>2025</v>
      </c>
      <c r="D166">
        <v>1</v>
      </c>
      <c r="E166" s="2">
        <v>45683</v>
      </c>
      <c r="F166" t="s">
        <v>7</v>
      </c>
      <c r="G166" t="s">
        <v>8</v>
      </c>
      <c r="H166" t="s">
        <v>70</v>
      </c>
      <c r="I166" t="s">
        <v>71</v>
      </c>
      <c r="J166" t="s">
        <v>72</v>
      </c>
      <c r="K166" t="s">
        <v>73</v>
      </c>
      <c r="L166">
        <v>707000</v>
      </c>
      <c r="M166" t="s">
        <v>81</v>
      </c>
      <c r="N166" t="s">
        <v>33</v>
      </c>
      <c r="O166">
        <v>2141</v>
      </c>
      <c r="P166">
        <v>1.05</v>
      </c>
      <c r="Q166">
        <v>2.25</v>
      </c>
      <c r="R166" t="s">
        <v>1197</v>
      </c>
      <c r="S166" t="s">
        <v>195</v>
      </c>
    </row>
    <row r="167" spans="1:19" x14ac:dyDescent="0.3">
      <c r="A167" t="s">
        <v>360</v>
      </c>
      <c r="B167" t="s">
        <v>22</v>
      </c>
      <c r="C167">
        <v>2025</v>
      </c>
      <c r="D167">
        <v>1</v>
      </c>
      <c r="E167" s="2">
        <v>45679</v>
      </c>
      <c r="F167" t="s">
        <v>7</v>
      </c>
      <c r="G167" t="s">
        <v>8</v>
      </c>
      <c r="H167" t="s">
        <v>74</v>
      </c>
      <c r="I167" t="s">
        <v>71</v>
      </c>
      <c r="J167" t="s">
        <v>72</v>
      </c>
      <c r="K167" t="s">
        <v>73</v>
      </c>
      <c r="L167">
        <v>701000</v>
      </c>
      <c r="M167" t="s">
        <v>62</v>
      </c>
      <c r="N167" t="s">
        <v>33</v>
      </c>
      <c r="O167">
        <v>1874</v>
      </c>
      <c r="P167">
        <v>1.05</v>
      </c>
      <c r="Q167">
        <v>1.97</v>
      </c>
      <c r="R167" t="s">
        <v>1204</v>
      </c>
      <c r="S167" t="s">
        <v>195</v>
      </c>
    </row>
    <row r="168" spans="1:19" x14ac:dyDescent="0.3">
      <c r="A168" t="s">
        <v>361</v>
      </c>
      <c r="B168" t="s">
        <v>22</v>
      </c>
      <c r="C168">
        <v>2025</v>
      </c>
      <c r="D168">
        <v>1</v>
      </c>
      <c r="E168" s="2">
        <v>45679</v>
      </c>
      <c r="F168" t="s">
        <v>7</v>
      </c>
      <c r="G168" t="s">
        <v>8</v>
      </c>
      <c r="H168" t="s">
        <v>74</v>
      </c>
      <c r="I168" t="s">
        <v>71</v>
      </c>
      <c r="J168" t="s">
        <v>72</v>
      </c>
      <c r="K168" t="s">
        <v>73</v>
      </c>
      <c r="L168">
        <v>701000</v>
      </c>
      <c r="M168" t="s">
        <v>62</v>
      </c>
      <c r="N168" t="s">
        <v>33</v>
      </c>
      <c r="O168">
        <v>3777</v>
      </c>
      <c r="P168">
        <v>1.05</v>
      </c>
      <c r="Q168">
        <v>3.97</v>
      </c>
      <c r="R168" t="s">
        <v>1197</v>
      </c>
      <c r="S168" t="s">
        <v>195</v>
      </c>
    </row>
    <row r="169" spans="1:19" x14ac:dyDescent="0.3">
      <c r="A169" t="s">
        <v>362</v>
      </c>
      <c r="B169" t="s">
        <v>22</v>
      </c>
      <c r="C169">
        <v>2025</v>
      </c>
      <c r="D169">
        <v>1</v>
      </c>
      <c r="E169" s="2">
        <v>45679</v>
      </c>
      <c r="F169" t="s">
        <v>7</v>
      </c>
      <c r="G169" t="s">
        <v>8</v>
      </c>
      <c r="H169" t="s">
        <v>74</v>
      </c>
      <c r="I169" t="s">
        <v>71</v>
      </c>
      <c r="J169" t="s">
        <v>72</v>
      </c>
      <c r="K169" t="s">
        <v>73</v>
      </c>
      <c r="L169">
        <v>701000</v>
      </c>
      <c r="M169" t="s">
        <v>62</v>
      </c>
      <c r="N169" t="s">
        <v>33</v>
      </c>
      <c r="O169">
        <v>902</v>
      </c>
      <c r="P169">
        <v>1.05</v>
      </c>
      <c r="Q169">
        <v>0.95</v>
      </c>
      <c r="R169" t="s">
        <v>1202</v>
      </c>
      <c r="S169" t="s">
        <v>195</v>
      </c>
    </row>
    <row r="170" spans="1:19" x14ac:dyDescent="0.3">
      <c r="A170" t="s">
        <v>363</v>
      </c>
      <c r="B170" t="s">
        <v>22</v>
      </c>
      <c r="C170">
        <v>2025</v>
      </c>
      <c r="D170">
        <v>1</v>
      </c>
      <c r="E170" s="2">
        <v>45679</v>
      </c>
      <c r="F170" t="s">
        <v>7</v>
      </c>
      <c r="G170" t="s">
        <v>8</v>
      </c>
      <c r="H170" t="s">
        <v>74</v>
      </c>
      <c r="I170" t="s">
        <v>71</v>
      </c>
      <c r="J170" t="s">
        <v>72</v>
      </c>
      <c r="K170" t="s">
        <v>73</v>
      </c>
      <c r="L170">
        <v>701000</v>
      </c>
      <c r="M170" t="s">
        <v>62</v>
      </c>
      <c r="N170" t="s">
        <v>33</v>
      </c>
      <c r="O170">
        <v>2888</v>
      </c>
      <c r="P170">
        <v>1.05</v>
      </c>
      <c r="Q170">
        <v>3.03</v>
      </c>
      <c r="R170" t="s">
        <v>1205</v>
      </c>
      <c r="S170" t="s">
        <v>195</v>
      </c>
    </row>
    <row r="171" spans="1:19" x14ac:dyDescent="0.3">
      <c r="A171" t="s">
        <v>364</v>
      </c>
      <c r="B171" t="s">
        <v>22</v>
      </c>
      <c r="C171">
        <v>2025</v>
      </c>
      <c r="D171">
        <v>1</v>
      </c>
      <c r="E171" s="2">
        <v>45679</v>
      </c>
      <c r="F171" t="s">
        <v>7</v>
      </c>
      <c r="G171" t="s">
        <v>8</v>
      </c>
      <c r="H171" t="s">
        <v>74</v>
      </c>
      <c r="I171" t="s">
        <v>71</v>
      </c>
      <c r="J171" t="s">
        <v>72</v>
      </c>
      <c r="K171" t="s">
        <v>73</v>
      </c>
      <c r="L171">
        <v>701000</v>
      </c>
      <c r="M171" t="s">
        <v>62</v>
      </c>
      <c r="N171" t="s">
        <v>33</v>
      </c>
      <c r="O171">
        <v>416</v>
      </c>
      <c r="P171">
        <v>1.03</v>
      </c>
      <c r="Q171">
        <v>0.43</v>
      </c>
      <c r="R171" t="s">
        <v>1201</v>
      </c>
      <c r="S171" t="s">
        <v>195</v>
      </c>
    </row>
    <row r="172" spans="1:19" x14ac:dyDescent="0.3">
      <c r="A172" t="s">
        <v>365</v>
      </c>
      <c r="B172" t="s">
        <v>22</v>
      </c>
      <c r="C172">
        <v>2025</v>
      </c>
      <c r="D172">
        <v>1</v>
      </c>
      <c r="E172" s="2">
        <v>45672</v>
      </c>
      <c r="F172" t="s">
        <v>7</v>
      </c>
      <c r="G172" t="s">
        <v>8</v>
      </c>
      <c r="H172" t="s">
        <v>74</v>
      </c>
      <c r="I172" t="s">
        <v>71</v>
      </c>
      <c r="J172" t="s">
        <v>72</v>
      </c>
      <c r="K172" t="s">
        <v>73</v>
      </c>
      <c r="L172">
        <v>701000</v>
      </c>
      <c r="M172" t="s">
        <v>62</v>
      </c>
      <c r="N172" t="s">
        <v>33</v>
      </c>
      <c r="O172">
        <v>3808</v>
      </c>
      <c r="P172">
        <v>1.05</v>
      </c>
      <c r="Q172">
        <v>4</v>
      </c>
      <c r="R172" t="s">
        <v>1201</v>
      </c>
      <c r="S172" t="s">
        <v>195</v>
      </c>
    </row>
    <row r="173" spans="1:19" x14ac:dyDescent="0.3">
      <c r="A173" t="s">
        <v>366</v>
      </c>
      <c r="B173" t="s">
        <v>22</v>
      </c>
      <c r="C173">
        <v>2025</v>
      </c>
      <c r="D173">
        <v>1</v>
      </c>
      <c r="E173" s="2">
        <v>45672</v>
      </c>
      <c r="F173" t="s">
        <v>7</v>
      </c>
      <c r="G173" t="s">
        <v>8</v>
      </c>
      <c r="H173" t="s">
        <v>74</v>
      </c>
      <c r="I173" t="s">
        <v>71</v>
      </c>
      <c r="J173" t="s">
        <v>72</v>
      </c>
      <c r="K173" t="s">
        <v>73</v>
      </c>
      <c r="L173">
        <v>701000</v>
      </c>
      <c r="M173" t="s">
        <v>62</v>
      </c>
      <c r="N173" t="s">
        <v>33</v>
      </c>
      <c r="O173">
        <v>1737</v>
      </c>
      <c r="P173">
        <v>1.05</v>
      </c>
      <c r="Q173">
        <v>1.82</v>
      </c>
      <c r="R173" t="s">
        <v>1198</v>
      </c>
      <c r="S173" t="s">
        <v>195</v>
      </c>
    </row>
    <row r="174" spans="1:19" x14ac:dyDescent="0.3">
      <c r="A174" t="s">
        <v>367</v>
      </c>
      <c r="B174" t="s">
        <v>22</v>
      </c>
      <c r="C174">
        <v>2025</v>
      </c>
      <c r="D174">
        <v>1</v>
      </c>
      <c r="E174" s="2">
        <v>45672</v>
      </c>
      <c r="F174" t="s">
        <v>7</v>
      </c>
      <c r="G174" t="s">
        <v>8</v>
      </c>
      <c r="H174" t="s">
        <v>74</v>
      </c>
      <c r="I174" t="s">
        <v>71</v>
      </c>
      <c r="J174" t="s">
        <v>72</v>
      </c>
      <c r="K174" t="s">
        <v>73</v>
      </c>
      <c r="L174">
        <v>701000</v>
      </c>
      <c r="M174" t="s">
        <v>62</v>
      </c>
      <c r="N174" t="s">
        <v>33</v>
      </c>
      <c r="O174">
        <v>4516</v>
      </c>
      <c r="P174">
        <v>1.05</v>
      </c>
      <c r="Q174">
        <v>4.74</v>
      </c>
      <c r="R174" t="s">
        <v>1203</v>
      </c>
      <c r="S174" t="s">
        <v>195</v>
      </c>
    </row>
    <row r="175" spans="1:19" x14ac:dyDescent="0.3">
      <c r="A175" t="s">
        <v>368</v>
      </c>
      <c r="B175" t="s">
        <v>22</v>
      </c>
      <c r="C175">
        <v>2025</v>
      </c>
      <c r="D175">
        <v>1</v>
      </c>
      <c r="E175" s="2">
        <v>45672</v>
      </c>
      <c r="F175" t="s">
        <v>7</v>
      </c>
      <c r="G175" t="s">
        <v>8</v>
      </c>
      <c r="H175" t="s">
        <v>74</v>
      </c>
      <c r="I175" t="s">
        <v>71</v>
      </c>
      <c r="J175" t="s">
        <v>72</v>
      </c>
      <c r="K175" t="s">
        <v>73</v>
      </c>
      <c r="L175">
        <v>701000</v>
      </c>
      <c r="M175" t="s">
        <v>62</v>
      </c>
      <c r="N175" t="s">
        <v>33</v>
      </c>
      <c r="O175">
        <v>1055</v>
      </c>
      <c r="P175">
        <v>1.05</v>
      </c>
      <c r="Q175">
        <v>1.1100000000000001</v>
      </c>
      <c r="R175" t="s">
        <v>1204</v>
      </c>
      <c r="S175" t="s">
        <v>195</v>
      </c>
    </row>
    <row r="176" spans="1:19" x14ac:dyDescent="0.3">
      <c r="A176" t="s">
        <v>369</v>
      </c>
      <c r="B176" t="s">
        <v>22</v>
      </c>
      <c r="C176">
        <v>2025</v>
      </c>
      <c r="D176">
        <v>1</v>
      </c>
      <c r="E176" s="2">
        <v>45672</v>
      </c>
      <c r="F176" t="s">
        <v>7</v>
      </c>
      <c r="G176" t="s">
        <v>8</v>
      </c>
      <c r="H176" t="s">
        <v>74</v>
      </c>
      <c r="I176" t="s">
        <v>71</v>
      </c>
      <c r="J176" t="s">
        <v>72</v>
      </c>
      <c r="K176" t="s">
        <v>73</v>
      </c>
      <c r="L176">
        <v>701000</v>
      </c>
      <c r="M176" t="s">
        <v>62</v>
      </c>
      <c r="N176" t="s">
        <v>33</v>
      </c>
      <c r="O176">
        <v>1159</v>
      </c>
      <c r="P176">
        <v>1.05</v>
      </c>
      <c r="Q176">
        <v>1.22</v>
      </c>
      <c r="R176" t="s">
        <v>1205</v>
      </c>
      <c r="S176" t="s">
        <v>195</v>
      </c>
    </row>
    <row r="177" spans="1:19" x14ac:dyDescent="0.3">
      <c r="A177" t="s">
        <v>370</v>
      </c>
      <c r="B177" t="s">
        <v>22</v>
      </c>
      <c r="C177">
        <v>2025</v>
      </c>
      <c r="D177">
        <v>1</v>
      </c>
      <c r="E177" s="2">
        <v>45673</v>
      </c>
      <c r="F177" t="s">
        <v>7</v>
      </c>
      <c r="G177" t="s">
        <v>8</v>
      </c>
      <c r="H177" t="s">
        <v>70</v>
      </c>
      <c r="I177" t="s">
        <v>71</v>
      </c>
      <c r="J177" t="s">
        <v>72</v>
      </c>
      <c r="K177" t="s">
        <v>73</v>
      </c>
      <c r="L177">
        <v>701000</v>
      </c>
      <c r="M177" t="s">
        <v>62</v>
      </c>
      <c r="N177" t="s">
        <v>33</v>
      </c>
      <c r="O177">
        <v>2308</v>
      </c>
      <c r="P177">
        <v>1.05</v>
      </c>
      <c r="Q177">
        <v>2.42</v>
      </c>
      <c r="R177" t="s">
        <v>1204</v>
      </c>
      <c r="S177" t="s">
        <v>195</v>
      </c>
    </row>
    <row r="178" spans="1:19" x14ac:dyDescent="0.3">
      <c r="A178" t="s">
        <v>371</v>
      </c>
      <c r="B178" t="s">
        <v>22</v>
      </c>
      <c r="C178">
        <v>2025</v>
      </c>
      <c r="D178">
        <v>1</v>
      </c>
      <c r="E178" s="2">
        <v>45673</v>
      </c>
      <c r="F178" t="s">
        <v>7</v>
      </c>
      <c r="G178" t="s">
        <v>8</v>
      </c>
      <c r="H178" t="s">
        <v>70</v>
      </c>
      <c r="I178" t="s">
        <v>71</v>
      </c>
      <c r="J178" t="s">
        <v>72</v>
      </c>
      <c r="K178" t="s">
        <v>73</v>
      </c>
      <c r="L178">
        <v>701000</v>
      </c>
      <c r="M178" t="s">
        <v>62</v>
      </c>
      <c r="N178" t="s">
        <v>33</v>
      </c>
      <c r="O178">
        <v>2159</v>
      </c>
      <c r="P178">
        <v>1.05</v>
      </c>
      <c r="Q178">
        <v>2.27</v>
      </c>
      <c r="R178" t="s">
        <v>1198</v>
      </c>
      <c r="S178" t="s">
        <v>195</v>
      </c>
    </row>
    <row r="179" spans="1:19" x14ac:dyDescent="0.3">
      <c r="A179" t="s">
        <v>372</v>
      </c>
      <c r="B179" t="s">
        <v>22</v>
      </c>
      <c r="C179">
        <v>2025</v>
      </c>
      <c r="D179">
        <v>1</v>
      </c>
      <c r="E179" s="2">
        <v>45673</v>
      </c>
      <c r="F179" t="s">
        <v>7</v>
      </c>
      <c r="G179" t="s">
        <v>8</v>
      </c>
      <c r="H179" t="s">
        <v>70</v>
      </c>
      <c r="I179" t="s">
        <v>71</v>
      </c>
      <c r="J179" t="s">
        <v>72</v>
      </c>
      <c r="K179" t="s">
        <v>73</v>
      </c>
      <c r="L179">
        <v>701000</v>
      </c>
      <c r="M179" t="s">
        <v>62</v>
      </c>
      <c r="N179" t="s">
        <v>33</v>
      </c>
      <c r="O179">
        <v>1519</v>
      </c>
      <c r="P179">
        <v>1.05</v>
      </c>
      <c r="Q179">
        <v>1.6</v>
      </c>
      <c r="R179" t="s">
        <v>1199</v>
      </c>
      <c r="S179" t="s">
        <v>195</v>
      </c>
    </row>
    <row r="180" spans="1:19" x14ac:dyDescent="0.3">
      <c r="A180" t="s">
        <v>373</v>
      </c>
      <c r="B180" t="s">
        <v>22</v>
      </c>
      <c r="C180">
        <v>2025</v>
      </c>
      <c r="D180">
        <v>1</v>
      </c>
      <c r="E180" s="2">
        <v>45673</v>
      </c>
      <c r="F180" t="s">
        <v>7</v>
      </c>
      <c r="G180" t="s">
        <v>8</v>
      </c>
      <c r="H180" t="s">
        <v>70</v>
      </c>
      <c r="I180" t="s">
        <v>71</v>
      </c>
      <c r="J180" t="s">
        <v>72</v>
      </c>
      <c r="K180" t="s">
        <v>73</v>
      </c>
      <c r="L180">
        <v>701000</v>
      </c>
      <c r="M180" t="s">
        <v>62</v>
      </c>
      <c r="N180" t="s">
        <v>33</v>
      </c>
      <c r="O180">
        <v>1578</v>
      </c>
      <c r="P180">
        <v>1.05</v>
      </c>
      <c r="Q180">
        <v>1.66</v>
      </c>
      <c r="R180" t="s">
        <v>1203</v>
      </c>
      <c r="S180" t="s">
        <v>195</v>
      </c>
    </row>
    <row r="181" spans="1:19" x14ac:dyDescent="0.3">
      <c r="A181" t="s">
        <v>374</v>
      </c>
      <c r="B181" t="s">
        <v>22</v>
      </c>
      <c r="C181">
        <v>2025</v>
      </c>
      <c r="D181">
        <v>1</v>
      </c>
      <c r="E181" s="2">
        <v>45673</v>
      </c>
      <c r="F181" t="s">
        <v>7</v>
      </c>
      <c r="G181" t="s">
        <v>8</v>
      </c>
      <c r="H181" t="s">
        <v>70</v>
      </c>
      <c r="I181" t="s">
        <v>71</v>
      </c>
      <c r="J181" t="s">
        <v>72</v>
      </c>
      <c r="K181" t="s">
        <v>73</v>
      </c>
      <c r="L181">
        <v>701000</v>
      </c>
      <c r="M181" t="s">
        <v>62</v>
      </c>
      <c r="N181" t="s">
        <v>33</v>
      </c>
      <c r="O181">
        <v>3473</v>
      </c>
      <c r="P181">
        <v>1.05</v>
      </c>
      <c r="Q181">
        <v>3.64</v>
      </c>
      <c r="R181" t="s">
        <v>1202</v>
      </c>
      <c r="S181" t="s">
        <v>195</v>
      </c>
    </row>
    <row r="182" spans="1:19" x14ac:dyDescent="0.3">
      <c r="A182" t="s">
        <v>375</v>
      </c>
      <c r="B182" t="s">
        <v>22</v>
      </c>
      <c r="C182">
        <v>2025</v>
      </c>
      <c r="D182">
        <v>1</v>
      </c>
      <c r="E182" s="2">
        <v>45684</v>
      </c>
      <c r="F182" t="s">
        <v>7</v>
      </c>
      <c r="G182" t="s">
        <v>8</v>
      </c>
      <c r="H182" t="s">
        <v>70</v>
      </c>
      <c r="I182" t="s">
        <v>71</v>
      </c>
      <c r="J182" t="s">
        <v>72</v>
      </c>
      <c r="K182" t="s">
        <v>73</v>
      </c>
      <c r="L182">
        <v>707000</v>
      </c>
      <c r="M182" t="s">
        <v>81</v>
      </c>
      <c r="N182" t="s">
        <v>33</v>
      </c>
      <c r="O182">
        <v>4424</v>
      </c>
      <c r="P182">
        <v>1.05</v>
      </c>
      <c r="Q182">
        <v>4.6399999999999997</v>
      </c>
      <c r="R182" t="s">
        <v>1198</v>
      </c>
      <c r="S182" t="s">
        <v>195</v>
      </c>
    </row>
    <row r="183" spans="1:19" x14ac:dyDescent="0.3">
      <c r="A183" t="s">
        <v>376</v>
      </c>
      <c r="B183" t="s">
        <v>22</v>
      </c>
      <c r="C183">
        <v>2025</v>
      </c>
      <c r="D183">
        <v>1</v>
      </c>
      <c r="E183" s="2">
        <v>45684</v>
      </c>
      <c r="F183" t="s">
        <v>7</v>
      </c>
      <c r="G183" t="s">
        <v>8</v>
      </c>
      <c r="H183" t="s">
        <v>70</v>
      </c>
      <c r="I183" t="s">
        <v>71</v>
      </c>
      <c r="J183" t="s">
        <v>72</v>
      </c>
      <c r="K183" t="s">
        <v>73</v>
      </c>
      <c r="L183">
        <v>707000</v>
      </c>
      <c r="M183" t="s">
        <v>81</v>
      </c>
      <c r="N183" t="s">
        <v>33</v>
      </c>
      <c r="O183">
        <v>1212</v>
      </c>
      <c r="P183">
        <v>1.05</v>
      </c>
      <c r="Q183">
        <v>1.27</v>
      </c>
      <c r="R183" t="s">
        <v>1199</v>
      </c>
      <c r="S183" t="s">
        <v>195</v>
      </c>
    </row>
    <row r="184" spans="1:19" x14ac:dyDescent="0.3">
      <c r="A184" t="s">
        <v>377</v>
      </c>
      <c r="B184" t="s">
        <v>22</v>
      </c>
      <c r="C184">
        <v>2025</v>
      </c>
      <c r="D184">
        <v>1</v>
      </c>
      <c r="E184" s="2">
        <v>45684</v>
      </c>
      <c r="F184" t="s">
        <v>7</v>
      </c>
      <c r="G184" t="s">
        <v>8</v>
      </c>
      <c r="H184" t="s">
        <v>70</v>
      </c>
      <c r="I184" t="s">
        <v>71</v>
      </c>
      <c r="J184" t="s">
        <v>72</v>
      </c>
      <c r="K184" t="s">
        <v>73</v>
      </c>
      <c r="L184">
        <v>707000</v>
      </c>
      <c r="M184" t="s">
        <v>81</v>
      </c>
      <c r="N184" t="s">
        <v>33</v>
      </c>
      <c r="O184">
        <v>2253</v>
      </c>
      <c r="P184">
        <v>1.05</v>
      </c>
      <c r="Q184">
        <v>2.37</v>
      </c>
      <c r="R184" t="s">
        <v>1203</v>
      </c>
      <c r="S184" t="s">
        <v>195</v>
      </c>
    </row>
    <row r="185" spans="1:19" x14ac:dyDescent="0.3">
      <c r="A185" t="s">
        <v>378</v>
      </c>
      <c r="B185" t="s">
        <v>22</v>
      </c>
      <c r="C185">
        <v>2025</v>
      </c>
      <c r="D185">
        <v>1</v>
      </c>
      <c r="E185" s="2">
        <v>45684</v>
      </c>
      <c r="F185" t="s">
        <v>7</v>
      </c>
      <c r="G185" t="s">
        <v>8</v>
      </c>
      <c r="H185" t="s">
        <v>70</v>
      </c>
      <c r="I185" t="s">
        <v>71</v>
      </c>
      <c r="J185" t="s">
        <v>72</v>
      </c>
      <c r="K185" t="s">
        <v>73</v>
      </c>
      <c r="L185">
        <v>707000</v>
      </c>
      <c r="M185" t="s">
        <v>81</v>
      </c>
      <c r="N185" t="s">
        <v>33</v>
      </c>
      <c r="O185">
        <v>568</v>
      </c>
      <c r="P185">
        <v>1.06</v>
      </c>
      <c r="Q185">
        <v>0.6</v>
      </c>
      <c r="R185" t="s">
        <v>1205</v>
      </c>
      <c r="S185" t="s">
        <v>195</v>
      </c>
    </row>
    <row r="186" spans="1:19" x14ac:dyDescent="0.3">
      <c r="A186" t="s">
        <v>379</v>
      </c>
      <c r="B186" t="s">
        <v>22</v>
      </c>
      <c r="C186">
        <v>2025</v>
      </c>
      <c r="D186">
        <v>1</v>
      </c>
      <c r="E186" s="2">
        <v>45684</v>
      </c>
      <c r="F186" t="s">
        <v>7</v>
      </c>
      <c r="G186" t="s">
        <v>8</v>
      </c>
      <c r="H186" t="s">
        <v>70</v>
      </c>
      <c r="I186" t="s">
        <v>71</v>
      </c>
      <c r="J186" t="s">
        <v>72</v>
      </c>
      <c r="K186" t="s">
        <v>73</v>
      </c>
      <c r="L186">
        <v>707000</v>
      </c>
      <c r="M186" t="s">
        <v>81</v>
      </c>
      <c r="N186" t="s">
        <v>33</v>
      </c>
      <c r="O186">
        <v>1553</v>
      </c>
      <c r="P186">
        <v>1.05</v>
      </c>
      <c r="Q186">
        <v>1.63</v>
      </c>
      <c r="R186" t="s">
        <v>1200</v>
      </c>
      <c r="S186" t="s">
        <v>195</v>
      </c>
    </row>
    <row r="187" spans="1:19" x14ac:dyDescent="0.3">
      <c r="A187" t="s">
        <v>380</v>
      </c>
      <c r="B187" t="s">
        <v>22</v>
      </c>
      <c r="C187">
        <v>2025</v>
      </c>
      <c r="D187">
        <v>1</v>
      </c>
      <c r="E187" s="2">
        <v>45672</v>
      </c>
      <c r="F187" t="s">
        <v>7</v>
      </c>
      <c r="G187" t="s">
        <v>8</v>
      </c>
      <c r="H187" t="s">
        <v>74</v>
      </c>
      <c r="I187" t="s">
        <v>71</v>
      </c>
      <c r="J187" t="s">
        <v>72</v>
      </c>
      <c r="K187" t="s">
        <v>73</v>
      </c>
      <c r="L187">
        <v>701000</v>
      </c>
      <c r="M187" t="s">
        <v>62</v>
      </c>
      <c r="N187" t="s">
        <v>33</v>
      </c>
      <c r="O187">
        <v>907</v>
      </c>
      <c r="P187">
        <v>1.05</v>
      </c>
      <c r="Q187">
        <v>0.95</v>
      </c>
      <c r="R187" t="s">
        <v>1205</v>
      </c>
      <c r="S187" t="s">
        <v>195</v>
      </c>
    </row>
    <row r="188" spans="1:19" x14ac:dyDescent="0.3">
      <c r="A188" t="s">
        <v>381</v>
      </c>
      <c r="B188" t="s">
        <v>22</v>
      </c>
      <c r="C188">
        <v>2025</v>
      </c>
      <c r="D188">
        <v>1</v>
      </c>
      <c r="E188" s="2">
        <v>45672</v>
      </c>
      <c r="F188" t="s">
        <v>7</v>
      </c>
      <c r="G188" t="s">
        <v>8</v>
      </c>
      <c r="H188" t="s">
        <v>74</v>
      </c>
      <c r="I188" t="s">
        <v>71</v>
      </c>
      <c r="J188" t="s">
        <v>72</v>
      </c>
      <c r="K188" t="s">
        <v>73</v>
      </c>
      <c r="L188">
        <v>701000</v>
      </c>
      <c r="M188" t="s">
        <v>62</v>
      </c>
      <c r="N188" t="s">
        <v>33</v>
      </c>
      <c r="O188">
        <v>1836</v>
      </c>
      <c r="P188">
        <v>1.05</v>
      </c>
      <c r="Q188">
        <v>1.93</v>
      </c>
      <c r="R188" t="s">
        <v>1197</v>
      </c>
      <c r="S188" t="s">
        <v>195</v>
      </c>
    </row>
    <row r="189" spans="1:19" x14ac:dyDescent="0.3">
      <c r="A189" t="s">
        <v>382</v>
      </c>
      <c r="B189" t="s">
        <v>22</v>
      </c>
      <c r="C189">
        <v>2025</v>
      </c>
      <c r="D189">
        <v>1</v>
      </c>
      <c r="E189" s="2">
        <v>45672</v>
      </c>
      <c r="F189" t="s">
        <v>7</v>
      </c>
      <c r="G189" t="s">
        <v>8</v>
      </c>
      <c r="H189" t="s">
        <v>74</v>
      </c>
      <c r="I189" t="s">
        <v>71</v>
      </c>
      <c r="J189" t="s">
        <v>72</v>
      </c>
      <c r="K189" t="s">
        <v>73</v>
      </c>
      <c r="L189">
        <v>701000</v>
      </c>
      <c r="M189" t="s">
        <v>62</v>
      </c>
      <c r="N189" t="s">
        <v>33</v>
      </c>
      <c r="O189">
        <v>4741</v>
      </c>
      <c r="P189">
        <v>1.05</v>
      </c>
      <c r="Q189">
        <v>4.9800000000000004</v>
      </c>
      <c r="R189" t="s">
        <v>1201</v>
      </c>
      <c r="S189" t="s">
        <v>195</v>
      </c>
    </row>
    <row r="190" spans="1:19" x14ac:dyDescent="0.3">
      <c r="A190" t="s">
        <v>383</v>
      </c>
      <c r="B190" t="s">
        <v>22</v>
      </c>
      <c r="C190">
        <v>2025</v>
      </c>
      <c r="D190">
        <v>1</v>
      </c>
      <c r="E190" s="2">
        <v>45672</v>
      </c>
      <c r="F190" t="s">
        <v>7</v>
      </c>
      <c r="G190" t="s">
        <v>8</v>
      </c>
      <c r="H190" t="s">
        <v>74</v>
      </c>
      <c r="I190" t="s">
        <v>71</v>
      </c>
      <c r="J190" t="s">
        <v>72</v>
      </c>
      <c r="K190" t="s">
        <v>73</v>
      </c>
      <c r="L190">
        <v>701000</v>
      </c>
      <c r="M190" t="s">
        <v>62</v>
      </c>
      <c r="N190" t="s">
        <v>33</v>
      </c>
      <c r="O190">
        <v>582</v>
      </c>
      <c r="P190">
        <v>1.05</v>
      </c>
      <c r="Q190">
        <v>0.61</v>
      </c>
      <c r="R190" t="s">
        <v>1198</v>
      </c>
      <c r="S190" t="s">
        <v>195</v>
      </c>
    </row>
    <row r="191" spans="1:19" x14ac:dyDescent="0.3">
      <c r="A191" t="s">
        <v>384</v>
      </c>
      <c r="B191" t="s">
        <v>22</v>
      </c>
      <c r="C191">
        <v>2025</v>
      </c>
      <c r="D191">
        <v>1</v>
      </c>
      <c r="E191" s="2">
        <v>45672</v>
      </c>
      <c r="F191" t="s">
        <v>7</v>
      </c>
      <c r="G191" t="s">
        <v>8</v>
      </c>
      <c r="H191" t="s">
        <v>74</v>
      </c>
      <c r="I191" t="s">
        <v>71</v>
      </c>
      <c r="J191" t="s">
        <v>72</v>
      </c>
      <c r="K191" t="s">
        <v>73</v>
      </c>
      <c r="L191">
        <v>701000</v>
      </c>
      <c r="M191" t="s">
        <v>62</v>
      </c>
      <c r="N191" t="s">
        <v>33</v>
      </c>
      <c r="O191">
        <v>3986</v>
      </c>
      <c r="P191">
        <v>1.05</v>
      </c>
      <c r="Q191">
        <v>4.18</v>
      </c>
      <c r="R191" t="s">
        <v>1204</v>
      </c>
      <c r="S191" t="s">
        <v>195</v>
      </c>
    </row>
    <row r="192" spans="1:19" x14ac:dyDescent="0.3">
      <c r="A192" t="s">
        <v>385</v>
      </c>
      <c r="B192" t="s">
        <v>22</v>
      </c>
      <c r="C192">
        <v>2025</v>
      </c>
      <c r="D192">
        <v>1</v>
      </c>
      <c r="E192" s="2">
        <v>45675</v>
      </c>
      <c r="F192" t="s">
        <v>7</v>
      </c>
      <c r="G192" t="s">
        <v>8</v>
      </c>
      <c r="H192" t="s">
        <v>70</v>
      </c>
      <c r="I192" t="s">
        <v>71</v>
      </c>
      <c r="J192" t="s">
        <v>72</v>
      </c>
      <c r="K192" t="s">
        <v>73</v>
      </c>
      <c r="L192">
        <v>701000</v>
      </c>
      <c r="M192" t="s">
        <v>62</v>
      </c>
      <c r="N192" t="s">
        <v>33</v>
      </c>
      <c r="O192">
        <v>4082</v>
      </c>
      <c r="P192">
        <v>1.05</v>
      </c>
      <c r="Q192">
        <v>4.29</v>
      </c>
      <c r="R192" t="s">
        <v>1201</v>
      </c>
      <c r="S192" t="s">
        <v>195</v>
      </c>
    </row>
    <row r="193" spans="1:19" x14ac:dyDescent="0.3">
      <c r="A193" t="s">
        <v>386</v>
      </c>
      <c r="B193" t="s">
        <v>22</v>
      </c>
      <c r="C193">
        <v>2025</v>
      </c>
      <c r="D193">
        <v>1</v>
      </c>
      <c r="E193" s="2">
        <v>45675</v>
      </c>
      <c r="F193" t="s">
        <v>7</v>
      </c>
      <c r="G193" t="s">
        <v>8</v>
      </c>
      <c r="H193" t="s">
        <v>70</v>
      </c>
      <c r="I193" t="s">
        <v>71</v>
      </c>
      <c r="J193" t="s">
        <v>72</v>
      </c>
      <c r="K193" t="s">
        <v>73</v>
      </c>
      <c r="L193">
        <v>701000</v>
      </c>
      <c r="M193" t="s">
        <v>62</v>
      </c>
      <c r="N193" t="s">
        <v>33</v>
      </c>
      <c r="O193">
        <v>1221</v>
      </c>
      <c r="P193">
        <v>1.05</v>
      </c>
      <c r="Q193">
        <v>1.28</v>
      </c>
      <c r="R193" t="s">
        <v>1200</v>
      </c>
      <c r="S193" t="s">
        <v>195</v>
      </c>
    </row>
    <row r="194" spans="1:19" x14ac:dyDescent="0.3">
      <c r="A194" t="s">
        <v>387</v>
      </c>
      <c r="B194" t="s">
        <v>22</v>
      </c>
      <c r="C194">
        <v>2025</v>
      </c>
      <c r="D194">
        <v>1</v>
      </c>
      <c r="E194" s="2">
        <v>45675</v>
      </c>
      <c r="F194" t="s">
        <v>7</v>
      </c>
      <c r="G194" t="s">
        <v>8</v>
      </c>
      <c r="H194" t="s">
        <v>70</v>
      </c>
      <c r="I194" t="s">
        <v>71</v>
      </c>
      <c r="J194" t="s">
        <v>72</v>
      </c>
      <c r="K194" t="s">
        <v>73</v>
      </c>
      <c r="L194">
        <v>701000</v>
      </c>
      <c r="M194" t="s">
        <v>62</v>
      </c>
      <c r="N194" t="s">
        <v>33</v>
      </c>
      <c r="O194">
        <v>2181</v>
      </c>
      <c r="P194">
        <v>1.05</v>
      </c>
      <c r="Q194">
        <v>2.29</v>
      </c>
      <c r="R194" t="s">
        <v>1203</v>
      </c>
      <c r="S194" t="s">
        <v>195</v>
      </c>
    </row>
    <row r="195" spans="1:19" x14ac:dyDescent="0.3">
      <c r="A195" t="s">
        <v>388</v>
      </c>
      <c r="B195" t="s">
        <v>22</v>
      </c>
      <c r="C195">
        <v>2025</v>
      </c>
      <c r="D195">
        <v>1</v>
      </c>
      <c r="E195" s="2">
        <v>45675</v>
      </c>
      <c r="F195" t="s">
        <v>7</v>
      </c>
      <c r="G195" t="s">
        <v>8</v>
      </c>
      <c r="H195" t="s">
        <v>70</v>
      </c>
      <c r="I195" t="s">
        <v>71</v>
      </c>
      <c r="J195" t="s">
        <v>72</v>
      </c>
      <c r="K195" t="s">
        <v>73</v>
      </c>
      <c r="L195">
        <v>701000</v>
      </c>
      <c r="M195" t="s">
        <v>62</v>
      </c>
      <c r="N195" t="s">
        <v>33</v>
      </c>
      <c r="O195">
        <v>2411</v>
      </c>
      <c r="P195">
        <v>1.05</v>
      </c>
      <c r="Q195">
        <v>2.5299999999999998</v>
      </c>
      <c r="R195" t="s">
        <v>1205</v>
      </c>
      <c r="S195" t="s">
        <v>195</v>
      </c>
    </row>
    <row r="196" spans="1:19" x14ac:dyDescent="0.3">
      <c r="A196" t="s">
        <v>389</v>
      </c>
      <c r="B196" t="s">
        <v>22</v>
      </c>
      <c r="C196">
        <v>2025</v>
      </c>
      <c r="D196">
        <v>1</v>
      </c>
      <c r="E196" s="2">
        <v>45675</v>
      </c>
      <c r="F196" t="s">
        <v>7</v>
      </c>
      <c r="G196" t="s">
        <v>8</v>
      </c>
      <c r="H196" t="s">
        <v>70</v>
      </c>
      <c r="I196" t="s">
        <v>71</v>
      </c>
      <c r="J196" t="s">
        <v>72</v>
      </c>
      <c r="K196" t="s">
        <v>73</v>
      </c>
      <c r="L196">
        <v>701000</v>
      </c>
      <c r="M196" t="s">
        <v>62</v>
      </c>
      <c r="N196" t="s">
        <v>33</v>
      </c>
      <c r="O196">
        <v>2077</v>
      </c>
      <c r="P196">
        <v>1.05</v>
      </c>
      <c r="Q196">
        <v>2.1800000000000002</v>
      </c>
      <c r="R196" t="s">
        <v>1202</v>
      </c>
      <c r="S196" t="s">
        <v>195</v>
      </c>
    </row>
    <row r="197" spans="1:19" x14ac:dyDescent="0.3">
      <c r="A197" t="s">
        <v>390</v>
      </c>
      <c r="B197" t="s">
        <v>22</v>
      </c>
      <c r="C197">
        <v>2025</v>
      </c>
      <c r="D197">
        <v>1</v>
      </c>
      <c r="E197" s="2">
        <v>45660</v>
      </c>
      <c r="F197" t="s">
        <v>7</v>
      </c>
      <c r="G197" t="s">
        <v>8</v>
      </c>
      <c r="H197" t="s">
        <v>70</v>
      </c>
      <c r="I197" t="s">
        <v>71</v>
      </c>
      <c r="J197" t="s">
        <v>72</v>
      </c>
      <c r="K197" t="s">
        <v>73</v>
      </c>
      <c r="L197">
        <v>707000</v>
      </c>
      <c r="M197" t="s">
        <v>81</v>
      </c>
      <c r="N197" t="s">
        <v>33</v>
      </c>
      <c r="O197">
        <v>1239</v>
      </c>
      <c r="P197">
        <v>1.05</v>
      </c>
      <c r="Q197">
        <v>1.3</v>
      </c>
      <c r="R197" t="s">
        <v>1199</v>
      </c>
      <c r="S197" t="s">
        <v>195</v>
      </c>
    </row>
    <row r="198" spans="1:19" x14ac:dyDescent="0.3">
      <c r="A198" t="s">
        <v>391</v>
      </c>
      <c r="B198" t="s">
        <v>22</v>
      </c>
      <c r="C198">
        <v>2025</v>
      </c>
      <c r="D198">
        <v>1</v>
      </c>
      <c r="E198" s="2">
        <v>45660</v>
      </c>
      <c r="F198" t="s">
        <v>7</v>
      </c>
      <c r="G198" t="s">
        <v>8</v>
      </c>
      <c r="H198" t="s">
        <v>70</v>
      </c>
      <c r="I198" t="s">
        <v>71</v>
      </c>
      <c r="J198" t="s">
        <v>72</v>
      </c>
      <c r="K198" t="s">
        <v>73</v>
      </c>
      <c r="L198">
        <v>707000</v>
      </c>
      <c r="M198" t="s">
        <v>81</v>
      </c>
      <c r="N198" t="s">
        <v>33</v>
      </c>
      <c r="O198">
        <v>2376</v>
      </c>
      <c r="P198">
        <v>1.05</v>
      </c>
      <c r="Q198">
        <v>2.4900000000000002</v>
      </c>
      <c r="R198" t="s">
        <v>1204</v>
      </c>
      <c r="S198" t="s">
        <v>195</v>
      </c>
    </row>
    <row r="199" spans="1:19" x14ac:dyDescent="0.3">
      <c r="A199" t="s">
        <v>392</v>
      </c>
      <c r="B199" t="s">
        <v>22</v>
      </c>
      <c r="C199">
        <v>2025</v>
      </c>
      <c r="D199">
        <v>1</v>
      </c>
      <c r="E199" s="2">
        <v>45660</v>
      </c>
      <c r="F199" t="s">
        <v>7</v>
      </c>
      <c r="G199" t="s">
        <v>8</v>
      </c>
      <c r="H199" t="s">
        <v>70</v>
      </c>
      <c r="I199" t="s">
        <v>71</v>
      </c>
      <c r="J199" t="s">
        <v>72</v>
      </c>
      <c r="K199" t="s">
        <v>73</v>
      </c>
      <c r="L199">
        <v>707000</v>
      </c>
      <c r="M199" t="s">
        <v>81</v>
      </c>
      <c r="N199" t="s">
        <v>33</v>
      </c>
      <c r="O199">
        <v>1163</v>
      </c>
      <c r="P199">
        <v>1.05</v>
      </c>
      <c r="Q199">
        <v>1.22</v>
      </c>
      <c r="R199" t="s">
        <v>1200</v>
      </c>
      <c r="S199" t="s">
        <v>195</v>
      </c>
    </row>
    <row r="200" spans="1:19" x14ac:dyDescent="0.3">
      <c r="A200" t="s">
        <v>393</v>
      </c>
      <c r="B200" t="s">
        <v>22</v>
      </c>
      <c r="C200">
        <v>2025</v>
      </c>
      <c r="D200">
        <v>1</v>
      </c>
      <c r="E200" s="2">
        <v>45660</v>
      </c>
      <c r="F200" t="s">
        <v>7</v>
      </c>
      <c r="G200" t="s">
        <v>8</v>
      </c>
      <c r="H200" t="s">
        <v>70</v>
      </c>
      <c r="I200" t="s">
        <v>71</v>
      </c>
      <c r="J200" t="s">
        <v>72</v>
      </c>
      <c r="K200" t="s">
        <v>73</v>
      </c>
      <c r="L200">
        <v>707000</v>
      </c>
      <c r="M200" t="s">
        <v>81</v>
      </c>
      <c r="N200" t="s">
        <v>33</v>
      </c>
      <c r="O200">
        <v>4312</v>
      </c>
      <c r="P200">
        <v>1.05</v>
      </c>
      <c r="Q200">
        <v>4.53</v>
      </c>
      <c r="R200" t="s">
        <v>1203</v>
      </c>
      <c r="S200" t="s">
        <v>195</v>
      </c>
    </row>
    <row r="201" spans="1:19" x14ac:dyDescent="0.3">
      <c r="A201" t="s">
        <v>394</v>
      </c>
      <c r="B201" t="s">
        <v>22</v>
      </c>
      <c r="C201">
        <v>2025</v>
      </c>
      <c r="D201">
        <v>1</v>
      </c>
      <c r="E201" s="2">
        <v>45660</v>
      </c>
      <c r="F201" t="s">
        <v>7</v>
      </c>
      <c r="G201" t="s">
        <v>8</v>
      </c>
      <c r="H201" t="s">
        <v>70</v>
      </c>
      <c r="I201" t="s">
        <v>71</v>
      </c>
      <c r="J201" t="s">
        <v>72</v>
      </c>
      <c r="K201" t="s">
        <v>73</v>
      </c>
      <c r="L201">
        <v>707000</v>
      </c>
      <c r="M201" t="s">
        <v>81</v>
      </c>
      <c r="N201" t="s">
        <v>33</v>
      </c>
      <c r="O201">
        <v>1512</v>
      </c>
      <c r="P201">
        <v>1.05</v>
      </c>
      <c r="Q201">
        <v>1.59</v>
      </c>
      <c r="R201" t="s">
        <v>1197</v>
      </c>
      <c r="S201" t="s">
        <v>195</v>
      </c>
    </row>
    <row r="202" spans="1:19" x14ac:dyDescent="0.3">
      <c r="A202" t="s">
        <v>395</v>
      </c>
      <c r="B202" t="s">
        <v>22</v>
      </c>
      <c r="C202">
        <v>2025</v>
      </c>
      <c r="D202">
        <v>1</v>
      </c>
      <c r="E202" s="2">
        <v>45660</v>
      </c>
      <c r="F202" t="s">
        <v>7</v>
      </c>
      <c r="G202" t="s">
        <v>8</v>
      </c>
      <c r="H202" t="s">
        <v>70</v>
      </c>
      <c r="I202" t="s">
        <v>71</v>
      </c>
      <c r="J202" t="s">
        <v>72</v>
      </c>
      <c r="K202" t="s">
        <v>73</v>
      </c>
      <c r="L202">
        <v>701000</v>
      </c>
      <c r="M202" t="s">
        <v>62</v>
      </c>
      <c r="N202" t="s">
        <v>33</v>
      </c>
      <c r="O202">
        <v>932</v>
      </c>
      <c r="P202">
        <v>1.05</v>
      </c>
      <c r="Q202">
        <v>0.98</v>
      </c>
      <c r="R202" t="s">
        <v>1204</v>
      </c>
      <c r="S202" t="s">
        <v>195</v>
      </c>
    </row>
    <row r="203" spans="1:19" x14ac:dyDescent="0.3">
      <c r="A203" t="s">
        <v>396</v>
      </c>
      <c r="B203" t="s">
        <v>22</v>
      </c>
      <c r="C203">
        <v>2025</v>
      </c>
      <c r="D203">
        <v>1</v>
      </c>
      <c r="E203" s="2">
        <v>45660</v>
      </c>
      <c r="F203" t="s">
        <v>7</v>
      </c>
      <c r="G203" t="s">
        <v>8</v>
      </c>
      <c r="H203" t="s">
        <v>70</v>
      </c>
      <c r="I203" t="s">
        <v>71</v>
      </c>
      <c r="J203" t="s">
        <v>72</v>
      </c>
      <c r="K203" t="s">
        <v>73</v>
      </c>
      <c r="L203">
        <v>701000</v>
      </c>
      <c r="M203" t="s">
        <v>62</v>
      </c>
      <c r="N203" t="s">
        <v>33</v>
      </c>
      <c r="O203">
        <v>2327</v>
      </c>
      <c r="P203">
        <v>1.05</v>
      </c>
      <c r="Q203">
        <v>2.44</v>
      </c>
      <c r="R203" t="s">
        <v>1203</v>
      </c>
      <c r="S203" t="s">
        <v>195</v>
      </c>
    </row>
    <row r="204" spans="1:19" x14ac:dyDescent="0.3">
      <c r="A204" t="s">
        <v>397</v>
      </c>
      <c r="B204" t="s">
        <v>22</v>
      </c>
      <c r="C204">
        <v>2025</v>
      </c>
      <c r="D204">
        <v>1</v>
      </c>
      <c r="E204" s="2">
        <v>45660</v>
      </c>
      <c r="F204" t="s">
        <v>7</v>
      </c>
      <c r="G204" t="s">
        <v>8</v>
      </c>
      <c r="H204" t="s">
        <v>70</v>
      </c>
      <c r="I204" t="s">
        <v>71</v>
      </c>
      <c r="J204" t="s">
        <v>72</v>
      </c>
      <c r="K204" t="s">
        <v>73</v>
      </c>
      <c r="L204">
        <v>701000</v>
      </c>
      <c r="M204" t="s">
        <v>62</v>
      </c>
      <c r="N204" t="s">
        <v>33</v>
      </c>
      <c r="O204">
        <v>3402</v>
      </c>
      <c r="P204">
        <v>1.05</v>
      </c>
      <c r="Q204">
        <v>3.57</v>
      </c>
      <c r="R204" t="s">
        <v>1201</v>
      </c>
      <c r="S204" t="s">
        <v>195</v>
      </c>
    </row>
    <row r="205" spans="1:19" x14ac:dyDescent="0.3">
      <c r="A205" t="s">
        <v>398</v>
      </c>
      <c r="B205" t="s">
        <v>22</v>
      </c>
      <c r="C205">
        <v>2025</v>
      </c>
      <c r="D205">
        <v>1</v>
      </c>
      <c r="E205" s="2">
        <v>45660</v>
      </c>
      <c r="F205" t="s">
        <v>7</v>
      </c>
      <c r="G205" t="s">
        <v>8</v>
      </c>
      <c r="H205" t="s">
        <v>70</v>
      </c>
      <c r="I205" t="s">
        <v>71</v>
      </c>
      <c r="J205" t="s">
        <v>72</v>
      </c>
      <c r="K205" t="s">
        <v>73</v>
      </c>
      <c r="L205">
        <v>701000</v>
      </c>
      <c r="M205" t="s">
        <v>62</v>
      </c>
      <c r="N205" t="s">
        <v>33</v>
      </c>
      <c r="O205">
        <v>2395</v>
      </c>
      <c r="P205">
        <v>1.05</v>
      </c>
      <c r="Q205">
        <v>2.5099999999999998</v>
      </c>
      <c r="R205" t="s">
        <v>1197</v>
      </c>
      <c r="S205" t="s">
        <v>195</v>
      </c>
    </row>
    <row r="206" spans="1:19" x14ac:dyDescent="0.3">
      <c r="A206" t="s">
        <v>399</v>
      </c>
      <c r="B206" t="s">
        <v>22</v>
      </c>
      <c r="C206">
        <v>2025</v>
      </c>
      <c r="D206">
        <v>1</v>
      </c>
      <c r="E206" s="2">
        <v>45660</v>
      </c>
      <c r="F206" t="s">
        <v>7</v>
      </c>
      <c r="G206" t="s">
        <v>8</v>
      </c>
      <c r="H206" t="s">
        <v>70</v>
      </c>
      <c r="I206" t="s">
        <v>71</v>
      </c>
      <c r="J206" t="s">
        <v>72</v>
      </c>
      <c r="K206" t="s">
        <v>73</v>
      </c>
      <c r="L206">
        <v>701000</v>
      </c>
      <c r="M206" t="s">
        <v>62</v>
      </c>
      <c r="N206" t="s">
        <v>33</v>
      </c>
      <c r="O206">
        <v>913</v>
      </c>
      <c r="P206">
        <v>1.06</v>
      </c>
      <c r="Q206">
        <v>0.97</v>
      </c>
      <c r="R206" t="s">
        <v>1200</v>
      </c>
      <c r="S206" t="s">
        <v>195</v>
      </c>
    </row>
    <row r="207" spans="1:19" x14ac:dyDescent="0.3">
      <c r="A207" t="s">
        <v>400</v>
      </c>
      <c r="B207" t="s">
        <v>22</v>
      </c>
      <c r="C207">
        <v>2025</v>
      </c>
      <c r="D207">
        <v>1</v>
      </c>
      <c r="E207" s="2">
        <v>45683</v>
      </c>
      <c r="F207" t="s">
        <v>7</v>
      </c>
      <c r="G207" t="s">
        <v>8</v>
      </c>
      <c r="H207" t="s">
        <v>70</v>
      </c>
      <c r="I207" t="s">
        <v>71</v>
      </c>
      <c r="J207" t="s">
        <v>72</v>
      </c>
      <c r="K207" t="s">
        <v>73</v>
      </c>
      <c r="L207">
        <v>706000</v>
      </c>
      <c r="M207" t="s">
        <v>63</v>
      </c>
      <c r="N207" t="s">
        <v>33</v>
      </c>
      <c r="O207">
        <v>949</v>
      </c>
      <c r="P207">
        <v>1.05</v>
      </c>
      <c r="Q207">
        <v>1</v>
      </c>
      <c r="R207" t="s">
        <v>1205</v>
      </c>
      <c r="S207" t="s">
        <v>195</v>
      </c>
    </row>
    <row r="208" spans="1:19" x14ac:dyDescent="0.3">
      <c r="A208" t="s">
        <v>401</v>
      </c>
      <c r="B208" t="s">
        <v>22</v>
      </c>
      <c r="C208">
        <v>2025</v>
      </c>
      <c r="D208">
        <v>1</v>
      </c>
      <c r="E208" s="2">
        <v>45683</v>
      </c>
      <c r="F208" t="s">
        <v>7</v>
      </c>
      <c r="G208" t="s">
        <v>8</v>
      </c>
      <c r="H208" t="s">
        <v>70</v>
      </c>
      <c r="I208" t="s">
        <v>71</v>
      </c>
      <c r="J208" t="s">
        <v>72</v>
      </c>
      <c r="K208" t="s">
        <v>73</v>
      </c>
      <c r="L208">
        <v>706000</v>
      </c>
      <c r="M208" t="s">
        <v>63</v>
      </c>
      <c r="N208" t="s">
        <v>33</v>
      </c>
      <c r="O208">
        <v>2720</v>
      </c>
      <c r="P208">
        <v>1.05</v>
      </c>
      <c r="Q208">
        <v>2.86</v>
      </c>
      <c r="R208" t="s">
        <v>1197</v>
      </c>
      <c r="S208" t="s">
        <v>195</v>
      </c>
    </row>
    <row r="209" spans="1:19" x14ac:dyDescent="0.3">
      <c r="A209" t="s">
        <v>402</v>
      </c>
      <c r="B209" t="s">
        <v>22</v>
      </c>
      <c r="C209">
        <v>2025</v>
      </c>
      <c r="D209">
        <v>1</v>
      </c>
      <c r="E209" s="2">
        <v>45683</v>
      </c>
      <c r="F209" t="s">
        <v>7</v>
      </c>
      <c r="G209" t="s">
        <v>8</v>
      </c>
      <c r="H209" t="s">
        <v>70</v>
      </c>
      <c r="I209" t="s">
        <v>71</v>
      </c>
      <c r="J209" t="s">
        <v>72</v>
      </c>
      <c r="K209" t="s">
        <v>73</v>
      </c>
      <c r="L209">
        <v>706000</v>
      </c>
      <c r="M209" t="s">
        <v>63</v>
      </c>
      <c r="N209" t="s">
        <v>33</v>
      </c>
      <c r="O209">
        <v>1640</v>
      </c>
      <c r="P209">
        <v>1.05</v>
      </c>
      <c r="Q209">
        <v>1.72</v>
      </c>
      <c r="R209" t="s">
        <v>1204</v>
      </c>
      <c r="S209" t="s">
        <v>195</v>
      </c>
    </row>
    <row r="210" spans="1:19" x14ac:dyDescent="0.3">
      <c r="A210" t="s">
        <v>403</v>
      </c>
      <c r="B210" t="s">
        <v>22</v>
      </c>
      <c r="C210">
        <v>2025</v>
      </c>
      <c r="D210">
        <v>1</v>
      </c>
      <c r="E210" s="2">
        <v>45683</v>
      </c>
      <c r="F210" t="s">
        <v>7</v>
      </c>
      <c r="G210" t="s">
        <v>8</v>
      </c>
      <c r="H210" t="s">
        <v>70</v>
      </c>
      <c r="I210" t="s">
        <v>71</v>
      </c>
      <c r="J210" t="s">
        <v>72</v>
      </c>
      <c r="K210" t="s">
        <v>73</v>
      </c>
      <c r="L210">
        <v>706000</v>
      </c>
      <c r="M210" t="s">
        <v>63</v>
      </c>
      <c r="N210" t="s">
        <v>33</v>
      </c>
      <c r="O210">
        <v>1773</v>
      </c>
      <c r="P210">
        <v>1.05</v>
      </c>
      <c r="Q210">
        <v>1.86</v>
      </c>
      <c r="R210" t="s">
        <v>1203</v>
      </c>
      <c r="S210" t="s">
        <v>195</v>
      </c>
    </row>
    <row r="211" spans="1:19" x14ac:dyDescent="0.3">
      <c r="A211" t="s">
        <v>404</v>
      </c>
      <c r="B211" t="s">
        <v>22</v>
      </c>
      <c r="C211">
        <v>2025</v>
      </c>
      <c r="D211">
        <v>1</v>
      </c>
      <c r="E211" s="2">
        <v>45683</v>
      </c>
      <c r="F211" t="s">
        <v>7</v>
      </c>
      <c r="G211" t="s">
        <v>8</v>
      </c>
      <c r="H211" t="s">
        <v>70</v>
      </c>
      <c r="I211" t="s">
        <v>71</v>
      </c>
      <c r="J211" t="s">
        <v>72</v>
      </c>
      <c r="K211" t="s">
        <v>73</v>
      </c>
      <c r="L211">
        <v>706000</v>
      </c>
      <c r="M211" t="s">
        <v>63</v>
      </c>
      <c r="N211" t="s">
        <v>33</v>
      </c>
      <c r="O211">
        <v>5337</v>
      </c>
      <c r="P211">
        <v>1.05</v>
      </c>
      <c r="Q211">
        <v>5.6</v>
      </c>
      <c r="R211" t="s">
        <v>1202</v>
      </c>
      <c r="S211" t="s">
        <v>195</v>
      </c>
    </row>
    <row r="212" spans="1:19" x14ac:dyDescent="0.3">
      <c r="A212" t="s">
        <v>405</v>
      </c>
      <c r="B212" t="s">
        <v>22</v>
      </c>
      <c r="C212">
        <v>2025</v>
      </c>
      <c r="D212">
        <v>1</v>
      </c>
      <c r="E212" s="2">
        <v>45684</v>
      </c>
      <c r="F212" t="s">
        <v>7</v>
      </c>
      <c r="G212" t="s">
        <v>8</v>
      </c>
      <c r="H212" t="s">
        <v>70</v>
      </c>
      <c r="I212" t="s">
        <v>71</v>
      </c>
      <c r="J212" t="s">
        <v>72</v>
      </c>
      <c r="K212" t="s">
        <v>73</v>
      </c>
      <c r="L212">
        <v>707000</v>
      </c>
      <c r="M212" t="s">
        <v>81</v>
      </c>
      <c r="N212" t="s">
        <v>33</v>
      </c>
      <c r="O212">
        <v>3150</v>
      </c>
      <c r="P212">
        <v>1.05</v>
      </c>
      <c r="Q212">
        <v>3.31</v>
      </c>
      <c r="R212" t="s">
        <v>1200</v>
      </c>
      <c r="S212" t="s">
        <v>195</v>
      </c>
    </row>
    <row r="213" spans="1:19" x14ac:dyDescent="0.3">
      <c r="A213" t="s">
        <v>406</v>
      </c>
      <c r="B213" t="s">
        <v>22</v>
      </c>
      <c r="C213">
        <v>2025</v>
      </c>
      <c r="D213">
        <v>1</v>
      </c>
      <c r="E213" s="2">
        <v>45684</v>
      </c>
      <c r="F213" t="s">
        <v>7</v>
      </c>
      <c r="G213" t="s">
        <v>8</v>
      </c>
      <c r="H213" t="s">
        <v>70</v>
      </c>
      <c r="I213" t="s">
        <v>71</v>
      </c>
      <c r="J213" t="s">
        <v>72</v>
      </c>
      <c r="K213" t="s">
        <v>73</v>
      </c>
      <c r="L213">
        <v>707000</v>
      </c>
      <c r="M213" t="s">
        <v>81</v>
      </c>
      <c r="N213" t="s">
        <v>33</v>
      </c>
      <c r="O213">
        <v>1461</v>
      </c>
      <c r="P213">
        <v>1.05</v>
      </c>
      <c r="Q213">
        <v>1.53</v>
      </c>
      <c r="R213" t="s">
        <v>1202</v>
      </c>
      <c r="S213" t="s">
        <v>195</v>
      </c>
    </row>
    <row r="214" spans="1:19" x14ac:dyDescent="0.3">
      <c r="A214" t="s">
        <v>407</v>
      </c>
      <c r="B214" t="s">
        <v>22</v>
      </c>
      <c r="C214">
        <v>2025</v>
      </c>
      <c r="D214">
        <v>1</v>
      </c>
      <c r="E214" s="2">
        <v>45684</v>
      </c>
      <c r="F214" t="s">
        <v>7</v>
      </c>
      <c r="G214" t="s">
        <v>8</v>
      </c>
      <c r="H214" t="s">
        <v>70</v>
      </c>
      <c r="I214" t="s">
        <v>71</v>
      </c>
      <c r="J214" t="s">
        <v>72</v>
      </c>
      <c r="K214" t="s">
        <v>73</v>
      </c>
      <c r="L214">
        <v>707000</v>
      </c>
      <c r="M214" t="s">
        <v>81</v>
      </c>
      <c r="N214" t="s">
        <v>33</v>
      </c>
      <c r="O214">
        <v>2898</v>
      </c>
      <c r="P214">
        <v>1.05</v>
      </c>
      <c r="Q214">
        <v>3.04</v>
      </c>
      <c r="R214" t="s">
        <v>1201</v>
      </c>
      <c r="S214" t="s">
        <v>195</v>
      </c>
    </row>
    <row r="215" spans="1:19" x14ac:dyDescent="0.3">
      <c r="A215" t="s">
        <v>408</v>
      </c>
      <c r="B215" t="s">
        <v>22</v>
      </c>
      <c r="C215">
        <v>2025</v>
      </c>
      <c r="D215">
        <v>1</v>
      </c>
      <c r="E215" s="2">
        <v>45684</v>
      </c>
      <c r="F215" t="s">
        <v>7</v>
      </c>
      <c r="G215" t="s">
        <v>8</v>
      </c>
      <c r="H215" t="s">
        <v>70</v>
      </c>
      <c r="I215" t="s">
        <v>71</v>
      </c>
      <c r="J215" t="s">
        <v>72</v>
      </c>
      <c r="K215" t="s">
        <v>73</v>
      </c>
      <c r="L215">
        <v>707000</v>
      </c>
      <c r="M215" t="s">
        <v>81</v>
      </c>
      <c r="N215" t="s">
        <v>33</v>
      </c>
      <c r="O215">
        <v>994</v>
      </c>
      <c r="P215">
        <v>1.05</v>
      </c>
      <c r="Q215">
        <v>1.04</v>
      </c>
      <c r="R215" t="s">
        <v>1203</v>
      </c>
      <c r="S215" t="s">
        <v>195</v>
      </c>
    </row>
    <row r="216" spans="1:19" x14ac:dyDescent="0.3">
      <c r="A216" t="s">
        <v>409</v>
      </c>
      <c r="B216" t="s">
        <v>22</v>
      </c>
      <c r="C216">
        <v>2025</v>
      </c>
      <c r="D216">
        <v>1</v>
      </c>
      <c r="E216" s="2">
        <v>45684</v>
      </c>
      <c r="F216" t="s">
        <v>7</v>
      </c>
      <c r="G216" t="s">
        <v>8</v>
      </c>
      <c r="H216" t="s">
        <v>70</v>
      </c>
      <c r="I216" t="s">
        <v>71</v>
      </c>
      <c r="J216" t="s">
        <v>72</v>
      </c>
      <c r="K216" t="s">
        <v>73</v>
      </c>
      <c r="L216">
        <v>707000</v>
      </c>
      <c r="M216" t="s">
        <v>81</v>
      </c>
      <c r="N216" t="s">
        <v>33</v>
      </c>
      <c r="O216">
        <v>1247</v>
      </c>
      <c r="P216">
        <v>1.06</v>
      </c>
      <c r="Q216">
        <v>1.32</v>
      </c>
      <c r="R216" t="s">
        <v>1199</v>
      </c>
      <c r="S216" t="s">
        <v>195</v>
      </c>
    </row>
    <row r="217" spans="1:19" x14ac:dyDescent="0.3">
      <c r="A217" t="s">
        <v>410</v>
      </c>
      <c r="B217" t="s">
        <v>22</v>
      </c>
      <c r="C217">
        <v>2025</v>
      </c>
      <c r="D217">
        <v>1</v>
      </c>
      <c r="E217" s="2">
        <v>45659</v>
      </c>
      <c r="F217" t="s">
        <v>7</v>
      </c>
      <c r="G217" t="s">
        <v>8</v>
      </c>
      <c r="H217" t="s">
        <v>70</v>
      </c>
      <c r="I217" t="s">
        <v>71</v>
      </c>
      <c r="J217" t="s">
        <v>72</v>
      </c>
      <c r="K217" t="s">
        <v>73</v>
      </c>
      <c r="L217">
        <v>701000</v>
      </c>
      <c r="M217" t="s">
        <v>62</v>
      </c>
      <c r="N217" t="s">
        <v>33</v>
      </c>
      <c r="O217">
        <v>500</v>
      </c>
      <c r="P217">
        <v>1.04</v>
      </c>
      <c r="Q217">
        <v>0.52</v>
      </c>
      <c r="R217" t="s">
        <v>1201</v>
      </c>
      <c r="S217" t="s">
        <v>195</v>
      </c>
    </row>
    <row r="218" spans="1:19" x14ac:dyDescent="0.3">
      <c r="A218" t="s">
        <v>411</v>
      </c>
      <c r="B218" t="s">
        <v>22</v>
      </c>
      <c r="C218">
        <v>2025</v>
      </c>
      <c r="D218">
        <v>1</v>
      </c>
      <c r="E218" s="2">
        <v>45659</v>
      </c>
      <c r="F218" t="s">
        <v>7</v>
      </c>
      <c r="G218" t="s">
        <v>8</v>
      </c>
      <c r="H218" t="s">
        <v>70</v>
      </c>
      <c r="I218" t="s">
        <v>71</v>
      </c>
      <c r="J218" t="s">
        <v>72</v>
      </c>
      <c r="K218" t="s">
        <v>73</v>
      </c>
      <c r="L218">
        <v>701000</v>
      </c>
      <c r="M218" t="s">
        <v>62</v>
      </c>
      <c r="N218" t="s">
        <v>33</v>
      </c>
      <c r="O218">
        <v>3216</v>
      </c>
      <c r="P218">
        <v>1.05</v>
      </c>
      <c r="Q218">
        <v>3.38</v>
      </c>
      <c r="R218" t="s">
        <v>1198</v>
      </c>
      <c r="S218" t="s">
        <v>195</v>
      </c>
    </row>
    <row r="219" spans="1:19" x14ac:dyDescent="0.3">
      <c r="A219" t="s">
        <v>412</v>
      </c>
      <c r="B219" t="s">
        <v>22</v>
      </c>
      <c r="C219">
        <v>2025</v>
      </c>
      <c r="D219">
        <v>1</v>
      </c>
      <c r="E219" s="2">
        <v>45659</v>
      </c>
      <c r="F219" t="s">
        <v>7</v>
      </c>
      <c r="G219" t="s">
        <v>8</v>
      </c>
      <c r="H219" t="s">
        <v>70</v>
      </c>
      <c r="I219" t="s">
        <v>71</v>
      </c>
      <c r="J219" t="s">
        <v>72</v>
      </c>
      <c r="K219" t="s">
        <v>73</v>
      </c>
      <c r="L219">
        <v>701000</v>
      </c>
      <c r="M219" t="s">
        <v>62</v>
      </c>
      <c r="N219" t="s">
        <v>33</v>
      </c>
      <c r="O219">
        <v>3297</v>
      </c>
      <c r="P219">
        <v>1.05</v>
      </c>
      <c r="Q219">
        <v>3.46</v>
      </c>
      <c r="R219" t="s">
        <v>1200</v>
      </c>
      <c r="S219" t="s">
        <v>195</v>
      </c>
    </row>
    <row r="220" spans="1:19" x14ac:dyDescent="0.3">
      <c r="A220" t="s">
        <v>413</v>
      </c>
      <c r="B220" t="s">
        <v>22</v>
      </c>
      <c r="C220">
        <v>2025</v>
      </c>
      <c r="D220">
        <v>1</v>
      </c>
      <c r="E220" s="2">
        <v>45659</v>
      </c>
      <c r="F220" t="s">
        <v>7</v>
      </c>
      <c r="G220" t="s">
        <v>8</v>
      </c>
      <c r="H220" t="s">
        <v>70</v>
      </c>
      <c r="I220" t="s">
        <v>71</v>
      </c>
      <c r="J220" t="s">
        <v>72</v>
      </c>
      <c r="K220" t="s">
        <v>73</v>
      </c>
      <c r="L220">
        <v>701000</v>
      </c>
      <c r="M220" t="s">
        <v>62</v>
      </c>
      <c r="N220" t="s">
        <v>33</v>
      </c>
      <c r="O220">
        <v>2134</v>
      </c>
      <c r="P220">
        <v>1.05</v>
      </c>
      <c r="Q220">
        <v>2.2400000000000002</v>
      </c>
      <c r="R220" t="s">
        <v>1205</v>
      </c>
      <c r="S220" t="s">
        <v>195</v>
      </c>
    </row>
    <row r="221" spans="1:19" x14ac:dyDescent="0.3">
      <c r="A221" t="s">
        <v>414</v>
      </c>
      <c r="B221" t="s">
        <v>22</v>
      </c>
      <c r="C221">
        <v>2025</v>
      </c>
      <c r="D221">
        <v>1</v>
      </c>
      <c r="E221" s="2">
        <v>45659</v>
      </c>
      <c r="F221" t="s">
        <v>7</v>
      </c>
      <c r="G221" t="s">
        <v>8</v>
      </c>
      <c r="H221" t="s">
        <v>70</v>
      </c>
      <c r="I221" t="s">
        <v>71</v>
      </c>
      <c r="J221" t="s">
        <v>72</v>
      </c>
      <c r="K221" t="s">
        <v>73</v>
      </c>
      <c r="L221">
        <v>701000</v>
      </c>
      <c r="M221" t="s">
        <v>62</v>
      </c>
      <c r="N221" t="s">
        <v>33</v>
      </c>
      <c r="O221">
        <v>3175</v>
      </c>
      <c r="P221">
        <v>1.05</v>
      </c>
      <c r="Q221">
        <v>3.34</v>
      </c>
      <c r="R221" t="s">
        <v>1203</v>
      </c>
      <c r="S221" t="s">
        <v>195</v>
      </c>
    </row>
    <row r="222" spans="1:19" x14ac:dyDescent="0.3">
      <c r="A222" t="s">
        <v>415</v>
      </c>
      <c r="B222" t="s">
        <v>22</v>
      </c>
      <c r="C222">
        <v>2025</v>
      </c>
      <c r="D222">
        <v>1</v>
      </c>
      <c r="E222" s="2">
        <v>45664</v>
      </c>
      <c r="F222" t="s">
        <v>7</v>
      </c>
      <c r="G222" t="s">
        <v>8</v>
      </c>
      <c r="H222" t="s">
        <v>74</v>
      </c>
      <c r="I222" t="s">
        <v>71</v>
      </c>
      <c r="J222" t="s">
        <v>72</v>
      </c>
      <c r="K222" t="s">
        <v>73</v>
      </c>
      <c r="L222">
        <v>701000</v>
      </c>
      <c r="M222" t="s">
        <v>62</v>
      </c>
      <c r="N222" t="s">
        <v>33</v>
      </c>
      <c r="O222">
        <v>3767</v>
      </c>
      <c r="P222">
        <v>1.05</v>
      </c>
      <c r="Q222">
        <v>3.96</v>
      </c>
      <c r="R222" t="s">
        <v>1205</v>
      </c>
      <c r="S222" t="s">
        <v>195</v>
      </c>
    </row>
    <row r="223" spans="1:19" x14ac:dyDescent="0.3">
      <c r="A223" t="s">
        <v>416</v>
      </c>
      <c r="B223" t="s">
        <v>22</v>
      </c>
      <c r="C223">
        <v>2025</v>
      </c>
      <c r="D223">
        <v>1</v>
      </c>
      <c r="E223" s="2">
        <v>45664</v>
      </c>
      <c r="F223" t="s">
        <v>7</v>
      </c>
      <c r="G223" t="s">
        <v>8</v>
      </c>
      <c r="H223" t="s">
        <v>74</v>
      </c>
      <c r="I223" t="s">
        <v>71</v>
      </c>
      <c r="J223" t="s">
        <v>72</v>
      </c>
      <c r="K223" t="s">
        <v>73</v>
      </c>
      <c r="L223">
        <v>701000</v>
      </c>
      <c r="M223" t="s">
        <v>62</v>
      </c>
      <c r="N223" t="s">
        <v>33</v>
      </c>
      <c r="O223">
        <v>3347</v>
      </c>
      <c r="P223">
        <v>1.05</v>
      </c>
      <c r="Q223">
        <v>3.52</v>
      </c>
      <c r="R223" t="s">
        <v>1204</v>
      </c>
      <c r="S223" t="s">
        <v>195</v>
      </c>
    </row>
    <row r="224" spans="1:19" x14ac:dyDescent="0.3">
      <c r="A224" t="s">
        <v>417</v>
      </c>
      <c r="B224" t="s">
        <v>22</v>
      </c>
      <c r="C224">
        <v>2025</v>
      </c>
      <c r="D224">
        <v>1</v>
      </c>
      <c r="E224" s="2">
        <v>45664</v>
      </c>
      <c r="F224" t="s">
        <v>7</v>
      </c>
      <c r="G224" t="s">
        <v>8</v>
      </c>
      <c r="H224" t="s">
        <v>74</v>
      </c>
      <c r="I224" t="s">
        <v>71</v>
      </c>
      <c r="J224" t="s">
        <v>72</v>
      </c>
      <c r="K224" t="s">
        <v>73</v>
      </c>
      <c r="L224">
        <v>701000</v>
      </c>
      <c r="M224" t="s">
        <v>62</v>
      </c>
      <c r="N224" t="s">
        <v>33</v>
      </c>
      <c r="O224">
        <v>823</v>
      </c>
      <c r="P224">
        <v>1.04</v>
      </c>
      <c r="Q224">
        <v>0.86</v>
      </c>
      <c r="R224" t="s">
        <v>1200</v>
      </c>
      <c r="S224" t="s">
        <v>195</v>
      </c>
    </row>
    <row r="225" spans="1:19" x14ac:dyDescent="0.3">
      <c r="A225" t="s">
        <v>418</v>
      </c>
      <c r="B225" t="s">
        <v>22</v>
      </c>
      <c r="C225">
        <v>2025</v>
      </c>
      <c r="D225">
        <v>1</v>
      </c>
      <c r="E225" s="2">
        <v>45664</v>
      </c>
      <c r="F225" t="s">
        <v>7</v>
      </c>
      <c r="G225" t="s">
        <v>8</v>
      </c>
      <c r="H225" t="s">
        <v>74</v>
      </c>
      <c r="I225" t="s">
        <v>71</v>
      </c>
      <c r="J225" t="s">
        <v>72</v>
      </c>
      <c r="K225" t="s">
        <v>73</v>
      </c>
      <c r="L225">
        <v>701000</v>
      </c>
      <c r="M225" t="s">
        <v>62</v>
      </c>
      <c r="N225" t="s">
        <v>33</v>
      </c>
      <c r="O225">
        <v>535</v>
      </c>
      <c r="P225">
        <v>1.05</v>
      </c>
      <c r="Q225">
        <v>0.56000000000000005</v>
      </c>
      <c r="R225" t="s">
        <v>1203</v>
      </c>
      <c r="S225" t="s">
        <v>195</v>
      </c>
    </row>
    <row r="226" spans="1:19" x14ac:dyDescent="0.3">
      <c r="A226" t="s">
        <v>419</v>
      </c>
      <c r="B226" t="s">
        <v>22</v>
      </c>
      <c r="C226">
        <v>2025</v>
      </c>
      <c r="D226">
        <v>1</v>
      </c>
      <c r="E226" s="2">
        <v>45664</v>
      </c>
      <c r="F226" t="s">
        <v>7</v>
      </c>
      <c r="G226" t="s">
        <v>8</v>
      </c>
      <c r="H226" t="s">
        <v>74</v>
      </c>
      <c r="I226" t="s">
        <v>71</v>
      </c>
      <c r="J226" t="s">
        <v>72</v>
      </c>
      <c r="K226" t="s">
        <v>73</v>
      </c>
      <c r="L226">
        <v>701000</v>
      </c>
      <c r="M226" t="s">
        <v>62</v>
      </c>
      <c r="N226" t="s">
        <v>33</v>
      </c>
      <c r="O226">
        <v>821</v>
      </c>
      <c r="P226">
        <v>1.05</v>
      </c>
      <c r="Q226">
        <v>0.86</v>
      </c>
      <c r="R226" t="s">
        <v>1198</v>
      </c>
      <c r="S226" t="s">
        <v>195</v>
      </c>
    </row>
    <row r="227" spans="1:19" x14ac:dyDescent="0.3">
      <c r="A227" t="s">
        <v>420</v>
      </c>
      <c r="B227" t="s">
        <v>22</v>
      </c>
      <c r="C227">
        <v>2025</v>
      </c>
      <c r="D227">
        <v>1</v>
      </c>
      <c r="E227" s="2">
        <v>45658</v>
      </c>
      <c r="F227" t="s">
        <v>7</v>
      </c>
      <c r="G227" t="s">
        <v>8</v>
      </c>
      <c r="H227" t="s">
        <v>70</v>
      </c>
      <c r="I227" t="s">
        <v>71</v>
      </c>
      <c r="J227" t="s">
        <v>72</v>
      </c>
      <c r="K227" t="s">
        <v>73</v>
      </c>
      <c r="L227">
        <v>701000</v>
      </c>
      <c r="M227" t="s">
        <v>62</v>
      </c>
      <c r="N227" t="s">
        <v>33</v>
      </c>
      <c r="O227">
        <v>1516</v>
      </c>
      <c r="P227">
        <v>1.05</v>
      </c>
      <c r="Q227">
        <v>1.59</v>
      </c>
      <c r="R227" t="s">
        <v>1204</v>
      </c>
      <c r="S227" t="s">
        <v>195</v>
      </c>
    </row>
    <row r="228" spans="1:19" x14ac:dyDescent="0.3">
      <c r="A228" t="s">
        <v>421</v>
      </c>
      <c r="B228" t="s">
        <v>22</v>
      </c>
      <c r="C228">
        <v>2025</v>
      </c>
      <c r="D228">
        <v>1</v>
      </c>
      <c r="E228" s="2">
        <v>45658</v>
      </c>
      <c r="F228" t="s">
        <v>7</v>
      </c>
      <c r="G228" t="s">
        <v>8</v>
      </c>
      <c r="H228" t="s">
        <v>70</v>
      </c>
      <c r="I228" t="s">
        <v>71</v>
      </c>
      <c r="J228" t="s">
        <v>72</v>
      </c>
      <c r="K228" t="s">
        <v>73</v>
      </c>
      <c r="L228">
        <v>701000</v>
      </c>
      <c r="M228" t="s">
        <v>62</v>
      </c>
      <c r="N228" t="s">
        <v>33</v>
      </c>
      <c r="O228">
        <v>362</v>
      </c>
      <c r="P228">
        <v>1.05</v>
      </c>
      <c r="Q228">
        <v>0.38</v>
      </c>
      <c r="R228" t="s">
        <v>1198</v>
      </c>
      <c r="S228" t="s">
        <v>195</v>
      </c>
    </row>
    <row r="229" spans="1:19" x14ac:dyDescent="0.3">
      <c r="A229" t="s">
        <v>422</v>
      </c>
      <c r="B229" t="s">
        <v>22</v>
      </c>
      <c r="C229">
        <v>2025</v>
      </c>
      <c r="D229">
        <v>1</v>
      </c>
      <c r="E229" s="2">
        <v>45658</v>
      </c>
      <c r="F229" t="s">
        <v>7</v>
      </c>
      <c r="G229" t="s">
        <v>8</v>
      </c>
      <c r="H229" t="s">
        <v>70</v>
      </c>
      <c r="I229" t="s">
        <v>71</v>
      </c>
      <c r="J229" t="s">
        <v>72</v>
      </c>
      <c r="K229" t="s">
        <v>73</v>
      </c>
      <c r="L229">
        <v>701000</v>
      </c>
      <c r="M229" t="s">
        <v>62</v>
      </c>
      <c r="N229" t="s">
        <v>33</v>
      </c>
      <c r="O229">
        <v>4154</v>
      </c>
      <c r="P229">
        <v>1.05</v>
      </c>
      <c r="Q229">
        <v>4.3600000000000003</v>
      </c>
      <c r="R229" t="s">
        <v>1203</v>
      </c>
      <c r="S229" t="s">
        <v>195</v>
      </c>
    </row>
    <row r="230" spans="1:19" x14ac:dyDescent="0.3">
      <c r="A230" t="s">
        <v>423</v>
      </c>
      <c r="B230" t="s">
        <v>22</v>
      </c>
      <c r="C230">
        <v>2025</v>
      </c>
      <c r="D230">
        <v>1</v>
      </c>
      <c r="E230" s="2">
        <v>45658</v>
      </c>
      <c r="F230" t="s">
        <v>7</v>
      </c>
      <c r="G230" t="s">
        <v>8</v>
      </c>
      <c r="H230" t="s">
        <v>70</v>
      </c>
      <c r="I230" t="s">
        <v>71</v>
      </c>
      <c r="J230" t="s">
        <v>72</v>
      </c>
      <c r="K230" t="s">
        <v>73</v>
      </c>
      <c r="L230">
        <v>701000</v>
      </c>
      <c r="M230" t="s">
        <v>62</v>
      </c>
      <c r="N230" t="s">
        <v>33</v>
      </c>
      <c r="O230">
        <v>2957</v>
      </c>
      <c r="P230">
        <v>1.05</v>
      </c>
      <c r="Q230">
        <v>3.1</v>
      </c>
      <c r="R230" t="s">
        <v>1202</v>
      </c>
      <c r="S230" t="s">
        <v>195</v>
      </c>
    </row>
    <row r="231" spans="1:19" x14ac:dyDescent="0.3">
      <c r="A231" t="s">
        <v>424</v>
      </c>
      <c r="B231" t="s">
        <v>22</v>
      </c>
      <c r="C231">
        <v>2025</v>
      </c>
      <c r="D231">
        <v>1</v>
      </c>
      <c r="E231" s="2">
        <v>45658</v>
      </c>
      <c r="F231" t="s">
        <v>7</v>
      </c>
      <c r="G231" t="s">
        <v>8</v>
      </c>
      <c r="H231" t="s">
        <v>70</v>
      </c>
      <c r="I231" t="s">
        <v>71</v>
      </c>
      <c r="J231" t="s">
        <v>72</v>
      </c>
      <c r="K231" t="s">
        <v>73</v>
      </c>
      <c r="L231">
        <v>701000</v>
      </c>
      <c r="M231" t="s">
        <v>62</v>
      </c>
      <c r="N231" t="s">
        <v>33</v>
      </c>
      <c r="O231">
        <v>2337</v>
      </c>
      <c r="P231">
        <v>1.05</v>
      </c>
      <c r="Q231">
        <v>2.46</v>
      </c>
      <c r="R231" t="s">
        <v>1205</v>
      </c>
      <c r="S231" t="s">
        <v>195</v>
      </c>
    </row>
    <row r="232" spans="1:19" x14ac:dyDescent="0.3">
      <c r="A232" t="s">
        <v>425</v>
      </c>
      <c r="B232" t="s">
        <v>22</v>
      </c>
      <c r="C232">
        <v>2025</v>
      </c>
      <c r="D232">
        <v>1</v>
      </c>
      <c r="E232" s="2">
        <v>45670</v>
      </c>
      <c r="F232" t="s">
        <v>7</v>
      </c>
      <c r="G232" t="s">
        <v>8</v>
      </c>
      <c r="H232" t="s">
        <v>74</v>
      </c>
      <c r="I232" t="s">
        <v>71</v>
      </c>
      <c r="J232" t="s">
        <v>72</v>
      </c>
      <c r="K232" t="s">
        <v>73</v>
      </c>
      <c r="L232">
        <v>701000</v>
      </c>
      <c r="M232" t="s">
        <v>62</v>
      </c>
      <c r="N232" t="s">
        <v>33</v>
      </c>
      <c r="O232">
        <v>1589</v>
      </c>
      <c r="P232">
        <v>1.05</v>
      </c>
      <c r="Q232">
        <v>1.67</v>
      </c>
      <c r="R232" t="s">
        <v>1199</v>
      </c>
      <c r="S232" t="s">
        <v>195</v>
      </c>
    </row>
    <row r="233" spans="1:19" x14ac:dyDescent="0.3">
      <c r="A233" t="s">
        <v>426</v>
      </c>
      <c r="B233" t="s">
        <v>22</v>
      </c>
      <c r="C233">
        <v>2025</v>
      </c>
      <c r="D233">
        <v>1</v>
      </c>
      <c r="E233" s="2">
        <v>45670</v>
      </c>
      <c r="F233" t="s">
        <v>7</v>
      </c>
      <c r="G233" t="s">
        <v>8</v>
      </c>
      <c r="H233" t="s">
        <v>74</v>
      </c>
      <c r="I233" t="s">
        <v>71</v>
      </c>
      <c r="J233" t="s">
        <v>72</v>
      </c>
      <c r="K233" t="s">
        <v>73</v>
      </c>
      <c r="L233">
        <v>701000</v>
      </c>
      <c r="M233" t="s">
        <v>62</v>
      </c>
      <c r="N233" t="s">
        <v>33</v>
      </c>
      <c r="O233">
        <v>1358</v>
      </c>
      <c r="P233">
        <v>1.05</v>
      </c>
      <c r="Q233">
        <v>1.43</v>
      </c>
      <c r="R233" t="s">
        <v>1204</v>
      </c>
      <c r="S233" t="s">
        <v>195</v>
      </c>
    </row>
    <row r="234" spans="1:19" x14ac:dyDescent="0.3">
      <c r="A234" t="s">
        <v>427</v>
      </c>
      <c r="B234" t="s">
        <v>22</v>
      </c>
      <c r="C234">
        <v>2025</v>
      </c>
      <c r="D234">
        <v>1</v>
      </c>
      <c r="E234" s="2">
        <v>45670</v>
      </c>
      <c r="F234" t="s">
        <v>7</v>
      </c>
      <c r="G234" t="s">
        <v>8</v>
      </c>
      <c r="H234" t="s">
        <v>74</v>
      </c>
      <c r="I234" t="s">
        <v>71</v>
      </c>
      <c r="J234" t="s">
        <v>72</v>
      </c>
      <c r="K234" t="s">
        <v>73</v>
      </c>
      <c r="L234">
        <v>701000</v>
      </c>
      <c r="M234" t="s">
        <v>62</v>
      </c>
      <c r="N234" t="s">
        <v>33</v>
      </c>
      <c r="O234">
        <v>1228</v>
      </c>
      <c r="P234">
        <v>1.05</v>
      </c>
      <c r="Q234">
        <v>1.29</v>
      </c>
      <c r="R234" t="s">
        <v>1201</v>
      </c>
      <c r="S234" t="s">
        <v>195</v>
      </c>
    </row>
    <row r="235" spans="1:19" x14ac:dyDescent="0.3">
      <c r="A235" t="s">
        <v>428</v>
      </c>
      <c r="B235" t="s">
        <v>22</v>
      </c>
      <c r="C235">
        <v>2025</v>
      </c>
      <c r="D235">
        <v>1</v>
      </c>
      <c r="E235" s="2">
        <v>45670</v>
      </c>
      <c r="F235" t="s">
        <v>7</v>
      </c>
      <c r="G235" t="s">
        <v>8</v>
      </c>
      <c r="H235" t="s">
        <v>74</v>
      </c>
      <c r="I235" t="s">
        <v>71</v>
      </c>
      <c r="J235" t="s">
        <v>72</v>
      </c>
      <c r="K235" t="s">
        <v>73</v>
      </c>
      <c r="L235">
        <v>701000</v>
      </c>
      <c r="M235" t="s">
        <v>62</v>
      </c>
      <c r="N235" t="s">
        <v>33</v>
      </c>
      <c r="O235">
        <v>2715</v>
      </c>
      <c r="P235">
        <v>1.05</v>
      </c>
      <c r="Q235">
        <v>2.85</v>
      </c>
      <c r="R235" t="s">
        <v>1205</v>
      </c>
      <c r="S235" t="s">
        <v>195</v>
      </c>
    </row>
    <row r="236" spans="1:19" x14ac:dyDescent="0.3">
      <c r="A236" t="s">
        <v>429</v>
      </c>
      <c r="B236" t="s">
        <v>22</v>
      </c>
      <c r="C236">
        <v>2025</v>
      </c>
      <c r="D236">
        <v>1</v>
      </c>
      <c r="E236" s="2">
        <v>45670</v>
      </c>
      <c r="F236" t="s">
        <v>7</v>
      </c>
      <c r="G236" t="s">
        <v>8</v>
      </c>
      <c r="H236" t="s">
        <v>74</v>
      </c>
      <c r="I236" t="s">
        <v>71</v>
      </c>
      <c r="J236" t="s">
        <v>72</v>
      </c>
      <c r="K236" t="s">
        <v>73</v>
      </c>
      <c r="L236">
        <v>701000</v>
      </c>
      <c r="M236" t="s">
        <v>62</v>
      </c>
      <c r="N236" t="s">
        <v>33</v>
      </c>
      <c r="O236">
        <v>5695</v>
      </c>
      <c r="P236">
        <v>1.05</v>
      </c>
      <c r="Q236">
        <v>5.97</v>
      </c>
      <c r="R236" t="s">
        <v>1197</v>
      </c>
      <c r="S236" t="s">
        <v>195</v>
      </c>
    </row>
    <row r="237" spans="1:19" x14ac:dyDescent="0.3">
      <c r="A237" t="s">
        <v>430</v>
      </c>
      <c r="B237" t="s">
        <v>22</v>
      </c>
      <c r="C237">
        <v>2025</v>
      </c>
      <c r="D237">
        <v>1</v>
      </c>
      <c r="E237" s="2">
        <v>45681</v>
      </c>
      <c r="F237" t="s">
        <v>7</v>
      </c>
      <c r="G237" t="s">
        <v>8</v>
      </c>
      <c r="H237" t="s">
        <v>70</v>
      </c>
      <c r="I237" t="s">
        <v>71</v>
      </c>
      <c r="J237" t="s">
        <v>72</v>
      </c>
      <c r="K237" t="s">
        <v>73</v>
      </c>
      <c r="L237">
        <v>701000</v>
      </c>
      <c r="M237" t="s">
        <v>62</v>
      </c>
      <c r="N237" t="s">
        <v>33</v>
      </c>
      <c r="O237">
        <v>1542</v>
      </c>
      <c r="P237">
        <v>1.05</v>
      </c>
      <c r="Q237">
        <v>1.62</v>
      </c>
      <c r="R237" t="s">
        <v>1199</v>
      </c>
      <c r="S237" t="s">
        <v>195</v>
      </c>
    </row>
    <row r="238" spans="1:19" x14ac:dyDescent="0.3">
      <c r="A238" t="s">
        <v>431</v>
      </c>
      <c r="B238" t="s">
        <v>22</v>
      </c>
      <c r="C238">
        <v>2025</v>
      </c>
      <c r="D238">
        <v>1</v>
      </c>
      <c r="E238" s="2">
        <v>45681</v>
      </c>
      <c r="F238" t="s">
        <v>7</v>
      </c>
      <c r="G238" t="s">
        <v>8</v>
      </c>
      <c r="H238" t="s">
        <v>70</v>
      </c>
      <c r="I238" t="s">
        <v>71</v>
      </c>
      <c r="J238" t="s">
        <v>72</v>
      </c>
      <c r="K238" t="s">
        <v>73</v>
      </c>
      <c r="L238">
        <v>701000</v>
      </c>
      <c r="M238" t="s">
        <v>62</v>
      </c>
      <c r="N238" t="s">
        <v>33</v>
      </c>
      <c r="O238">
        <v>1063</v>
      </c>
      <c r="P238">
        <v>1.05</v>
      </c>
      <c r="Q238">
        <v>1.1200000000000001</v>
      </c>
      <c r="R238" t="s">
        <v>1198</v>
      </c>
      <c r="S238" t="s">
        <v>195</v>
      </c>
    </row>
    <row r="239" spans="1:19" x14ac:dyDescent="0.3">
      <c r="A239" t="s">
        <v>432</v>
      </c>
      <c r="B239" t="s">
        <v>22</v>
      </c>
      <c r="C239">
        <v>2025</v>
      </c>
      <c r="D239">
        <v>1</v>
      </c>
      <c r="E239" s="2">
        <v>45681</v>
      </c>
      <c r="F239" t="s">
        <v>7</v>
      </c>
      <c r="G239" t="s">
        <v>8</v>
      </c>
      <c r="H239" t="s">
        <v>70</v>
      </c>
      <c r="I239" t="s">
        <v>71</v>
      </c>
      <c r="J239" t="s">
        <v>72</v>
      </c>
      <c r="K239" t="s">
        <v>73</v>
      </c>
      <c r="L239">
        <v>701000</v>
      </c>
      <c r="M239" t="s">
        <v>62</v>
      </c>
      <c r="N239" t="s">
        <v>33</v>
      </c>
      <c r="O239">
        <v>2635</v>
      </c>
      <c r="P239">
        <v>1.05</v>
      </c>
      <c r="Q239">
        <v>2.77</v>
      </c>
      <c r="R239" t="s">
        <v>1200</v>
      </c>
      <c r="S239" t="s">
        <v>195</v>
      </c>
    </row>
    <row r="240" spans="1:19" x14ac:dyDescent="0.3">
      <c r="A240" t="s">
        <v>433</v>
      </c>
      <c r="B240" t="s">
        <v>22</v>
      </c>
      <c r="C240">
        <v>2025</v>
      </c>
      <c r="D240">
        <v>1</v>
      </c>
      <c r="E240" s="2">
        <v>45681</v>
      </c>
      <c r="F240" t="s">
        <v>7</v>
      </c>
      <c r="G240" t="s">
        <v>8</v>
      </c>
      <c r="H240" t="s">
        <v>70</v>
      </c>
      <c r="I240" t="s">
        <v>71</v>
      </c>
      <c r="J240" t="s">
        <v>72</v>
      </c>
      <c r="K240" t="s">
        <v>73</v>
      </c>
      <c r="L240">
        <v>701000</v>
      </c>
      <c r="M240" t="s">
        <v>62</v>
      </c>
      <c r="N240" t="s">
        <v>33</v>
      </c>
      <c r="O240">
        <v>3187</v>
      </c>
      <c r="P240">
        <v>1.05</v>
      </c>
      <c r="Q240">
        <v>3.35</v>
      </c>
      <c r="R240" t="s">
        <v>1202</v>
      </c>
      <c r="S240" t="s">
        <v>195</v>
      </c>
    </row>
    <row r="241" spans="1:19" x14ac:dyDescent="0.3">
      <c r="A241" t="s">
        <v>434</v>
      </c>
      <c r="B241" t="s">
        <v>22</v>
      </c>
      <c r="C241">
        <v>2025</v>
      </c>
      <c r="D241">
        <v>1</v>
      </c>
      <c r="E241" s="2">
        <v>45681</v>
      </c>
      <c r="F241" t="s">
        <v>7</v>
      </c>
      <c r="G241" t="s">
        <v>8</v>
      </c>
      <c r="H241" t="s">
        <v>70</v>
      </c>
      <c r="I241" t="s">
        <v>71</v>
      </c>
      <c r="J241" t="s">
        <v>72</v>
      </c>
      <c r="K241" t="s">
        <v>73</v>
      </c>
      <c r="L241">
        <v>701000</v>
      </c>
      <c r="M241" t="s">
        <v>62</v>
      </c>
      <c r="N241" t="s">
        <v>33</v>
      </c>
      <c r="O241">
        <v>962</v>
      </c>
      <c r="P241">
        <v>1.04</v>
      </c>
      <c r="Q241">
        <v>1</v>
      </c>
      <c r="R241" t="s">
        <v>1204</v>
      </c>
      <c r="S241" t="s">
        <v>195</v>
      </c>
    </row>
    <row r="242" spans="1:19" x14ac:dyDescent="0.3">
      <c r="A242" t="s">
        <v>435</v>
      </c>
      <c r="B242" t="s">
        <v>22</v>
      </c>
      <c r="C242">
        <v>2025</v>
      </c>
      <c r="D242">
        <v>1</v>
      </c>
      <c r="E242" s="2">
        <v>45658</v>
      </c>
      <c r="F242" t="s">
        <v>7</v>
      </c>
      <c r="G242" t="s">
        <v>8</v>
      </c>
      <c r="H242" t="s">
        <v>74</v>
      </c>
      <c r="I242" t="s">
        <v>71</v>
      </c>
      <c r="J242" t="s">
        <v>72</v>
      </c>
      <c r="K242" t="s">
        <v>73</v>
      </c>
      <c r="L242">
        <v>701000</v>
      </c>
      <c r="M242" t="s">
        <v>62</v>
      </c>
      <c r="N242" t="s">
        <v>33</v>
      </c>
      <c r="O242">
        <v>733</v>
      </c>
      <c r="P242">
        <v>1.05</v>
      </c>
      <c r="Q242">
        <v>0.77</v>
      </c>
      <c r="R242" t="s">
        <v>1202</v>
      </c>
      <c r="S242" t="s">
        <v>195</v>
      </c>
    </row>
    <row r="243" spans="1:19" x14ac:dyDescent="0.3">
      <c r="A243" t="s">
        <v>436</v>
      </c>
      <c r="B243" t="s">
        <v>22</v>
      </c>
      <c r="C243">
        <v>2025</v>
      </c>
      <c r="D243">
        <v>1</v>
      </c>
      <c r="E243" s="2">
        <v>45658</v>
      </c>
      <c r="F243" t="s">
        <v>7</v>
      </c>
      <c r="G243" t="s">
        <v>8</v>
      </c>
      <c r="H243" t="s">
        <v>74</v>
      </c>
      <c r="I243" t="s">
        <v>71</v>
      </c>
      <c r="J243" t="s">
        <v>72</v>
      </c>
      <c r="K243" t="s">
        <v>73</v>
      </c>
      <c r="L243">
        <v>701000</v>
      </c>
      <c r="M243" t="s">
        <v>62</v>
      </c>
      <c r="N243" t="s">
        <v>33</v>
      </c>
      <c r="O243">
        <v>1837</v>
      </c>
      <c r="P243">
        <v>1.05</v>
      </c>
      <c r="Q243">
        <v>1.93</v>
      </c>
      <c r="R243" t="s">
        <v>1205</v>
      </c>
      <c r="S243" t="s">
        <v>195</v>
      </c>
    </row>
    <row r="244" spans="1:19" x14ac:dyDescent="0.3">
      <c r="A244" t="s">
        <v>437</v>
      </c>
      <c r="B244" t="s">
        <v>22</v>
      </c>
      <c r="C244">
        <v>2025</v>
      </c>
      <c r="D244">
        <v>1</v>
      </c>
      <c r="E244" s="2">
        <v>45658</v>
      </c>
      <c r="F244" t="s">
        <v>7</v>
      </c>
      <c r="G244" t="s">
        <v>8</v>
      </c>
      <c r="H244" t="s">
        <v>74</v>
      </c>
      <c r="I244" t="s">
        <v>71</v>
      </c>
      <c r="J244" t="s">
        <v>72</v>
      </c>
      <c r="K244" t="s">
        <v>73</v>
      </c>
      <c r="L244">
        <v>701000</v>
      </c>
      <c r="M244" t="s">
        <v>62</v>
      </c>
      <c r="N244" t="s">
        <v>33</v>
      </c>
      <c r="O244">
        <v>2489</v>
      </c>
      <c r="P244">
        <v>1.05</v>
      </c>
      <c r="Q244">
        <v>2.61</v>
      </c>
      <c r="R244" t="s">
        <v>1201</v>
      </c>
      <c r="S244" t="s">
        <v>195</v>
      </c>
    </row>
    <row r="245" spans="1:19" x14ac:dyDescent="0.3">
      <c r="A245" t="s">
        <v>438</v>
      </c>
      <c r="B245" t="s">
        <v>22</v>
      </c>
      <c r="C245">
        <v>2025</v>
      </c>
      <c r="D245">
        <v>1</v>
      </c>
      <c r="E245" s="2">
        <v>45658</v>
      </c>
      <c r="F245" t="s">
        <v>7</v>
      </c>
      <c r="G245" t="s">
        <v>8</v>
      </c>
      <c r="H245" t="s">
        <v>74</v>
      </c>
      <c r="I245" t="s">
        <v>71</v>
      </c>
      <c r="J245" t="s">
        <v>72</v>
      </c>
      <c r="K245" t="s">
        <v>73</v>
      </c>
      <c r="L245">
        <v>701000</v>
      </c>
      <c r="M245" t="s">
        <v>62</v>
      </c>
      <c r="N245" t="s">
        <v>33</v>
      </c>
      <c r="O245">
        <v>1803</v>
      </c>
      <c r="P245">
        <v>1.05</v>
      </c>
      <c r="Q245">
        <v>1.89</v>
      </c>
      <c r="R245" t="s">
        <v>1203</v>
      </c>
      <c r="S245" t="s">
        <v>195</v>
      </c>
    </row>
    <row r="246" spans="1:19" x14ac:dyDescent="0.3">
      <c r="A246" t="s">
        <v>439</v>
      </c>
      <c r="B246" t="s">
        <v>22</v>
      </c>
      <c r="C246">
        <v>2025</v>
      </c>
      <c r="D246">
        <v>1</v>
      </c>
      <c r="E246" s="2">
        <v>45658</v>
      </c>
      <c r="F246" t="s">
        <v>7</v>
      </c>
      <c r="G246" t="s">
        <v>8</v>
      </c>
      <c r="H246" t="s">
        <v>74</v>
      </c>
      <c r="I246" t="s">
        <v>71</v>
      </c>
      <c r="J246" t="s">
        <v>72</v>
      </c>
      <c r="K246" t="s">
        <v>73</v>
      </c>
      <c r="L246">
        <v>701000</v>
      </c>
      <c r="M246" t="s">
        <v>62</v>
      </c>
      <c r="N246" t="s">
        <v>33</v>
      </c>
      <c r="O246">
        <v>2764</v>
      </c>
      <c r="P246">
        <v>1.05</v>
      </c>
      <c r="Q246">
        <v>2.91</v>
      </c>
      <c r="R246" t="s">
        <v>1204</v>
      </c>
      <c r="S246" t="s">
        <v>195</v>
      </c>
    </row>
    <row r="247" spans="1:19" x14ac:dyDescent="0.3">
      <c r="A247" t="s">
        <v>440</v>
      </c>
      <c r="B247" t="s">
        <v>22</v>
      </c>
      <c r="C247">
        <v>2025</v>
      </c>
      <c r="D247">
        <v>1</v>
      </c>
      <c r="E247" s="2">
        <v>45667</v>
      </c>
      <c r="F247" t="s">
        <v>7</v>
      </c>
      <c r="G247" t="s">
        <v>8</v>
      </c>
      <c r="H247" t="s">
        <v>70</v>
      </c>
      <c r="I247" t="s">
        <v>71</v>
      </c>
      <c r="J247" t="s">
        <v>72</v>
      </c>
      <c r="K247" t="s">
        <v>73</v>
      </c>
      <c r="L247">
        <v>701000</v>
      </c>
      <c r="M247" t="s">
        <v>62</v>
      </c>
      <c r="N247" t="s">
        <v>33</v>
      </c>
      <c r="O247">
        <v>2311</v>
      </c>
      <c r="P247">
        <v>1.05</v>
      </c>
      <c r="Q247">
        <v>2.4300000000000002</v>
      </c>
      <c r="R247" t="s">
        <v>1205</v>
      </c>
      <c r="S247" t="s">
        <v>195</v>
      </c>
    </row>
    <row r="248" spans="1:19" x14ac:dyDescent="0.3">
      <c r="A248" t="s">
        <v>441</v>
      </c>
      <c r="B248" t="s">
        <v>22</v>
      </c>
      <c r="C248">
        <v>2025</v>
      </c>
      <c r="D248">
        <v>1</v>
      </c>
      <c r="E248" s="2">
        <v>45667</v>
      </c>
      <c r="F248" t="s">
        <v>7</v>
      </c>
      <c r="G248" t="s">
        <v>8</v>
      </c>
      <c r="H248" t="s">
        <v>70</v>
      </c>
      <c r="I248" t="s">
        <v>71</v>
      </c>
      <c r="J248" t="s">
        <v>72</v>
      </c>
      <c r="K248" t="s">
        <v>73</v>
      </c>
      <c r="L248">
        <v>701000</v>
      </c>
      <c r="M248" t="s">
        <v>62</v>
      </c>
      <c r="N248" t="s">
        <v>33</v>
      </c>
      <c r="O248">
        <v>2679</v>
      </c>
      <c r="P248">
        <v>1.05</v>
      </c>
      <c r="Q248">
        <v>2.81</v>
      </c>
      <c r="R248" t="s">
        <v>1197</v>
      </c>
      <c r="S248" t="s">
        <v>195</v>
      </c>
    </row>
    <row r="249" spans="1:19" x14ac:dyDescent="0.3">
      <c r="A249" t="s">
        <v>442</v>
      </c>
      <c r="B249" t="s">
        <v>22</v>
      </c>
      <c r="C249">
        <v>2025</v>
      </c>
      <c r="D249">
        <v>1</v>
      </c>
      <c r="E249" s="2">
        <v>45667</v>
      </c>
      <c r="F249" t="s">
        <v>7</v>
      </c>
      <c r="G249" t="s">
        <v>8</v>
      </c>
      <c r="H249" t="s">
        <v>70</v>
      </c>
      <c r="I249" t="s">
        <v>71</v>
      </c>
      <c r="J249" t="s">
        <v>72</v>
      </c>
      <c r="K249" t="s">
        <v>73</v>
      </c>
      <c r="L249">
        <v>701000</v>
      </c>
      <c r="M249" t="s">
        <v>62</v>
      </c>
      <c r="N249" t="s">
        <v>33</v>
      </c>
      <c r="O249">
        <v>3444</v>
      </c>
      <c r="P249">
        <v>1.05</v>
      </c>
      <c r="Q249">
        <v>3.62</v>
      </c>
      <c r="R249" t="s">
        <v>1200</v>
      </c>
      <c r="S249" t="s">
        <v>195</v>
      </c>
    </row>
    <row r="250" spans="1:19" x14ac:dyDescent="0.3">
      <c r="A250" t="s">
        <v>443</v>
      </c>
      <c r="B250" t="s">
        <v>22</v>
      </c>
      <c r="C250">
        <v>2025</v>
      </c>
      <c r="D250">
        <v>1</v>
      </c>
      <c r="E250" s="2">
        <v>45667</v>
      </c>
      <c r="F250" t="s">
        <v>7</v>
      </c>
      <c r="G250" t="s">
        <v>8</v>
      </c>
      <c r="H250" t="s">
        <v>70</v>
      </c>
      <c r="I250" t="s">
        <v>71</v>
      </c>
      <c r="J250" t="s">
        <v>72</v>
      </c>
      <c r="K250" t="s">
        <v>73</v>
      </c>
      <c r="L250">
        <v>701000</v>
      </c>
      <c r="M250" t="s">
        <v>62</v>
      </c>
      <c r="N250" t="s">
        <v>33</v>
      </c>
      <c r="O250">
        <v>1035</v>
      </c>
      <c r="P250">
        <v>1.05</v>
      </c>
      <c r="Q250">
        <v>1.0900000000000001</v>
      </c>
      <c r="R250" t="s">
        <v>1199</v>
      </c>
      <c r="S250" t="s">
        <v>195</v>
      </c>
    </row>
    <row r="251" spans="1:19" x14ac:dyDescent="0.3">
      <c r="A251" t="s">
        <v>444</v>
      </c>
      <c r="B251" t="s">
        <v>22</v>
      </c>
      <c r="C251">
        <v>2025</v>
      </c>
      <c r="D251">
        <v>1</v>
      </c>
      <c r="E251" s="2">
        <v>45667</v>
      </c>
      <c r="F251" t="s">
        <v>7</v>
      </c>
      <c r="G251" t="s">
        <v>8</v>
      </c>
      <c r="H251" t="s">
        <v>70</v>
      </c>
      <c r="I251" t="s">
        <v>71</v>
      </c>
      <c r="J251" t="s">
        <v>72</v>
      </c>
      <c r="K251" t="s">
        <v>73</v>
      </c>
      <c r="L251">
        <v>701000</v>
      </c>
      <c r="M251" t="s">
        <v>62</v>
      </c>
      <c r="N251" t="s">
        <v>33</v>
      </c>
      <c r="O251">
        <v>1325</v>
      </c>
      <c r="P251">
        <v>1.04</v>
      </c>
      <c r="Q251">
        <v>1.38</v>
      </c>
      <c r="R251" t="s">
        <v>1201</v>
      </c>
      <c r="S251" t="s">
        <v>195</v>
      </c>
    </row>
    <row r="252" spans="1:19" x14ac:dyDescent="0.3">
      <c r="A252" t="s">
        <v>445</v>
      </c>
      <c r="B252" t="s">
        <v>22</v>
      </c>
      <c r="C252">
        <v>2025</v>
      </c>
      <c r="D252">
        <v>1</v>
      </c>
      <c r="E252" s="2">
        <v>45661</v>
      </c>
      <c r="F252" t="s">
        <v>7</v>
      </c>
      <c r="G252" t="s">
        <v>8</v>
      </c>
      <c r="H252" t="s">
        <v>74</v>
      </c>
      <c r="I252" t="s">
        <v>71</v>
      </c>
      <c r="J252" t="s">
        <v>72</v>
      </c>
      <c r="K252" t="s">
        <v>73</v>
      </c>
      <c r="L252">
        <v>701000</v>
      </c>
      <c r="M252" t="s">
        <v>62</v>
      </c>
      <c r="N252" t="s">
        <v>33</v>
      </c>
      <c r="O252">
        <v>3228</v>
      </c>
      <c r="P252">
        <v>1.05</v>
      </c>
      <c r="Q252">
        <v>3.39</v>
      </c>
      <c r="R252" t="s">
        <v>1202</v>
      </c>
      <c r="S252" t="s">
        <v>195</v>
      </c>
    </row>
    <row r="253" spans="1:19" x14ac:dyDescent="0.3">
      <c r="A253" t="s">
        <v>446</v>
      </c>
      <c r="B253" t="s">
        <v>22</v>
      </c>
      <c r="C253">
        <v>2025</v>
      </c>
      <c r="D253">
        <v>1</v>
      </c>
      <c r="E253" s="2">
        <v>45661</v>
      </c>
      <c r="F253" t="s">
        <v>7</v>
      </c>
      <c r="G253" t="s">
        <v>8</v>
      </c>
      <c r="H253" t="s">
        <v>74</v>
      </c>
      <c r="I253" t="s">
        <v>71</v>
      </c>
      <c r="J253" t="s">
        <v>72</v>
      </c>
      <c r="K253" t="s">
        <v>73</v>
      </c>
      <c r="L253">
        <v>701000</v>
      </c>
      <c r="M253" t="s">
        <v>62</v>
      </c>
      <c r="N253" t="s">
        <v>33</v>
      </c>
      <c r="O253">
        <v>1443</v>
      </c>
      <c r="P253">
        <v>1.05</v>
      </c>
      <c r="Q253">
        <v>1.51</v>
      </c>
      <c r="R253" t="s">
        <v>1197</v>
      </c>
      <c r="S253" t="s">
        <v>195</v>
      </c>
    </row>
    <row r="254" spans="1:19" x14ac:dyDescent="0.3">
      <c r="A254" t="s">
        <v>447</v>
      </c>
      <c r="B254" t="s">
        <v>22</v>
      </c>
      <c r="C254">
        <v>2025</v>
      </c>
      <c r="D254">
        <v>1</v>
      </c>
      <c r="E254" s="2">
        <v>45661</v>
      </c>
      <c r="F254" t="s">
        <v>7</v>
      </c>
      <c r="G254" t="s">
        <v>8</v>
      </c>
      <c r="H254" t="s">
        <v>74</v>
      </c>
      <c r="I254" t="s">
        <v>71</v>
      </c>
      <c r="J254" t="s">
        <v>72</v>
      </c>
      <c r="K254" t="s">
        <v>73</v>
      </c>
      <c r="L254">
        <v>701000</v>
      </c>
      <c r="M254" t="s">
        <v>62</v>
      </c>
      <c r="N254" t="s">
        <v>33</v>
      </c>
      <c r="O254">
        <v>2838</v>
      </c>
      <c r="P254">
        <v>1.05</v>
      </c>
      <c r="Q254">
        <v>2.98</v>
      </c>
      <c r="R254" t="s">
        <v>1203</v>
      </c>
      <c r="S254" t="s">
        <v>195</v>
      </c>
    </row>
    <row r="255" spans="1:19" x14ac:dyDescent="0.3">
      <c r="A255" t="s">
        <v>448</v>
      </c>
      <c r="B255" t="s">
        <v>22</v>
      </c>
      <c r="C255">
        <v>2025</v>
      </c>
      <c r="D255">
        <v>1</v>
      </c>
      <c r="E255" s="2">
        <v>45661</v>
      </c>
      <c r="F255" t="s">
        <v>7</v>
      </c>
      <c r="G255" t="s">
        <v>8</v>
      </c>
      <c r="H255" t="s">
        <v>74</v>
      </c>
      <c r="I255" t="s">
        <v>71</v>
      </c>
      <c r="J255" t="s">
        <v>72</v>
      </c>
      <c r="K255" t="s">
        <v>73</v>
      </c>
      <c r="L255">
        <v>701000</v>
      </c>
      <c r="M255" t="s">
        <v>62</v>
      </c>
      <c r="N255" t="s">
        <v>33</v>
      </c>
      <c r="O255">
        <v>1094</v>
      </c>
      <c r="P255">
        <v>1.05</v>
      </c>
      <c r="Q255">
        <v>1.1499999999999999</v>
      </c>
      <c r="R255" t="s">
        <v>1205</v>
      </c>
      <c r="S255" t="s">
        <v>195</v>
      </c>
    </row>
    <row r="256" spans="1:19" x14ac:dyDescent="0.3">
      <c r="A256" t="s">
        <v>449</v>
      </c>
      <c r="B256" t="s">
        <v>22</v>
      </c>
      <c r="C256">
        <v>2025</v>
      </c>
      <c r="D256">
        <v>1</v>
      </c>
      <c r="E256" s="2">
        <v>45661</v>
      </c>
      <c r="F256" t="s">
        <v>7</v>
      </c>
      <c r="G256" t="s">
        <v>8</v>
      </c>
      <c r="H256" t="s">
        <v>74</v>
      </c>
      <c r="I256" t="s">
        <v>71</v>
      </c>
      <c r="J256" t="s">
        <v>72</v>
      </c>
      <c r="K256" t="s">
        <v>73</v>
      </c>
      <c r="L256">
        <v>701000</v>
      </c>
      <c r="M256" t="s">
        <v>62</v>
      </c>
      <c r="N256" t="s">
        <v>33</v>
      </c>
      <c r="O256">
        <v>1448</v>
      </c>
      <c r="P256">
        <v>1.05</v>
      </c>
      <c r="Q256">
        <v>1.52</v>
      </c>
      <c r="R256" t="s">
        <v>1199</v>
      </c>
      <c r="S256" t="s">
        <v>195</v>
      </c>
    </row>
    <row r="257" spans="1:19" x14ac:dyDescent="0.3">
      <c r="A257" t="s">
        <v>450</v>
      </c>
      <c r="B257" t="s">
        <v>22</v>
      </c>
      <c r="C257">
        <v>2025</v>
      </c>
      <c r="D257">
        <v>1</v>
      </c>
      <c r="E257" s="2">
        <v>45681</v>
      </c>
      <c r="F257" t="s">
        <v>7</v>
      </c>
      <c r="G257" t="s">
        <v>8</v>
      </c>
      <c r="H257" t="s">
        <v>74</v>
      </c>
      <c r="I257" t="s">
        <v>71</v>
      </c>
      <c r="J257" t="s">
        <v>72</v>
      </c>
      <c r="K257" t="s">
        <v>73</v>
      </c>
      <c r="L257">
        <v>701000</v>
      </c>
      <c r="M257" t="s">
        <v>62</v>
      </c>
      <c r="N257" t="s">
        <v>33</v>
      </c>
      <c r="O257">
        <v>4229</v>
      </c>
      <c r="P257">
        <v>1.05</v>
      </c>
      <c r="Q257">
        <v>4.4400000000000004</v>
      </c>
      <c r="R257" t="s">
        <v>1203</v>
      </c>
      <c r="S257" t="s">
        <v>195</v>
      </c>
    </row>
    <row r="258" spans="1:19" x14ac:dyDescent="0.3">
      <c r="A258" t="s">
        <v>451</v>
      </c>
      <c r="B258" t="s">
        <v>22</v>
      </c>
      <c r="C258">
        <v>2025</v>
      </c>
      <c r="D258">
        <v>1</v>
      </c>
      <c r="E258" s="2">
        <v>45681</v>
      </c>
      <c r="F258" t="s">
        <v>7</v>
      </c>
      <c r="G258" t="s">
        <v>8</v>
      </c>
      <c r="H258" t="s">
        <v>74</v>
      </c>
      <c r="I258" t="s">
        <v>71</v>
      </c>
      <c r="J258" t="s">
        <v>72</v>
      </c>
      <c r="K258" t="s">
        <v>73</v>
      </c>
      <c r="L258">
        <v>701000</v>
      </c>
      <c r="M258" t="s">
        <v>62</v>
      </c>
      <c r="N258" t="s">
        <v>33</v>
      </c>
      <c r="O258">
        <v>3198</v>
      </c>
      <c r="P258">
        <v>1.05</v>
      </c>
      <c r="Q258">
        <v>3.36</v>
      </c>
      <c r="R258" t="s">
        <v>1197</v>
      </c>
      <c r="S258" t="s">
        <v>195</v>
      </c>
    </row>
    <row r="259" spans="1:19" x14ac:dyDescent="0.3">
      <c r="A259" t="s">
        <v>452</v>
      </c>
      <c r="B259" t="s">
        <v>22</v>
      </c>
      <c r="C259">
        <v>2025</v>
      </c>
      <c r="D259">
        <v>1</v>
      </c>
      <c r="E259" s="2">
        <v>45681</v>
      </c>
      <c r="F259" t="s">
        <v>7</v>
      </c>
      <c r="G259" t="s">
        <v>8</v>
      </c>
      <c r="H259" t="s">
        <v>74</v>
      </c>
      <c r="I259" t="s">
        <v>71</v>
      </c>
      <c r="J259" t="s">
        <v>72</v>
      </c>
      <c r="K259" t="s">
        <v>73</v>
      </c>
      <c r="L259">
        <v>701000</v>
      </c>
      <c r="M259" t="s">
        <v>62</v>
      </c>
      <c r="N259" t="s">
        <v>33</v>
      </c>
      <c r="O259">
        <v>995</v>
      </c>
      <c r="P259">
        <v>1.05</v>
      </c>
      <c r="Q259">
        <v>1.04</v>
      </c>
      <c r="R259" t="s">
        <v>1205</v>
      </c>
      <c r="S259" t="s">
        <v>195</v>
      </c>
    </row>
    <row r="260" spans="1:19" x14ac:dyDescent="0.3">
      <c r="A260" t="s">
        <v>453</v>
      </c>
      <c r="B260" t="s">
        <v>22</v>
      </c>
      <c r="C260">
        <v>2025</v>
      </c>
      <c r="D260">
        <v>1</v>
      </c>
      <c r="E260" s="2">
        <v>45681</v>
      </c>
      <c r="F260" t="s">
        <v>7</v>
      </c>
      <c r="G260" t="s">
        <v>8</v>
      </c>
      <c r="H260" t="s">
        <v>74</v>
      </c>
      <c r="I260" t="s">
        <v>71</v>
      </c>
      <c r="J260" t="s">
        <v>72</v>
      </c>
      <c r="K260" t="s">
        <v>73</v>
      </c>
      <c r="L260">
        <v>701000</v>
      </c>
      <c r="M260" t="s">
        <v>62</v>
      </c>
      <c r="N260" t="s">
        <v>33</v>
      </c>
      <c r="O260">
        <v>1669</v>
      </c>
      <c r="P260">
        <v>1.05</v>
      </c>
      <c r="Q260">
        <v>1.75</v>
      </c>
      <c r="R260" t="s">
        <v>1198</v>
      </c>
      <c r="S260" t="s">
        <v>195</v>
      </c>
    </row>
    <row r="261" spans="1:19" x14ac:dyDescent="0.3">
      <c r="A261" t="s">
        <v>454</v>
      </c>
      <c r="B261" t="s">
        <v>22</v>
      </c>
      <c r="C261">
        <v>2025</v>
      </c>
      <c r="D261">
        <v>1</v>
      </c>
      <c r="E261" s="2">
        <v>45681</v>
      </c>
      <c r="F261" t="s">
        <v>7</v>
      </c>
      <c r="G261" t="s">
        <v>8</v>
      </c>
      <c r="H261" t="s">
        <v>74</v>
      </c>
      <c r="I261" t="s">
        <v>71</v>
      </c>
      <c r="J261" t="s">
        <v>72</v>
      </c>
      <c r="K261" t="s">
        <v>73</v>
      </c>
      <c r="L261">
        <v>701000</v>
      </c>
      <c r="M261" t="s">
        <v>62</v>
      </c>
      <c r="N261" t="s">
        <v>33</v>
      </c>
      <c r="O261">
        <v>1041</v>
      </c>
      <c r="P261">
        <v>1.06</v>
      </c>
      <c r="Q261">
        <v>1.1000000000000001</v>
      </c>
      <c r="R261" t="s">
        <v>1201</v>
      </c>
      <c r="S261" t="s">
        <v>195</v>
      </c>
    </row>
    <row r="262" spans="1:19" x14ac:dyDescent="0.3">
      <c r="A262" t="s">
        <v>455</v>
      </c>
      <c r="B262" t="s">
        <v>22</v>
      </c>
      <c r="C262">
        <v>2025</v>
      </c>
      <c r="D262">
        <v>1</v>
      </c>
      <c r="E262" s="2">
        <v>45664</v>
      </c>
      <c r="F262" t="s">
        <v>7</v>
      </c>
      <c r="G262" t="s">
        <v>8</v>
      </c>
      <c r="H262" t="s">
        <v>74</v>
      </c>
      <c r="I262" t="s">
        <v>71</v>
      </c>
      <c r="J262" t="s">
        <v>72</v>
      </c>
      <c r="K262" t="s">
        <v>73</v>
      </c>
      <c r="L262">
        <v>706000</v>
      </c>
      <c r="M262" t="s">
        <v>63</v>
      </c>
      <c r="N262" t="s">
        <v>33</v>
      </c>
      <c r="O262">
        <v>1601</v>
      </c>
      <c r="P262">
        <v>1.05</v>
      </c>
      <c r="Q262">
        <v>1.68</v>
      </c>
      <c r="R262" t="s">
        <v>1201</v>
      </c>
      <c r="S262" t="s">
        <v>195</v>
      </c>
    </row>
    <row r="263" spans="1:19" x14ac:dyDescent="0.3">
      <c r="A263" t="s">
        <v>456</v>
      </c>
      <c r="B263" t="s">
        <v>22</v>
      </c>
      <c r="C263">
        <v>2025</v>
      </c>
      <c r="D263">
        <v>1</v>
      </c>
      <c r="E263" s="2">
        <v>45664</v>
      </c>
      <c r="F263" t="s">
        <v>7</v>
      </c>
      <c r="G263" t="s">
        <v>8</v>
      </c>
      <c r="H263" t="s">
        <v>74</v>
      </c>
      <c r="I263" t="s">
        <v>71</v>
      </c>
      <c r="J263" t="s">
        <v>72</v>
      </c>
      <c r="K263" t="s">
        <v>73</v>
      </c>
      <c r="L263">
        <v>706000</v>
      </c>
      <c r="M263" t="s">
        <v>63</v>
      </c>
      <c r="N263" t="s">
        <v>33</v>
      </c>
      <c r="O263">
        <v>707</v>
      </c>
      <c r="P263">
        <v>1.05</v>
      </c>
      <c r="Q263">
        <v>0.74</v>
      </c>
      <c r="R263" t="s">
        <v>1204</v>
      </c>
      <c r="S263" t="s">
        <v>195</v>
      </c>
    </row>
    <row r="264" spans="1:19" x14ac:dyDescent="0.3">
      <c r="A264" t="s">
        <v>457</v>
      </c>
      <c r="B264" t="s">
        <v>22</v>
      </c>
      <c r="C264">
        <v>2025</v>
      </c>
      <c r="D264">
        <v>1</v>
      </c>
      <c r="E264" s="2">
        <v>45664</v>
      </c>
      <c r="F264" t="s">
        <v>7</v>
      </c>
      <c r="G264" t="s">
        <v>8</v>
      </c>
      <c r="H264" t="s">
        <v>74</v>
      </c>
      <c r="I264" t="s">
        <v>71</v>
      </c>
      <c r="J264" t="s">
        <v>72</v>
      </c>
      <c r="K264" t="s">
        <v>73</v>
      </c>
      <c r="L264">
        <v>706000</v>
      </c>
      <c r="M264" t="s">
        <v>63</v>
      </c>
      <c r="N264" t="s">
        <v>33</v>
      </c>
      <c r="O264">
        <v>1999</v>
      </c>
      <c r="P264">
        <v>1.05</v>
      </c>
      <c r="Q264">
        <v>2.1</v>
      </c>
      <c r="R264" t="s">
        <v>1200</v>
      </c>
      <c r="S264" t="s">
        <v>195</v>
      </c>
    </row>
    <row r="265" spans="1:19" x14ac:dyDescent="0.3">
      <c r="A265" t="s">
        <v>458</v>
      </c>
      <c r="B265" t="s">
        <v>22</v>
      </c>
      <c r="C265">
        <v>2025</v>
      </c>
      <c r="D265">
        <v>1</v>
      </c>
      <c r="E265" s="2">
        <v>45664</v>
      </c>
      <c r="F265" t="s">
        <v>7</v>
      </c>
      <c r="G265" t="s">
        <v>8</v>
      </c>
      <c r="H265" t="s">
        <v>74</v>
      </c>
      <c r="I265" t="s">
        <v>71</v>
      </c>
      <c r="J265" t="s">
        <v>72</v>
      </c>
      <c r="K265" t="s">
        <v>73</v>
      </c>
      <c r="L265">
        <v>706000</v>
      </c>
      <c r="M265" t="s">
        <v>63</v>
      </c>
      <c r="N265" t="s">
        <v>33</v>
      </c>
      <c r="O265">
        <v>4083</v>
      </c>
      <c r="P265">
        <v>1.05</v>
      </c>
      <c r="Q265">
        <v>4.29</v>
      </c>
      <c r="R265" t="s">
        <v>1202</v>
      </c>
      <c r="S265" t="s">
        <v>195</v>
      </c>
    </row>
    <row r="266" spans="1:19" x14ac:dyDescent="0.3">
      <c r="A266" t="s">
        <v>459</v>
      </c>
      <c r="B266" t="s">
        <v>22</v>
      </c>
      <c r="C266">
        <v>2025</v>
      </c>
      <c r="D266">
        <v>1</v>
      </c>
      <c r="E266" s="2">
        <v>45664</v>
      </c>
      <c r="F266" t="s">
        <v>7</v>
      </c>
      <c r="G266" t="s">
        <v>8</v>
      </c>
      <c r="H266" t="s">
        <v>74</v>
      </c>
      <c r="I266" t="s">
        <v>71</v>
      </c>
      <c r="J266" t="s">
        <v>72</v>
      </c>
      <c r="K266" t="s">
        <v>73</v>
      </c>
      <c r="L266">
        <v>706000</v>
      </c>
      <c r="M266" t="s">
        <v>63</v>
      </c>
      <c r="N266" t="s">
        <v>33</v>
      </c>
      <c r="O266">
        <v>2173</v>
      </c>
      <c r="P266">
        <v>1.05</v>
      </c>
      <c r="Q266">
        <v>2.2799999999999998</v>
      </c>
      <c r="R266" t="s">
        <v>1205</v>
      </c>
      <c r="S266" t="s">
        <v>195</v>
      </c>
    </row>
    <row r="267" spans="1:19" x14ac:dyDescent="0.3">
      <c r="A267" t="s">
        <v>460</v>
      </c>
      <c r="B267" t="s">
        <v>22</v>
      </c>
      <c r="C267">
        <v>2025</v>
      </c>
      <c r="D267">
        <v>1</v>
      </c>
      <c r="E267" s="2">
        <v>45659</v>
      </c>
      <c r="F267" t="s">
        <v>7</v>
      </c>
      <c r="G267" t="s">
        <v>8</v>
      </c>
      <c r="H267" t="s">
        <v>74</v>
      </c>
      <c r="I267" t="s">
        <v>71</v>
      </c>
      <c r="J267" t="s">
        <v>72</v>
      </c>
      <c r="K267" t="s">
        <v>73</v>
      </c>
      <c r="L267">
        <v>701000</v>
      </c>
      <c r="M267" t="s">
        <v>62</v>
      </c>
      <c r="N267" t="s">
        <v>33</v>
      </c>
      <c r="O267">
        <v>482</v>
      </c>
      <c r="P267">
        <v>1.06</v>
      </c>
      <c r="Q267">
        <v>0.51</v>
      </c>
      <c r="R267" t="s">
        <v>1197</v>
      </c>
      <c r="S267" t="s">
        <v>195</v>
      </c>
    </row>
    <row r="268" spans="1:19" x14ac:dyDescent="0.3">
      <c r="A268" t="s">
        <v>461</v>
      </c>
      <c r="B268" t="s">
        <v>22</v>
      </c>
      <c r="C268">
        <v>2025</v>
      </c>
      <c r="D268">
        <v>1</v>
      </c>
      <c r="E268" s="2">
        <v>45659</v>
      </c>
      <c r="F268" t="s">
        <v>7</v>
      </c>
      <c r="G268" t="s">
        <v>8</v>
      </c>
      <c r="H268" t="s">
        <v>74</v>
      </c>
      <c r="I268" t="s">
        <v>71</v>
      </c>
      <c r="J268" t="s">
        <v>72</v>
      </c>
      <c r="K268" t="s">
        <v>73</v>
      </c>
      <c r="L268">
        <v>701000</v>
      </c>
      <c r="M268" t="s">
        <v>62</v>
      </c>
      <c r="N268" t="s">
        <v>33</v>
      </c>
      <c r="O268">
        <v>4942</v>
      </c>
      <c r="P268">
        <v>1.05</v>
      </c>
      <c r="Q268">
        <v>5.19</v>
      </c>
      <c r="R268" t="s">
        <v>1198</v>
      </c>
      <c r="S268" t="s">
        <v>195</v>
      </c>
    </row>
    <row r="269" spans="1:19" x14ac:dyDescent="0.3">
      <c r="A269" t="s">
        <v>462</v>
      </c>
      <c r="B269" t="s">
        <v>22</v>
      </c>
      <c r="C269">
        <v>2025</v>
      </c>
      <c r="D269">
        <v>1</v>
      </c>
      <c r="E269" s="2">
        <v>45659</v>
      </c>
      <c r="F269" t="s">
        <v>7</v>
      </c>
      <c r="G269" t="s">
        <v>8</v>
      </c>
      <c r="H269" t="s">
        <v>74</v>
      </c>
      <c r="I269" t="s">
        <v>71</v>
      </c>
      <c r="J269" t="s">
        <v>72</v>
      </c>
      <c r="K269" t="s">
        <v>73</v>
      </c>
      <c r="L269">
        <v>701000</v>
      </c>
      <c r="M269" t="s">
        <v>62</v>
      </c>
      <c r="N269" t="s">
        <v>33</v>
      </c>
      <c r="O269">
        <v>2110</v>
      </c>
      <c r="P269">
        <v>1.05</v>
      </c>
      <c r="Q269">
        <v>2.2200000000000002</v>
      </c>
      <c r="R269" t="s">
        <v>1202</v>
      </c>
      <c r="S269" t="s">
        <v>195</v>
      </c>
    </row>
    <row r="270" spans="1:19" x14ac:dyDescent="0.3">
      <c r="A270" t="s">
        <v>463</v>
      </c>
      <c r="B270" t="s">
        <v>22</v>
      </c>
      <c r="C270">
        <v>2025</v>
      </c>
      <c r="D270">
        <v>1</v>
      </c>
      <c r="E270" s="2">
        <v>45659</v>
      </c>
      <c r="F270" t="s">
        <v>7</v>
      </c>
      <c r="G270" t="s">
        <v>8</v>
      </c>
      <c r="H270" t="s">
        <v>74</v>
      </c>
      <c r="I270" t="s">
        <v>71</v>
      </c>
      <c r="J270" t="s">
        <v>72</v>
      </c>
      <c r="K270" t="s">
        <v>73</v>
      </c>
      <c r="L270">
        <v>701000</v>
      </c>
      <c r="M270" t="s">
        <v>62</v>
      </c>
      <c r="N270" t="s">
        <v>33</v>
      </c>
      <c r="O270">
        <v>1005</v>
      </c>
      <c r="P270">
        <v>1.04</v>
      </c>
      <c r="Q270">
        <v>1.05</v>
      </c>
      <c r="R270" t="s">
        <v>1204</v>
      </c>
      <c r="S270" t="s">
        <v>195</v>
      </c>
    </row>
    <row r="271" spans="1:19" x14ac:dyDescent="0.3">
      <c r="A271" t="s">
        <v>464</v>
      </c>
      <c r="B271" t="s">
        <v>22</v>
      </c>
      <c r="C271">
        <v>2025</v>
      </c>
      <c r="D271">
        <v>1</v>
      </c>
      <c r="E271" s="2">
        <v>45659</v>
      </c>
      <c r="F271" t="s">
        <v>7</v>
      </c>
      <c r="G271" t="s">
        <v>8</v>
      </c>
      <c r="H271" t="s">
        <v>74</v>
      </c>
      <c r="I271" t="s">
        <v>71</v>
      </c>
      <c r="J271" t="s">
        <v>72</v>
      </c>
      <c r="K271" t="s">
        <v>73</v>
      </c>
      <c r="L271">
        <v>701000</v>
      </c>
      <c r="M271" t="s">
        <v>62</v>
      </c>
      <c r="N271" t="s">
        <v>33</v>
      </c>
      <c r="O271">
        <v>1623</v>
      </c>
      <c r="P271">
        <v>1.05</v>
      </c>
      <c r="Q271">
        <v>1.7</v>
      </c>
      <c r="R271" t="s">
        <v>1201</v>
      </c>
      <c r="S271" t="s">
        <v>195</v>
      </c>
    </row>
    <row r="272" spans="1:19" x14ac:dyDescent="0.3">
      <c r="A272" t="s">
        <v>465</v>
      </c>
      <c r="B272" t="s">
        <v>22</v>
      </c>
      <c r="C272">
        <v>2025</v>
      </c>
      <c r="D272">
        <v>1</v>
      </c>
      <c r="E272" s="2">
        <v>45661</v>
      </c>
      <c r="F272" t="s">
        <v>7</v>
      </c>
      <c r="G272" t="s">
        <v>8</v>
      </c>
      <c r="H272" t="s">
        <v>70</v>
      </c>
      <c r="I272" t="s">
        <v>71</v>
      </c>
      <c r="J272" t="s">
        <v>72</v>
      </c>
      <c r="K272" t="s">
        <v>73</v>
      </c>
      <c r="L272">
        <v>701000</v>
      </c>
      <c r="M272" t="s">
        <v>62</v>
      </c>
      <c r="N272" t="s">
        <v>33</v>
      </c>
      <c r="O272">
        <v>3615</v>
      </c>
      <c r="P272">
        <v>1.05</v>
      </c>
      <c r="Q272">
        <v>3.8</v>
      </c>
      <c r="R272" t="s">
        <v>1205</v>
      </c>
      <c r="S272" t="s">
        <v>195</v>
      </c>
    </row>
    <row r="273" spans="1:19" x14ac:dyDescent="0.3">
      <c r="A273" t="s">
        <v>466</v>
      </c>
      <c r="B273" t="s">
        <v>22</v>
      </c>
      <c r="C273">
        <v>2025</v>
      </c>
      <c r="D273">
        <v>1</v>
      </c>
      <c r="E273" s="2">
        <v>45661</v>
      </c>
      <c r="F273" t="s">
        <v>7</v>
      </c>
      <c r="G273" t="s">
        <v>8</v>
      </c>
      <c r="H273" t="s">
        <v>70</v>
      </c>
      <c r="I273" t="s">
        <v>71</v>
      </c>
      <c r="J273" t="s">
        <v>72</v>
      </c>
      <c r="K273" t="s">
        <v>73</v>
      </c>
      <c r="L273">
        <v>701000</v>
      </c>
      <c r="M273" t="s">
        <v>62</v>
      </c>
      <c r="N273" t="s">
        <v>33</v>
      </c>
      <c r="O273">
        <v>2214</v>
      </c>
      <c r="P273">
        <v>1.05</v>
      </c>
      <c r="Q273">
        <v>2.33</v>
      </c>
      <c r="R273" t="s">
        <v>1204</v>
      </c>
      <c r="S273" t="s">
        <v>195</v>
      </c>
    </row>
    <row r="274" spans="1:19" x14ac:dyDescent="0.3">
      <c r="A274" t="s">
        <v>467</v>
      </c>
      <c r="B274" t="s">
        <v>22</v>
      </c>
      <c r="C274">
        <v>2025</v>
      </c>
      <c r="D274">
        <v>1</v>
      </c>
      <c r="E274" s="2">
        <v>45661</v>
      </c>
      <c r="F274" t="s">
        <v>7</v>
      </c>
      <c r="G274" t="s">
        <v>8</v>
      </c>
      <c r="H274" t="s">
        <v>70</v>
      </c>
      <c r="I274" t="s">
        <v>71</v>
      </c>
      <c r="J274" t="s">
        <v>72</v>
      </c>
      <c r="K274" t="s">
        <v>73</v>
      </c>
      <c r="L274">
        <v>701000</v>
      </c>
      <c r="M274" t="s">
        <v>62</v>
      </c>
      <c r="N274" t="s">
        <v>33</v>
      </c>
      <c r="O274">
        <v>1500</v>
      </c>
      <c r="P274">
        <v>1.05</v>
      </c>
      <c r="Q274">
        <v>1.58</v>
      </c>
      <c r="R274" t="s">
        <v>1198</v>
      </c>
      <c r="S274" t="s">
        <v>195</v>
      </c>
    </row>
    <row r="275" spans="1:19" x14ac:dyDescent="0.3">
      <c r="A275" t="s">
        <v>468</v>
      </c>
      <c r="B275" t="s">
        <v>22</v>
      </c>
      <c r="C275">
        <v>2025</v>
      </c>
      <c r="D275">
        <v>1</v>
      </c>
      <c r="E275" s="2">
        <v>45661</v>
      </c>
      <c r="F275" t="s">
        <v>7</v>
      </c>
      <c r="G275" t="s">
        <v>8</v>
      </c>
      <c r="H275" t="s">
        <v>70</v>
      </c>
      <c r="I275" t="s">
        <v>71</v>
      </c>
      <c r="J275" t="s">
        <v>72</v>
      </c>
      <c r="K275" t="s">
        <v>73</v>
      </c>
      <c r="L275">
        <v>701000</v>
      </c>
      <c r="M275" t="s">
        <v>62</v>
      </c>
      <c r="N275" t="s">
        <v>33</v>
      </c>
      <c r="O275">
        <v>1499</v>
      </c>
      <c r="P275">
        <v>1.05</v>
      </c>
      <c r="Q275">
        <v>1.57</v>
      </c>
      <c r="R275" t="s">
        <v>1199</v>
      </c>
      <c r="S275" t="s">
        <v>195</v>
      </c>
    </row>
    <row r="276" spans="1:19" x14ac:dyDescent="0.3">
      <c r="A276" t="s">
        <v>469</v>
      </c>
      <c r="B276" t="s">
        <v>22</v>
      </c>
      <c r="C276">
        <v>2025</v>
      </c>
      <c r="D276">
        <v>1</v>
      </c>
      <c r="E276" s="2">
        <v>45661</v>
      </c>
      <c r="F276" t="s">
        <v>7</v>
      </c>
      <c r="G276" t="s">
        <v>8</v>
      </c>
      <c r="H276" t="s">
        <v>70</v>
      </c>
      <c r="I276" t="s">
        <v>71</v>
      </c>
      <c r="J276" t="s">
        <v>72</v>
      </c>
      <c r="K276" t="s">
        <v>73</v>
      </c>
      <c r="L276">
        <v>701000</v>
      </c>
      <c r="M276" t="s">
        <v>62</v>
      </c>
      <c r="N276" t="s">
        <v>33</v>
      </c>
      <c r="O276">
        <v>3054</v>
      </c>
      <c r="P276">
        <v>1.05</v>
      </c>
      <c r="Q276">
        <v>3.2</v>
      </c>
      <c r="R276" t="s">
        <v>1197</v>
      </c>
      <c r="S276" t="s">
        <v>195</v>
      </c>
    </row>
    <row r="277" spans="1:19" x14ac:dyDescent="0.3">
      <c r="A277" t="s">
        <v>470</v>
      </c>
      <c r="B277" t="s">
        <v>22</v>
      </c>
      <c r="C277">
        <v>2025</v>
      </c>
      <c r="D277">
        <v>1</v>
      </c>
      <c r="E277" s="2">
        <v>45673</v>
      </c>
      <c r="F277" t="s">
        <v>7</v>
      </c>
      <c r="G277" t="s">
        <v>8</v>
      </c>
      <c r="H277" t="s">
        <v>74</v>
      </c>
      <c r="I277" t="s">
        <v>71</v>
      </c>
      <c r="J277" t="s">
        <v>72</v>
      </c>
      <c r="K277" t="s">
        <v>73</v>
      </c>
      <c r="L277">
        <v>701000</v>
      </c>
      <c r="M277" t="s">
        <v>62</v>
      </c>
      <c r="N277" t="s">
        <v>33</v>
      </c>
      <c r="O277">
        <v>1979</v>
      </c>
      <c r="P277">
        <v>1.05</v>
      </c>
      <c r="Q277">
        <v>2.08</v>
      </c>
      <c r="R277" t="s">
        <v>1200</v>
      </c>
      <c r="S277" t="s">
        <v>195</v>
      </c>
    </row>
    <row r="278" spans="1:19" x14ac:dyDescent="0.3">
      <c r="A278" t="s">
        <v>471</v>
      </c>
      <c r="B278" t="s">
        <v>22</v>
      </c>
      <c r="C278">
        <v>2025</v>
      </c>
      <c r="D278">
        <v>1</v>
      </c>
      <c r="E278" s="2">
        <v>45673</v>
      </c>
      <c r="F278" t="s">
        <v>7</v>
      </c>
      <c r="G278" t="s">
        <v>8</v>
      </c>
      <c r="H278" t="s">
        <v>74</v>
      </c>
      <c r="I278" t="s">
        <v>71</v>
      </c>
      <c r="J278" t="s">
        <v>72</v>
      </c>
      <c r="K278" t="s">
        <v>73</v>
      </c>
      <c r="L278">
        <v>701000</v>
      </c>
      <c r="M278" t="s">
        <v>62</v>
      </c>
      <c r="N278" t="s">
        <v>33</v>
      </c>
      <c r="O278">
        <v>2332</v>
      </c>
      <c r="P278">
        <v>1.05</v>
      </c>
      <c r="Q278">
        <v>2.4500000000000002</v>
      </c>
      <c r="R278" t="s">
        <v>1203</v>
      </c>
      <c r="S278" t="s">
        <v>195</v>
      </c>
    </row>
    <row r="279" spans="1:19" x14ac:dyDescent="0.3">
      <c r="A279" t="s">
        <v>472</v>
      </c>
      <c r="B279" t="s">
        <v>22</v>
      </c>
      <c r="C279">
        <v>2025</v>
      </c>
      <c r="D279">
        <v>1</v>
      </c>
      <c r="E279" s="2">
        <v>45673</v>
      </c>
      <c r="F279" t="s">
        <v>7</v>
      </c>
      <c r="G279" t="s">
        <v>8</v>
      </c>
      <c r="H279" t="s">
        <v>74</v>
      </c>
      <c r="I279" t="s">
        <v>71</v>
      </c>
      <c r="J279" t="s">
        <v>72</v>
      </c>
      <c r="K279" t="s">
        <v>73</v>
      </c>
      <c r="L279">
        <v>701000</v>
      </c>
      <c r="M279" t="s">
        <v>62</v>
      </c>
      <c r="N279" t="s">
        <v>33</v>
      </c>
      <c r="O279">
        <v>1087</v>
      </c>
      <c r="P279">
        <v>1.05</v>
      </c>
      <c r="Q279">
        <v>1.1399999999999999</v>
      </c>
      <c r="R279" t="s">
        <v>1201</v>
      </c>
      <c r="S279" t="s">
        <v>195</v>
      </c>
    </row>
    <row r="280" spans="1:19" x14ac:dyDescent="0.3">
      <c r="A280" t="s">
        <v>473</v>
      </c>
      <c r="B280" t="s">
        <v>22</v>
      </c>
      <c r="C280">
        <v>2025</v>
      </c>
      <c r="D280">
        <v>1</v>
      </c>
      <c r="E280" s="2">
        <v>45673</v>
      </c>
      <c r="F280" t="s">
        <v>7</v>
      </c>
      <c r="G280" t="s">
        <v>8</v>
      </c>
      <c r="H280" t="s">
        <v>74</v>
      </c>
      <c r="I280" t="s">
        <v>71</v>
      </c>
      <c r="J280" t="s">
        <v>72</v>
      </c>
      <c r="K280" t="s">
        <v>73</v>
      </c>
      <c r="L280">
        <v>701000</v>
      </c>
      <c r="M280" t="s">
        <v>62</v>
      </c>
      <c r="N280" t="s">
        <v>33</v>
      </c>
      <c r="O280">
        <v>2084</v>
      </c>
      <c r="P280">
        <v>1.05</v>
      </c>
      <c r="Q280">
        <v>2.19</v>
      </c>
      <c r="R280" t="s">
        <v>1204</v>
      </c>
      <c r="S280" t="s">
        <v>195</v>
      </c>
    </row>
    <row r="281" spans="1:19" x14ac:dyDescent="0.3">
      <c r="A281" t="s">
        <v>474</v>
      </c>
      <c r="B281" t="s">
        <v>22</v>
      </c>
      <c r="C281">
        <v>2025</v>
      </c>
      <c r="D281">
        <v>1</v>
      </c>
      <c r="E281" s="2">
        <v>45673</v>
      </c>
      <c r="F281" t="s">
        <v>7</v>
      </c>
      <c r="G281" t="s">
        <v>8</v>
      </c>
      <c r="H281" t="s">
        <v>74</v>
      </c>
      <c r="I281" t="s">
        <v>71</v>
      </c>
      <c r="J281" t="s">
        <v>72</v>
      </c>
      <c r="K281" t="s">
        <v>73</v>
      </c>
      <c r="L281">
        <v>701000</v>
      </c>
      <c r="M281" t="s">
        <v>62</v>
      </c>
      <c r="N281" t="s">
        <v>33</v>
      </c>
      <c r="O281">
        <v>2139</v>
      </c>
      <c r="P281">
        <v>1.05</v>
      </c>
      <c r="Q281">
        <v>2.2400000000000002</v>
      </c>
      <c r="R281" t="s">
        <v>1197</v>
      </c>
      <c r="S281" t="s">
        <v>195</v>
      </c>
    </row>
    <row r="282" spans="1:19" x14ac:dyDescent="0.3">
      <c r="A282" t="s">
        <v>475</v>
      </c>
      <c r="B282" t="s">
        <v>22</v>
      </c>
      <c r="C282">
        <v>2025</v>
      </c>
      <c r="D282">
        <v>1</v>
      </c>
      <c r="E282" s="2">
        <v>45679</v>
      </c>
      <c r="F282" t="s">
        <v>7</v>
      </c>
      <c r="G282" t="s">
        <v>8</v>
      </c>
      <c r="H282" t="s">
        <v>70</v>
      </c>
      <c r="I282" t="s">
        <v>75</v>
      </c>
      <c r="J282" t="s">
        <v>76</v>
      </c>
      <c r="K282" t="s">
        <v>73</v>
      </c>
      <c r="L282">
        <v>707000</v>
      </c>
      <c r="M282" t="s">
        <v>81</v>
      </c>
      <c r="N282" t="s">
        <v>33</v>
      </c>
      <c r="O282">
        <v>1148</v>
      </c>
      <c r="P282">
        <v>1.4</v>
      </c>
      <c r="Q282">
        <v>1.61</v>
      </c>
      <c r="R282" t="s">
        <v>1204</v>
      </c>
      <c r="S282" t="s">
        <v>195</v>
      </c>
    </row>
    <row r="283" spans="1:19" x14ac:dyDescent="0.3">
      <c r="A283" t="s">
        <v>476</v>
      </c>
      <c r="B283" t="s">
        <v>22</v>
      </c>
      <c r="C283">
        <v>2025</v>
      </c>
      <c r="D283">
        <v>1</v>
      </c>
      <c r="E283" s="2">
        <v>45679</v>
      </c>
      <c r="F283" t="s">
        <v>7</v>
      </c>
      <c r="G283" t="s">
        <v>8</v>
      </c>
      <c r="H283" t="s">
        <v>70</v>
      </c>
      <c r="I283" t="s">
        <v>75</v>
      </c>
      <c r="J283" t="s">
        <v>76</v>
      </c>
      <c r="K283" t="s">
        <v>73</v>
      </c>
      <c r="L283">
        <v>707000</v>
      </c>
      <c r="M283" t="s">
        <v>81</v>
      </c>
      <c r="N283" t="s">
        <v>33</v>
      </c>
      <c r="O283">
        <v>1098</v>
      </c>
      <c r="P283">
        <v>1.4</v>
      </c>
      <c r="Q283">
        <v>1.54</v>
      </c>
      <c r="R283" t="s">
        <v>1197</v>
      </c>
      <c r="S283" t="s">
        <v>195</v>
      </c>
    </row>
    <row r="284" spans="1:19" x14ac:dyDescent="0.3">
      <c r="A284" t="s">
        <v>477</v>
      </c>
      <c r="B284" t="s">
        <v>22</v>
      </c>
      <c r="C284">
        <v>2025</v>
      </c>
      <c r="D284">
        <v>1</v>
      </c>
      <c r="E284" s="2">
        <v>45679</v>
      </c>
      <c r="F284" t="s">
        <v>7</v>
      </c>
      <c r="G284" t="s">
        <v>8</v>
      </c>
      <c r="H284" t="s">
        <v>70</v>
      </c>
      <c r="I284" t="s">
        <v>75</v>
      </c>
      <c r="J284" t="s">
        <v>76</v>
      </c>
      <c r="K284" t="s">
        <v>73</v>
      </c>
      <c r="L284">
        <v>707000</v>
      </c>
      <c r="M284" t="s">
        <v>81</v>
      </c>
      <c r="N284" t="s">
        <v>33</v>
      </c>
      <c r="O284">
        <v>3063</v>
      </c>
      <c r="P284">
        <v>1.4</v>
      </c>
      <c r="Q284">
        <v>4.29</v>
      </c>
      <c r="R284" t="s">
        <v>1205</v>
      </c>
      <c r="S284" t="s">
        <v>195</v>
      </c>
    </row>
    <row r="285" spans="1:19" x14ac:dyDescent="0.3">
      <c r="A285" t="s">
        <v>478</v>
      </c>
      <c r="B285" t="s">
        <v>22</v>
      </c>
      <c r="C285">
        <v>2025</v>
      </c>
      <c r="D285">
        <v>1</v>
      </c>
      <c r="E285" s="2">
        <v>45679</v>
      </c>
      <c r="F285" t="s">
        <v>7</v>
      </c>
      <c r="G285" t="s">
        <v>8</v>
      </c>
      <c r="H285" t="s">
        <v>70</v>
      </c>
      <c r="I285" t="s">
        <v>75</v>
      </c>
      <c r="J285" t="s">
        <v>76</v>
      </c>
      <c r="K285" t="s">
        <v>73</v>
      </c>
      <c r="L285">
        <v>707000</v>
      </c>
      <c r="M285" t="s">
        <v>81</v>
      </c>
      <c r="N285" t="s">
        <v>33</v>
      </c>
      <c r="O285">
        <v>1189</v>
      </c>
      <c r="P285">
        <v>1.4</v>
      </c>
      <c r="Q285">
        <v>1.66</v>
      </c>
      <c r="R285" t="s">
        <v>1199</v>
      </c>
      <c r="S285" t="s">
        <v>195</v>
      </c>
    </row>
    <row r="286" spans="1:19" x14ac:dyDescent="0.3">
      <c r="A286" t="s">
        <v>479</v>
      </c>
      <c r="B286" t="s">
        <v>22</v>
      </c>
      <c r="C286">
        <v>2025</v>
      </c>
      <c r="D286">
        <v>1</v>
      </c>
      <c r="E286" s="2">
        <v>45679</v>
      </c>
      <c r="F286" t="s">
        <v>7</v>
      </c>
      <c r="G286" t="s">
        <v>8</v>
      </c>
      <c r="H286" t="s">
        <v>70</v>
      </c>
      <c r="I286" t="s">
        <v>75</v>
      </c>
      <c r="J286" t="s">
        <v>76</v>
      </c>
      <c r="K286" t="s">
        <v>73</v>
      </c>
      <c r="L286">
        <v>707000</v>
      </c>
      <c r="M286" t="s">
        <v>81</v>
      </c>
      <c r="N286" t="s">
        <v>33</v>
      </c>
      <c r="O286">
        <v>1360</v>
      </c>
      <c r="P286">
        <v>1.4</v>
      </c>
      <c r="Q286">
        <v>1.9</v>
      </c>
      <c r="R286" t="s">
        <v>1201</v>
      </c>
      <c r="S286" t="s">
        <v>195</v>
      </c>
    </row>
    <row r="287" spans="1:19" x14ac:dyDescent="0.3">
      <c r="A287" t="s">
        <v>480</v>
      </c>
      <c r="B287" t="s">
        <v>22</v>
      </c>
      <c r="C287">
        <v>2025</v>
      </c>
      <c r="D287">
        <v>1</v>
      </c>
      <c r="E287" s="2">
        <v>45672</v>
      </c>
      <c r="F287" t="s">
        <v>7</v>
      </c>
      <c r="G287" t="s">
        <v>8</v>
      </c>
      <c r="H287" t="s">
        <v>70</v>
      </c>
      <c r="I287" t="s">
        <v>75</v>
      </c>
      <c r="J287" t="s">
        <v>76</v>
      </c>
      <c r="K287" t="s">
        <v>73</v>
      </c>
      <c r="L287">
        <v>701000</v>
      </c>
      <c r="M287" t="s">
        <v>62</v>
      </c>
      <c r="N287" t="s">
        <v>33</v>
      </c>
      <c r="O287">
        <v>1505</v>
      </c>
      <c r="P287">
        <v>1.4</v>
      </c>
      <c r="Q287">
        <v>2.11</v>
      </c>
      <c r="R287" t="s">
        <v>1202</v>
      </c>
      <c r="S287" t="s">
        <v>195</v>
      </c>
    </row>
    <row r="288" spans="1:19" x14ac:dyDescent="0.3">
      <c r="A288" t="s">
        <v>481</v>
      </c>
      <c r="B288" t="s">
        <v>22</v>
      </c>
      <c r="C288">
        <v>2025</v>
      </c>
      <c r="D288">
        <v>1</v>
      </c>
      <c r="E288" s="2">
        <v>45672</v>
      </c>
      <c r="F288" t="s">
        <v>7</v>
      </c>
      <c r="G288" t="s">
        <v>8</v>
      </c>
      <c r="H288" t="s">
        <v>70</v>
      </c>
      <c r="I288" t="s">
        <v>75</v>
      </c>
      <c r="J288" t="s">
        <v>76</v>
      </c>
      <c r="K288" t="s">
        <v>73</v>
      </c>
      <c r="L288">
        <v>701000</v>
      </c>
      <c r="M288" t="s">
        <v>62</v>
      </c>
      <c r="N288" t="s">
        <v>33</v>
      </c>
      <c r="O288">
        <v>533</v>
      </c>
      <c r="P288">
        <v>1.41</v>
      </c>
      <c r="Q288">
        <v>0.75</v>
      </c>
      <c r="R288" t="s">
        <v>1203</v>
      </c>
      <c r="S288" t="s">
        <v>195</v>
      </c>
    </row>
    <row r="289" spans="1:19" x14ac:dyDescent="0.3">
      <c r="A289" t="s">
        <v>482</v>
      </c>
      <c r="B289" t="s">
        <v>22</v>
      </c>
      <c r="C289">
        <v>2025</v>
      </c>
      <c r="D289">
        <v>1</v>
      </c>
      <c r="E289" s="2">
        <v>45672</v>
      </c>
      <c r="F289" t="s">
        <v>7</v>
      </c>
      <c r="G289" t="s">
        <v>8</v>
      </c>
      <c r="H289" t="s">
        <v>70</v>
      </c>
      <c r="I289" t="s">
        <v>75</v>
      </c>
      <c r="J289" t="s">
        <v>76</v>
      </c>
      <c r="K289" t="s">
        <v>73</v>
      </c>
      <c r="L289">
        <v>701000</v>
      </c>
      <c r="M289" t="s">
        <v>62</v>
      </c>
      <c r="N289" t="s">
        <v>33</v>
      </c>
      <c r="O289">
        <v>2385</v>
      </c>
      <c r="P289">
        <v>1.4</v>
      </c>
      <c r="Q289">
        <v>3.34</v>
      </c>
      <c r="R289" t="s">
        <v>1205</v>
      </c>
      <c r="S289" t="s">
        <v>195</v>
      </c>
    </row>
    <row r="290" spans="1:19" x14ac:dyDescent="0.3">
      <c r="A290" t="s">
        <v>483</v>
      </c>
      <c r="B290" t="s">
        <v>22</v>
      </c>
      <c r="C290">
        <v>2025</v>
      </c>
      <c r="D290">
        <v>1</v>
      </c>
      <c r="E290" s="2">
        <v>45672</v>
      </c>
      <c r="F290" t="s">
        <v>7</v>
      </c>
      <c r="G290" t="s">
        <v>8</v>
      </c>
      <c r="H290" t="s">
        <v>70</v>
      </c>
      <c r="I290" t="s">
        <v>75</v>
      </c>
      <c r="J290" t="s">
        <v>76</v>
      </c>
      <c r="K290" t="s">
        <v>73</v>
      </c>
      <c r="L290">
        <v>701000</v>
      </c>
      <c r="M290" t="s">
        <v>62</v>
      </c>
      <c r="N290" t="s">
        <v>33</v>
      </c>
      <c r="O290">
        <v>1541</v>
      </c>
      <c r="P290">
        <v>1.4</v>
      </c>
      <c r="Q290">
        <v>2.16</v>
      </c>
      <c r="R290" t="s">
        <v>1199</v>
      </c>
      <c r="S290" t="s">
        <v>195</v>
      </c>
    </row>
    <row r="291" spans="1:19" x14ac:dyDescent="0.3">
      <c r="A291" t="s">
        <v>484</v>
      </c>
      <c r="B291" t="s">
        <v>22</v>
      </c>
      <c r="C291">
        <v>2025</v>
      </c>
      <c r="D291">
        <v>1</v>
      </c>
      <c r="E291" s="2">
        <v>45672</v>
      </c>
      <c r="F291" t="s">
        <v>7</v>
      </c>
      <c r="G291" t="s">
        <v>8</v>
      </c>
      <c r="H291" t="s">
        <v>70</v>
      </c>
      <c r="I291" t="s">
        <v>75</v>
      </c>
      <c r="J291" t="s">
        <v>76</v>
      </c>
      <c r="K291" t="s">
        <v>73</v>
      </c>
      <c r="L291">
        <v>701000</v>
      </c>
      <c r="M291" t="s">
        <v>62</v>
      </c>
      <c r="N291" t="s">
        <v>33</v>
      </c>
      <c r="O291">
        <v>2439</v>
      </c>
      <c r="P291">
        <v>1.39</v>
      </c>
      <c r="Q291">
        <v>3.4</v>
      </c>
      <c r="R291" t="s">
        <v>1200</v>
      </c>
      <c r="S291" t="s">
        <v>195</v>
      </c>
    </row>
    <row r="292" spans="1:19" x14ac:dyDescent="0.3">
      <c r="A292" t="s">
        <v>485</v>
      </c>
      <c r="B292" t="s">
        <v>22</v>
      </c>
      <c r="C292">
        <v>2025</v>
      </c>
      <c r="D292">
        <v>1</v>
      </c>
      <c r="E292" s="2">
        <v>45673</v>
      </c>
      <c r="F292" t="s">
        <v>7</v>
      </c>
      <c r="G292" t="s">
        <v>8</v>
      </c>
      <c r="H292" t="s">
        <v>74</v>
      </c>
      <c r="I292" t="s">
        <v>75</v>
      </c>
      <c r="J292" t="s">
        <v>76</v>
      </c>
      <c r="K292" t="s">
        <v>73</v>
      </c>
      <c r="L292">
        <v>701000</v>
      </c>
      <c r="M292" t="s">
        <v>62</v>
      </c>
      <c r="N292" t="s">
        <v>33</v>
      </c>
      <c r="O292">
        <v>986</v>
      </c>
      <c r="P292">
        <v>1.4</v>
      </c>
      <c r="Q292">
        <v>1.38</v>
      </c>
      <c r="R292" t="s">
        <v>1198</v>
      </c>
      <c r="S292" t="s">
        <v>195</v>
      </c>
    </row>
    <row r="293" spans="1:19" x14ac:dyDescent="0.3">
      <c r="A293" t="s">
        <v>486</v>
      </c>
      <c r="B293" t="s">
        <v>22</v>
      </c>
      <c r="C293">
        <v>2025</v>
      </c>
      <c r="D293">
        <v>1</v>
      </c>
      <c r="E293" s="2">
        <v>45673</v>
      </c>
      <c r="F293" t="s">
        <v>7</v>
      </c>
      <c r="G293" t="s">
        <v>8</v>
      </c>
      <c r="H293" t="s">
        <v>74</v>
      </c>
      <c r="I293" t="s">
        <v>75</v>
      </c>
      <c r="J293" t="s">
        <v>76</v>
      </c>
      <c r="K293" t="s">
        <v>73</v>
      </c>
      <c r="L293">
        <v>701000</v>
      </c>
      <c r="M293" t="s">
        <v>62</v>
      </c>
      <c r="N293" t="s">
        <v>33</v>
      </c>
      <c r="O293">
        <v>2395</v>
      </c>
      <c r="P293">
        <v>1.4</v>
      </c>
      <c r="Q293">
        <v>3.35</v>
      </c>
      <c r="R293" t="s">
        <v>1197</v>
      </c>
      <c r="S293" t="s">
        <v>195</v>
      </c>
    </row>
    <row r="294" spans="1:19" x14ac:dyDescent="0.3">
      <c r="A294" t="s">
        <v>487</v>
      </c>
      <c r="B294" t="s">
        <v>22</v>
      </c>
      <c r="C294">
        <v>2025</v>
      </c>
      <c r="D294">
        <v>1</v>
      </c>
      <c r="E294" s="2">
        <v>45673</v>
      </c>
      <c r="F294" t="s">
        <v>7</v>
      </c>
      <c r="G294" t="s">
        <v>8</v>
      </c>
      <c r="H294" t="s">
        <v>74</v>
      </c>
      <c r="I294" t="s">
        <v>75</v>
      </c>
      <c r="J294" t="s">
        <v>76</v>
      </c>
      <c r="K294" t="s">
        <v>73</v>
      </c>
      <c r="L294">
        <v>701000</v>
      </c>
      <c r="M294" t="s">
        <v>62</v>
      </c>
      <c r="N294" t="s">
        <v>33</v>
      </c>
      <c r="O294">
        <v>1446</v>
      </c>
      <c r="P294">
        <v>1.4</v>
      </c>
      <c r="Q294">
        <v>2.0299999999999998</v>
      </c>
      <c r="R294" t="s">
        <v>1199</v>
      </c>
      <c r="S294" t="s">
        <v>195</v>
      </c>
    </row>
    <row r="295" spans="1:19" x14ac:dyDescent="0.3">
      <c r="A295" t="s">
        <v>488</v>
      </c>
      <c r="B295" t="s">
        <v>22</v>
      </c>
      <c r="C295">
        <v>2025</v>
      </c>
      <c r="D295">
        <v>1</v>
      </c>
      <c r="E295" s="2">
        <v>45673</v>
      </c>
      <c r="F295" t="s">
        <v>7</v>
      </c>
      <c r="G295" t="s">
        <v>8</v>
      </c>
      <c r="H295" t="s">
        <v>74</v>
      </c>
      <c r="I295" t="s">
        <v>75</v>
      </c>
      <c r="J295" t="s">
        <v>76</v>
      </c>
      <c r="K295" t="s">
        <v>73</v>
      </c>
      <c r="L295">
        <v>701000</v>
      </c>
      <c r="M295" t="s">
        <v>62</v>
      </c>
      <c r="N295" t="s">
        <v>33</v>
      </c>
      <c r="O295">
        <v>2511</v>
      </c>
      <c r="P295">
        <v>1.4</v>
      </c>
      <c r="Q295">
        <v>3.52</v>
      </c>
      <c r="R295" t="s">
        <v>1201</v>
      </c>
      <c r="S295" t="s">
        <v>195</v>
      </c>
    </row>
    <row r="296" spans="1:19" x14ac:dyDescent="0.3">
      <c r="A296" t="s">
        <v>489</v>
      </c>
      <c r="B296" t="s">
        <v>22</v>
      </c>
      <c r="C296">
        <v>2025</v>
      </c>
      <c r="D296">
        <v>1</v>
      </c>
      <c r="E296" s="2">
        <v>45673</v>
      </c>
      <c r="F296" t="s">
        <v>7</v>
      </c>
      <c r="G296" t="s">
        <v>8</v>
      </c>
      <c r="H296" t="s">
        <v>74</v>
      </c>
      <c r="I296" t="s">
        <v>75</v>
      </c>
      <c r="J296" t="s">
        <v>76</v>
      </c>
      <c r="K296" t="s">
        <v>73</v>
      </c>
      <c r="L296">
        <v>701000</v>
      </c>
      <c r="M296" t="s">
        <v>62</v>
      </c>
      <c r="N296" t="s">
        <v>33</v>
      </c>
      <c r="O296">
        <v>1380</v>
      </c>
      <c r="P296">
        <v>1.4</v>
      </c>
      <c r="Q296">
        <v>1.93</v>
      </c>
      <c r="R296" t="s">
        <v>1202</v>
      </c>
      <c r="S296" t="s">
        <v>195</v>
      </c>
    </row>
    <row r="297" spans="1:19" x14ac:dyDescent="0.3">
      <c r="A297" t="s">
        <v>490</v>
      </c>
      <c r="B297" t="s">
        <v>22</v>
      </c>
      <c r="C297">
        <v>2025</v>
      </c>
      <c r="D297">
        <v>1</v>
      </c>
      <c r="E297" s="2">
        <v>45671</v>
      </c>
      <c r="F297" t="s">
        <v>7</v>
      </c>
      <c r="G297" t="s">
        <v>8</v>
      </c>
      <c r="H297" t="s">
        <v>74</v>
      </c>
      <c r="I297" t="s">
        <v>75</v>
      </c>
      <c r="J297" t="s">
        <v>76</v>
      </c>
      <c r="K297" t="s">
        <v>73</v>
      </c>
      <c r="L297">
        <v>701000</v>
      </c>
      <c r="M297" t="s">
        <v>62</v>
      </c>
      <c r="N297" t="s">
        <v>33</v>
      </c>
      <c r="O297">
        <v>4596</v>
      </c>
      <c r="P297">
        <v>1.4</v>
      </c>
      <c r="Q297">
        <v>6.43</v>
      </c>
      <c r="R297" t="s">
        <v>1201</v>
      </c>
      <c r="S297" t="s">
        <v>195</v>
      </c>
    </row>
    <row r="298" spans="1:19" x14ac:dyDescent="0.3">
      <c r="A298" t="s">
        <v>491</v>
      </c>
      <c r="B298" t="s">
        <v>22</v>
      </c>
      <c r="C298">
        <v>2025</v>
      </c>
      <c r="D298">
        <v>1</v>
      </c>
      <c r="E298" s="2">
        <v>45671</v>
      </c>
      <c r="F298" t="s">
        <v>7</v>
      </c>
      <c r="G298" t="s">
        <v>8</v>
      </c>
      <c r="H298" t="s">
        <v>74</v>
      </c>
      <c r="I298" t="s">
        <v>75</v>
      </c>
      <c r="J298" t="s">
        <v>76</v>
      </c>
      <c r="K298" t="s">
        <v>73</v>
      </c>
      <c r="L298">
        <v>701000</v>
      </c>
      <c r="M298" t="s">
        <v>62</v>
      </c>
      <c r="N298" t="s">
        <v>33</v>
      </c>
      <c r="O298">
        <v>694</v>
      </c>
      <c r="P298">
        <v>1.4</v>
      </c>
      <c r="Q298">
        <v>0.97</v>
      </c>
      <c r="R298" t="s">
        <v>1198</v>
      </c>
      <c r="S298" t="s">
        <v>195</v>
      </c>
    </row>
    <row r="299" spans="1:19" x14ac:dyDescent="0.3">
      <c r="A299" t="s">
        <v>492</v>
      </c>
      <c r="B299" t="s">
        <v>22</v>
      </c>
      <c r="C299">
        <v>2025</v>
      </c>
      <c r="D299">
        <v>1</v>
      </c>
      <c r="E299" s="2">
        <v>45671</v>
      </c>
      <c r="F299" t="s">
        <v>7</v>
      </c>
      <c r="G299" t="s">
        <v>8</v>
      </c>
      <c r="H299" t="s">
        <v>74</v>
      </c>
      <c r="I299" t="s">
        <v>75</v>
      </c>
      <c r="J299" t="s">
        <v>76</v>
      </c>
      <c r="K299" t="s">
        <v>73</v>
      </c>
      <c r="L299">
        <v>701000</v>
      </c>
      <c r="M299" t="s">
        <v>62</v>
      </c>
      <c r="N299" t="s">
        <v>33</v>
      </c>
      <c r="O299">
        <v>2330</v>
      </c>
      <c r="P299">
        <v>1.4</v>
      </c>
      <c r="Q299">
        <v>3.26</v>
      </c>
      <c r="R299" t="s">
        <v>1197</v>
      </c>
      <c r="S299" t="s">
        <v>195</v>
      </c>
    </row>
    <row r="300" spans="1:19" x14ac:dyDescent="0.3">
      <c r="A300" t="s">
        <v>493</v>
      </c>
      <c r="B300" t="s">
        <v>22</v>
      </c>
      <c r="C300">
        <v>2025</v>
      </c>
      <c r="D300">
        <v>1</v>
      </c>
      <c r="E300" s="2">
        <v>45671</v>
      </c>
      <c r="F300" t="s">
        <v>7</v>
      </c>
      <c r="G300" t="s">
        <v>8</v>
      </c>
      <c r="H300" t="s">
        <v>74</v>
      </c>
      <c r="I300" t="s">
        <v>75</v>
      </c>
      <c r="J300" t="s">
        <v>76</v>
      </c>
      <c r="K300" t="s">
        <v>73</v>
      </c>
      <c r="L300">
        <v>701000</v>
      </c>
      <c r="M300" t="s">
        <v>62</v>
      </c>
      <c r="N300" t="s">
        <v>33</v>
      </c>
      <c r="O300">
        <v>719</v>
      </c>
      <c r="P300">
        <v>1.4</v>
      </c>
      <c r="Q300">
        <v>1.01</v>
      </c>
      <c r="R300" t="s">
        <v>1203</v>
      </c>
      <c r="S300" t="s">
        <v>195</v>
      </c>
    </row>
    <row r="301" spans="1:19" x14ac:dyDescent="0.3">
      <c r="A301" t="s">
        <v>494</v>
      </c>
      <c r="B301" t="s">
        <v>22</v>
      </c>
      <c r="C301">
        <v>2025</v>
      </c>
      <c r="D301">
        <v>1</v>
      </c>
      <c r="E301" s="2">
        <v>45671</v>
      </c>
      <c r="F301" t="s">
        <v>7</v>
      </c>
      <c r="G301" t="s">
        <v>8</v>
      </c>
      <c r="H301" t="s">
        <v>74</v>
      </c>
      <c r="I301" t="s">
        <v>75</v>
      </c>
      <c r="J301" t="s">
        <v>76</v>
      </c>
      <c r="K301" t="s">
        <v>73</v>
      </c>
      <c r="L301">
        <v>701000</v>
      </c>
      <c r="M301" t="s">
        <v>62</v>
      </c>
      <c r="N301" t="s">
        <v>33</v>
      </c>
      <c r="O301">
        <v>591</v>
      </c>
      <c r="P301">
        <v>1.4</v>
      </c>
      <c r="Q301">
        <v>0.83</v>
      </c>
      <c r="R301" t="s">
        <v>1204</v>
      </c>
      <c r="S301" t="s">
        <v>195</v>
      </c>
    </row>
    <row r="302" spans="1:19" x14ac:dyDescent="0.3">
      <c r="A302" t="s">
        <v>495</v>
      </c>
      <c r="B302" t="s">
        <v>22</v>
      </c>
      <c r="C302">
        <v>2025</v>
      </c>
      <c r="D302">
        <v>1</v>
      </c>
      <c r="E302" s="2">
        <v>45675</v>
      </c>
      <c r="F302" t="s">
        <v>7</v>
      </c>
      <c r="G302" t="s">
        <v>8</v>
      </c>
      <c r="H302" t="s">
        <v>70</v>
      </c>
      <c r="I302" t="s">
        <v>75</v>
      </c>
      <c r="J302" t="s">
        <v>76</v>
      </c>
      <c r="K302" t="s">
        <v>73</v>
      </c>
      <c r="L302">
        <v>706000</v>
      </c>
      <c r="M302" t="s">
        <v>63</v>
      </c>
      <c r="N302" t="s">
        <v>33</v>
      </c>
      <c r="O302">
        <v>766</v>
      </c>
      <c r="P302">
        <v>1.4</v>
      </c>
      <c r="Q302">
        <v>1.07</v>
      </c>
      <c r="R302" t="s">
        <v>1201</v>
      </c>
      <c r="S302" t="s">
        <v>195</v>
      </c>
    </row>
    <row r="303" spans="1:19" x14ac:dyDescent="0.3">
      <c r="A303" t="s">
        <v>496</v>
      </c>
      <c r="B303" t="s">
        <v>22</v>
      </c>
      <c r="C303">
        <v>2025</v>
      </c>
      <c r="D303">
        <v>1</v>
      </c>
      <c r="E303" s="2">
        <v>45675</v>
      </c>
      <c r="F303" t="s">
        <v>7</v>
      </c>
      <c r="G303" t="s">
        <v>8</v>
      </c>
      <c r="H303" t="s">
        <v>70</v>
      </c>
      <c r="I303" t="s">
        <v>75</v>
      </c>
      <c r="J303" t="s">
        <v>76</v>
      </c>
      <c r="K303" t="s">
        <v>73</v>
      </c>
      <c r="L303">
        <v>706000</v>
      </c>
      <c r="M303" t="s">
        <v>63</v>
      </c>
      <c r="N303" t="s">
        <v>33</v>
      </c>
      <c r="O303">
        <v>2225</v>
      </c>
      <c r="P303">
        <v>1.4</v>
      </c>
      <c r="Q303">
        <v>3.12</v>
      </c>
      <c r="R303" t="s">
        <v>1205</v>
      </c>
      <c r="S303" t="s">
        <v>195</v>
      </c>
    </row>
    <row r="304" spans="1:19" x14ac:dyDescent="0.3">
      <c r="A304" t="s">
        <v>497</v>
      </c>
      <c r="B304" t="s">
        <v>22</v>
      </c>
      <c r="C304">
        <v>2025</v>
      </c>
      <c r="D304">
        <v>1</v>
      </c>
      <c r="E304" s="2">
        <v>45675</v>
      </c>
      <c r="F304" t="s">
        <v>7</v>
      </c>
      <c r="G304" t="s">
        <v>8</v>
      </c>
      <c r="H304" t="s">
        <v>70</v>
      </c>
      <c r="I304" t="s">
        <v>75</v>
      </c>
      <c r="J304" t="s">
        <v>76</v>
      </c>
      <c r="K304" t="s">
        <v>73</v>
      </c>
      <c r="L304">
        <v>706000</v>
      </c>
      <c r="M304" t="s">
        <v>63</v>
      </c>
      <c r="N304" t="s">
        <v>33</v>
      </c>
      <c r="O304">
        <v>1837</v>
      </c>
      <c r="P304">
        <v>1.4</v>
      </c>
      <c r="Q304">
        <v>2.57</v>
      </c>
      <c r="R304" t="s">
        <v>1199</v>
      </c>
      <c r="S304" t="s">
        <v>195</v>
      </c>
    </row>
    <row r="305" spans="1:19" x14ac:dyDescent="0.3">
      <c r="A305" t="s">
        <v>498</v>
      </c>
      <c r="B305" t="s">
        <v>22</v>
      </c>
      <c r="C305">
        <v>2025</v>
      </c>
      <c r="D305">
        <v>1</v>
      </c>
      <c r="E305" s="2">
        <v>45675</v>
      </c>
      <c r="F305" t="s">
        <v>7</v>
      </c>
      <c r="G305" t="s">
        <v>8</v>
      </c>
      <c r="H305" t="s">
        <v>70</v>
      </c>
      <c r="I305" t="s">
        <v>75</v>
      </c>
      <c r="J305" t="s">
        <v>76</v>
      </c>
      <c r="K305" t="s">
        <v>73</v>
      </c>
      <c r="L305">
        <v>706000</v>
      </c>
      <c r="M305" t="s">
        <v>63</v>
      </c>
      <c r="N305" t="s">
        <v>33</v>
      </c>
      <c r="O305">
        <v>4232</v>
      </c>
      <c r="P305">
        <v>1.4</v>
      </c>
      <c r="Q305">
        <v>5.92</v>
      </c>
      <c r="R305" t="s">
        <v>1202</v>
      </c>
      <c r="S305" t="s">
        <v>195</v>
      </c>
    </row>
    <row r="306" spans="1:19" x14ac:dyDescent="0.3">
      <c r="A306" t="s">
        <v>499</v>
      </c>
      <c r="B306" t="s">
        <v>22</v>
      </c>
      <c r="C306">
        <v>2025</v>
      </c>
      <c r="D306">
        <v>1</v>
      </c>
      <c r="E306" s="2">
        <v>45675</v>
      </c>
      <c r="F306" t="s">
        <v>7</v>
      </c>
      <c r="G306" t="s">
        <v>8</v>
      </c>
      <c r="H306" t="s">
        <v>70</v>
      </c>
      <c r="I306" t="s">
        <v>75</v>
      </c>
      <c r="J306" t="s">
        <v>76</v>
      </c>
      <c r="K306" t="s">
        <v>73</v>
      </c>
      <c r="L306">
        <v>706000</v>
      </c>
      <c r="M306" t="s">
        <v>63</v>
      </c>
      <c r="N306" t="s">
        <v>33</v>
      </c>
      <c r="O306">
        <v>603</v>
      </c>
      <c r="P306">
        <v>1.41</v>
      </c>
      <c r="Q306">
        <v>0.85</v>
      </c>
      <c r="R306" t="s">
        <v>1204</v>
      </c>
      <c r="S306" t="s">
        <v>195</v>
      </c>
    </row>
    <row r="307" spans="1:19" x14ac:dyDescent="0.3">
      <c r="A307" t="s">
        <v>500</v>
      </c>
      <c r="B307" t="s">
        <v>22</v>
      </c>
      <c r="C307">
        <v>2025</v>
      </c>
      <c r="D307">
        <v>1</v>
      </c>
      <c r="E307" s="2">
        <v>45670</v>
      </c>
      <c r="F307" t="s">
        <v>7</v>
      </c>
      <c r="G307" t="s">
        <v>8</v>
      </c>
      <c r="H307" t="s">
        <v>70</v>
      </c>
      <c r="I307" t="s">
        <v>75</v>
      </c>
      <c r="J307" t="s">
        <v>76</v>
      </c>
      <c r="K307" t="s">
        <v>73</v>
      </c>
      <c r="L307">
        <v>706000</v>
      </c>
      <c r="M307" t="s">
        <v>63</v>
      </c>
      <c r="N307" t="s">
        <v>33</v>
      </c>
      <c r="O307">
        <v>1048</v>
      </c>
      <c r="P307">
        <v>1.4</v>
      </c>
      <c r="Q307">
        <v>1.47</v>
      </c>
      <c r="R307" t="s">
        <v>1198</v>
      </c>
      <c r="S307" t="s">
        <v>195</v>
      </c>
    </row>
    <row r="308" spans="1:19" x14ac:dyDescent="0.3">
      <c r="A308" t="s">
        <v>501</v>
      </c>
      <c r="B308" t="s">
        <v>22</v>
      </c>
      <c r="C308">
        <v>2025</v>
      </c>
      <c r="D308">
        <v>1</v>
      </c>
      <c r="E308" s="2">
        <v>45670</v>
      </c>
      <c r="F308" t="s">
        <v>7</v>
      </c>
      <c r="G308" t="s">
        <v>8</v>
      </c>
      <c r="H308" t="s">
        <v>70</v>
      </c>
      <c r="I308" t="s">
        <v>75</v>
      </c>
      <c r="J308" t="s">
        <v>76</v>
      </c>
      <c r="K308" t="s">
        <v>73</v>
      </c>
      <c r="L308">
        <v>706000</v>
      </c>
      <c r="M308" t="s">
        <v>63</v>
      </c>
      <c r="N308" t="s">
        <v>33</v>
      </c>
      <c r="O308">
        <v>2114</v>
      </c>
      <c r="P308">
        <v>1.4</v>
      </c>
      <c r="Q308">
        <v>2.96</v>
      </c>
      <c r="R308" t="s">
        <v>1205</v>
      </c>
      <c r="S308" t="s">
        <v>195</v>
      </c>
    </row>
    <row r="309" spans="1:19" x14ac:dyDescent="0.3">
      <c r="A309" t="s">
        <v>502</v>
      </c>
      <c r="B309" t="s">
        <v>22</v>
      </c>
      <c r="C309">
        <v>2025</v>
      </c>
      <c r="D309">
        <v>1</v>
      </c>
      <c r="E309" s="2">
        <v>45670</v>
      </c>
      <c r="F309" t="s">
        <v>7</v>
      </c>
      <c r="G309" t="s">
        <v>8</v>
      </c>
      <c r="H309" t="s">
        <v>70</v>
      </c>
      <c r="I309" t="s">
        <v>75</v>
      </c>
      <c r="J309" t="s">
        <v>76</v>
      </c>
      <c r="K309" t="s">
        <v>73</v>
      </c>
      <c r="L309">
        <v>706000</v>
      </c>
      <c r="M309" t="s">
        <v>63</v>
      </c>
      <c r="N309" t="s">
        <v>33</v>
      </c>
      <c r="O309">
        <v>1108</v>
      </c>
      <c r="P309">
        <v>1.4</v>
      </c>
      <c r="Q309">
        <v>1.55</v>
      </c>
      <c r="R309" t="s">
        <v>1201</v>
      </c>
      <c r="S309" t="s">
        <v>195</v>
      </c>
    </row>
    <row r="310" spans="1:19" x14ac:dyDescent="0.3">
      <c r="A310" t="s">
        <v>503</v>
      </c>
      <c r="B310" t="s">
        <v>22</v>
      </c>
      <c r="C310">
        <v>2025</v>
      </c>
      <c r="D310">
        <v>1</v>
      </c>
      <c r="E310" s="2">
        <v>45670</v>
      </c>
      <c r="F310" t="s">
        <v>7</v>
      </c>
      <c r="G310" t="s">
        <v>8</v>
      </c>
      <c r="H310" t="s">
        <v>70</v>
      </c>
      <c r="I310" t="s">
        <v>75</v>
      </c>
      <c r="J310" t="s">
        <v>76</v>
      </c>
      <c r="K310" t="s">
        <v>73</v>
      </c>
      <c r="L310">
        <v>706000</v>
      </c>
      <c r="M310" t="s">
        <v>63</v>
      </c>
      <c r="N310" t="s">
        <v>33</v>
      </c>
      <c r="O310">
        <v>1087</v>
      </c>
      <c r="P310">
        <v>1.4</v>
      </c>
      <c r="Q310">
        <v>1.52</v>
      </c>
      <c r="R310" t="s">
        <v>1203</v>
      </c>
      <c r="S310" t="s">
        <v>195</v>
      </c>
    </row>
    <row r="311" spans="1:19" x14ac:dyDescent="0.3">
      <c r="A311" t="s">
        <v>504</v>
      </c>
      <c r="B311" t="s">
        <v>22</v>
      </c>
      <c r="C311">
        <v>2025</v>
      </c>
      <c r="D311">
        <v>1</v>
      </c>
      <c r="E311" s="2">
        <v>45670</v>
      </c>
      <c r="F311" t="s">
        <v>7</v>
      </c>
      <c r="G311" t="s">
        <v>8</v>
      </c>
      <c r="H311" t="s">
        <v>70</v>
      </c>
      <c r="I311" t="s">
        <v>75</v>
      </c>
      <c r="J311" t="s">
        <v>76</v>
      </c>
      <c r="K311" t="s">
        <v>73</v>
      </c>
      <c r="L311">
        <v>706000</v>
      </c>
      <c r="M311" t="s">
        <v>63</v>
      </c>
      <c r="N311" t="s">
        <v>33</v>
      </c>
      <c r="O311">
        <v>2515</v>
      </c>
      <c r="P311">
        <v>1.4</v>
      </c>
      <c r="Q311">
        <v>3.52</v>
      </c>
      <c r="R311" t="s">
        <v>1199</v>
      </c>
      <c r="S311" t="s">
        <v>195</v>
      </c>
    </row>
    <row r="312" spans="1:19" x14ac:dyDescent="0.3">
      <c r="A312" t="s">
        <v>505</v>
      </c>
      <c r="B312" t="s">
        <v>22</v>
      </c>
      <c r="C312">
        <v>2025</v>
      </c>
      <c r="D312">
        <v>1</v>
      </c>
      <c r="E312" s="2">
        <v>45681</v>
      </c>
      <c r="F312" t="s">
        <v>7</v>
      </c>
      <c r="G312" t="s">
        <v>8</v>
      </c>
      <c r="H312" t="s">
        <v>70</v>
      </c>
      <c r="I312" t="s">
        <v>75</v>
      </c>
      <c r="J312" t="s">
        <v>76</v>
      </c>
      <c r="K312" t="s">
        <v>73</v>
      </c>
      <c r="L312">
        <v>706000</v>
      </c>
      <c r="M312" t="s">
        <v>63</v>
      </c>
      <c r="N312" t="s">
        <v>33</v>
      </c>
      <c r="O312">
        <v>942</v>
      </c>
      <c r="P312">
        <v>1.4</v>
      </c>
      <c r="Q312">
        <v>1.32</v>
      </c>
      <c r="R312" t="s">
        <v>1204</v>
      </c>
      <c r="S312" t="s">
        <v>195</v>
      </c>
    </row>
    <row r="313" spans="1:19" x14ac:dyDescent="0.3">
      <c r="A313" t="s">
        <v>506</v>
      </c>
      <c r="B313" t="s">
        <v>22</v>
      </c>
      <c r="C313">
        <v>2025</v>
      </c>
      <c r="D313">
        <v>1</v>
      </c>
      <c r="E313" s="2">
        <v>45681</v>
      </c>
      <c r="F313" t="s">
        <v>7</v>
      </c>
      <c r="G313" t="s">
        <v>8</v>
      </c>
      <c r="H313" t="s">
        <v>70</v>
      </c>
      <c r="I313" t="s">
        <v>75</v>
      </c>
      <c r="J313" t="s">
        <v>76</v>
      </c>
      <c r="K313" t="s">
        <v>73</v>
      </c>
      <c r="L313">
        <v>706000</v>
      </c>
      <c r="M313" t="s">
        <v>63</v>
      </c>
      <c r="N313" t="s">
        <v>33</v>
      </c>
      <c r="O313">
        <v>1213</v>
      </c>
      <c r="P313">
        <v>1.4</v>
      </c>
      <c r="Q313">
        <v>1.7</v>
      </c>
      <c r="R313" t="s">
        <v>1197</v>
      </c>
      <c r="S313" t="s">
        <v>195</v>
      </c>
    </row>
    <row r="314" spans="1:19" x14ac:dyDescent="0.3">
      <c r="A314" t="s">
        <v>507</v>
      </c>
      <c r="B314" t="s">
        <v>22</v>
      </c>
      <c r="C314">
        <v>2025</v>
      </c>
      <c r="D314">
        <v>1</v>
      </c>
      <c r="E314" s="2">
        <v>45681</v>
      </c>
      <c r="F314" t="s">
        <v>7</v>
      </c>
      <c r="G314" t="s">
        <v>8</v>
      </c>
      <c r="H314" t="s">
        <v>70</v>
      </c>
      <c r="I314" t="s">
        <v>75</v>
      </c>
      <c r="J314" t="s">
        <v>76</v>
      </c>
      <c r="K314" t="s">
        <v>73</v>
      </c>
      <c r="L314">
        <v>706000</v>
      </c>
      <c r="M314" t="s">
        <v>63</v>
      </c>
      <c r="N314" t="s">
        <v>33</v>
      </c>
      <c r="O314">
        <v>826</v>
      </c>
      <c r="P314">
        <v>1.4</v>
      </c>
      <c r="Q314">
        <v>1.1599999999999999</v>
      </c>
      <c r="R314" t="s">
        <v>1201</v>
      </c>
      <c r="S314" t="s">
        <v>195</v>
      </c>
    </row>
    <row r="315" spans="1:19" x14ac:dyDescent="0.3">
      <c r="A315" t="s">
        <v>508</v>
      </c>
      <c r="B315" t="s">
        <v>22</v>
      </c>
      <c r="C315">
        <v>2025</v>
      </c>
      <c r="D315">
        <v>1</v>
      </c>
      <c r="E315" s="2">
        <v>45681</v>
      </c>
      <c r="F315" t="s">
        <v>7</v>
      </c>
      <c r="G315" t="s">
        <v>8</v>
      </c>
      <c r="H315" t="s">
        <v>70</v>
      </c>
      <c r="I315" t="s">
        <v>75</v>
      </c>
      <c r="J315" t="s">
        <v>76</v>
      </c>
      <c r="K315" t="s">
        <v>73</v>
      </c>
      <c r="L315">
        <v>706000</v>
      </c>
      <c r="M315" t="s">
        <v>63</v>
      </c>
      <c r="N315" t="s">
        <v>33</v>
      </c>
      <c r="O315">
        <v>3317</v>
      </c>
      <c r="P315">
        <v>1.4</v>
      </c>
      <c r="Q315">
        <v>4.6399999999999997</v>
      </c>
      <c r="R315" t="s">
        <v>1202</v>
      </c>
      <c r="S315" t="s">
        <v>195</v>
      </c>
    </row>
    <row r="316" spans="1:19" x14ac:dyDescent="0.3">
      <c r="A316" t="s">
        <v>509</v>
      </c>
      <c r="B316" t="s">
        <v>22</v>
      </c>
      <c r="C316">
        <v>2025</v>
      </c>
      <c r="D316">
        <v>1</v>
      </c>
      <c r="E316" s="2">
        <v>45681</v>
      </c>
      <c r="F316" t="s">
        <v>7</v>
      </c>
      <c r="G316" t="s">
        <v>8</v>
      </c>
      <c r="H316" t="s">
        <v>70</v>
      </c>
      <c r="I316" t="s">
        <v>75</v>
      </c>
      <c r="J316" t="s">
        <v>76</v>
      </c>
      <c r="K316" t="s">
        <v>73</v>
      </c>
      <c r="L316">
        <v>706000</v>
      </c>
      <c r="M316" t="s">
        <v>63</v>
      </c>
      <c r="N316" t="s">
        <v>33</v>
      </c>
      <c r="O316">
        <v>1270</v>
      </c>
      <c r="P316">
        <v>1.39</v>
      </c>
      <c r="Q316">
        <v>1.77</v>
      </c>
      <c r="R316" t="s">
        <v>1203</v>
      </c>
      <c r="S316" t="s">
        <v>195</v>
      </c>
    </row>
    <row r="317" spans="1:19" x14ac:dyDescent="0.3">
      <c r="A317" t="s">
        <v>510</v>
      </c>
      <c r="B317" t="s">
        <v>22</v>
      </c>
      <c r="C317">
        <v>2025</v>
      </c>
      <c r="D317">
        <v>1</v>
      </c>
      <c r="E317" s="2">
        <v>45659</v>
      </c>
      <c r="F317" t="s">
        <v>7</v>
      </c>
      <c r="G317" t="s">
        <v>8</v>
      </c>
      <c r="H317" t="s">
        <v>74</v>
      </c>
      <c r="I317" t="s">
        <v>75</v>
      </c>
      <c r="J317" t="s">
        <v>76</v>
      </c>
      <c r="K317" t="s">
        <v>73</v>
      </c>
      <c r="L317">
        <v>701000</v>
      </c>
      <c r="M317" t="s">
        <v>62</v>
      </c>
      <c r="N317" t="s">
        <v>33</v>
      </c>
      <c r="O317">
        <v>1488</v>
      </c>
      <c r="P317">
        <v>1.4</v>
      </c>
      <c r="Q317">
        <v>2.08</v>
      </c>
      <c r="R317" t="s">
        <v>1203</v>
      </c>
      <c r="S317" t="s">
        <v>195</v>
      </c>
    </row>
    <row r="318" spans="1:19" x14ac:dyDescent="0.3">
      <c r="A318" t="s">
        <v>511</v>
      </c>
      <c r="B318" t="s">
        <v>22</v>
      </c>
      <c r="C318">
        <v>2025</v>
      </c>
      <c r="D318">
        <v>1</v>
      </c>
      <c r="E318" s="2">
        <v>45659</v>
      </c>
      <c r="F318" t="s">
        <v>7</v>
      </c>
      <c r="G318" t="s">
        <v>8</v>
      </c>
      <c r="H318" t="s">
        <v>74</v>
      </c>
      <c r="I318" t="s">
        <v>75</v>
      </c>
      <c r="J318" t="s">
        <v>76</v>
      </c>
      <c r="K318" t="s">
        <v>73</v>
      </c>
      <c r="L318">
        <v>701000</v>
      </c>
      <c r="M318" t="s">
        <v>62</v>
      </c>
      <c r="N318" t="s">
        <v>33</v>
      </c>
      <c r="O318">
        <v>152</v>
      </c>
      <c r="P318">
        <v>1.38</v>
      </c>
      <c r="Q318">
        <v>0.21</v>
      </c>
      <c r="R318" t="s">
        <v>1199</v>
      </c>
      <c r="S318" t="s">
        <v>195</v>
      </c>
    </row>
    <row r="319" spans="1:19" x14ac:dyDescent="0.3">
      <c r="A319" t="s">
        <v>512</v>
      </c>
      <c r="B319" t="s">
        <v>22</v>
      </c>
      <c r="C319">
        <v>2025</v>
      </c>
      <c r="D319">
        <v>1</v>
      </c>
      <c r="E319" s="2">
        <v>45659</v>
      </c>
      <c r="F319" t="s">
        <v>7</v>
      </c>
      <c r="G319" t="s">
        <v>8</v>
      </c>
      <c r="H319" t="s">
        <v>74</v>
      </c>
      <c r="I319" t="s">
        <v>75</v>
      </c>
      <c r="J319" t="s">
        <v>76</v>
      </c>
      <c r="K319" t="s">
        <v>73</v>
      </c>
      <c r="L319">
        <v>701000</v>
      </c>
      <c r="M319" t="s">
        <v>62</v>
      </c>
      <c r="N319" t="s">
        <v>33</v>
      </c>
      <c r="O319">
        <v>1237</v>
      </c>
      <c r="P319">
        <v>1.4</v>
      </c>
      <c r="Q319">
        <v>1.73</v>
      </c>
      <c r="R319" t="s">
        <v>1197</v>
      </c>
      <c r="S319" t="s">
        <v>195</v>
      </c>
    </row>
    <row r="320" spans="1:19" x14ac:dyDescent="0.3">
      <c r="A320" t="s">
        <v>513</v>
      </c>
      <c r="B320" t="s">
        <v>22</v>
      </c>
      <c r="C320">
        <v>2025</v>
      </c>
      <c r="D320">
        <v>1</v>
      </c>
      <c r="E320" s="2">
        <v>45659</v>
      </c>
      <c r="F320" t="s">
        <v>7</v>
      </c>
      <c r="G320" t="s">
        <v>8</v>
      </c>
      <c r="H320" t="s">
        <v>74</v>
      </c>
      <c r="I320" t="s">
        <v>75</v>
      </c>
      <c r="J320" t="s">
        <v>76</v>
      </c>
      <c r="K320" t="s">
        <v>73</v>
      </c>
      <c r="L320">
        <v>701000</v>
      </c>
      <c r="M320" t="s">
        <v>62</v>
      </c>
      <c r="N320" t="s">
        <v>33</v>
      </c>
      <c r="O320">
        <v>2846</v>
      </c>
      <c r="P320">
        <v>1.4</v>
      </c>
      <c r="Q320">
        <v>3.98</v>
      </c>
      <c r="R320" t="s">
        <v>1202</v>
      </c>
      <c r="S320" t="s">
        <v>195</v>
      </c>
    </row>
    <row r="321" spans="1:19" x14ac:dyDescent="0.3">
      <c r="A321" t="s">
        <v>514</v>
      </c>
      <c r="B321" t="s">
        <v>22</v>
      </c>
      <c r="C321">
        <v>2025</v>
      </c>
      <c r="D321">
        <v>1</v>
      </c>
      <c r="E321" s="2">
        <v>45659</v>
      </c>
      <c r="F321" t="s">
        <v>7</v>
      </c>
      <c r="G321" t="s">
        <v>8</v>
      </c>
      <c r="H321" t="s">
        <v>74</v>
      </c>
      <c r="I321" t="s">
        <v>75</v>
      </c>
      <c r="J321" t="s">
        <v>76</v>
      </c>
      <c r="K321" t="s">
        <v>73</v>
      </c>
      <c r="L321">
        <v>701000</v>
      </c>
      <c r="M321" t="s">
        <v>62</v>
      </c>
      <c r="N321" t="s">
        <v>33</v>
      </c>
      <c r="O321">
        <v>1834</v>
      </c>
      <c r="P321">
        <v>1.41</v>
      </c>
      <c r="Q321">
        <v>2.58</v>
      </c>
      <c r="R321" t="s">
        <v>1204</v>
      </c>
      <c r="S321" t="s">
        <v>195</v>
      </c>
    </row>
    <row r="322" spans="1:19" x14ac:dyDescent="0.3">
      <c r="A322" t="s">
        <v>515</v>
      </c>
      <c r="B322" t="s">
        <v>22</v>
      </c>
      <c r="C322">
        <v>2025</v>
      </c>
      <c r="D322">
        <v>1</v>
      </c>
      <c r="E322" s="2">
        <v>45670</v>
      </c>
      <c r="F322" t="s">
        <v>7</v>
      </c>
      <c r="G322" t="s">
        <v>8</v>
      </c>
      <c r="H322" t="s">
        <v>70</v>
      </c>
      <c r="I322" t="s">
        <v>75</v>
      </c>
      <c r="J322" t="s">
        <v>76</v>
      </c>
      <c r="K322" t="s">
        <v>73</v>
      </c>
      <c r="L322">
        <v>701000</v>
      </c>
      <c r="M322" t="s">
        <v>62</v>
      </c>
      <c r="N322" t="s">
        <v>33</v>
      </c>
      <c r="O322">
        <v>801</v>
      </c>
      <c r="P322">
        <v>1.4</v>
      </c>
      <c r="Q322">
        <v>1.1200000000000001</v>
      </c>
      <c r="R322" t="s">
        <v>1199</v>
      </c>
      <c r="S322" t="s">
        <v>195</v>
      </c>
    </row>
    <row r="323" spans="1:19" x14ac:dyDescent="0.3">
      <c r="A323" t="s">
        <v>516</v>
      </c>
      <c r="B323" t="s">
        <v>22</v>
      </c>
      <c r="C323">
        <v>2025</v>
      </c>
      <c r="D323">
        <v>1</v>
      </c>
      <c r="E323" s="2">
        <v>45670</v>
      </c>
      <c r="F323" t="s">
        <v>7</v>
      </c>
      <c r="G323" t="s">
        <v>8</v>
      </c>
      <c r="H323" t="s">
        <v>70</v>
      </c>
      <c r="I323" t="s">
        <v>75</v>
      </c>
      <c r="J323" t="s">
        <v>76</v>
      </c>
      <c r="K323" t="s">
        <v>73</v>
      </c>
      <c r="L323">
        <v>701000</v>
      </c>
      <c r="M323" t="s">
        <v>62</v>
      </c>
      <c r="N323" t="s">
        <v>33</v>
      </c>
      <c r="O323">
        <v>1726</v>
      </c>
      <c r="P323">
        <v>1.4</v>
      </c>
      <c r="Q323">
        <v>2.42</v>
      </c>
      <c r="R323" t="s">
        <v>1203</v>
      </c>
      <c r="S323" t="s">
        <v>195</v>
      </c>
    </row>
    <row r="324" spans="1:19" x14ac:dyDescent="0.3">
      <c r="A324" t="s">
        <v>517</v>
      </c>
      <c r="B324" t="s">
        <v>22</v>
      </c>
      <c r="C324">
        <v>2025</v>
      </c>
      <c r="D324">
        <v>1</v>
      </c>
      <c r="E324" s="2">
        <v>45670</v>
      </c>
      <c r="F324" t="s">
        <v>7</v>
      </c>
      <c r="G324" t="s">
        <v>8</v>
      </c>
      <c r="H324" t="s">
        <v>70</v>
      </c>
      <c r="I324" t="s">
        <v>75</v>
      </c>
      <c r="J324" t="s">
        <v>76</v>
      </c>
      <c r="K324" t="s">
        <v>73</v>
      </c>
      <c r="L324">
        <v>701000</v>
      </c>
      <c r="M324" t="s">
        <v>62</v>
      </c>
      <c r="N324" t="s">
        <v>33</v>
      </c>
      <c r="O324">
        <v>1920</v>
      </c>
      <c r="P324">
        <v>1.4</v>
      </c>
      <c r="Q324">
        <v>2.69</v>
      </c>
      <c r="R324" t="s">
        <v>1201</v>
      </c>
      <c r="S324" t="s">
        <v>195</v>
      </c>
    </row>
    <row r="325" spans="1:19" x14ac:dyDescent="0.3">
      <c r="A325" t="s">
        <v>518</v>
      </c>
      <c r="B325" t="s">
        <v>22</v>
      </c>
      <c r="C325">
        <v>2025</v>
      </c>
      <c r="D325">
        <v>1</v>
      </c>
      <c r="E325" s="2">
        <v>45670</v>
      </c>
      <c r="F325" t="s">
        <v>7</v>
      </c>
      <c r="G325" t="s">
        <v>8</v>
      </c>
      <c r="H325" t="s">
        <v>70</v>
      </c>
      <c r="I325" t="s">
        <v>75</v>
      </c>
      <c r="J325" t="s">
        <v>76</v>
      </c>
      <c r="K325" t="s">
        <v>73</v>
      </c>
      <c r="L325">
        <v>701000</v>
      </c>
      <c r="M325" t="s">
        <v>62</v>
      </c>
      <c r="N325" t="s">
        <v>33</v>
      </c>
      <c r="O325">
        <v>3273</v>
      </c>
      <c r="P325">
        <v>1.4</v>
      </c>
      <c r="Q325">
        <v>4.58</v>
      </c>
      <c r="R325" t="s">
        <v>1200</v>
      </c>
      <c r="S325" t="s">
        <v>195</v>
      </c>
    </row>
    <row r="326" spans="1:19" x14ac:dyDescent="0.3">
      <c r="A326" t="s">
        <v>519</v>
      </c>
      <c r="B326" t="s">
        <v>22</v>
      </c>
      <c r="C326">
        <v>2025</v>
      </c>
      <c r="D326">
        <v>1</v>
      </c>
      <c r="E326" s="2">
        <v>45670</v>
      </c>
      <c r="F326" t="s">
        <v>7</v>
      </c>
      <c r="G326" t="s">
        <v>8</v>
      </c>
      <c r="H326" t="s">
        <v>70</v>
      </c>
      <c r="I326" t="s">
        <v>75</v>
      </c>
      <c r="J326" t="s">
        <v>76</v>
      </c>
      <c r="K326" t="s">
        <v>73</v>
      </c>
      <c r="L326">
        <v>701000</v>
      </c>
      <c r="M326" t="s">
        <v>62</v>
      </c>
      <c r="N326" t="s">
        <v>33</v>
      </c>
      <c r="O326">
        <v>457</v>
      </c>
      <c r="P326">
        <v>1.4</v>
      </c>
      <c r="Q326">
        <v>0.64</v>
      </c>
      <c r="R326" t="s">
        <v>1197</v>
      </c>
      <c r="S326" t="s">
        <v>195</v>
      </c>
    </row>
    <row r="327" spans="1:19" x14ac:dyDescent="0.3">
      <c r="A327" t="s">
        <v>520</v>
      </c>
      <c r="B327" t="s">
        <v>22</v>
      </c>
      <c r="C327">
        <v>2025</v>
      </c>
      <c r="D327">
        <v>1</v>
      </c>
      <c r="E327" s="2">
        <v>45662</v>
      </c>
      <c r="F327" t="s">
        <v>7</v>
      </c>
      <c r="G327" t="s">
        <v>8</v>
      </c>
      <c r="H327" t="s">
        <v>70</v>
      </c>
      <c r="I327" t="s">
        <v>75</v>
      </c>
      <c r="J327" t="s">
        <v>76</v>
      </c>
      <c r="K327" t="s">
        <v>73</v>
      </c>
      <c r="L327">
        <v>701000</v>
      </c>
      <c r="M327" t="s">
        <v>62</v>
      </c>
      <c r="N327" t="s">
        <v>33</v>
      </c>
      <c r="O327">
        <v>453</v>
      </c>
      <c r="P327">
        <v>1.39</v>
      </c>
      <c r="Q327">
        <v>0.63</v>
      </c>
      <c r="R327" t="s">
        <v>1200</v>
      </c>
      <c r="S327" t="s">
        <v>195</v>
      </c>
    </row>
    <row r="328" spans="1:19" x14ac:dyDescent="0.3">
      <c r="A328" t="s">
        <v>521</v>
      </c>
      <c r="B328" t="s">
        <v>22</v>
      </c>
      <c r="C328">
        <v>2025</v>
      </c>
      <c r="D328">
        <v>1</v>
      </c>
      <c r="E328" s="2">
        <v>45662</v>
      </c>
      <c r="F328" t="s">
        <v>7</v>
      </c>
      <c r="G328" t="s">
        <v>8</v>
      </c>
      <c r="H328" t="s">
        <v>70</v>
      </c>
      <c r="I328" t="s">
        <v>75</v>
      </c>
      <c r="J328" t="s">
        <v>76</v>
      </c>
      <c r="K328" t="s">
        <v>73</v>
      </c>
      <c r="L328">
        <v>701000</v>
      </c>
      <c r="M328" t="s">
        <v>62</v>
      </c>
      <c r="N328" t="s">
        <v>33</v>
      </c>
      <c r="O328">
        <v>2795</v>
      </c>
      <c r="P328">
        <v>1.4</v>
      </c>
      <c r="Q328">
        <v>3.91</v>
      </c>
      <c r="R328" t="s">
        <v>1201</v>
      </c>
      <c r="S328" t="s">
        <v>195</v>
      </c>
    </row>
    <row r="329" spans="1:19" x14ac:dyDescent="0.3">
      <c r="A329" t="s">
        <v>522</v>
      </c>
      <c r="B329" t="s">
        <v>22</v>
      </c>
      <c r="C329">
        <v>2025</v>
      </c>
      <c r="D329">
        <v>1</v>
      </c>
      <c r="E329" s="2">
        <v>45662</v>
      </c>
      <c r="F329" t="s">
        <v>7</v>
      </c>
      <c r="G329" t="s">
        <v>8</v>
      </c>
      <c r="H329" t="s">
        <v>70</v>
      </c>
      <c r="I329" t="s">
        <v>75</v>
      </c>
      <c r="J329" t="s">
        <v>76</v>
      </c>
      <c r="K329" t="s">
        <v>73</v>
      </c>
      <c r="L329">
        <v>701000</v>
      </c>
      <c r="M329" t="s">
        <v>62</v>
      </c>
      <c r="N329" t="s">
        <v>33</v>
      </c>
      <c r="O329">
        <v>506</v>
      </c>
      <c r="P329">
        <v>1.4</v>
      </c>
      <c r="Q329">
        <v>0.71</v>
      </c>
      <c r="R329" t="s">
        <v>1197</v>
      </c>
      <c r="S329" t="s">
        <v>195</v>
      </c>
    </row>
    <row r="330" spans="1:19" x14ac:dyDescent="0.3">
      <c r="A330" t="s">
        <v>523</v>
      </c>
      <c r="B330" t="s">
        <v>22</v>
      </c>
      <c r="C330">
        <v>2025</v>
      </c>
      <c r="D330">
        <v>1</v>
      </c>
      <c r="E330" s="2">
        <v>45662</v>
      </c>
      <c r="F330" t="s">
        <v>7</v>
      </c>
      <c r="G330" t="s">
        <v>8</v>
      </c>
      <c r="H330" t="s">
        <v>70</v>
      </c>
      <c r="I330" t="s">
        <v>75</v>
      </c>
      <c r="J330" t="s">
        <v>76</v>
      </c>
      <c r="K330" t="s">
        <v>73</v>
      </c>
      <c r="L330">
        <v>701000</v>
      </c>
      <c r="M330" t="s">
        <v>62</v>
      </c>
      <c r="N330" t="s">
        <v>33</v>
      </c>
      <c r="O330">
        <v>3256</v>
      </c>
      <c r="P330">
        <v>1.4</v>
      </c>
      <c r="Q330">
        <v>4.5599999999999996</v>
      </c>
      <c r="R330" t="s">
        <v>1205</v>
      </c>
      <c r="S330" t="s">
        <v>195</v>
      </c>
    </row>
    <row r="331" spans="1:19" x14ac:dyDescent="0.3">
      <c r="A331" t="s">
        <v>524</v>
      </c>
      <c r="B331" t="s">
        <v>22</v>
      </c>
      <c r="C331">
        <v>2025</v>
      </c>
      <c r="D331">
        <v>1</v>
      </c>
      <c r="E331" s="2">
        <v>45662</v>
      </c>
      <c r="F331" t="s">
        <v>7</v>
      </c>
      <c r="G331" t="s">
        <v>8</v>
      </c>
      <c r="H331" t="s">
        <v>70</v>
      </c>
      <c r="I331" t="s">
        <v>75</v>
      </c>
      <c r="J331" t="s">
        <v>76</v>
      </c>
      <c r="K331" t="s">
        <v>73</v>
      </c>
      <c r="L331">
        <v>701000</v>
      </c>
      <c r="M331" t="s">
        <v>62</v>
      </c>
      <c r="N331" t="s">
        <v>33</v>
      </c>
      <c r="O331">
        <v>1342</v>
      </c>
      <c r="P331">
        <v>1.4</v>
      </c>
      <c r="Q331">
        <v>1.88</v>
      </c>
      <c r="R331" t="s">
        <v>1199</v>
      </c>
      <c r="S331" t="s">
        <v>195</v>
      </c>
    </row>
    <row r="332" spans="1:19" x14ac:dyDescent="0.3">
      <c r="A332" t="s">
        <v>525</v>
      </c>
      <c r="B332" t="s">
        <v>22</v>
      </c>
      <c r="C332">
        <v>2025</v>
      </c>
      <c r="D332">
        <v>1</v>
      </c>
      <c r="E332" s="2">
        <v>45684</v>
      </c>
      <c r="F332" t="s">
        <v>7</v>
      </c>
      <c r="G332" t="s">
        <v>8</v>
      </c>
      <c r="H332" t="s">
        <v>74</v>
      </c>
      <c r="I332" t="s">
        <v>75</v>
      </c>
      <c r="J332" t="s">
        <v>76</v>
      </c>
      <c r="K332" t="s">
        <v>73</v>
      </c>
      <c r="L332">
        <v>701000</v>
      </c>
      <c r="M332" t="s">
        <v>62</v>
      </c>
      <c r="N332" t="s">
        <v>33</v>
      </c>
      <c r="O332">
        <v>3571</v>
      </c>
      <c r="P332">
        <v>1.4</v>
      </c>
      <c r="Q332">
        <v>5</v>
      </c>
      <c r="R332" t="s">
        <v>1202</v>
      </c>
      <c r="S332" t="s">
        <v>195</v>
      </c>
    </row>
    <row r="333" spans="1:19" x14ac:dyDescent="0.3">
      <c r="A333" t="s">
        <v>526</v>
      </c>
      <c r="B333" t="s">
        <v>22</v>
      </c>
      <c r="C333">
        <v>2025</v>
      </c>
      <c r="D333">
        <v>1</v>
      </c>
      <c r="E333" s="2">
        <v>45684</v>
      </c>
      <c r="F333" t="s">
        <v>7</v>
      </c>
      <c r="G333" t="s">
        <v>8</v>
      </c>
      <c r="H333" t="s">
        <v>74</v>
      </c>
      <c r="I333" t="s">
        <v>75</v>
      </c>
      <c r="J333" t="s">
        <v>76</v>
      </c>
      <c r="K333" t="s">
        <v>73</v>
      </c>
      <c r="L333">
        <v>701000</v>
      </c>
      <c r="M333" t="s">
        <v>62</v>
      </c>
      <c r="N333" t="s">
        <v>33</v>
      </c>
      <c r="O333">
        <v>1668</v>
      </c>
      <c r="P333">
        <v>1.4</v>
      </c>
      <c r="Q333">
        <v>2.33</v>
      </c>
      <c r="R333" t="s">
        <v>1204</v>
      </c>
      <c r="S333" t="s">
        <v>195</v>
      </c>
    </row>
    <row r="334" spans="1:19" x14ac:dyDescent="0.3">
      <c r="A334" t="s">
        <v>527</v>
      </c>
      <c r="B334" t="s">
        <v>22</v>
      </c>
      <c r="C334">
        <v>2025</v>
      </c>
      <c r="D334">
        <v>1</v>
      </c>
      <c r="E334" s="2">
        <v>45684</v>
      </c>
      <c r="F334" t="s">
        <v>7</v>
      </c>
      <c r="G334" t="s">
        <v>8</v>
      </c>
      <c r="H334" t="s">
        <v>74</v>
      </c>
      <c r="I334" t="s">
        <v>75</v>
      </c>
      <c r="J334" t="s">
        <v>76</v>
      </c>
      <c r="K334" t="s">
        <v>73</v>
      </c>
      <c r="L334">
        <v>701000</v>
      </c>
      <c r="M334" t="s">
        <v>62</v>
      </c>
      <c r="N334" t="s">
        <v>33</v>
      </c>
      <c r="O334">
        <v>568</v>
      </c>
      <c r="P334">
        <v>1.41</v>
      </c>
      <c r="Q334">
        <v>0.8</v>
      </c>
      <c r="R334" t="s">
        <v>1200</v>
      </c>
      <c r="S334" t="s">
        <v>195</v>
      </c>
    </row>
    <row r="335" spans="1:19" x14ac:dyDescent="0.3">
      <c r="A335" t="s">
        <v>528</v>
      </c>
      <c r="B335" t="s">
        <v>22</v>
      </c>
      <c r="C335">
        <v>2025</v>
      </c>
      <c r="D335">
        <v>1</v>
      </c>
      <c r="E335" s="2">
        <v>45684</v>
      </c>
      <c r="F335" t="s">
        <v>7</v>
      </c>
      <c r="G335" t="s">
        <v>8</v>
      </c>
      <c r="H335" t="s">
        <v>74</v>
      </c>
      <c r="I335" t="s">
        <v>75</v>
      </c>
      <c r="J335" t="s">
        <v>76</v>
      </c>
      <c r="K335" t="s">
        <v>73</v>
      </c>
      <c r="L335">
        <v>701000</v>
      </c>
      <c r="M335" t="s">
        <v>62</v>
      </c>
      <c r="N335" t="s">
        <v>33</v>
      </c>
      <c r="O335">
        <v>3383</v>
      </c>
      <c r="P335">
        <v>1.4</v>
      </c>
      <c r="Q335">
        <v>4.7300000000000004</v>
      </c>
      <c r="R335" t="s">
        <v>1203</v>
      </c>
      <c r="S335" t="s">
        <v>195</v>
      </c>
    </row>
    <row r="336" spans="1:19" x14ac:dyDescent="0.3">
      <c r="A336" t="s">
        <v>529</v>
      </c>
      <c r="B336" t="s">
        <v>22</v>
      </c>
      <c r="C336">
        <v>2025</v>
      </c>
      <c r="D336">
        <v>1</v>
      </c>
      <c r="E336" s="2">
        <v>45684</v>
      </c>
      <c r="F336" t="s">
        <v>7</v>
      </c>
      <c r="G336" t="s">
        <v>8</v>
      </c>
      <c r="H336" t="s">
        <v>74</v>
      </c>
      <c r="I336" t="s">
        <v>75</v>
      </c>
      <c r="J336" t="s">
        <v>76</v>
      </c>
      <c r="K336" t="s">
        <v>73</v>
      </c>
      <c r="L336">
        <v>701000</v>
      </c>
      <c r="M336" t="s">
        <v>62</v>
      </c>
      <c r="N336" t="s">
        <v>33</v>
      </c>
      <c r="O336">
        <v>371</v>
      </c>
      <c r="P336">
        <v>1.4</v>
      </c>
      <c r="Q336">
        <v>0.52</v>
      </c>
      <c r="R336" t="s">
        <v>1205</v>
      </c>
      <c r="S336" t="s">
        <v>195</v>
      </c>
    </row>
    <row r="337" spans="1:19" x14ac:dyDescent="0.3">
      <c r="A337" t="s">
        <v>530</v>
      </c>
      <c r="B337" t="s">
        <v>22</v>
      </c>
      <c r="C337">
        <v>2025</v>
      </c>
      <c r="D337">
        <v>1</v>
      </c>
      <c r="E337" s="2">
        <v>45663</v>
      </c>
      <c r="F337" t="s">
        <v>7</v>
      </c>
      <c r="G337" t="s">
        <v>8</v>
      </c>
      <c r="H337" t="s">
        <v>74</v>
      </c>
      <c r="I337" t="s">
        <v>75</v>
      </c>
      <c r="J337" t="s">
        <v>76</v>
      </c>
      <c r="K337" t="s">
        <v>73</v>
      </c>
      <c r="L337">
        <v>701000</v>
      </c>
      <c r="M337" t="s">
        <v>62</v>
      </c>
      <c r="N337" t="s">
        <v>33</v>
      </c>
      <c r="O337">
        <v>2895</v>
      </c>
      <c r="P337">
        <v>1.4</v>
      </c>
      <c r="Q337">
        <v>4.05</v>
      </c>
      <c r="R337" t="s">
        <v>1204</v>
      </c>
      <c r="S337" t="s">
        <v>195</v>
      </c>
    </row>
    <row r="338" spans="1:19" x14ac:dyDescent="0.3">
      <c r="A338" t="s">
        <v>531</v>
      </c>
      <c r="B338" t="s">
        <v>22</v>
      </c>
      <c r="C338">
        <v>2025</v>
      </c>
      <c r="D338">
        <v>1</v>
      </c>
      <c r="E338" s="2">
        <v>45663</v>
      </c>
      <c r="F338" t="s">
        <v>7</v>
      </c>
      <c r="G338" t="s">
        <v>8</v>
      </c>
      <c r="H338" t="s">
        <v>74</v>
      </c>
      <c r="I338" t="s">
        <v>75</v>
      </c>
      <c r="J338" t="s">
        <v>76</v>
      </c>
      <c r="K338" t="s">
        <v>73</v>
      </c>
      <c r="L338">
        <v>701000</v>
      </c>
      <c r="M338" t="s">
        <v>62</v>
      </c>
      <c r="N338" t="s">
        <v>33</v>
      </c>
      <c r="O338">
        <v>1212</v>
      </c>
      <c r="P338">
        <v>1.4</v>
      </c>
      <c r="Q338">
        <v>1.7</v>
      </c>
      <c r="R338" t="s">
        <v>1200</v>
      </c>
      <c r="S338" t="s">
        <v>195</v>
      </c>
    </row>
    <row r="339" spans="1:19" x14ac:dyDescent="0.3">
      <c r="A339" t="s">
        <v>532</v>
      </c>
      <c r="B339" t="s">
        <v>22</v>
      </c>
      <c r="C339">
        <v>2025</v>
      </c>
      <c r="D339">
        <v>1</v>
      </c>
      <c r="E339" s="2">
        <v>45663</v>
      </c>
      <c r="F339" t="s">
        <v>7</v>
      </c>
      <c r="G339" t="s">
        <v>8</v>
      </c>
      <c r="H339" t="s">
        <v>74</v>
      </c>
      <c r="I339" t="s">
        <v>75</v>
      </c>
      <c r="J339" t="s">
        <v>76</v>
      </c>
      <c r="K339" t="s">
        <v>73</v>
      </c>
      <c r="L339">
        <v>701000</v>
      </c>
      <c r="M339" t="s">
        <v>62</v>
      </c>
      <c r="N339" t="s">
        <v>33</v>
      </c>
      <c r="O339">
        <v>1048</v>
      </c>
      <c r="P339">
        <v>1.4</v>
      </c>
      <c r="Q339">
        <v>1.47</v>
      </c>
      <c r="R339" t="s">
        <v>1203</v>
      </c>
      <c r="S339" t="s">
        <v>195</v>
      </c>
    </row>
    <row r="340" spans="1:19" x14ac:dyDescent="0.3">
      <c r="A340" t="s">
        <v>533</v>
      </c>
      <c r="B340" t="s">
        <v>22</v>
      </c>
      <c r="C340">
        <v>2025</v>
      </c>
      <c r="D340">
        <v>1</v>
      </c>
      <c r="E340" s="2">
        <v>45663</v>
      </c>
      <c r="F340" t="s">
        <v>7</v>
      </c>
      <c r="G340" t="s">
        <v>8</v>
      </c>
      <c r="H340" t="s">
        <v>74</v>
      </c>
      <c r="I340" t="s">
        <v>75</v>
      </c>
      <c r="J340" t="s">
        <v>76</v>
      </c>
      <c r="K340" t="s">
        <v>73</v>
      </c>
      <c r="L340">
        <v>701000</v>
      </c>
      <c r="M340" t="s">
        <v>62</v>
      </c>
      <c r="N340" t="s">
        <v>33</v>
      </c>
      <c r="O340">
        <v>1907</v>
      </c>
      <c r="P340">
        <v>1.4</v>
      </c>
      <c r="Q340">
        <v>2.67</v>
      </c>
      <c r="R340" t="s">
        <v>1199</v>
      </c>
      <c r="S340" t="s">
        <v>195</v>
      </c>
    </row>
    <row r="341" spans="1:19" x14ac:dyDescent="0.3">
      <c r="A341" t="s">
        <v>534</v>
      </c>
      <c r="B341" t="s">
        <v>22</v>
      </c>
      <c r="C341">
        <v>2025</v>
      </c>
      <c r="D341">
        <v>1</v>
      </c>
      <c r="E341" s="2">
        <v>45663</v>
      </c>
      <c r="F341" t="s">
        <v>7</v>
      </c>
      <c r="G341" t="s">
        <v>8</v>
      </c>
      <c r="H341" t="s">
        <v>74</v>
      </c>
      <c r="I341" t="s">
        <v>75</v>
      </c>
      <c r="J341" t="s">
        <v>76</v>
      </c>
      <c r="K341" t="s">
        <v>73</v>
      </c>
      <c r="L341">
        <v>701000</v>
      </c>
      <c r="M341" t="s">
        <v>62</v>
      </c>
      <c r="N341" t="s">
        <v>33</v>
      </c>
      <c r="O341">
        <v>1565</v>
      </c>
      <c r="P341">
        <v>1.4</v>
      </c>
      <c r="Q341">
        <v>2.19</v>
      </c>
      <c r="R341" t="s">
        <v>1202</v>
      </c>
      <c r="S341" t="s">
        <v>195</v>
      </c>
    </row>
    <row r="342" spans="1:19" x14ac:dyDescent="0.3">
      <c r="A342" t="s">
        <v>535</v>
      </c>
      <c r="B342" t="s">
        <v>22</v>
      </c>
      <c r="C342">
        <v>2025</v>
      </c>
      <c r="D342">
        <v>1</v>
      </c>
      <c r="E342" s="2">
        <v>45675</v>
      </c>
      <c r="F342" t="s">
        <v>7</v>
      </c>
      <c r="G342" t="s">
        <v>8</v>
      </c>
      <c r="H342" t="s">
        <v>74</v>
      </c>
      <c r="I342" t="s">
        <v>75</v>
      </c>
      <c r="J342" t="s">
        <v>76</v>
      </c>
      <c r="K342" t="s">
        <v>73</v>
      </c>
      <c r="L342">
        <v>707000</v>
      </c>
      <c r="M342" t="s">
        <v>81</v>
      </c>
      <c r="N342" t="s">
        <v>33</v>
      </c>
      <c r="O342">
        <v>537</v>
      </c>
      <c r="P342">
        <v>1.4</v>
      </c>
      <c r="Q342">
        <v>0.75</v>
      </c>
      <c r="R342" t="s">
        <v>1204</v>
      </c>
      <c r="S342" t="s">
        <v>195</v>
      </c>
    </row>
    <row r="343" spans="1:19" x14ac:dyDescent="0.3">
      <c r="A343" t="s">
        <v>536</v>
      </c>
      <c r="B343" t="s">
        <v>22</v>
      </c>
      <c r="C343">
        <v>2025</v>
      </c>
      <c r="D343">
        <v>1</v>
      </c>
      <c r="E343" s="2">
        <v>45675</v>
      </c>
      <c r="F343" t="s">
        <v>7</v>
      </c>
      <c r="G343" t="s">
        <v>8</v>
      </c>
      <c r="H343" t="s">
        <v>74</v>
      </c>
      <c r="I343" t="s">
        <v>75</v>
      </c>
      <c r="J343" t="s">
        <v>76</v>
      </c>
      <c r="K343" t="s">
        <v>73</v>
      </c>
      <c r="L343">
        <v>707000</v>
      </c>
      <c r="M343" t="s">
        <v>81</v>
      </c>
      <c r="N343" t="s">
        <v>33</v>
      </c>
      <c r="O343">
        <v>106</v>
      </c>
      <c r="P343">
        <v>1.42</v>
      </c>
      <c r="Q343">
        <v>0.15</v>
      </c>
      <c r="R343" t="s">
        <v>1202</v>
      </c>
      <c r="S343" t="s">
        <v>195</v>
      </c>
    </row>
    <row r="344" spans="1:19" x14ac:dyDescent="0.3">
      <c r="A344" t="s">
        <v>537</v>
      </c>
      <c r="B344" t="s">
        <v>22</v>
      </c>
      <c r="C344">
        <v>2025</v>
      </c>
      <c r="D344">
        <v>1</v>
      </c>
      <c r="E344" s="2">
        <v>45675</v>
      </c>
      <c r="F344" t="s">
        <v>7</v>
      </c>
      <c r="G344" t="s">
        <v>8</v>
      </c>
      <c r="H344" t="s">
        <v>74</v>
      </c>
      <c r="I344" t="s">
        <v>75</v>
      </c>
      <c r="J344" t="s">
        <v>76</v>
      </c>
      <c r="K344" t="s">
        <v>73</v>
      </c>
      <c r="L344">
        <v>707000</v>
      </c>
      <c r="M344" t="s">
        <v>81</v>
      </c>
      <c r="N344" t="s">
        <v>33</v>
      </c>
      <c r="O344">
        <v>2023</v>
      </c>
      <c r="P344">
        <v>1.4</v>
      </c>
      <c r="Q344">
        <v>2.83</v>
      </c>
      <c r="R344" t="s">
        <v>1199</v>
      </c>
      <c r="S344" t="s">
        <v>195</v>
      </c>
    </row>
    <row r="345" spans="1:19" x14ac:dyDescent="0.3">
      <c r="A345" t="s">
        <v>538</v>
      </c>
      <c r="B345" t="s">
        <v>22</v>
      </c>
      <c r="C345">
        <v>2025</v>
      </c>
      <c r="D345">
        <v>1</v>
      </c>
      <c r="E345" s="2">
        <v>45675</v>
      </c>
      <c r="F345" t="s">
        <v>7</v>
      </c>
      <c r="G345" t="s">
        <v>8</v>
      </c>
      <c r="H345" t="s">
        <v>74</v>
      </c>
      <c r="I345" t="s">
        <v>75</v>
      </c>
      <c r="J345" t="s">
        <v>76</v>
      </c>
      <c r="K345" t="s">
        <v>73</v>
      </c>
      <c r="L345">
        <v>707000</v>
      </c>
      <c r="M345" t="s">
        <v>81</v>
      </c>
      <c r="N345" t="s">
        <v>33</v>
      </c>
      <c r="O345">
        <v>3271</v>
      </c>
      <c r="P345">
        <v>1.4</v>
      </c>
      <c r="Q345">
        <v>4.58</v>
      </c>
      <c r="R345" t="s">
        <v>1201</v>
      </c>
      <c r="S345" t="s">
        <v>195</v>
      </c>
    </row>
    <row r="346" spans="1:19" x14ac:dyDescent="0.3">
      <c r="A346" t="s">
        <v>539</v>
      </c>
      <c r="B346" t="s">
        <v>22</v>
      </c>
      <c r="C346">
        <v>2025</v>
      </c>
      <c r="D346">
        <v>1</v>
      </c>
      <c r="E346" s="2">
        <v>45675</v>
      </c>
      <c r="F346" t="s">
        <v>7</v>
      </c>
      <c r="G346" t="s">
        <v>8</v>
      </c>
      <c r="H346" t="s">
        <v>74</v>
      </c>
      <c r="I346" t="s">
        <v>75</v>
      </c>
      <c r="J346" t="s">
        <v>76</v>
      </c>
      <c r="K346" t="s">
        <v>73</v>
      </c>
      <c r="L346">
        <v>707000</v>
      </c>
      <c r="M346" t="s">
        <v>81</v>
      </c>
      <c r="N346" t="s">
        <v>33</v>
      </c>
      <c r="O346">
        <v>2743</v>
      </c>
      <c r="P346">
        <v>1.4</v>
      </c>
      <c r="Q346">
        <v>3.84</v>
      </c>
      <c r="R346" t="s">
        <v>1205</v>
      </c>
      <c r="S346" t="s">
        <v>195</v>
      </c>
    </row>
    <row r="347" spans="1:19" x14ac:dyDescent="0.3">
      <c r="A347" t="s">
        <v>540</v>
      </c>
      <c r="B347" t="s">
        <v>22</v>
      </c>
      <c r="C347">
        <v>2025</v>
      </c>
      <c r="D347">
        <v>1</v>
      </c>
      <c r="E347" s="2">
        <v>45669</v>
      </c>
      <c r="F347" t="s">
        <v>7</v>
      </c>
      <c r="G347" t="s">
        <v>8</v>
      </c>
      <c r="H347" t="s">
        <v>70</v>
      </c>
      <c r="I347" t="s">
        <v>75</v>
      </c>
      <c r="J347" t="s">
        <v>76</v>
      </c>
      <c r="K347" t="s">
        <v>73</v>
      </c>
      <c r="L347">
        <v>701000</v>
      </c>
      <c r="M347" t="s">
        <v>62</v>
      </c>
      <c r="N347" t="s">
        <v>33</v>
      </c>
      <c r="O347">
        <v>1978</v>
      </c>
      <c r="P347">
        <v>1.4</v>
      </c>
      <c r="Q347">
        <v>2.77</v>
      </c>
      <c r="R347" t="s">
        <v>1199</v>
      </c>
      <c r="S347" t="s">
        <v>195</v>
      </c>
    </row>
    <row r="348" spans="1:19" x14ac:dyDescent="0.3">
      <c r="A348" t="s">
        <v>541</v>
      </c>
      <c r="B348" t="s">
        <v>22</v>
      </c>
      <c r="C348">
        <v>2025</v>
      </c>
      <c r="D348">
        <v>1</v>
      </c>
      <c r="E348" s="2">
        <v>45669</v>
      </c>
      <c r="F348" t="s">
        <v>7</v>
      </c>
      <c r="G348" t="s">
        <v>8</v>
      </c>
      <c r="H348" t="s">
        <v>70</v>
      </c>
      <c r="I348" t="s">
        <v>75</v>
      </c>
      <c r="J348" t="s">
        <v>76</v>
      </c>
      <c r="K348" t="s">
        <v>73</v>
      </c>
      <c r="L348">
        <v>701000</v>
      </c>
      <c r="M348" t="s">
        <v>62</v>
      </c>
      <c r="N348" t="s">
        <v>33</v>
      </c>
      <c r="O348">
        <v>1040</v>
      </c>
      <c r="P348">
        <v>1.4</v>
      </c>
      <c r="Q348">
        <v>1.46</v>
      </c>
      <c r="R348" t="s">
        <v>1203</v>
      </c>
      <c r="S348" t="s">
        <v>195</v>
      </c>
    </row>
    <row r="349" spans="1:19" x14ac:dyDescent="0.3">
      <c r="A349" t="s">
        <v>542</v>
      </c>
      <c r="B349" t="s">
        <v>22</v>
      </c>
      <c r="C349">
        <v>2025</v>
      </c>
      <c r="D349">
        <v>1</v>
      </c>
      <c r="E349" s="2">
        <v>45669</v>
      </c>
      <c r="F349" t="s">
        <v>7</v>
      </c>
      <c r="G349" t="s">
        <v>8</v>
      </c>
      <c r="H349" t="s">
        <v>70</v>
      </c>
      <c r="I349" t="s">
        <v>75</v>
      </c>
      <c r="J349" t="s">
        <v>76</v>
      </c>
      <c r="K349" t="s">
        <v>73</v>
      </c>
      <c r="L349">
        <v>701000</v>
      </c>
      <c r="M349" t="s">
        <v>62</v>
      </c>
      <c r="N349" t="s">
        <v>33</v>
      </c>
      <c r="O349">
        <v>1271</v>
      </c>
      <c r="P349">
        <v>1.4</v>
      </c>
      <c r="Q349">
        <v>1.78</v>
      </c>
      <c r="R349" t="s">
        <v>1197</v>
      </c>
      <c r="S349" t="s">
        <v>195</v>
      </c>
    </row>
    <row r="350" spans="1:19" x14ac:dyDescent="0.3">
      <c r="A350" t="s">
        <v>543</v>
      </c>
      <c r="B350" t="s">
        <v>22</v>
      </c>
      <c r="C350">
        <v>2025</v>
      </c>
      <c r="D350">
        <v>1</v>
      </c>
      <c r="E350" s="2">
        <v>45669</v>
      </c>
      <c r="F350" t="s">
        <v>7</v>
      </c>
      <c r="G350" t="s">
        <v>8</v>
      </c>
      <c r="H350" t="s">
        <v>70</v>
      </c>
      <c r="I350" t="s">
        <v>75</v>
      </c>
      <c r="J350" t="s">
        <v>76</v>
      </c>
      <c r="K350" t="s">
        <v>73</v>
      </c>
      <c r="L350">
        <v>701000</v>
      </c>
      <c r="M350" t="s">
        <v>62</v>
      </c>
      <c r="N350" t="s">
        <v>33</v>
      </c>
      <c r="O350">
        <v>1767</v>
      </c>
      <c r="P350">
        <v>1.4</v>
      </c>
      <c r="Q350">
        <v>2.4700000000000002</v>
      </c>
      <c r="R350" t="s">
        <v>1205</v>
      </c>
      <c r="S350" t="s">
        <v>195</v>
      </c>
    </row>
    <row r="351" spans="1:19" x14ac:dyDescent="0.3">
      <c r="A351" t="s">
        <v>544</v>
      </c>
      <c r="B351" t="s">
        <v>22</v>
      </c>
      <c r="C351">
        <v>2025</v>
      </c>
      <c r="D351">
        <v>1</v>
      </c>
      <c r="E351" s="2">
        <v>45669</v>
      </c>
      <c r="F351" t="s">
        <v>7</v>
      </c>
      <c r="G351" t="s">
        <v>8</v>
      </c>
      <c r="H351" t="s">
        <v>70</v>
      </c>
      <c r="I351" t="s">
        <v>75</v>
      </c>
      <c r="J351" t="s">
        <v>76</v>
      </c>
      <c r="K351" t="s">
        <v>73</v>
      </c>
      <c r="L351">
        <v>701000</v>
      </c>
      <c r="M351" t="s">
        <v>62</v>
      </c>
      <c r="N351" t="s">
        <v>33</v>
      </c>
      <c r="O351">
        <v>1327</v>
      </c>
      <c r="P351">
        <v>1.4</v>
      </c>
      <c r="Q351">
        <v>1.86</v>
      </c>
      <c r="R351" t="s">
        <v>1202</v>
      </c>
      <c r="S351" t="s">
        <v>195</v>
      </c>
    </row>
    <row r="352" spans="1:19" x14ac:dyDescent="0.3">
      <c r="A352" t="s">
        <v>545</v>
      </c>
      <c r="B352" t="s">
        <v>22</v>
      </c>
      <c r="C352">
        <v>2025</v>
      </c>
      <c r="D352">
        <v>1</v>
      </c>
      <c r="E352" s="2">
        <v>45668</v>
      </c>
      <c r="F352" t="s">
        <v>7</v>
      </c>
      <c r="G352" t="s">
        <v>8</v>
      </c>
      <c r="H352" t="s">
        <v>74</v>
      </c>
      <c r="I352" t="s">
        <v>75</v>
      </c>
      <c r="J352" t="s">
        <v>76</v>
      </c>
      <c r="K352" t="s">
        <v>73</v>
      </c>
      <c r="L352">
        <v>701000</v>
      </c>
      <c r="M352" t="s">
        <v>62</v>
      </c>
      <c r="N352" t="s">
        <v>33</v>
      </c>
      <c r="O352">
        <v>1084</v>
      </c>
      <c r="P352">
        <v>1.4</v>
      </c>
      <c r="Q352">
        <v>1.52</v>
      </c>
      <c r="R352" t="s">
        <v>1203</v>
      </c>
      <c r="S352" t="s">
        <v>195</v>
      </c>
    </row>
    <row r="353" spans="1:19" x14ac:dyDescent="0.3">
      <c r="A353" t="s">
        <v>546</v>
      </c>
      <c r="B353" t="s">
        <v>22</v>
      </c>
      <c r="C353">
        <v>2025</v>
      </c>
      <c r="D353">
        <v>1</v>
      </c>
      <c r="E353" s="2">
        <v>45668</v>
      </c>
      <c r="F353" t="s">
        <v>7</v>
      </c>
      <c r="G353" t="s">
        <v>8</v>
      </c>
      <c r="H353" t="s">
        <v>74</v>
      </c>
      <c r="I353" t="s">
        <v>75</v>
      </c>
      <c r="J353" t="s">
        <v>76</v>
      </c>
      <c r="K353" t="s">
        <v>73</v>
      </c>
      <c r="L353">
        <v>701000</v>
      </c>
      <c r="M353" t="s">
        <v>62</v>
      </c>
      <c r="N353" t="s">
        <v>33</v>
      </c>
      <c r="O353">
        <v>576</v>
      </c>
      <c r="P353">
        <v>1.41</v>
      </c>
      <c r="Q353">
        <v>0.81</v>
      </c>
      <c r="R353" t="s">
        <v>1199</v>
      </c>
      <c r="S353" t="s">
        <v>195</v>
      </c>
    </row>
    <row r="354" spans="1:19" x14ac:dyDescent="0.3">
      <c r="A354" t="s">
        <v>547</v>
      </c>
      <c r="B354" t="s">
        <v>22</v>
      </c>
      <c r="C354">
        <v>2025</v>
      </c>
      <c r="D354">
        <v>1</v>
      </c>
      <c r="E354" s="2">
        <v>45668</v>
      </c>
      <c r="F354" t="s">
        <v>7</v>
      </c>
      <c r="G354" t="s">
        <v>8</v>
      </c>
      <c r="H354" t="s">
        <v>74</v>
      </c>
      <c r="I354" t="s">
        <v>75</v>
      </c>
      <c r="J354" t="s">
        <v>76</v>
      </c>
      <c r="K354" t="s">
        <v>73</v>
      </c>
      <c r="L354">
        <v>701000</v>
      </c>
      <c r="M354" t="s">
        <v>62</v>
      </c>
      <c r="N354" t="s">
        <v>33</v>
      </c>
      <c r="O354">
        <v>2159</v>
      </c>
      <c r="P354">
        <v>1.4</v>
      </c>
      <c r="Q354">
        <v>3.02</v>
      </c>
      <c r="R354" t="s">
        <v>1198</v>
      </c>
      <c r="S354" t="s">
        <v>195</v>
      </c>
    </row>
    <row r="355" spans="1:19" x14ac:dyDescent="0.3">
      <c r="A355" t="s">
        <v>548</v>
      </c>
      <c r="B355" t="s">
        <v>22</v>
      </c>
      <c r="C355">
        <v>2025</v>
      </c>
      <c r="D355">
        <v>1</v>
      </c>
      <c r="E355" s="2">
        <v>45668</v>
      </c>
      <c r="F355" t="s">
        <v>7</v>
      </c>
      <c r="G355" t="s">
        <v>8</v>
      </c>
      <c r="H355" t="s">
        <v>74</v>
      </c>
      <c r="I355" t="s">
        <v>75</v>
      </c>
      <c r="J355" t="s">
        <v>76</v>
      </c>
      <c r="K355" t="s">
        <v>73</v>
      </c>
      <c r="L355">
        <v>701000</v>
      </c>
      <c r="M355" t="s">
        <v>62</v>
      </c>
      <c r="N355" t="s">
        <v>33</v>
      </c>
      <c r="O355">
        <v>2714</v>
      </c>
      <c r="P355">
        <v>1.4</v>
      </c>
      <c r="Q355">
        <v>3.8</v>
      </c>
      <c r="R355" t="s">
        <v>1201</v>
      </c>
      <c r="S355" t="s">
        <v>195</v>
      </c>
    </row>
    <row r="356" spans="1:19" x14ac:dyDescent="0.3">
      <c r="A356" t="s">
        <v>549</v>
      </c>
      <c r="B356" t="s">
        <v>22</v>
      </c>
      <c r="C356">
        <v>2025</v>
      </c>
      <c r="D356">
        <v>1</v>
      </c>
      <c r="E356" s="2">
        <v>45668</v>
      </c>
      <c r="F356" t="s">
        <v>7</v>
      </c>
      <c r="G356" t="s">
        <v>8</v>
      </c>
      <c r="H356" t="s">
        <v>74</v>
      </c>
      <c r="I356" t="s">
        <v>75</v>
      </c>
      <c r="J356" t="s">
        <v>76</v>
      </c>
      <c r="K356" t="s">
        <v>73</v>
      </c>
      <c r="L356">
        <v>701000</v>
      </c>
      <c r="M356" t="s">
        <v>62</v>
      </c>
      <c r="N356" t="s">
        <v>33</v>
      </c>
      <c r="O356">
        <v>1497</v>
      </c>
      <c r="P356">
        <v>1.4</v>
      </c>
      <c r="Q356">
        <v>2.09</v>
      </c>
      <c r="R356" t="s">
        <v>1205</v>
      </c>
      <c r="S356" t="s">
        <v>195</v>
      </c>
    </row>
    <row r="357" spans="1:19" x14ac:dyDescent="0.3">
      <c r="A357" t="s">
        <v>550</v>
      </c>
      <c r="B357" t="s">
        <v>22</v>
      </c>
      <c r="C357">
        <v>2025</v>
      </c>
      <c r="D357">
        <v>1</v>
      </c>
      <c r="E357" s="2">
        <v>45666</v>
      </c>
      <c r="F357" t="s">
        <v>7</v>
      </c>
      <c r="G357" t="s">
        <v>8</v>
      </c>
      <c r="H357" t="s">
        <v>74</v>
      </c>
      <c r="I357" t="s">
        <v>75</v>
      </c>
      <c r="J357" t="s">
        <v>76</v>
      </c>
      <c r="K357" t="s">
        <v>73</v>
      </c>
      <c r="L357">
        <v>701000</v>
      </c>
      <c r="M357" t="s">
        <v>62</v>
      </c>
      <c r="N357" t="s">
        <v>33</v>
      </c>
      <c r="O357">
        <v>1733</v>
      </c>
      <c r="P357">
        <v>1.4</v>
      </c>
      <c r="Q357">
        <v>2.4300000000000002</v>
      </c>
      <c r="R357" t="s">
        <v>1200</v>
      </c>
      <c r="S357" t="s">
        <v>195</v>
      </c>
    </row>
    <row r="358" spans="1:19" x14ac:dyDescent="0.3">
      <c r="A358" t="s">
        <v>551</v>
      </c>
      <c r="B358" t="s">
        <v>22</v>
      </c>
      <c r="C358">
        <v>2025</v>
      </c>
      <c r="D358">
        <v>1</v>
      </c>
      <c r="E358" s="2">
        <v>45666</v>
      </c>
      <c r="F358" t="s">
        <v>7</v>
      </c>
      <c r="G358" t="s">
        <v>8</v>
      </c>
      <c r="H358" t="s">
        <v>74</v>
      </c>
      <c r="I358" t="s">
        <v>75</v>
      </c>
      <c r="J358" t="s">
        <v>76</v>
      </c>
      <c r="K358" t="s">
        <v>73</v>
      </c>
      <c r="L358">
        <v>701000</v>
      </c>
      <c r="M358" t="s">
        <v>62</v>
      </c>
      <c r="N358" t="s">
        <v>33</v>
      </c>
      <c r="O358">
        <v>1998</v>
      </c>
      <c r="P358">
        <v>1.4</v>
      </c>
      <c r="Q358">
        <v>2.8</v>
      </c>
      <c r="R358" t="s">
        <v>1205</v>
      </c>
      <c r="S358" t="s">
        <v>195</v>
      </c>
    </row>
    <row r="359" spans="1:19" x14ac:dyDescent="0.3">
      <c r="A359" t="s">
        <v>552</v>
      </c>
      <c r="B359" t="s">
        <v>22</v>
      </c>
      <c r="C359">
        <v>2025</v>
      </c>
      <c r="D359">
        <v>1</v>
      </c>
      <c r="E359" s="2">
        <v>45666</v>
      </c>
      <c r="F359" t="s">
        <v>7</v>
      </c>
      <c r="G359" t="s">
        <v>8</v>
      </c>
      <c r="H359" t="s">
        <v>74</v>
      </c>
      <c r="I359" t="s">
        <v>75</v>
      </c>
      <c r="J359" t="s">
        <v>76</v>
      </c>
      <c r="K359" t="s">
        <v>73</v>
      </c>
      <c r="L359">
        <v>701000</v>
      </c>
      <c r="M359" t="s">
        <v>62</v>
      </c>
      <c r="N359" t="s">
        <v>33</v>
      </c>
      <c r="O359">
        <v>237</v>
      </c>
      <c r="P359">
        <v>1.39</v>
      </c>
      <c r="Q359">
        <v>0.33</v>
      </c>
      <c r="R359" t="s">
        <v>1202</v>
      </c>
      <c r="S359" t="s">
        <v>195</v>
      </c>
    </row>
    <row r="360" spans="1:19" x14ac:dyDescent="0.3">
      <c r="A360" t="s">
        <v>553</v>
      </c>
      <c r="B360" t="s">
        <v>22</v>
      </c>
      <c r="C360">
        <v>2025</v>
      </c>
      <c r="D360">
        <v>1</v>
      </c>
      <c r="E360" s="2">
        <v>45666</v>
      </c>
      <c r="F360" t="s">
        <v>7</v>
      </c>
      <c r="G360" t="s">
        <v>8</v>
      </c>
      <c r="H360" t="s">
        <v>74</v>
      </c>
      <c r="I360" t="s">
        <v>75</v>
      </c>
      <c r="J360" t="s">
        <v>76</v>
      </c>
      <c r="K360" t="s">
        <v>73</v>
      </c>
      <c r="L360">
        <v>701000</v>
      </c>
      <c r="M360" t="s">
        <v>62</v>
      </c>
      <c r="N360" t="s">
        <v>33</v>
      </c>
      <c r="O360">
        <v>1643</v>
      </c>
      <c r="P360">
        <v>1.4</v>
      </c>
      <c r="Q360">
        <v>2.2999999999999998</v>
      </c>
      <c r="R360" t="s">
        <v>1204</v>
      </c>
      <c r="S360" t="s">
        <v>195</v>
      </c>
    </row>
    <row r="361" spans="1:19" x14ac:dyDescent="0.3">
      <c r="A361" t="s">
        <v>554</v>
      </c>
      <c r="B361" t="s">
        <v>22</v>
      </c>
      <c r="C361">
        <v>2025</v>
      </c>
      <c r="D361">
        <v>1</v>
      </c>
      <c r="E361" s="2">
        <v>45666</v>
      </c>
      <c r="F361" t="s">
        <v>7</v>
      </c>
      <c r="G361" t="s">
        <v>8</v>
      </c>
      <c r="H361" t="s">
        <v>74</v>
      </c>
      <c r="I361" t="s">
        <v>75</v>
      </c>
      <c r="J361" t="s">
        <v>76</v>
      </c>
      <c r="K361" t="s">
        <v>73</v>
      </c>
      <c r="L361">
        <v>701000</v>
      </c>
      <c r="M361" t="s">
        <v>62</v>
      </c>
      <c r="N361" t="s">
        <v>33</v>
      </c>
      <c r="O361">
        <v>1687</v>
      </c>
      <c r="P361">
        <v>1.4</v>
      </c>
      <c r="Q361">
        <v>2.36</v>
      </c>
      <c r="R361" t="s">
        <v>1197</v>
      </c>
      <c r="S361" t="s">
        <v>195</v>
      </c>
    </row>
    <row r="362" spans="1:19" x14ac:dyDescent="0.3">
      <c r="A362" t="s">
        <v>555</v>
      </c>
      <c r="B362" t="s">
        <v>22</v>
      </c>
      <c r="C362">
        <v>2025</v>
      </c>
      <c r="D362">
        <v>1</v>
      </c>
      <c r="E362" s="2">
        <v>45678</v>
      </c>
      <c r="F362" t="s">
        <v>7</v>
      </c>
      <c r="G362" t="s">
        <v>8</v>
      </c>
      <c r="H362" t="s">
        <v>70</v>
      </c>
      <c r="I362" t="s">
        <v>75</v>
      </c>
      <c r="J362" t="s">
        <v>76</v>
      </c>
      <c r="K362" t="s">
        <v>73</v>
      </c>
      <c r="L362">
        <v>706000</v>
      </c>
      <c r="M362" t="s">
        <v>63</v>
      </c>
      <c r="N362" t="s">
        <v>33</v>
      </c>
      <c r="O362">
        <v>1688</v>
      </c>
      <c r="P362">
        <v>1.4</v>
      </c>
      <c r="Q362">
        <v>2.36</v>
      </c>
      <c r="R362" t="s">
        <v>1197</v>
      </c>
      <c r="S362" t="s">
        <v>195</v>
      </c>
    </row>
    <row r="363" spans="1:19" x14ac:dyDescent="0.3">
      <c r="A363" t="s">
        <v>556</v>
      </c>
      <c r="B363" t="s">
        <v>22</v>
      </c>
      <c r="C363">
        <v>2025</v>
      </c>
      <c r="D363">
        <v>1</v>
      </c>
      <c r="E363" s="2">
        <v>45678</v>
      </c>
      <c r="F363" t="s">
        <v>7</v>
      </c>
      <c r="G363" t="s">
        <v>8</v>
      </c>
      <c r="H363" t="s">
        <v>70</v>
      </c>
      <c r="I363" t="s">
        <v>75</v>
      </c>
      <c r="J363" t="s">
        <v>76</v>
      </c>
      <c r="K363" t="s">
        <v>73</v>
      </c>
      <c r="L363">
        <v>706000</v>
      </c>
      <c r="M363" t="s">
        <v>63</v>
      </c>
      <c r="N363" t="s">
        <v>33</v>
      </c>
      <c r="O363">
        <v>2261</v>
      </c>
      <c r="P363">
        <v>1.4</v>
      </c>
      <c r="Q363">
        <v>3.16</v>
      </c>
      <c r="R363" t="s">
        <v>1200</v>
      </c>
      <c r="S363" t="s">
        <v>195</v>
      </c>
    </row>
    <row r="364" spans="1:19" x14ac:dyDescent="0.3">
      <c r="A364" t="s">
        <v>557</v>
      </c>
      <c r="B364" t="s">
        <v>22</v>
      </c>
      <c r="C364">
        <v>2025</v>
      </c>
      <c r="D364">
        <v>1</v>
      </c>
      <c r="E364" s="2">
        <v>45678</v>
      </c>
      <c r="F364" t="s">
        <v>7</v>
      </c>
      <c r="G364" t="s">
        <v>8</v>
      </c>
      <c r="H364" t="s">
        <v>70</v>
      </c>
      <c r="I364" t="s">
        <v>75</v>
      </c>
      <c r="J364" t="s">
        <v>76</v>
      </c>
      <c r="K364" t="s">
        <v>73</v>
      </c>
      <c r="L364">
        <v>706000</v>
      </c>
      <c r="M364" t="s">
        <v>63</v>
      </c>
      <c r="N364" t="s">
        <v>33</v>
      </c>
      <c r="O364">
        <v>1653</v>
      </c>
      <c r="P364">
        <v>1.4</v>
      </c>
      <c r="Q364">
        <v>2.31</v>
      </c>
      <c r="R364" t="s">
        <v>1204</v>
      </c>
      <c r="S364" t="s">
        <v>195</v>
      </c>
    </row>
    <row r="365" spans="1:19" x14ac:dyDescent="0.3">
      <c r="A365" t="s">
        <v>558</v>
      </c>
      <c r="B365" t="s">
        <v>22</v>
      </c>
      <c r="C365">
        <v>2025</v>
      </c>
      <c r="D365">
        <v>1</v>
      </c>
      <c r="E365" s="2">
        <v>45678</v>
      </c>
      <c r="F365" t="s">
        <v>7</v>
      </c>
      <c r="G365" t="s">
        <v>8</v>
      </c>
      <c r="H365" t="s">
        <v>70</v>
      </c>
      <c r="I365" t="s">
        <v>75</v>
      </c>
      <c r="J365" t="s">
        <v>76</v>
      </c>
      <c r="K365" t="s">
        <v>73</v>
      </c>
      <c r="L365">
        <v>706000</v>
      </c>
      <c r="M365" t="s">
        <v>63</v>
      </c>
      <c r="N365" t="s">
        <v>33</v>
      </c>
      <c r="O365">
        <v>2250</v>
      </c>
      <c r="P365">
        <v>1.4</v>
      </c>
      <c r="Q365">
        <v>3.15</v>
      </c>
      <c r="R365" t="s">
        <v>1198</v>
      </c>
      <c r="S365" t="s">
        <v>195</v>
      </c>
    </row>
    <row r="366" spans="1:19" x14ac:dyDescent="0.3">
      <c r="A366" t="s">
        <v>559</v>
      </c>
      <c r="B366" t="s">
        <v>22</v>
      </c>
      <c r="C366">
        <v>2025</v>
      </c>
      <c r="D366">
        <v>1</v>
      </c>
      <c r="E366" s="2">
        <v>45678</v>
      </c>
      <c r="F366" t="s">
        <v>7</v>
      </c>
      <c r="G366" t="s">
        <v>8</v>
      </c>
      <c r="H366" t="s">
        <v>70</v>
      </c>
      <c r="I366" t="s">
        <v>75</v>
      </c>
      <c r="J366" t="s">
        <v>76</v>
      </c>
      <c r="K366" t="s">
        <v>73</v>
      </c>
      <c r="L366">
        <v>706000</v>
      </c>
      <c r="M366" t="s">
        <v>63</v>
      </c>
      <c r="N366" t="s">
        <v>33</v>
      </c>
      <c r="O366">
        <v>343</v>
      </c>
      <c r="P366">
        <v>1.43</v>
      </c>
      <c r="Q366">
        <v>0.49</v>
      </c>
      <c r="R366" t="s">
        <v>1203</v>
      </c>
      <c r="S366" t="s">
        <v>195</v>
      </c>
    </row>
    <row r="367" spans="1:19" x14ac:dyDescent="0.3">
      <c r="A367" t="s">
        <v>560</v>
      </c>
      <c r="B367" t="s">
        <v>22</v>
      </c>
      <c r="C367">
        <v>2025</v>
      </c>
      <c r="D367">
        <v>1</v>
      </c>
      <c r="E367" s="2">
        <v>45672</v>
      </c>
      <c r="F367" t="s">
        <v>7</v>
      </c>
      <c r="G367" t="s">
        <v>8</v>
      </c>
      <c r="H367" t="s">
        <v>70</v>
      </c>
      <c r="I367" t="s">
        <v>75</v>
      </c>
      <c r="J367" t="s">
        <v>76</v>
      </c>
      <c r="K367" t="s">
        <v>73</v>
      </c>
      <c r="L367">
        <v>701000</v>
      </c>
      <c r="M367" t="s">
        <v>62</v>
      </c>
      <c r="N367" t="s">
        <v>33</v>
      </c>
      <c r="O367">
        <v>3274</v>
      </c>
      <c r="P367">
        <v>1.4</v>
      </c>
      <c r="Q367">
        <v>4.58</v>
      </c>
      <c r="R367" t="s">
        <v>1204</v>
      </c>
      <c r="S367" t="s">
        <v>195</v>
      </c>
    </row>
    <row r="368" spans="1:19" x14ac:dyDescent="0.3">
      <c r="A368" t="s">
        <v>561</v>
      </c>
      <c r="B368" t="s">
        <v>22</v>
      </c>
      <c r="C368">
        <v>2025</v>
      </c>
      <c r="D368">
        <v>1</v>
      </c>
      <c r="E368" s="2">
        <v>45672</v>
      </c>
      <c r="F368" t="s">
        <v>7</v>
      </c>
      <c r="G368" t="s">
        <v>8</v>
      </c>
      <c r="H368" t="s">
        <v>70</v>
      </c>
      <c r="I368" t="s">
        <v>75</v>
      </c>
      <c r="J368" t="s">
        <v>76</v>
      </c>
      <c r="K368" t="s">
        <v>73</v>
      </c>
      <c r="L368">
        <v>701000</v>
      </c>
      <c r="M368" t="s">
        <v>62</v>
      </c>
      <c r="N368" t="s">
        <v>33</v>
      </c>
      <c r="O368">
        <v>1599</v>
      </c>
      <c r="P368">
        <v>1.4</v>
      </c>
      <c r="Q368">
        <v>2.2400000000000002</v>
      </c>
      <c r="R368" t="s">
        <v>1199</v>
      </c>
      <c r="S368" t="s">
        <v>195</v>
      </c>
    </row>
    <row r="369" spans="1:19" x14ac:dyDescent="0.3">
      <c r="A369" t="s">
        <v>562</v>
      </c>
      <c r="B369" t="s">
        <v>22</v>
      </c>
      <c r="C369">
        <v>2025</v>
      </c>
      <c r="D369">
        <v>1</v>
      </c>
      <c r="E369" s="2">
        <v>45672</v>
      </c>
      <c r="F369" t="s">
        <v>7</v>
      </c>
      <c r="G369" t="s">
        <v>8</v>
      </c>
      <c r="H369" t="s">
        <v>70</v>
      </c>
      <c r="I369" t="s">
        <v>75</v>
      </c>
      <c r="J369" t="s">
        <v>76</v>
      </c>
      <c r="K369" t="s">
        <v>73</v>
      </c>
      <c r="L369">
        <v>701000</v>
      </c>
      <c r="M369" t="s">
        <v>62</v>
      </c>
      <c r="N369" t="s">
        <v>33</v>
      </c>
      <c r="O369">
        <v>1042</v>
      </c>
      <c r="P369">
        <v>1.4</v>
      </c>
      <c r="Q369">
        <v>1.46</v>
      </c>
      <c r="R369" t="s">
        <v>1203</v>
      </c>
      <c r="S369" t="s">
        <v>195</v>
      </c>
    </row>
    <row r="370" spans="1:19" x14ac:dyDescent="0.3">
      <c r="A370" t="s">
        <v>563</v>
      </c>
      <c r="B370" t="s">
        <v>22</v>
      </c>
      <c r="C370">
        <v>2025</v>
      </c>
      <c r="D370">
        <v>1</v>
      </c>
      <c r="E370" s="2">
        <v>45672</v>
      </c>
      <c r="F370" t="s">
        <v>7</v>
      </c>
      <c r="G370" t="s">
        <v>8</v>
      </c>
      <c r="H370" t="s">
        <v>70</v>
      </c>
      <c r="I370" t="s">
        <v>75</v>
      </c>
      <c r="J370" t="s">
        <v>76</v>
      </c>
      <c r="K370" t="s">
        <v>73</v>
      </c>
      <c r="L370">
        <v>701000</v>
      </c>
      <c r="M370" t="s">
        <v>62</v>
      </c>
      <c r="N370" t="s">
        <v>33</v>
      </c>
      <c r="O370">
        <v>1481</v>
      </c>
      <c r="P370">
        <v>1.4</v>
      </c>
      <c r="Q370">
        <v>2.0699999999999998</v>
      </c>
      <c r="R370" t="s">
        <v>1198</v>
      </c>
      <c r="S370" t="s">
        <v>195</v>
      </c>
    </row>
    <row r="371" spans="1:19" x14ac:dyDescent="0.3">
      <c r="A371" t="s">
        <v>564</v>
      </c>
      <c r="B371" t="s">
        <v>22</v>
      </c>
      <c r="C371">
        <v>2025</v>
      </c>
      <c r="D371">
        <v>1</v>
      </c>
      <c r="E371" s="2">
        <v>45672</v>
      </c>
      <c r="F371" t="s">
        <v>7</v>
      </c>
      <c r="G371" t="s">
        <v>8</v>
      </c>
      <c r="H371" t="s">
        <v>70</v>
      </c>
      <c r="I371" t="s">
        <v>75</v>
      </c>
      <c r="J371" t="s">
        <v>76</v>
      </c>
      <c r="K371" t="s">
        <v>73</v>
      </c>
      <c r="L371">
        <v>701000</v>
      </c>
      <c r="M371" t="s">
        <v>62</v>
      </c>
      <c r="N371" t="s">
        <v>33</v>
      </c>
      <c r="O371">
        <v>1063</v>
      </c>
      <c r="P371">
        <v>1.4</v>
      </c>
      <c r="Q371">
        <v>1.49</v>
      </c>
      <c r="R371" t="s">
        <v>1205</v>
      </c>
      <c r="S371" t="s">
        <v>195</v>
      </c>
    </row>
    <row r="372" spans="1:19" x14ac:dyDescent="0.3">
      <c r="A372" t="s">
        <v>565</v>
      </c>
      <c r="B372" t="s">
        <v>22</v>
      </c>
      <c r="C372">
        <v>2025</v>
      </c>
      <c r="D372">
        <v>1</v>
      </c>
      <c r="E372" s="2">
        <v>45670</v>
      </c>
      <c r="F372" t="s">
        <v>7</v>
      </c>
      <c r="G372" t="s">
        <v>8</v>
      </c>
      <c r="H372" t="s">
        <v>70</v>
      </c>
      <c r="I372" t="s">
        <v>77</v>
      </c>
      <c r="J372" t="s">
        <v>78</v>
      </c>
      <c r="K372" t="s">
        <v>73</v>
      </c>
      <c r="L372">
        <v>701000</v>
      </c>
      <c r="M372" t="s">
        <v>62</v>
      </c>
      <c r="N372" t="s">
        <v>33</v>
      </c>
      <c r="O372">
        <v>1383</v>
      </c>
      <c r="P372">
        <v>1.8</v>
      </c>
      <c r="Q372">
        <v>2.4900000000000002</v>
      </c>
      <c r="R372" t="s">
        <v>1204</v>
      </c>
      <c r="S372" t="s">
        <v>195</v>
      </c>
    </row>
    <row r="373" spans="1:19" x14ac:dyDescent="0.3">
      <c r="A373" t="s">
        <v>566</v>
      </c>
      <c r="B373" t="s">
        <v>22</v>
      </c>
      <c r="C373">
        <v>2025</v>
      </c>
      <c r="D373">
        <v>1</v>
      </c>
      <c r="E373" s="2">
        <v>45670</v>
      </c>
      <c r="F373" t="s">
        <v>7</v>
      </c>
      <c r="G373" t="s">
        <v>8</v>
      </c>
      <c r="H373" t="s">
        <v>70</v>
      </c>
      <c r="I373" t="s">
        <v>77</v>
      </c>
      <c r="J373" t="s">
        <v>78</v>
      </c>
      <c r="K373" t="s">
        <v>73</v>
      </c>
      <c r="L373">
        <v>701000</v>
      </c>
      <c r="M373" t="s">
        <v>62</v>
      </c>
      <c r="N373" t="s">
        <v>33</v>
      </c>
      <c r="O373">
        <v>145</v>
      </c>
      <c r="P373">
        <v>1.79</v>
      </c>
      <c r="Q373">
        <v>0.26</v>
      </c>
      <c r="R373" t="s">
        <v>1198</v>
      </c>
      <c r="S373" t="s">
        <v>195</v>
      </c>
    </row>
    <row r="374" spans="1:19" x14ac:dyDescent="0.3">
      <c r="A374" t="s">
        <v>567</v>
      </c>
      <c r="B374" t="s">
        <v>22</v>
      </c>
      <c r="C374">
        <v>2025</v>
      </c>
      <c r="D374">
        <v>1</v>
      </c>
      <c r="E374" s="2">
        <v>45670</v>
      </c>
      <c r="F374" t="s">
        <v>7</v>
      </c>
      <c r="G374" t="s">
        <v>8</v>
      </c>
      <c r="H374" t="s">
        <v>70</v>
      </c>
      <c r="I374" t="s">
        <v>77</v>
      </c>
      <c r="J374" t="s">
        <v>78</v>
      </c>
      <c r="K374" t="s">
        <v>73</v>
      </c>
      <c r="L374">
        <v>701000</v>
      </c>
      <c r="M374" t="s">
        <v>62</v>
      </c>
      <c r="N374" t="s">
        <v>33</v>
      </c>
      <c r="O374">
        <v>1427</v>
      </c>
      <c r="P374">
        <v>1.8</v>
      </c>
      <c r="Q374">
        <v>2.57</v>
      </c>
      <c r="R374" t="s">
        <v>1202</v>
      </c>
      <c r="S374" t="s">
        <v>195</v>
      </c>
    </row>
    <row r="375" spans="1:19" x14ac:dyDescent="0.3">
      <c r="A375" t="s">
        <v>568</v>
      </c>
      <c r="B375" t="s">
        <v>22</v>
      </c>
      <c r="C375">
        <v>2025</v>
      </c>
      <c r="D375">
        <v>1</v>
      </c>
      <c r="E375" s="2">
        <v>45670</v>
      </c>
      <c r="F375" t="s">
        <v>7</v>
      </c>
      <c r="G375" t="s">
        <v>8</v>
      </c>
      <c r="H375" t="s">
        <v>70</v>
      </c>
      <c r="I375" t="s">
        <v>77</v>
      </c>
      <c r="J375" t="s">
        <v>78</v>
      </c>
      <c r="K375" t="s">
        <v>73</v>
      </c>
      <c r="L375">
        <v>701000</v>
      </c>
      <c r="M375" t="s">
        <v>62</v>
      </c>
      <c r="N375" t="s">
        <v>33</v>
      </c>
      <c r="O375">
        <v>520</v>
      </c>
      <c r="P375">
        <v>1.81</v>
      </c>
      <c r="Q375">
        <v>0.94</v>
      </c>
      <c r="R375" t="s">
        <v>1200</v>
      </c>
      <c r="S375" t="s">
        <v>195</v>
      </c>
    </row>
    <row r="376" spans="1:19" x14ac:dyDescent="0.3">
      <c r="A376" t="s">
        <v>569</v>
      </c>
      <c r="B376" t="s">
        <v>22</v>
      </c>
      <c r="C376">
        <v>2025</v>
      </c>
      <c r="D376">
        <v>1</v>
      </c>
      <c r="E376" s="2">
        <v>45670</v>
      </c>
      <c r="F376" t="s">
        <v>7</v>
      </c>
      <c r="G376" t="s">
        <v>8</v>
      </c>
      <c r="H376" t="s">
        <v>70</v>
      </c>
      <c r="I376" t="s">
        <v>77</v>
      </c>
      <c r="J376" t="s">
        <v>78</v>
      </c>
      <c r="K376" t="s">
        <v>73</v>
      </c>
      <c r="L376">
        <v>701000</v>
      </c>
      <c r="M376" t="s">
        <v>62</v>
      </c>
      <c r="N376" t="s">
        <v>33</v>
      </c>
      <c r="O376">
        <v>926</v>
      </c>
      <c r="P376">
        <v>1.79</v>
      </c>
      <c r="Q376">
        <v>1.66</v>
      </c>
      <c r="R376" t="s">
        <v>1203</v>
      </c>
      <c r="S376" t="s">
        <v>195</v>
      </c>
    </row>
    <row r="377" spans="1:19" x14ac:dyDescent="0.3">
      <c r="A377" t="s">
        <v>570</v>
      </c>
      <c r="B377" t="s">
        <v>22</v>
      </c>
      <c r="C377">
        <v>2025</v>
      </c>
      <c r="D377">
        <v>1</v>
      </c>
      <c r="E377" s="2">
        <v>45680</v>
      </c>
      <c r="F377" t="s">
        <v>7</v>
      </c>
      <c r="G377" t="s">
        <v>8</v>
      </c>
      <c r="H377" t="s">
        <v>70</v>
      </c>
      <c r="I377" t="s">
        <v>77</v>
      </c>
      <c r="J377" t="s">
        <v>78</v>
      </c>
      <c r="K377" t="s">
        <v>73</v>
      </c>
      <c r="L377">
        <v>706000</v>
      </c>
      <c r="M377" t="s">
        <v>63</v>
      </c>
      <c r="N377" t="s">
        <v>33</v>
      </c>
      <c r="O377">
        <v>233</v>
      </c>
      <c r="P377">
        <v>1.8</v>
      </c>
      <c r="Q377">
        <v>0.42</v>
      </c>
      <c r="R377" t="s">
        <v>1205</v>
      </c>
      <c r="S377" t="s">
        <v>195</v>
      </c>
    </row>
    <row r="378" spans="1:19" x14ac:dyDescent="0.3">
      <c r="A378" t="s">
        <v>571</v>
      </c>
      <c r="B378" t="s">
        <v>22</v>
      </c>
      <c r="C378">
        <v>2025</v>
      </c>
      <c r="D378">
        <v>1</v>
      </c>
      <c r="E378" s="2">
        <v>45680</v>
      </c>
      <c r="F378" t="s">
        <v>7</v>
      </c>
      <c r="G378" t="s">
        <v>8</v>
      </c>
      <c r="H378" t="s">
        <v>70</v>
      </c>
      <c r="I378" t="s">
        <v>77</v>
      </c>
      <c r="J378" t="s">
        <v>78</v>
      </c>
      <c r="K378" t="s">
        <v>73</v>
      </c>
      <c r="L378">
        <v>706000</v>
      </c>
      <c r="M378" t="s">
        <v>63</v>
      </c>
      <c r="N378" t="s">
        <v>33</v>
      </c>
      <c r="O378">
        <v>2125</v>
      </c>
      <c r="P378">
        <v>1.8</v>
      </c>
      <c r="Q378">
        <v>3.82</v>
      </c>
      <c r="R378" t="s">
        <v>1200</v>
      </c>
      <c r="S378" t="s">
        <v>195</v>
      </c>
    </row>
    <row r="379" spans="1:19" x14ac:dyDescent="0.3">
      <c r="A379" t="s">
        <v>572</v>
      </c>
      <c r="B379" t="s">
        <v>22</v>
      </c>
      <c r="C379">
        <v>2025</v>
      </c>
      <c r="D379">
        <v>1</v>
      </c>
      <c r="E379" s="2">
        <v>45680</v>
      </c>
      <c r="F379" t="s">
        <v>7</v>
      </c>
      <c r="G379" t="s">
        <v>8</v>
      </c>
      <c r="H379" t="s">
        <v>70</v>
      </c>
      <c r="I379" t="s">
        <v>77</v>
      </c>
      <c r="J379" t="s">
        <v>78</v>
      </c>
      <c r="K379" t="s">
        <v>73</v>
      </c>
      <c r="L379">
        <v>706000</v>
      </c>
      <c r="M379" t="s">
        <v>63</v>
      </c>
      <c r="N379" t="s">
        <v>33</v>
      </c>
      <c r="O379">
        <v>692</v>
      </c>
      <c r="P379">
        <v>1.79</v>
      </c>
      <c r="Q379">
        <v>1.24</v>
      </c>
      <c r="R379" t="s">
        <v>1204</v>
      </c>
      <c r="S379" t="s">
        <v>195</v>
      </c>
    </row>
    <row r="380" spans="1:19" x14ac:dyDescent="0.3">
      <c r="A380" t="s">
        <v>573</v>
      </c>
      <c r="B380" t="s">
        <v>22</v>
      </c>
      <c r="C380">
        <v>2025</v>
      </c>
      <c r="D380">
        <v>1</v>
      </c>
      <c r="E380" s="2">
        <v>45680</v>
      </c>
      <c r="F380" t="s">
        <v>7</v>
      </c>
      <c r="G380" t="s">
        <v>8</v>
      </c>
      <c r="H380" t="s">
        <v>70</v>
      </c>
      <c r="I380" t="s">
        <v>77</v>
      </c>
      <c r="J380" t="s">
        <v>78</v>
      </c>
      <c r="K380" t="s">
        <v>73</v>
      </c>
      <c r="L380">
        <v>706000</v>
      </c>
      <c r="M380" t="s">
        <v>63</v>
      </c>
      <c r="N380" t="s">
        <v>33</v>
      </c>
      <c r="O380">
        <v>1401</v>
      </c>
      <c r="P380">
        <v>1.8</v>
      </c>
      <c r="Q380">
        <v>2.52</v>
      </c>
      <c r="R380" t="s">
        <v>1199</v>
      </c>
      <c r="S380" t="s">
        <v>195</v>
      </c>
    </row>
    <row r="381" spans="1:19" x14ac:dyDescent="0.3">
      <c r="A381" t="s">
        <v>574</v>
      </c>
      <c r="B381" t="s">
        <v>22</v>
      </c>
      <c r="C381">
        <v>2025</v>
      </c>
      <c r="D381">
        <v>1</v>
      </c>
      <c r="E381" s="2">
        <v>45680</v>
      </c>
      <c r="F381" t="s">
        <v>7</v>
      </c>
      <c r="G381" t="s">
        <v>8</v>
      </c>
      <c r="H381" t="s">
        <v>70</v>
      </c>
      <c r="I381" t="s">
        <v>77</v>
      </c>
      <c r="J381" t="s">
        <v>78</v>
      </c>
      <c r="K381" t="s">
        <v>73</v>
      </c>
      <c r="L381">
        <v>706000</v>
      </c>
      <c r="M381" t="s">
        <v>63</v>
      </c>
      <c r="N381" t="s">
        <v>33</v>
      </c>
      <c r="O381">
        <v>634</v>
      </c>
      <c r="P381">
        <v>1.81</v>
      </c>
      <c r="Q381">
        <v>1.1499999999999999</v>
      </c>
      <c r="R381" t="s">
        <v>1202</v>
      </c>
      <c r="S381" t="s">
        <v>195</v>
      </c>
    </row>
    <row r="382" spans="1:19" x14ac:dyDescent="0.3">
      <c r="A382" t="s">
        <v>575</v>
      </c>
      <c r="B382" t="s">
        <v>22</v>
      </c>
      <c r="C382">
        <v>2025</v>
      </c>
      <c r="D382">
        <v>1</v>
      </c>
      <c r="E382" s="2">
        <v>45669</v>
      </c>
      <c r="F382" t="s">
        <v>7</v>
      </c>
      <c r="G382" t="s">
        <v>8</v>
      </c>
      <c r="H382" t="s">
        <v>74</v>
      </c>
      <c r="I382" t="s">
        <v>77</v>
      </c>
      <c r="J382" t="s">
        <v>78</v>
      </c>
      <c r="K382" t="s">
        <v>73</v>
      </c>
      <c r="L382">
        <v>701000</v>
      </c>
      <c r="M382" t="s">
        <v>62</v>
      </c>
      <c r="N382" t="s">
        <v>33</v>
      </c>
      <c r="O382">
        <v>1367</v>
      </c>
      <c r="P382">
        <v>1.8</v>
      </c>
      <c r="Q382">
        <v>2.46</v>
      </c>
      <c r="R382" t="s">
        <v>1202</v>
      </c>
      <c r="S382" t="s">
        <v>195</v>
      </c>
    </row>
    <row r="383" spans="1:19" x14ac:dyDescent="0.3">
      <c r="A383" t="s">
        <v>576</v>
      </c>
      <c r="B383" t="s">
        <v>22</v>
      </c>
      <c r="C383">
        <v>2025</v>
      </c>
      <c r="D383">
        <v>1</v>
      </c>
      <c r="E383" s="2">
        <v>45669</v>
      </c>
      <c r="F383" t="s">
        <v>7</v>
      </c>
      <c r="G383" t="s">
        <v>8</v>
      </c>
      <c r="H383" t="s">
        <v>74</v>
      </c>
      <c r="I383" t="s">
        <v>77</v>
      </c>
      <c r="J383" t="s">
        <v>78</v>
      </c>
      <c r="K383" t="s">
        <v>73</v>
      </c>
      <c r="L383">
        <v>701000</v>
      </c>
      <c r="M383" t="s">
        <v>62</v>
      </c>
      <c r="N383" t="s">
        <v>33</v>
      </c>
      <c r="O383">
        <v>472</v>
      </c>
      <c r="P383">
        <v>1.8</v>
      </c>
      <c r="Q383">
        <v>0.85</v>
      </c>
      <c r="R383" t="s">
        <v>1201</v>
      </c>
      <c r="S383" t="s">
        <v>195</v>
      </c>
    </row>
    <row r="384" spans="1:19" x14ac:dyDescent="0.3">
      <c r="A384" t="s">
        <v>577</v>
      </c>
      <c r="B384" t="s">
        <v>22</v>
      </c>
      <c r="C384">
        <v>2025</v>
      </c>
      <c r="D384">
        <v>1</v>
      </c>
      <c r="E384" s="2">
        <v>45669</v>
      </c>
      <c r="F384" t="s">
        <v>7</v>
      </c>
      <c r="G384" t="s">
        <v>8</v>
      </c>
      <c r="H384" t="s">
        <v>74</v>
      </c>
      <c r="I384" t="s">
        <v>77</v>
      </c>
      <c r="J384" t="s">
        <v>78</v>
      </c>
      <c r="K384" t="s">
        <v>73</v>
      </c>
      <c r="L384">
        <v>701000</v>
      </c>
      <c r="M384" t="s">
        <v>62</v>
      </c>
      <c r="N384" t="s">
        <v>33</v>
      </c>
      <c r="O384">
        <v>637</v>
      </c>
      <c r="P384">
        <v>1.81</v>
      </c>
      <c r="Q384">
        <v>1.1499999999999999</v>
      </c>
      <c r="R384" t="s">
        <v>1198</v>
      </c>
      <c r="S384" t="s">
        <v>195</v>
      </c>
    </row>
    <row r="385" spans="1:19" x14ac:dyDescent="0.3">
      <c r="A385" t="s">
        <v>578</v>
      </c>
      <c r="B385" t="s">
        <v>22</v>
      </c>
      <c r="C385">
        <v>2025</v>
      </c>
      <c r="D385">
        <v>1</v>
      </c>
      <c r="E385" s="2">
        <v>45669</v>
      </c>
      <c r="F385" t="s">
        <v>7</v>
      </c>
      <c r="G385" t="s">
        <v>8</v>
      </c>
      <c r="H385" t="s">
        <v>74</v>
      </c>
      <c r="I385" t="s">
        <v>77</v>
      </c>
      <c r="J385" t="s">
        <v>78</v>
      </c>
      <c r="K385" t="s">
        <v>73</v>
      </c>
      <c r="L385">
        <v>701000</v>
      </c>
      <c r="M385" t="s">
        <v>62</v>
      </c>
      <c r="N385" t="s">
        <v>33</v>
      </c>
      <c r="O385">
        <v>869</v>
      </c>
      <c r="P385">
        <v>1.8</v>
      </c>
      <c r="Q385">
        <v>1.56</v>
      </c>
      <c r="R385" t="s">
        <v>1199</v>
      </c>
      <c r="S385" t="s">
        <v>195</v>
      </c>
    </row>
    <row r="386" spans="1:19" x14ac:dyDescent="0.3">
      <c r="A386" t="s">
        <v>579</v>
      </c>
      <c r="B386" t="s">
        <v>22</v>
      </c>
      <c r="C386">
        <v>2025</v>
      </c>
      <c r="D386">
        <v>1</v>
      </c>
      <c r="E386" s="2">
        <v>45669</v>
      </c>
      <c r="F386" t="s">
        <v>7</v>
      </c>
      <c r="G386" t="s">
        <v>8</v>
      </c>
      <c r="H386" t="s">
        <v>74</v>
      </c>
      <c r="I386" t="s">
        <v>77</v>
      </c>
      <c r="J386" t="s">
        <v>78</v>
      </c>
      <c r="K386" t="s">
        <v>73</v>
      </c>
      <c r="L386">
        <v>701000</v>
      </c>
      <c r="M386" t="s">
        <v>62</v>
      </c>
      <c r="N386" t="s">
        <v>33</v>
      </c>
      <c r="O386">
        <v>833</v>
      </c>
      <c r="P386">
        <v>1.8</v>
      </c>
      <c r="Q386">
        <v>1.5</v>
      </c>
      <c r="R386" t="s">
        <v>1197</v>
      </c>
      <c r="S386" t="s">
        <v>195</v>
      </c>
    </row>
    <row r="387" spans="1:19" x14ac:dyDescent="0.3">
      <c r="A387" t="s">
        <v>580</v>
      </c>
      <c r="B387" t="s">
        <v>22</v>
      </c>
      <c r="C387">
        <v>2025</v>
      </c>
      <c r="D387">
        <v>1</v>
      </c>
      <c r="E387" s="2">
        <v>45659</v>
      </c>
      <c r="F387" t="s">
        <v>7</v>
      </c>
      <c r="G387" t="s">
        <v>8</v>
      </c>
      <c r="H387" t="s">
        <v>74</v>
      </c>
      <c r="I387" t="s">
        <v>77</v>
      </c>
      <c r="J387" t="s">
        <v>78</v>
      </c>
      <c r="K387" t="s">
        <v>73</v>
      </c>
      <c r="L387">
        <v>701000</v>
      </c>
      <c r="M387" t="s">
        <v>62</v>
      </c>
      <c r="N387" t="s">
        <v>33</v>
      </c>
      <c r="O387">
        <v>736</v>
      </c>
      <c r="P387">
        <v>1.81</v>
      </c>
      <c r="Q387">
        <v>1.33</v>
      </c>
      <c r="R387" t="s">
        <v>1202</v>
      </c>
      <c r="S387" t="s">
        <v>195</v>
      </c>
    </row>
    <row r="388" spans="1:19" x14ac:dyDescent="0.3">
      <c r="A388" t="s">
        <v>581</v>
      </c>
      <c r="B388" t="s">
        <v>22</v>
      </c>
      <c r="C388">
        <v>2025</v>
      </c>
      <c r="D388">
        <v>1</v>
      </c>
      <c r="E388" s="2">
        <v>45659</v>
      </c>
      <c r="F388" t="s">
        <v>7</v>
      </c>
      <c r="G388" t="s">
        <v>8</v>
      </c>
      <c r="H388" t="s">
        <v>74</v>
      </c>
      <c r="I388" t="s">
        <v>77</v>
      </c>
      <c r="J388" t="s">
        <v>78</v>
      </c>
      <c r="K388" t="s">
        <v>73</v>
      </c>
      <c r="L388">
        <v>701000</v>
      </c>
      <c r="M388" t="s">
        <v>62</v>
      </c>
      <c r="N388" t="s">
        <v>33</v>
      </c>
      <c r="O388">
        <v>589</v>
      </c>
      <c r="P388">
        <v>1.8</v>
      </c>
      <c r="Q388">
        <v>1.06</v>
      </c>
      <c r="R388" t="s">
        <v>1200</v>
      </c>
      <c r="S388" t="s">
        <v>195</v>
      </c>
    </row>
    <row r="389" spans="1:19" x14ac:dyDescent="0.3">
      <c r="A389" t="s">
        <v>582</v>
      </c>
      <c r="B389" t="s">
        <v>22</v>
      </c>
      <c r="C389">
        <v>2025</v>
      </c>
      <c r="D389">
        <v>1</v>
      </c>
      <c r="E389" s="2">
        <v>45659</v>
      </c>
      <c r="F389" t="s">
        <v>7</v>
      </c>
      <c r="G389" t="s">
        <v>8</v>
      </c>
      <c r="H389" t="s">
        <v>74</v>
      </c>
      <c r="I389" t="s">
        <v>77</v>
      </c>
      <c r="J389" t="s">
        <v>78</v>
      </c>
      <c r="K389" t="s">
        <v>73</v>
      </c>
      <c r="L389">
        <v>701000</v>
      </c>
      <c r="M389" t="s">
        <v>62</v>
      </c>
      <c r="N389" t="s">
        <v>33</v>
      </c>
      <c r="O389">
        <v>1743</v>
      </c>
      <c r="P389">
        <v>1.8</v>
      </c>
      <c r="Q389">
        <v>3.14</v>
      </c>
      <c r="R389" t="s">
        <v>1197</v>
      </c>
      <c r="S389" t="s">
        <v>195</v>
      </c>
    </row>
    <row r="390" spans="1:19" x14ac:dyDescent="0.3">
      <c r="A390" t="s">
        <v>583</v>
      </c>
      <c r="B390" t="s">
        <v>22</v>
      </c>
      <c r="C390">
        <v>2025</v>
      </c>
      <c r="D390">
        <v>1</v>
      </c>
      <c r="E390" s="2">
        <v>45659</v>
      </c>
      <c r="F390" t="s">
        <v>7</v>
      </c>
      <c r="G390" t="s">
        <v>8</v>
      </c>
      <c r="H390" t="s">
        <v>74</v>
      </c>
      <c r="I390" t="s">
        <v>77</v>
      </c>
      <c r="J390" t="s">
        <v>78</v>
      </c>
      <c r="K390" t="s">
        <v>73</v>
      </c>
      <c r="L390">
        <v>701000</v>
      </c>
      <c r="M390" t="s">
        <v>62</v>
      </c>
      <c r="N390" t="s">
        <v>33</v>
      </c>
      <c r="O390">
        <v>1265</v>
      </c>
      <c r="P390">
        <v>1.8</v>
      </c>
      <c r="Q390">
        <v>2.2799999999999998</v>
      </c>
      <c r="R390" t="s">
        <v>1204</v>
      </c>
      <c r="S390" t="s">
        <v>195</v>
      </c>
    </row>
    <row r="391" spans="1:19" x14ac:dyDescent="0.3">
      <c r="A391" t="s">
        <v>584</v>
      </c>
      <c r="B391" t="s">
        <v>22</v>
      </c>
      <c r="C391">
        <v>2025</v>
      </c>
      <c r="D391">
        <v>1</v>
      </c>
      <c r="E391" s="2">
        <v>45659</v>
      </c>
      <c r="F391" t="s">
        <v>7</v>
      </c>
      <c r="G391" t="s">
        <v>8</v>
      </c>
      <c r="H391" t="s">
        <v>74</v>
      </c>
      <c r="I391" t="s">
        <v>77</v>
      </c>
      <c r="J391" t="s">
        <v>78</v>
      </c>
      <c r="K391" t="s">
        <v>73</v>
      </c>
      <c r="L391">
        <v>701000</v>
      </c>
      <c r="M391" t="s">
        <v>62</v>
      </c>
      <c r="N391" t="s">
        <v>33</v>
      </c>
      <c r="O391">
        <v>543</v>
      </c>
      <c r="P391">
        <v>1.79</v>
      </c>
      <c r="Q391">
        <v>0.97</v>
      </c>
      <c r="R391" t="s">
        <v>1199</v>
      </c>
      <c r="S391" t="s">
        <v>195</v>
      </c>
    </row>
    <row r="392" spans="1:19" x14ac:dyDescent="0.3">
      <c r="A392" t="s">
        <v>585</v>
      </c>
      <c r="B392" t="s">
        <v>22</v>
      </c>
      <c r="C392">
        <v>2025</v>
      </c>
      <c r="D392">
        <v>1</v>
      </c>
      <c r="E392" s="2">
        <v>45681</v>
      </c>
      <c r="F392" t="s">
        <v>7</v>
      </c>
      <c r="G392" t="s">
        <v>8</v>
      </c>
      <c r="H392" t="s">
        <v>74</v>
      </c>
      <c r="I392" t="s">
        <v>77</v>
      </c>
      <c r="J392" t="s">
        <v>78</v>
      </c>
      <c r="K392" t="s">
        <v>73</v>
      </c>
      <c r="L392">
        <v>701000</v>
      </c>
      <c r="M392" t="s">
        <v>62</v>
      </c>
      <c r="N392" t="s">
        <v>33</v>
      </c>
      <c r="O392">
        <v>815</v>
      </c>
      <c r="P392">
        <v>1.8</v>
      </c>
      <c r="Q392">
        <v>1.47</v>
      </c>
      <c r="R392" t="s">
        <v>1202</v>
      </c>
      <c r="S392" t="s">
        <v>195</v>
      </c>
    </row>
    <row r="393" spans="1:19" x14ac:dyDescent="0.3">
      <c r="A393" t="s">
        <v>586</v>
      </c>
      <c r="B393" t="s">
        <v>22</v>
      </c>
      <c r="C393">
        <v>2025</v>
      </c>
      <c r="D393">
        <v>1</v>
      </c>
      <c r="E393" s="2">
        <v>45681</v>
      </c>
      <c r="F393" t="s">
        <v>7</v>
      </c>
      <c r="G393" t="s">
        <v>8</v>
      </c>
      <c r="H393" t="s">
        <v>74</v>
      </c>
      <c r="I393" t="s">
        <v>77</v>
      </c>
      <c r="J393" t="s">
        <v>78</v>
      </c>
      <c r="K393" t="s">
        <v>73</v>
      </c>
      <c r="L393">
        <v>701000</v>
      </c>
      <c r="M393" t="s">
        <v>62</v>
      </c>
      <c r="N393" t="s">
        <v>33</v>
      </c>
      <c r="O393">
        <v>842</v>
      </c>
      <c r="P393">
        <v>1.81</v>
      </c>
      <c r="Q393">
        <v>1.52</v>
      </c>
      <c r="R393" t="s">
        <v>1204</v>
      </c>
      <c r="S393" t="s">
        <v>195</v>
      </c>
    </row>
    <row r="394" spans="1:19" x14ac:dyDescent="0.3">
      <c r="A394" t="s">
        <v>587</v>
      </c>
      <c r="B394" t="s">
        <v>22</v>
      </c>
      <c r="C394">
        <v>2025</v>
      </c>
      <c r="D394">
        <v>1</v>
      </c>
      <c r="E394" s="2">
        <v>45681</v>
      </c>
      <c r="F394" t="s">
        <v>7</v>
      </c>
      <c r="G394" t="s">
        <v>8</v>
      </c>
      <c r="H394" t="s">
        <v>74</v>
      </c>
      <c r="I394" t="s">
        <v>77</v>
      </c>
      <c r="J394" t="s">
        <v>78</v>
      </c>
      <c r="K394" t="s">
        <v>73</v>
      </c>
      <c r="L394">
        <v>701000</v>
      </c>
      <c r="M394" t="s">
        <v>62</v>
      </c>
      <c r="N394" t="s">
        <v>33</v>
      </c>
      <c r="O394">
        <v>255</v>
      </c>
      <c r="P394">
        <v>1.8</v>
      </c>
      <c r="Q394">
        <v>0.46</v>
      </c>
      <c r="R394" t="s">
        <v>1203</v>
      </c>
      <c r="S394" t="s">
        <v>195</v>
      </c>
    </row>
    <row r="395" spans="1:19" x14ac:dyDescent="0.3">
      <c r="A395" t="s">
        <v>588</v>
      </c>
      <c r="B395" t="s">
        <v>22</v>
      </c>
      <c r="C395">
        <v>2025</v>
      </c>
      <c r="D395">
        <v>1</v>
      </c>
      <c r="E395" s="2">
        <v>45681</v>
      </c>
      <c r="F395" t="s">
        <v>7</v>
      </c>
      <c r="G395" t="s">
        <v>8</v>
      </c>
      <c r="H395" t="s">
        <v>74</v>
      </c>
      <c r="I395" t="s">
        <v>77</v>
      </c>
      <c r="J395" t="s">
        <v>78</v>
      </c>
      <c r="K395" t="s">
        <v>73</v>
      </c>
      <c r="L395">
        <v>701000</v>
      </c>
      <c r="M395" t="s">
        <v>62</v>
      </c>
      <c r="N395" t="s">
        <v>33</v>
      </c>
      <c r="O395">
        <v>1832</v>
      </c>
      <c r="P395">
        <v>1.8</v>
      </c>
      <c r="Q395">
        <v>3.3</v>
      </c>
      <c r="R395" t="s">
        <v>1205</v>
      </c>
      <c r="S395" t="s">
        <v>195</v>
      </c>
    </row>
    <row r="396" spans="1:19" x14ac:dyDescent="0.3">
      <c r="A396" t="s">
        <v>589</v>
      </c>
      <c r="B396" t="s">
        <v>22</v>
      </c>
      <c r="C396">
        <v>2025</v>
      </c>
      <c r="D396">
        <v>1</v>
      </c>
      <c r="E396" s="2">
        <v>45681</v>
      </c>
      <c r="F396" t="s">
        <v>7</v>
      </c>
      <c r="G396" t="s">
        <v>8</v>
      </c>
      <c r="H396" t="s">
        <v>74</v>
      </c>
      <c r="I396" t="s">
        <v>77</v>
      </c>
      <c r="J396" t="s">
        <v>78</v>
      </c>
      <c r="K396" t="s">
        <v>73</v>
      </c>
      <c r="L396">
        <v>701000</v>
      </c>
      <c r="M396" t="s">
        <v>62</v>
      </c>
      <c r="N396" t="s">
        <v>33</v>
      </c>
      <c r="O396">
        <v>363</v>
      </c>
      <c r="P396">
        <v>1.76</v>
      </c>
      <c r="Q396">
        <v>0.64</v>
      </c>
      <c r="R396" t="s">
        <v>1198</v>
      </c>
      <c r="S396" t="s">
        <v>195</v>
      </c>
    </row>
    <row r="397" spans="1:19" x14ac:dyDescent="0.3">
      <c r="A397" t="s">
        <v>590</v>
      </c>
      <c r="B397" t="s">
        <v>22</v>
      </c>
      <c r="C397">
        <v>2025</v>
      </c>
      <c r="D397">
        <v>1</v>
      </c>
      <c r="E397" s="2">
        <v>45666</v>
      </c>
      <c r="F397" t="s">
        <v>7</v>
      </c>
      <c r="G397" t="s">
        <v>8</v>
      </c>
      <c r="H397" t="s">
        <v>70</v>
      </c>
      <c r="I397" t="s">
        <v>77</v>
      </c>
      <c r="J397" t="s">
        <v>78</v>
      </c>
      <c r="K397" t="s">
        <v>73</v>
      </c>
      <c r="L397">
        <v>701000</v>
      </c>
      <c r="M397" t="s">
        <v>62</v>
      </c>
      <c r="N397" t="s">
        <v>33</v>
      </c>
      <c r="O397">
        <v>1669</v>
      </c>
      <c r="P397">
        <v>1.8</v>
      </c>
      <c r="Q397">
        <v>3</v>
      </c>
      <c r="R397" t="s">
        <v>1202</v>
      </c>
      <c r="S397" t="s">
        <v>195</v>
      </c>
    </row>
    <row r="398" spans="1:19" x14ac:dyDescent="0.3">
      <c r="A398" t="s">
        <v>591</v>
      </c>
      <c r="B398" t="s">
        <v>22</v>
      </c>
      <c r="C398">
        <v>2025</v>
      </c>
      <c r="D398">
        <v>1</v>
      </c>
      <c r="E398" s="2">
        <v>45666</v>
      </c>
      <c r="F398" t="s">
        <v>7</v>
      </c>
      <c r="G398" t="s">
        <v>8</v>
      </c>
      <c r="H398" t="s">
        <v>70</v>
      </c>
      <c r="I398" t="s">
        <v>77</v>
      </c>
      <c r="J398" t="s">
        <v>78</v>
      </c>
      <c r="K398" t="s">
        <v>73</v>
      </c>
      <c r="L398">
        <v>701000</v>
      </c>
      <c r="M398" t="s">
        <v>62</v>
      </c>
      <c r="N398" t="s">
        <v>33</v>
      </c>
      <c r="O398">
        <v>316</v>
      </c>
      <c r="P398">
        <v>1.8</v>
      </c>
      <c r="Q398">
        <v>0.56999999999999995</v>
      </c>
      <c r="R398" t="s">
        <v>1201</v>
      </c>
      <c r="S398" t="s">
        <v>195</v>
      </c>
    </row>
    <row r="399" spans="1:19" x14ac:dyDescent="0.3">
      <c r="A399" t="s">
        <v>592</v>
      </c>
      <c r="B399" t="s">
        <v>22</v>
      </c>
      <c r="C399">
        <v>2025</v>
      </c>
      <c r="D399">
        <v>1</v>
      </c>
      <c r="E399" s="2">
        <v>45666</v>
      </c>
      <c r="F399" t="s">
        <v>7</v>
      </c>
      <c r="G399" t="s">
        <v>8</v>
      </c>
      <c r="H399" t="s">
        <v>70</v>
      </c>
      <c r="I399" t="s">
        <v>77</v>
      </c>
      <c r="J399" t="s">
        <v>78</v>
      </c>
      <c r="K399" t="s">
        <v>73</v>
      </c>
      <c r="L399">
        <v>701000</v>
      </c>
      <c r="M399" t="s">
        <v>62</v>
      </c>
      <c r="N399" t="s">
        <v>33</v>
      </c>
      <c r="O399">
        <v>1138</v>
      </c>
      <c r="P399">
        <v>1.8</v>
      </c>
      <c r="Q399">
        <v>2.0499999999999998</v>
      </c>
      <c r="R399" t="s">
        <v>1205</v>
      </c>
      <c r="S399" t="s">
        <v>195</v>
      </c>
    </row>
    <row r="400" spans="1:19" x14ac:dyDescent="0.3">
      <c r="A400" t="s">
        <v>593</v>
      </c>
      <c r="B400" t="s">
        <v>22</v>
      </c>
      <c r="C400">
        <v>2025</v>
      </c>
      <c r="D400">
        <v>1</v>
      </c>
      <c r="E400" s="2">
        <v>45666</v>
      </c>
      <c r="F400" t="s">
        <v>7</v>
      </c>
      <c r="G400" t="s">
        <v>8</v>
      </c>
      <c r="H400" t="s">
        <v>70</v>
      </c>
      <c r="I400" t="s">
        <v>77</v>
      </c>
      <c r="J400" t="s">
        <v>78</v>
      </c>
      <c r="K400" t="s">
        <v>73</v>
      </c>
      <c r="L400">
        <v>701000</v>
      </c>
      <c r="M400" t="s">
        <v>62</v>
      </c>
      <c r="N400" t="s">
        <v>33</v>
      </c>
      <c r="O400">
        <v>920</v>
      </c>
      <c r="P400">
        <v>1.8</v>
      </c>
      <c r="Q400">
        <v>1.66</v>
      </c>
      <c r="R400" t="s">
        <v>1197</v>
      </c>
      <c r="S400" t="s">
        <v>195</v>
      </c>
    </row>
    <row r="401" spans="1:19" x14ac:dyDescent="0.3">
      <c r="A401" t="s">
        <v>594</v>
      </c>
      <c r="B401" t="s">
        <v>22</v>
      </c>
      <c r="C401">
        <v>2025</v>
      </c>
      <c r="D401">
        <v>1</v>
      </c>
      <c r="E401" s="2">
        <v>45666</v>
      </c>
      <c r="F401" t="s">
        <v>7</v>
      </c>
      <c r="G401" t="s">
        <v>8</v>
      </c>
      <c r="H401" t="s">
        <v>70</v>
      </c>
      <c r="I401" t="s">
        <v>77</v>
      </c>
      <c r="J401" t="s">
        <v>78</v>
      </c>
      <c r="K401" t="s">
        <v>73</v>
      </c>
      <c r="L401">
        <v>701000</v>
      </c>
      <c r="M401" t="s">
        <v>62</v>
      </c>
      <c r="N401" t="s">
        <v>33</v>
      </c>
      <c r="O401">
        <v>459</v>
      </c>
      <c r="P401">
        <v>1.79</v>
      </c>
      <c r="Q401">
        <v>0.82</v>
      </c>
      <c r="R401" t="s">
        <v>1200</v>
      </c>
      <c r="S401" t="s">
        <v>195</v>
      </c>
    </row>
    <row r="402" spans="1:19" x14ac:dyDescent="0.3">
      <c r="A402" t="s">
        <v>595</v>
      </c>
      <c r="B402" t="s">
        <v>22</v>
      </c>
      <c r="C402">
        <v>2025</v>
      </c>
      <c r="D402">
        <v>1</v>
      </c>
      <c r="E402" s="2">
        <v>45674</v>
      </c>
      <c r="F402" t="s">
        <v>7</v>
      </c>
      <c r="G402" t="s">
        <v>8</v>
      </c>
      <c r="H402" t="s">
        <v>70</v>
      </c>
      <c r="I402" t="s">
        <v>77</v>
      </c>
      <c r="J402" t="s">
        <v>78</v>
      </c>
      <c r="K402" t="s">
        <v>73</v>
      </c>
      <c r="L402">
        <v>701000</v>
      </c>
      <c r="M402" t="s">
        <v>62</v>
      </c>
      <c r="N402" t="s">
        <v>33</v>
      </c>
      <c r="O402">
        <v>1336</v>
      </c>
      <c r="P402">
        <v>1.8</v>
      </c>
      <c r="Q402">
        <v>2.41</v>
      </c>
      <c r="R402" t="s">
        <v>1201</v>
      </c>
      <c r="S402" t="s">
        <v>195</v>
      </c>
    </row>
    <row r="403" spans="1:19" x14ac:dyDescent="0.3">
      <c r="A403" t="s">
        <v>596</v>
      </c>
      <c r="B403" t="s">
        <v>22</v>
      </c>
      <c r="C403">
        <v>2025</v>
      </c>
      <c r="D403">
        <v>1</v>
      </c>
      <c r="E403" s="2">
        <v>45674</v>
      </c>
      <c r="F403" t="s">
        <v>7</v>
      </c>
      <c r="G403" t="s">
        <v>8</v>
      </c>
      <c r="H403" t="s">
        <v>70</v>
      </c>
      <c r="I403" t="s">
        <v>77</v>
      </c>
      <c r="J403" t="s">
        <v>78</v>
      </c>
      <c r="K403" t="s">
        <v>73</v>
      </c>
      <c r="L403">
        <v>701000</v>
      </c>
      <c r="M403" t="s">
        <v>62</v>
      </c>
      <c r="N403" t="s">
        <v>33</v>
      </c>
      <c r="O403">
        <v>1146</v>
      </c>
      <c r="P403">
        <v>1.8</v>
      </c>
      <c r="Q403">
        <v>2.06</v>
      </c>
      <c r="R403" t="s">
        <v>1204</v>
      </c>
      <c r="S403" t="s">
        <v>195</v>
      </c>
    </row>
    <row r="404" spans="1:19" x14ac:dyDescent="0.3">
      <c r="A404" t="s">
        <v>597</v>
      </c>
      <c r="B404" t="s">
        <v>22</v>
      </c>
      <c r="C404">
        <v>2025</v>
      </c>
      <c r="D404">
        <v>1</v>
      </c>
      <c r="E404" s="2">
        <v>45674</v>
      </c>
      <c r="F404" t="s">
        <v>7</v>
      </c>
      <c r="G404" t="s">
        <v>8</v>
      </c>
      <c r="H404" t="s">
        <v>70</v>
      </c>
      <c r="I404" t="s">
        <v>77</v>
      </c>
      <c r="J404" t="s">
        <v>78</v>
      </c>
      <c r="K404" t="s">
        <v>73</v>
      </c>
      <c r="L404">
        <v>701000</v>
      </c>
      <c r="M404" t="s">
        <v>62</v>
      </c>
      <c r="N404" t="s">
        <v>33</v>
      </c>
      <c r="O404">
        <v>1125</v>
      </c>
      <c r="P404">
        <v>1.8</v>
      </c>
      <c r="Q404">
        <v>2.0299999999999998</v>
      </c>
      <c r="R404" t="s">
        <v>1197</v>
      </c>
      <c r="S404" t="s">
        <v>195</v>
      </c>
    </row>
    <row r="405" spans="1:19" x14ac:dyDescent="0.3">
      <c r="A405" t="s">
        <v>598</v>
      </c>
      <c r="B405" t="s">
        <v>22</v>
      </c>
      <c r="C405">
        <v>2025</v>
      </c>
      <c r="D405">
        <v>1</v>
      </c>
      <c r="E405" s="2">
        <v>45674</v>
      </c>
      <c r="F405" t="s">
        <v>7</v>
      </c>
      <c r="G405" t="s">
        <v>8</v>
      </c>
      <c r="H405" t="s">
        <v>70</v>
      </c>
      <c r="I405" t="s">
        <v>77</v>
      </c>
      <c r="J405" t="s">
        <v>78</v>
      </c>
      <c r="K405" t="s">
        <v>73</v>
      </c>
      <c r="L405">
        <v>701000</v>
      </c>
      <c r="M405" t="s">
        <v>62</v>
      </c>
      <c r="N405" t="s">
        <v>33</v>
      </c>
      <c r="O405">
        <v>366</v>
      </c>
      <c r="P405">
        <v>1.8</v>
      </c>
      <c r="Q405">
        <v>0.66</v>
      </c>
      <c r="R405" t="s">
        <v>1200</v>
      </c>
      <c r="S405" t="s">
        <v>195</v>
      </c>
    </row>
    <row r="406" spans="1:19" x14ac:dyDescent="0.3">
      <c r="A406" t="s">
        <v>599</v>
      </c>
      <c r="B406" t="s">
        <v>22</v>
      </c>
      <c r="C406">
        <v>2025</v>
      </c>
      <c r="D406">
        <v>1</v>
      </c>
      <c r="E406" s="2">
        <v>45674</v>
      </c>
      <c r="F406" t="s">
        <v>7</v>
      </c>
      <c r="G406" t="s">
        <v>8</v>
      </c>
      <c r="H406" t="s">
        <v>70</v>
      </c>
      <c r="I406" t="s">
        <v>77</v>
      </c>
      <c r="J406" t="s">
        <v>78</v>
      </c>
      <c r="K406" t="s">
        <v>73</v>
      </c>
      <c r="L406">
        <v>701000</v>
      </c>
      <c r="M406" t="s">
        <v>62</v>
      </c>
      <c r="N406" t="s">
        <v>33</v>
      </c>
      <c r="O406">
        <v>447</v>
      </c>
      <c r="P406">
        <v>1.79</v>
      </c>
      <c r="Q406">
        <v>0.8</v>
      </c>
      <c r="R406" t="s">
        <v>1199</v>
      </c>
      <c r="S406" t="s">
        <v>195</v>
      </c>
    </row>
    <row r="407" spans="1:19" x14ac:dyDescent="0.3">
      <c r="A407" t="s">
        <v>600</v>
      </c>
      <c r="B407" t="s">
        <v>22</v>
      </c>
      <c r="C407">
        <v>2025</v>
      </c>
      <c r="D407">
        <v>1</v>
      </c>
      <c r="E407" s="2">
        <v>45660</v>
      </c>
      <c r="F407" t="s">
        <v>7</v>
      </c>
      <c r="G407" t="s">
        <v>8</v>
      </c>
      <c r="H407" t="s">
        <v>74</v>
      </c>
      <c r="I407" t="s">
        <v>77</v>
      </c>
      <c r="J407" t="s">
        <v>78</v>
      </c>
      <c r="K407" t="s">
        <v>73</v>
      </c>
      <c r="L407">
        <v>701000</v>
      </c>
      <c r="M407" t="s">
        <v>62</v>
      </c>
      <c r="N407" t="s">
        <v>33</v>
      </c>
      <c r="O407">
        <v>431</v>
      </c>
      <c r="P407">
        <v>1.81</v>
      </c>
      <c r="Q407">
        <v>0.78</v>
      </c>
      <c r="R407" t="s">
        <v>1200</v>
      </c>
      <c r="S407" t="s">
        <v>195</v>
      </c>
    </row>
    <row r="408" spans="1:19" x14ac:dyDescent="0.3">
      <c r="A408" t="s">
        <v>601</v>
      </c>
      <c r="B408" t="s">
        <v>22</v>
      </c>
      <c r="C408">
        <v>2025</v>
      </c>
      <c r="D408">
        <v>1</v>
      </c>
      <c r="E408" s="2">
        <v>45660</v>
      </c>
      <c r="F408" t="s">
        <v>7</v>
      </c>
      <c r="G408" t="s">
        <v>8</v>
      </c>
      <c r="H408" t="s">
        <v>74</v>
      </c>
      <c r="I408" t="s">
        <v>77</v>
      </c>
      <c r="J408" t="s">
        <v>78</v>
      </c>
      <c r="K408" t="s">
        <v>73</v>
      </c>
      <c r="L408">
        <v>701000</v>
      </c>
      <c r="M408" t="s">
        <v>62</v>
      </c>
      <c r="N408" t="s">
        <v>33</v>
      </c>
      <c r="O408">
        <v>1054</v>
      </c>
      <c r="P408">
        <v>1.8</v>
      </c>
      <c r="Q408">
        <v>1.9</v>
      </c>
      <c r="R408" t="s">
        <v>1205</v>
      </c>
      <c r="S408" t="s">
        <v>195</v>
      </c>
    </row>
    <row r="409" spans="1:19" x14ac:dyDescent="0.3">
      <c r="A409" t="s">
        <v>602</v>
      </c>
      <c r="B409" t="s">
        <v>22</v>
      </c>
      <c r="C409">
        <v>2025</v>
      </c>
      <c r="D409">
        <v>1</v>
      </c>
      <c r="E409" s="2">
        <v>45660</v>
      </c>
      <c r="F409" t="s">
        <v>7</v>
      </c>
      <c r="G409" t="s">
        <v>8</v>
      </c>
      <c r="H409" t="s">
        <v>74</v>
      </c>
      <c r="I409" t="s">
        <v>77</v>
      </c>
      <c r="J409" t="s">
        <v>78</v>
      </c>
      <c r="K409" t="s">
        <v>73</v>
      </c>
      <c r="L409">
        <v>701000</v>
      </c>
      <c r="M409" t="s">
        <v>62</v>
      </c>
      <c r="N409" t="s">
        <v>33</v>
      </c>
      <c r="O409">
        <v>1322</v>
      </c>
      <c r="P409">
        <v>1.8</v>
      </c>
      <c r="Q409">
        <v>2.38</v>
      </c>
      <c r="R409" t="s">
        <v>1202</v>
      </c>
      <c r="S409" t="s">
        <v>195</v>
      </c>
    </row>
    <row r="410" spans="1:19" x14ac:dyDescent="0.3">
      <c r="A410" t="s">
        <v>603</v>
      </c>
      <c r="B410" t="s">
        <v>22</v>
      </c>
      <c r="C410">
        <v>2025</v>
      </c>
      <c r="D410">
        <v>1</v>
      </c>
      <c r="E410" s="2">
        <v>45660</v>
      </c>
      <c r="F410" t="s">
        <v>7</v>
      </c>
      <c r="G410" t="s">
        <v>8</v>
      </c>
      <c r="H410" t="s">
        <v>74</v>
      </c>
      <c r="I410" t="s">
        <v>77</v>
      </c>
      <c r="J410" t="s">
        <v>78</v>
      </c>
      <c r="K410" t="s">
        <v>73</v>
      </c>
      <c r="L410">
        <v>701000</v>
      </c>
      <c r="M410" t="s">
        <v>62</v>
      </c>
      <c r="N410" t="s">
        <v>33</v>
      </c>
      <c r="O410">
        <v>1179</v>
      </c>
      <c r="P410">
        <v>1.8</v>
      </c>
      <c r="Q410">
        <v>2.12</v>
      </c>
      <c r="R410" t="s">
        <v>1197</v>
      </c>
      <c r="S410" t="s">
        <v>195</v>
      </c>
    </row>
    <row r="411" spans="1:19" x14ac:dyDescent="0.3">
      <c r="A411" t="s">
        <v>604</v>
      </c>
      <c r="B411" t="s">
        <v>22</v>
      </c>
      <c r="C411">
        <v>2025</v>
      </c>
      <c r="D411">
        <v>1</v>
      </c>
      <c r="E411" s="2">
        <v>45660</v>
      </c>
      <c r="F411" t="s">
        <v>7</v>
      </c>
      <c r="G411" t="s">
        <v>8</v>
      </c>
      <c r="H411" t="s">
        <v>74</v>
      </c>
      <c r="I411" t="s">
        <v>77</v>
      </c>
      <c r="J411" t="s">
        <v>78</v>
      </c>
      <c r="K411" t="s">
        <v>73</v>
      </c>
      <c r="L411">
        <v>701000</v>
      </c>
      <c r="M411" t="s">
        <v>62</v>
      </c>
      <c r="N411" t="s">
        <v>33</v>
      </c>
      <c r="O411">
        <v>1189</v>
      </c>
      <c r="P411">
        <v>1.8</v>
      </c>
      <c r="Q411">
        <v>2.14</v>
      </c>
      <c r="R411" t="s">
        <v>1198</v>
      </c>
      <c r="S411" t="s">
        <v>195</v>
      </c>
    </row>
    <row r="412" spans="1:19" x14ac:dyDescent="0.3">
      <c r="A412" t="s">
        <v>605</v>
      </c>
      <c r="B412" t="s">
        <v>22</v>
      </c>
      <c r="C412">
        <v>2025</v>
      </c>
      <c r="D412">
        <v>1</v>
      </c>
      <c r="E412" s="2">
        <v>45671</v>
      </c>
      <c r="F412" t="s">
        <v>7</v>
      </c>
      <c r="G412" t="s">
        <v>8</v>
      </c>
      <c r="H412" t="s">
        <v>74</v>
      </c>
      <c r="I412" t="s">
        <v>77</v>
      </c>
      <c r="J412" t="s">
        <v>78</v>
      </c>
      <c r="K412" t="s">
        <v>73</v>
      </c>
      <c r="L412">
        <v>701000</v>
      </c>
      <c r="M412" t="s">
        <v>62</v>
      </c>
      <c r="N412" t="s">
        <v>33</v>
      </c>
      <c r="O412">
        <v>683</v>
      </c>
      <c r="P412">
        <v>1.8</v>
      </c>
      <c r="Q412">
        <v>1.23</v>
      </c>
      <c r="R412" t="s">
        <v>1199</v>
      </c>
      <c r="S412" t="s">
        <v>195</v>
      </c>
    </row>
    <row r="413" spans="1:19" x14ac:dyDescent="0.3">
      <c r="A413" t="s">
        <v>606</v>
      </c>
      <c r="B413" t="s">
        <v>22</v>
      </c>
      <c r="C413">
        <v>2025</v>
      </c>
      <c r="D413">
        <v>1</v>
      </c>
      <c r="E413" s="2">
        <v>45671</v>
      </c>
      <c r="F413" t="s">
        <v>7</v>
      </c>
      <c r="G413" t="s">
        <v>8</v>
      </c>
      <c r="H413" t="s">
        <v>74</v>
      </c>
      <c r="I413" t="s">
        <v>77</v>
      </c>
      <c r="J413" t="s">
        <v>78</v>
      </c>
      <c r="K413" t="s">
        <v>73</v>
      </c>
      <c r="L413">
        <v>701000</v>
      </c>
      <c r="M413" t="s">
        <v>62</v>
      </c>
      <c r="N413" t="s">
        <v>33</v>
      </c>
      <c r="O413">
        <v>878</v>
      </c>
      <c r="P413">
        <v>1.8</v>
      </c>
      <c r="Q413">
        <v>1.58</v>
      </c>
      <c r="R413" t="s">
        <v>1198</v>
      </c>
      <c r="S413" t="s">
        <v>195</v>
      </c>
    </row>
    <row r="414" spans="1:19" x14ac:dyDescent="0.3">
      <c r="A414" t="s">
        <v>607</v>
      </c>
      <c r="B414" t="s">
        <v>22</v>
      </c>
      <c r="C414">
        <v>2025</v>
      </c>
      <c r="D414">
        <v>1</v>
      </c>
      <c r="E414" s="2">
        <v>45671</v>
      </c>
      <c r="F414" t="s">
        <v>7</v>
      </c>
      <c r="G414" t="s">
        <v>8</v>
      </c>
      <c r="H414" t="s">
        <v>74</v>
      </c>
      <c r="I414" t="s">
        <v>77</v>
      </c>
      <c r="J414" t="s">
        <v>78</v>
      </c>
      <c r="K414" t="s">
        <v>73</v>
      </c>
      <c r="L414">
        <v>701000</v>
      </c>
      <c r="M414" t="s">
        <v>62</v>
      </c>
      <c r="N414" t="s">
        <v>33</v>
      </c>
      <c r="O414">
        <v>1522</v>
      </c>
      <c r="P414">
        <v>1.8</v>
      </c>
      <c r="Q414">
        <v>2.74</v>
      </c>
      <c r="R414" t="s">
        <v>1197</v>
      </c>
      <c r="S414" t="s">
        <v>195</v>
      </c>
    </row>
    <row r="415" spans="1:19" x14ac:dyDescent="0.3">
      <c r="A415" t="s">
        <v>608</v>
      </c>
      <c r="B415" t="s">
        <v>22</v>
      </c>
      <c r="C415">
        <v>2025</v>
      </c>
      <c r="D415">
        <v>1</v>
      </c>
      <c r="E415" s="2">
        <v>45671</v>
      </c>
      <c r="F415" t="s">
        <v>7</v>
      </c>
      <c r="G415" t="s">
        <v>8</v>
      </c>
      <c r="H415" t="s">
        <v>74</v>
      </c>
      <c r="I415" t="s">
        <v>77</v>
      </c>
      <c r="J415" t="s">
        <v>78</v>
      </c>
      <c r="K415" t="s">
        <v>73</v>
      </c>
      <c r="L415">
        <v>701000</v>
      </c>
      <c r="M415" t="s">
        <v>62</v>
      </c>
      <c r="N415" t="s">
        <v>33</v>
      </c>
      <c r="O415">
        <v>848</v>
      </c>
      <c r="P415">
        <v>1.8</v>
      </c>
      <c r="Q415">
        <v>1.53</v>
      </c>
      <c r="R415" t="s">
        <v>1204</v>
      </c>
      <c r="S415" t="s">
        <v>195</v>
      </c>
    </row>
    <row r="416" spans="1:19" x14ac:dyDescent="0.3">
      <c r="A416" t="s">
        <v>609</v>
      </c>
      <c r="B416" t="s">
        <v>22</v>
      </c>
      <c r="C416">
        <v>2025</v>
      </c>
      <c r="D416">
        <v>1</v>
      </c>
      <c r="E416" s="2">
        <v>45671</v>
      </c>
      <c r="F416" t="s">
        <v>7</v>
      </c>
      <c r="G416" t="s">
        <v>8</v>
      </c>
      <c r="H416" t="s">
        <v>74</v>
      </c>
      <c r="I416" t="s">
        <v>77</v>
      </c>
      <c r="J416" t="s">
        <v>78</v>
      </c>
      <c r="K416" t="s">
        <v>73</v>
      </c>
      <c r="L416">
        <v>701000</v>
      </c>
      <c r="M416" t="s">
        <v>62</v>
      </c>
      <c r="N416" t="s">
        <v>33</v>
      </c>
      <c r="O416">
        <v>197</v>
      </c>
      <c r="P416">
        <v>1.78</v>
      </c>
      <c r="Q416">
        <v>0.35</v>
      </c>
      <c r="R416" t="s">
        <v>1202</v>
      </c>
      <c r="S416" t="s">
        <v>195</v>
      </c>
    </row>
    <row r="417" spans="1:19" x14ac:dyDescent="0.3">
      <c r="A417" t="s">
        <v>610</v>
      </c>
      <c r="B417" t="s">
        <v>22</v>
      </c>
      <c r="C417">
        <v>2025</v>
      </c>
      <c r="D417">
        <v>1</v>
      </c>
      <c r="E417" s="2">
        <v>45659</v>
      </c>
      <c r="F417" t="s">
        <v>7</v>
      </c>
      <c r="G417" t="s">
        <v>8</v>
      </c>
      <c r="H417" t="s">
        <v>70</v>
      </c>
      <c r="I417" t="s">
        <v>77</v>
      </c>
      <c r="J417" t="s">
        <v>78</v>
      </c>
      <c r="K417" t="s">
        <v>73</v>
      </c>
      <c r="L417">
        <v>701000</v>
      </c>
      <c r="M417" t="s">
        <v>62</v>
      </c>
      <c r="N417" t="s">
        <v>33</v>
      </c>
      <c r="O417">
        <v>1053</v>
      </c>
      <c r="P417">
        <v>1.8</v>
      </c>
      <c r="Q417">
        <v>1.9</v>
      </c>
      <c r="R417" t="s">
        <v>1205</v>
      </c>
      <c r="S417" t="s">
        <v>195</v>
      </c>
    </row>
    <row r="418" spans="1:19" x14ac:dyDescent="0.3">
      <c r="A418" t="s">
        <v>611</v>
      </c>
      <c r="B418" t="s">
        <v>22</v>
      </c>
      <c r="C418">
        <v>2025</v>
      </c>
      <c r="D418">
        <v>1</v>
      </c>
      <c r="E418" s="2">
        <v>45659</v>
      </c>
      <c r="F418" t="s">
        <v>7</v>
      </c>
      <c r="G418" t="s">
        <v>8</v>
      </c>
      <c r="H418" t="s">
        <v>70</v>
      </c>
      <c r="I418" t="s">
        <v>77</v>
      </c>
      <c r="J418" t="s">
        <v>78</v>
      </c>
      <c r="K418" t="s">
        <v>73</v>
      </c>
      <c r="L418">
        <v>701000</v>
      </c>
      <c r="M418" t="s">
        <v>62</v>
      </c>
      <c r="N418" t="s">
        <v>33</v>
      </c>
      <c r="O418">
        <v>696</v>
      </c>
      <c r="P418">
        <v>1.8</v>
      </c>
      <c r="Q418">
        <v>1.25</v>
      </c>
      <c r="R418" t="s">
        <v>1200</v>
      </c>
      <c r="S418" t="s">
        <v>195</v>
      </c>
    </row>
    <row r="419" spans="1:19" x14ac:dyDescent="0.3">
      <c r="A419" t="s">
        <v>612</v>
      </c>
      <c r="B419" t="s">
        <v>22</v>
      </c>
      <c r="C419">
        <v>2025</v>
      </c>
      <c r="D419">
        <v>1</v>
      </c>
      <c r="E419" s="2">
        <v>45659</v>
      </c>
      <c r="F419" t="s">
        <v>7</v>
      </c>
      <c r="G419" t="s">
        <v>8</v>
      </c>
      <c r="H419" t="s">
        <v>70</v>
      </c>
      <c r="I419" t="s">
        <v>77</v>
      </c>
      <c r="J419" t="s">
        <v>78</v>
      </c>
      <c r="K419" t="s">
        <v>73</v>
      </c>
      <c r="L419">
        <v>701000</v>
      </c>
      <c r="M419" t="s">
        <v>62</v>
      </c>
      <c r="N419" t="s">
        <v>33</v>
      </c>
      <c r="O419">
        <v>606</v>
      </c>
      <c r="P419">
        <v>1.8</v>
      </c>
      <c r="Q419">
        <v>1.0900000000000001</v>
      </c>
      <c r="R419" t="s">
        <v>1203</v>
      </c>
      <c r="S419" t="s">
        <v>195</v>
      </c>
    </row>
    <row r="420" spans="1:19" x14ac:dyDescent="0.3">
      <c r="A420" t="s">
        <v>613</v>
      </c>
      <c r="B420" t="s">
        <v>22</v>
      </c>
      <c r="C420">
        <v>2025</v>
      </c>
      <c r="D420">
        <v>1</v>
      </c>
      <c r="E420" s="2">
        <v>45659</v>
      </c>
      <c r="F420" t="s">
        <v>7</v>
      </c>
      <c r="G420" t="s">
        <v>8</v>
      </c>
      <c r="H420" t="s">
        <v>70</v>
      </c>
      <c r="I420" t="s">
        <v>77</v>
      </c>
      <c r="J420" t="s">
        <v>78</v>
      </c>
      <c r="K420" t="s">
        <v>73</v>
      </c>
      <c r="L420">
        <v>701000</v>
      </c>
      <c r="M420" t="s">
        <v>62</v>
      </c>
      <c r="N420" t="s">
        <v>33</v>
      </c>
      <c r="O420">
        <v>1341</v>
      </c>
      <c r="P420">
        <v>1.8</v>
      </c>
      <c r="Q420">
        <v>2.41</v>
      </c>
      <c r="R420" t="s">
        <v>1198</v>
      </c>
      <c r="S420" t="s">
        <v>195</v>
      </c>
    </row>
    <row r="421" spans="1:19" x14ac:dyDescent="0.3">
      <c r="A421" t="s">
        <v>614</v>
      </c>
      <c r="B421" t="s">
        <v>22</v>
      </c>
      <c r="C421">
        <v>2025</v>
      </c>
      <c r="D421">
        <v>1</v>
      </c>
      <c r="E421" s="2">
        <v>45659</v>
      </c>
      <c r="F421" t="s">
        <v>7</v>
      </c>
      <c r="G421" t="s">
        <v>8</v>
      </c>
      <c r="H421" t="s">
        <v>70</v>
      </c>
      <c r="I421" t="s">
        <v>77</v>
      </c>
      <c r="J421" t="s">
        <v>78</v>
      </c>
      <c r="K421" t="s">
        <v>73</v>
      </c>
      <c r="L421">
        <v>701000</v>
      </c>
      <c r="M421" t="s">
        <v>62</v>
      </c>
      <c r="N421" t="s">
        <v>33</v>
      </c>
      <c r="O421">
        <v>1088</v>
      </c>
      <c r="P421">
        <v>1.8</v>
      </c>
      <c r="Q421">
        <v>1.96</v>
      </c>
      <c r="R421" t="s">
        <v>1199</v>
      </c>
      <c r="S421" t="s">
        <v>195</v>
      </c>
    </row>
    <row r="422" spans="1:19" x14ac:dyDescent="0.3">
      <c r="A422" t="s">
        <v>615</v>
      </c>
      <c r="B422" t="s">
        <v>22</v>
      </c>
      <c r="C422">
        <v>2025</v>
      </c>
      <c r="D422">
        <v>1</v>
      </c>
      <c r="E422" s="2">
        <v>45661</v>
      </c>
      <c r="F422" t="s">
        <v>7</v>
      </c>
      <c r="G422" t="s">
        <v>8</v>
      </c>
      <c r="H422" t="s">
        <v>70</v>
      </c>
      <c r="I422" t="s">
        <v>77</v>
      </c>
      <c r="J422" t="s">
        <v>78</v>
      </c>
      <c r="K422" t="s">
        <v>73</v>
      </c>
      <c r="L422">
        <v>707000</v>
      </c>
      <c r="M422" t="s">
        <v>81</v>
      </c>
      <c r="N422" t="s">
        <v>33</v>
      </c>
      <c r="O422">
        <v>463</v>
      </c>
      <c r="P422">
        <v>1.79</v>
      </c>
      <c r="Q422">
        <v>0.83</v>
      </c>
      <c r="R422" t="s">
        <v>1202</v>
      </c>
      <c r="S422" t="s">
        <v>195</v>
      </c>
    </row>
    <row r="423" spans="1:19" x14ac:dyDescent="0.3">
      <c r="A423" t="s">
        <v>616</v>
      </c>
      <c r="B423" t="s">
        <v>22</v>
      </c>
      <c r="C423">
        <v>2025</v>
      </c>
      <c r="D423">
        <v>1</v>
      </c>
      <c r="E423" s="2">
        <v>45661</v>
      </c>
      <c r="F423" t="s">
        <v>7</v>
      </c>
      <c r="G423" t="s">
        <v>8</v>
      </c>
      <c r="H423" t="s">
        <v>70</v>
      </c>
      <c r="I423" t="s">
        <v>77</v>
      </c>
      <c r="J423" t="s">
        <v>78</v>
      </c>
      <c r="K423" t="s">
        <v>73</v>
      </c>
      <c r="L423">
        <v>707000</v>
      </c>
      <c r="M423" t="s">
        <v>81</v>
      </c>
      <c r="N423" t="s">
        <v>33</v>
      </c>
      <c r="O423">
        <v>1483</v>
      </c>
      <c r="P423">
        <v>1.8</v>
      </c>
      <c r="Q423">
        <v>2.67</v>
      </c>
      <c r="R423" t="s">
        <v>1200</v>
      </c>
      <c r="S423" t="s">
        <v>195</v>
      </c>
    </row>
    <row r="424" spans="1:19" x14ac:dyDescent="0.3">
      <c r="A424" t="s">
        <v>617</v>
      </c>
      <c r="B424" t="s">
        <v>22</v>
      </c>
      <c r="C424">
        <v>2025</v>
      </c>
      <c r="D424">
        <v>1</v>
      </c>
      <c r="E424" s="2">
        <v>45661</v>
      </c>
      <c r="F424" t="s">
        <v>7</v>
      </c>
      <c r="G424" t="s">
        <v>8</v>
      </c>
      <c r="H424" t="s">
        <v>70</v>
      </c>
      <c r="I424" t="s">
        <v>77</v>
      </c>
      <c r="J424" t="s">
        <v>78</v>
      </c>
      <c r="K424" t="s">
        <v>73</v>
      </c>
      <c r="L424">
        <v>707000</v>
      </c>
      <c r="M424" t="s">
        <v>81</v>
      </c>
      <c r="N424" t="s">
        <v>33</v>
      </c>
      <c r="O424">
        <v>909</v>
      </c>
      <c r="P424">
        <v>1.8</v>
      </c>
      <c r="Q424">
        <v>1.64</v>
      </c>
      <c r="R424" t="s">
        <v>1203</v>
      </c>
      <c r="S424" t="s">
        <v>195</v>
      </c>
    </row>
    <row r="425" spans="1:19" x14ac:dyDescent="0.3">
      <c r="A425" t="s">
        <v>618</v>
      </c>
      <c r="B425" t="s">
        <v>22</v>
      </c>
      <c r="C425">
        <v>2025</v>
      </c>
      <c r="D425">
        <v>1</v>
      </c>
      <c r="E425" s="2">
        <v>45661</v>
      </c>
      <c r="F425" t="s">
        <v>7</v>
      </c>
      <c r="G425" t="s">
        <v>8</v>
      </c>
      <c r="H425" t="s">
        <v>70</v>
      </c>
      <c r="I425" t="s">
        <v>77</v>
      </c>
      <c r="J425" t="s">
        <v>78</v>
      </c>
      <c r="K425" t="s">
        <v>73</v>
      </c>
      <c r="L425">
        <v>707000</v>
      </c>
      <c r="M425" t="s">
        <v>81</v>
      </c>
      <c r="N425" t="s">
        <v>33</v>
      </c>
      <c r="O425">
        <v>234</v>
      </c>
      <c r="P425">
        <v>1.79</v>
      </c>
      <c r="Q425">
        <v>0.42</v>
      </c>
      <c r="R425" t="s">
        <v>1205</v>
      </c>
      <c r="S425" t="s">
        <v>195</v>
      </c>
    </row>
    <row r="426" spans="1:19" x14ac:dyDescent="0.3">
      <c r="A426" t="s">
        <v>619</v>
      </c>
      <c r="B426" t="s">
        <v>22</v>
      </c>
      <c r="C426">
        <v>2025</v>
      </c>
      <c r="D426">
        <v>1</v>
      </c>
      <c r="E426" s="2">
        <v>45661</v>
      </c>
      <c r="F426" t="s">
        <v>7</v>
      </c>
      <c r="G426" t="s">
        <v>8</v>
      </c>
      <c r="H426" t="s">
        <v>70</v>
      </c>
      <c r="I426" t="s">
        <v>77</v>
      </c>
      <c r="J426" t="s">
        <v>78</v>
      </c>
      <c r="K426" t="s">
        <v>73</v>
      </c>
      <c r="L426">
        <v>707000</v>
      </c>
      <c r="M426" t="s">
        <v>81</v>
      </c>
      <c r="N426" t="s">
        <v>33</v>
      </c>
      <c r="O426">
        <v>1221</v>
      </c>
      <c r="P426">
        <v>1.8</v>
      </c>
      <c r="Q426">
        <v>2.2000000000000002</v>
      </c>
      <c r="R426" t="s">
        <v>1197</v>
      </c>
      <c r="S426" t="s">
        <v>195</v>
      </c>
    </row>
    <row r="427" spans="1:19" x14ac:dyDescent="0.3">
      <c r="A427" t="s">
        <v>620</v>
      </c>
      <c r="B427" t="s">
        <v>22</v>
      </c>
      <c r="C427">
        <v>2025</v>
      </c>
      <c r="D427">
        <v>1</v>
      </c>
      <c r="E427" s="2">
        <v>45665</v>
      </c>
      <c r="F427" t="s">
        <v>7</v>
      </c>
      <c r="G427" t="s">
        <v>8</v>
      </c>
      <c r="H427" t="s">
        <v>70</v>
      </c>
      <c r="I427" t="s">
        <v>77</v>
      </c>
      <c r="J427" t="s">
        <v>78</v>
      </c>
      <c r="K427" t="s">
        <v>73</v>
      </c>
      <c r="L427">
        <v>701000</v>
      </c>
      <c r="M427" t="s">
        <v>62</v>
      </c>
      <c r="N427" t="s">
        <v>33</v>
      </c>
      <c r="O427">
        <v>304</v>
      </c>
      <c r="P427">
        <v>1.81</v>
      </c>
      <c r="Q427">
        <v>0.55000000000000004</v>
      </c>
      <c r="R427" t="s">
        <v>1200</v>
      </c>
      <c r="S427" t="s">
        <v>195</v>
      </c>
    </row>
    <row r="428" spans="1:19" x14ac:dyDescent="0.3">
      <c r="A428" t="s">
        <v>621</v>
      </c>
      <c r="B428" t="s">
        <v>22</v>
      </c>
      <c r="C428">
        <v>2025</v>
      </c>
      <c r="D428">
        <v>1</v>
      </c>
      <c r="E428" s="2">
        <v>45665</v>
      </c>
      <c r="F428" t="s">
        <v>7</v>
      </c>
      <c r="G428" t="s">
        <v>8</v>
      </c>
      <c r="H428" t="s">
        <v>70</v>
      </c>
      <c r="I428" t="s">
        <v>77</v>
      </c>
      <c r="J428" t="s">
        <v>78</v>
      </c>
      <c r="K428" t="s">
        <v>73</v>
      </c>
      <c r="L428">
        <v>701000</v>
      </c>
      <c r="M428" t="s">
        <v>62</v>
      </c>
      <c r="N428" t="s">
        <v>33</v>
      </c>
      <c r="O428">
        <v>745</v>
      </c>
      <c r="P428">
        <v>1.8</v>
      </c>
      <c r="Q428">
        <v>1.34</v>
      </c>
      <c r="R428" t="s">
        <v>1202</v>
      </c>
      <c r="S428" t="s">
        <v>195</v>
      </c>
    </row>
    <row r="429" spans="1:19" x14ac:dyDescent="0.3">
      <c r="A429" t="s">
        <v>622</v>
      </c>
      <c r="B429" t="s">
        <v>22</v>
      </c>
      <c r="C429">
        <v>2025</v>
      </c>
      <c r="D429">
        <v>1</v>
      </c>
      <c r="E429" s="2">
        <v>45665</v>
      </c>
      <c r="F429" t="s">
        <v>7</v>
      </c>
      <c r="G429" t="s">
        <v>8</v>
      </c>
      <c r="H429" t="s">
        <v>70</v>
      </c>
      <c r="I429" t="s">
        <v>77</v>
      </c>
      <c r="J429" t="s">
        <v>78</v>
      </c>
      <c r="K429" t="s">
        <v>73</v>
      </c>
      <c r="L429">
        <v>701000</v>
      </c>
      <c r="M429" t="s">
        <v>62</v>
      </c>
      <c r="N429" t="s">
        <v>33</v>
      </c>
      <c r="O429">
        <v>1959</v>
      </c>
      <c r="P429">
        <v>1.8</v>
      </c>
      <c r="Q429">
        <v>3.52</v>
      </c>
      <c r="R429" t="s">
        <v>1198</v>
      </c>
      <c r="S429" t="s">
        <v>195</v>
      </c>
    </row>
    <row r="430" spans="1:19" x14ac:dyDescent="0.3">
      <c r="A430" t="s">
        <v>623</v>
      </c>
      <c r="B430" t="s">
        <v>22</v>
      </c>
      <c r="C430">
        <v>2025</v>
      </c>
      <c r="D430">
        <v>1</v>
      </c>
      <c r="E430" s="2">
        <v>45665</v>
      </c>
      <c r="F430" t="s">
        <v>7</v>
      </c>
      <c r="G430" t="s">
        <v>8</v>
      </c>
      <c r="H430" t="s">
        <v>70</v>
      </c>
      <c r="I430" t="s">
        <v>77</v>
      </c>
      <c r="J430" t="s">
        <v>78</v>
      </c>
      <c r="K430" t="s">
        <v>73</v>
      </c>
      <c r="L430">
        <v>701000</v>
      </c>
      <c r="M430" t="s">
        <v>62</v>
      </c>
      <c r="N430" t="s">
        <v>33</v>
      </c>
      <c r="O430">
        <v>357</v>
      </c>
      <c r="P430">
        <v>1.79</v>
      </c>
      <c r="Q430">
        <v>0.64</v>
      </c>
      <c r="R430" t="s">
        <v>1205</v>
      </c>
      <c r="S430" t="s">
        <v>195</v>
      </c>
    </row>
    <row r="431" spans="1:19" x14ac:dyDescent="0.3">
      <c r="A431" t="s">
        <v>624</v>
      </c>
      <c r="B431" t="s">
        <v>22</v>
      </c>
      <c r="C431">
        <v>2025</v>
      </c>
      <c r="D431">
        <v>1</v>
      </c>
      <c r="E431" s="2">
        <v>45665</v>
      </c>
      <c r="F431" t="s">
        <v>7</v>
      </c>
      <c r="G431" t="s">
        <v>8</v>
      </c>
      <c r="H431" t="s">
        <v>70</v>
      </c>
      <c r="I431" t="s">
        <v>77</v>
      </c>
      <c r="J431" t="s">
        <v>78</v>
      </c>
      <c r="K431" t="s">
        <v>73</v>
      </c>
      <c r="L431">
        <v>701000</v>
      </c>
      <c r="M431" t="s">
        <v>62</v>
      </c>
      <c r="N431" t="s">
        <v>33</v>
      </c>
      <c r="O431">
        <v>1831</v>
      </c>
      <c r="P431">
        <v>1.8</v>
      </c>
      <c r="Q431">
        <v>3.3</v>
      </c>
      <c r="R431" t="s">
        <v>1199</v>
      </c>
      <c r="S431" t="s">
        <v>195</v>
      </c>
    </row>
    <row r="432" spans="1:19" x14ac:dyDescent="0.3">
      <c r="A432" t="s">
        <v>625</v>
      </c>
      <c r="B432" t="s">
        <v>22</v>
      </c>
      <c r="C432">
        <v>2025</v>
      </c>
      <c r="D432">
        <v>1</v>
      </c>
      <c r="E432" s="2">
        <v>45669</v>
      </c>
      <c r="F432" t="s">
        <v>7</v>
      </c>
      <c r="G432" t="s">
        <v>8</v>
      </c>
      <c r="H432" t="s">
        <v>74</v>
      </c>
      <c r="I432" t="s">
        <v>77</v>
      </c>
      <c r="J432" t="s">
        <v>78</v>
      </c>
      <c r="K432" t="s">
        <v>73</v>
      </c>
      <c r="L432">
        <v>701000</v>
      </c>
      <c r="M432" t="s">
        <v>62</v>
      </c>
      <c r="N432" t="s">
        <v>33</v>
      </c>
      <c r="O432">
        <v>1125</v>
      </c>
      <c r="P432">
        <v>1.8</v>
      </c>
      <c r="Q432">
        <v>2.02</v>
      </c>
      <c r="R432" t="s">
        <v>1198</v>
      </c>
      <c r="S432" t="s">
        <v>195</v>
      </c>
    </row>
    <row r="433" spans="1:19" x14ac:dyDescent="0.3">
      <c r="A433" t="s">
        <v>626</v>
      </c>
      <c r="B433" t="s">
        <v>22</v>
      </c>
      <c r="C433">
        <v>2025</v>
      </c>
      <c r="D433">
        <v>1</v>
      </c>
      <c r="E433" s="2">
        <v>45669</v>
      </c>
      <c r="F433" t="s">
        <v>7</v>
      </c>
      <c r="G433" t="s">
        <v>8</v>
      </c>
      <c r="H433" t="s">
        <v>74</v>
      </c>
      <c r="I433" t="s">
        <v>77</v>
      </c>
      <c r="J433" t="s">
        <v>78</v>
      </c>
      <c r="K433" t="s">
        <v>73</v>
      </c>
      <c r="L433">
        <v>701000</v>
      </c>
      <c r="M433" t="s">
        <v>62</v>
      </c>
      <c r="N433" t="s">
        <v>33</v>
      </c>
      <c r="O433">
        <v>647</v>
      </c>
      <c r="P433">
        <v>1.79</v>
      </c>
      <c r="Q433">
        <v>1.1599999999999999</v>
      </c>
      <c r="R433" t="s">
        <v>1200</v>
      </c>
      <c r="S433" t="s">
        <v>195</v>
      </c>
    </row>
    <row r="434" spans="1:19" x14ac:dyDescent="0.3">
      <c r="A434" t="s">
        <v>627</v>
      </c>
      <c r="B434" t="s">
        <v>22</v>
      </c>
      <c r="C434">
        <v>2025</v>
      </c>
      <c r="D434">
        <v>1</v>
      </c>
      <c r="E434" s="2">
        <v>45669</v>
      </c>
      <c r="F434" t="s">
        <v>7</v>
      </c>
      <c r="G434" t="s">
        <v>8</v>
      </c>
      <c r="H434" t="s">
        <v>74</v>
      </c>
      <c r="I434" t="s">
        <v>77</v>
      </c>
      <c r="J434" t="s">
        <v>78</v>
      </c>
      <c r="K434" t="s">
        <v>73</v>
      </c>
      <c r="L434">
        <v>701000</v>
      </c>
      <c r="M434" t="s">
        <v>62</v>
      </c>
      <c r="N434" t="s">
        <v>33</v>
      </c>
      <c r="O434">
        <v>1316</v>
      </c>
      <c r="P434">
        <v>1.8</v>
      </c>
      <c r="Q434">
        <v>2.37</v>
      </c>
      <c r="R434" t="s">
        <v>1204</v>
      </c>
      <c r="S434" t="s">
        <v>195</v>
      </c>
    </row>
    <row r="435" spans="1:19" x14ac:dyDescent="0.3">
      <c r="A435" t="s">
        <v>628</v>
      </c>
      <c r="B435" t="s">
        <v>22</v>
      </c>
      <c r="C435">
        <v>2025</v>
      </c>
      <c r="D435">
        <v>1</v>
      </c>
      <c r="E435" s="2">
        <v>45669</v>
      </c>
      <c r="F435" t="s">
        <v>7</v>
      </c>
      <c r="G435" t="s">
        <v>8</v>
      </c>
      <c r="H435" t="s">
        <v>74</v>
      </c>
      <c r="I435" t="s">
        <v>77</v>
      </c>
      <c r="J435" t="s">
        <v>78</v>
      </c>
      <c r="K435" t="s">
        <v>73</v>
      </c>
      <c r="L435">
        <v>701000</v>
      </c>
      <c r="M435" t="s">
        <v>62</v>
      </c>
      <c r="N435" t="s">
        <v>33</v>
      </c>
      <c r="O435">
        <v>555</v>
      </c>
      <c r="P435">
        <v>1.8</v>
      </c>
      <c r="Q435">
        <v>1</v>
      </c>
      <c r="R435" t="s">
        <v>1199</v>
      </c>
      <c r="S435" t="s">
        <v>195</v>
      </c>
    </row>
    <row r="436" spans="1:19" x14ac:dyDescent="0.3">
      <c r="A436" t="s">
        <v>629</v>
      </c>
      <c r="B436" t="s">
        <v>22</v>
      </c>
      <c r="C436">
        <v>2025</v>
      </c>
      <c r="D436">
        <v>1</v>
      </c>
      <c r="E436" s="2">
        <v>45669</v>
      </c>
      <c r="F436" t="s">
        <v>7</v>
      </c>
      <c r="G436" t="s">
        <v>8</v>
      </c>
      <c r="H436" t="s">
        <v>74</v>
      </c>
      <c r="I436" t="s">
        <v>77</v>
      </c>
      <c r="J436" t="s">
        <v>78</v>
      </c>
      <c r="K436" t="s">
        <v>73</v>
      </c>
      <c r="L436">
        <v>701000</v>
      </c>
      <c r="M436" t="s">
        <v>62</v>
      </c>
      <c r="N436" t="s">
        <v>33</v>
      </c>
      <c r="O436">
        <v>1409</v>
      </c>
      <c r="P436">
        <v>1.8</v>
      </c>
      <c r="Q436">
        <v>2.54</v>
      </c>
      <c r="R436" t="s">
        <v>1201</v>
      </c>
      <c r="S436" t="s">
        <v>195</v>
      </c>
    </row>
    <row r="437" spans="1:19" x14ac:dyDescent="0.3">
      <c r="A437" t="s">
        <v>630</v>
      </c>
      <c r="B437" t="s">
        <v>22</v>
      </c>
      <c r="C437">
        <v>2025</v>
      </c>
      <c r="D437">
        <v>1</v>
      </c>
      <c r="E437" s="2">
        <v>45665</v>
      </c>
      <c r="F437" t="s">
        <v>7</v>
      </c>
      <c r="G437" t="s">
        <v>8</v>
      </c>
      <c r="H437" t="s">
        <v>70</v>
      </c>
      <c r="I437" t="s">
        <v>77</v>
      </c>
      <c r="J437" t="s">
        <v>78</v>
      </c>
      <c r="K437" t="s">
        <v>73</v>
      </c>
      <c r="L437">
        <v>706000</v>
      </c>
      <c r="M437" t="s">
        <v>63</v>
      </c>
      <c r="N437" t="s">
        <v>33</v>
      </c>
      <c r="O437">
        <v>2515</v>
      </c>
      <c r="P437">
        <v>1.8</v>
      </c>
      <c r="Q437">
        <v>4.53</v>
      </c>
      <c r="R437" t="s">
        <v>1198</v>
      </c>
      <c r="S437" t="s">
        <v>195</v>
      </c>
    </row>
    <row r="438" spans="1:19" x14ac:dyDescent="0.3">
      <c r="A438" t="s">
        <v>631</v>
      </c>
      <c r="B438" t="s">
        <v>22</v>
      </c>
      <c r="C438">
        <v>2025</v>
      </c>
      <c r="D438">
        <v>1</v>
      </c>
      <c r="E438" s="2">
        <v>45665</v>
      </c>
      <c r="F438" t="s">
        <v>7</v>
      </c>
      <c r="G438" t="s">
        <v>8</v>
      </c>
      <c r="H438" t="s">
        <v>70</v>
      </c>
      <c r="I438" t="s">
        <v>77</v>
      </c>
      <c r="J438" t="s">
        <v>78</v>
      </c>
      <c r="K438" t="s">
        <v>73</v>
      </c>
      <c r="L438">
        <v>706000</v>
      </c>
      <c r="M438" t="s">
        <v>63</v>
      </c>
      <c r="N438" t="s">
        <v>33</v>
      </c>
      <c r="O438">
        <v>739</v>
      </c>
      <c r="P438">
        <v>1.8</v>
      </c>
      <c r="Q438">
        <v>1.33</v>
      </c>
      <c r="R438" t="s">
        <v>1200</v>
      </c>
      <c r="S438" t="s">
        <v>195</v>
      </c>
    </row>
    <row r="439" spans="1:19" x14ac:dyDescent="0.3">
      <c r="A439" t="s">
        <v>632</v>
      </c>
      <c r="B439" t="s">
        <v>22</v>
      </c>
      <c r="C439">
        <v>2025</v>
      </c>
      <c r="D439">
        <v>1</v>
      </c>
      <c r="E439" s="2">
        <v>45665</v>
      </c>
      <c r="F439" t="s">
        <v>7</v>
      </c>
      <c r="G439" t="s">
        <v>8</v>
      </c>
      <c r="H439" t="s">
        <v>70</v>
      </c>
      <c r="I439" t="s">
        <v>77</v>
      </c>
      <c r="J439" t="s">
        <v>78</v>
      </c>
      <c r="K439" t="s">
        <v>73</v>
      </c>
      <c r="L439">
        <v>706000</v>
      </c>
      <c r="M439" t="s">
        <v>63</v>
      </c>
      <c r="N439" t="s">
        <v>33</v>
      </c>
      <c r="O439">
        <v>633</v>
      </c>
      <c r="P439">
        <v>1.8</v>
      </c>
      <c r="Q439">
        <v>1.1399999999999999</v>
      </c>
      <c r="R439" t="s">
        <v>1199</v>
      </c>
      <c r="S439" t="s">
        <v>195</v>
      </c>
    </row>
    <row r="440" spans="1:19" x14ac:dyDescent="0.3">
      <c r="A440" t="s">
        <v>633</v>
      </c>
      <c r="B440" t="s">
        <v>22</v>
      </c>
      <c r="C440">
        <v>2025</v>
      </c>
      <c r="D440">
        <v>1</v>
      </c>
      <c r="E440" s="2">
        <v>45665</v>
      </c>
      <c r="F440" t="s">
        <v>7</v>
      </c>
      <c r="G440" t="s">
        <v>8</v>
      </c>
      <c r="H440" t="s">
        <v>70</v>
      </c>
      <c r="I440" t="s">
        <v>77</v>
      </c>
      <c r="J440" t="s">
        <v>78</v>
      </c>
      <c r="K440" t="s">
        <v>73</v>
      </c>
      <c r="L440">
        <v>706000</v>
      </c>
      <c r="M440" t="s">
        <v>63</v>
      </c>
      <c r="N440" t="s">
        <v>33</v>
      </c>
      <c r="O440">
        <v>471</v>
      </c>
      <c r="P440">
        <v>1.8</v>
      </c>
      <c r="Q440">
        <v>0.85</v>
      </c>
      <c r="R440" t="s">
        <v>1205</v>
      </c>
      <c r="S440" t="s">
        <v>195</v>
      </c>
    </row>
    <row r="441" spans="1:19" x14ac:dyDescent="0.3">
      <c r="A441" t="s">
        <v>634</v>
      </c>
      <c r="B441" t="s">
        <v>22</v>
      </c>
      <c r="C441">
        <v>2025</v>
      </c>
      <c r="D441">
        <v>1</v>
      </c>
      <c r="E441" s="2">
        <v>45665</v>
      </c>
      <c r="F441" t="s">
        <v>7</v>
      </c>
      <c r="G441" t="s">
        <v>8</v>
      </c>
      <c r="H441" t="s">
        <v>70</v>
      </c>
      <c r="I441" t="s">
        <v>77</v>
      </c>
      <c r="J441" t="s">
        <v>78</v>
      </c>
      <c r="K441" t="s">
        <v>73</v>
      </c>
      <c r="L441">
        <v>706000</v>
      </c>
      <c r="M441" t="s">
        <v>63</v>
      </c>
      <c r="N441" t="s">
        <v>33</v>
      </c>
      <c r="O441">
        <v>442</v>
      </c>
      <c r="P441">
        <v>1.79</v>
      </c>
      <c r="Q441">
        <v>0.79</v>
      </c>
      <c r="R441" t="s">
        <v>1203</v>
      </c>
      <c r="S441" t="s">
        <v>195</v>
      </c>
    </row>
    <row r="442" spans="1:19" x14ac:dyDescent="0.3">
      <c r="A442" t="s">
        <v>635</v>
      </c>
      <c r="B442" t="s">
        <v>22</v>
      </c>
      <c r="C442">
        <v>2025</v>
      </c>
      <c r="D442">
        <v>1</v>
      </c>
      <c r="E442" s="2">
        <v>45680</v>
      </c>
      <c r="F442" t="s">
        <v>7</v>
      </c>
      <c r="G442" t="s">
        <v>8</v>
      </c>
      <c r="H442" t="s">
        <v>74</v>
      </c>
      <c r="I442" t="s">
        <v>77</v>
      </c>
      <c r="J442" t="s">
        <v>78</v>
      </c>
      <c r="K442" t="s">
        <v>73</v>
      </c>
      <c r="L442">
        <v>701000</v>
      </c>
      <c r="M442" t="s">
        <v>62</v>
      </c>
      <c r="N442" t="s">
        <v>33</v>
      </c>
      <c r="O442">
        <v>1675</v>
      </c>
      <c r="P442">
        <v>1.8</v>
      </c>
      <c r="Q442">
        <v>3.02</v>
      </c>
      <c r="R442" t="s">
        <v>1201</v>
      </c>
      <c r="S442" t="s">
        <v>195</v>
      </c>
    </row>
    <row r="443" spans="1:19" x14ac:dyDescent="0.3">
      <c r="A443" t="s">
        <v>636</v>
      </c>
      <c r="B443" t="s">
        <v>22</v>
      </c>
      <c r="C443">
        <v>2025</v>
      </c>
      <c r="D443">
        <v>1</v>
      </c>
      <c r="E443" s="2">
        <v>45680</v>
      </c>
      <c r="F443" t="s">
        <v>7</v>
      </c>
      <c r="G443" t="s">
        <v>8</v>
      </c>
      <c r="H443" t="s">
        <v>74</v>
      </c>
      <c r="I443" t="s">
        <v>77</v>
      </c>
      <c r="J443" t="s">
        <v>78</v>
      </c>
      <c r="K443" t="s">
        <v>73</v>
      </c>
      <c r="L443">
        <v>701000</v>
      </c>
      <c r="M443" t="s">
        <v>62</v>
      </c>
      <c r="N443" t="s">
        <v>33</v>
      </c>
      <c r="O443">
        <v>450</v>
      </c>
      <c r="P443">
        <v>1.8</v>
      </c>
      <c r="Q443">
        <v>0.81</v>
      </c>
      <c r="R443" t="s">
        <v>1203</v>
      </c>
      <c r="S443" t="s">
        <v>195</v>
      </c>
    </row>
    <row r="444" spans="1:19" x14ac:dyDescent="0.3">
      <c r="A444" t="s">
        <v>637</v>
      </c>
      <c r="B444" t="s">
        <v>22</v>
      </c>
      <c r="C444">
        <v>2025</v>
      </c>
      <c r="D444">
        <v>1</v>
      </c>
      <c r="E444" s="2">
        <v>45680</v>
      </c>
      <c r="F444" t="s">
        <v>7</v>
      </c>
      <c r="G444" t="s">
        <v>8</v>
      </c>
      <c r="H444" t="s">
        <v>74</v>
      </c>
      <c r="I444" t="s">
        <v>77</v>
      </c>
      <c r="J444" t="s">
        <v>78</v>
      </c>
      <c r="K444" t="s">
        <v>73</v>
      </c>
      <c r="L444">
        <v>701000</v>
      </c>
      <c r="M444" t="s">
        <v>62</v>
      </c>
      <c r="N444" t="s">
        <v>33</v>
      </c>
      <c r="O444">
        <v>1929</v>
      </c>
      <c r="P444">
        <v>1.8</v>
      </c>
      <c r="Q444">
        <v>3.47</v>
      </c>
      <c r="R444" t="s">
        <v>1200</v>
      </c>
      <c r="S444" t="s">
        <v>195</v>
      </c>
    </row>
    <row r="445" spans="1:19" x14ac:dyDescent="0.3">
      <c r="A445" t="s">
        <v>638</v>
      </c>
      <c r="B445" t="s">
        <v>22</v>
      </c>
      <c r="C445">
        <v>2025</v>
      </c>
      <c r="D445">
        <v>1</v>
      </c>
      <c r="E445" s="2">
        <v>45680</v>
      </c>
      <c r="F445" t="s">
        <v>7</v>
      </c>
      <c r="G445" t="s">
        <v>8</v>
      </c>
      <c r="H445" t="s">
        <v>74</v>
      </c>
      <c r="I445" t="s">
        <v>77</v>
      </c>
      <c r="J445" t="s">
        <v>78</v>
      </c>
      <c r="K445" t="s">
        <v>73</v>
      </c>
      <c r="L445">
        <v>701000</v>
      </c>
      <c r="M445" t="s">
        <v>62</v>
      </c>
      <c r="N445" t="s">
        <v>33</v>
      </c>
      <c r="O445">
        <v>79</v>
      </c>
      <c r="P445">
        <v>1.77</v>
      </c>
      <c r="Q445">
        <v>0.14000000000000001</v>
      </c>
      <c r="R445" t="s">
        <v>1204</v>
      </c>
      <c r="S445" t="s">
        <v>195</v>
      </c>
    </row>
    <row r="446" spans="1:19" x14ac:dyDescent="0.3">
      <c r="A446" t="s">
        <v>639</v>
      </c>
      <c r="B446" t="s">
        <v>22</v>
      </c>
      <c r="C446">
        <v>2025</v>
      </c>
      <c r="D446">
        <v>1</v>
      </c>
      <c r="E446" s="2">
        <v>45680</v>
      </c>
      <c r="F446" t="s">
        <v>7</v>
      </c>
      <c r="G446" t="s">
        <v>8</v>
      </c>
      <c r="H446" t="s">
        <v>74</v>
      </c>
      <c r="I446" t="s">
        <v>77</v>
      </c>
      <c r="J446" t="s">
        <v>78</v>
      </c>
      <c r="K446" t="s">
        <v>73</v>
      </c>
      <c r="L446">
        <v>701000</v>
      </c>
      <c r="M446" t="s">
        <v>62</v>
      </c>
      <c r="N446" t="s">
        <v>33</v>
      </c>
      <c r="O446">
        <v>582</v>
      </c>
      <c r="P446">
        <v>1.8</v>
      </c>
      <c r="Q446">
        <v>1.05</v>
      </c>
      <c r="R446" t="s">
        <v>1197</v>
      </c>
      <c r="S446" t="s">
        <v>195</v>
      </c>
    </row>
    <row r="447" spans="1:19" x14ac:dyDescent="0.3">
      <c r="A447" t="s">
        <v>640</v>
      </c>
      <c r="B447" t="s">
        <v>22</v>
      </c>
      <c r="C447">
        <v>2025</v>
      </c>
      <c r="D447">
        <v>1</v>
      </c>
      <c r="E447" s="2">
        <v>45678</v>
      </c>
      <c r="F447" t="s">
        <v>7</v>
      </c>
      <c r="G447" t="s">
        <v>8</v>
      </c>
      <c r="H447" t="s">
        <v>74</v>
      </c>
      <c r="I447" t="s">
        <v>77</v>
      </c>
      <c r="J447" t="s">
        <v>78</v>
      </c>
      <c r="K447" t="s">
        <v>73</v>
      </c>
      <c r="L447">
        <v>701000</v>
      </c>
      <c r="M447" t="s">
        <v>62</v>
      </c>
      <c r="N447" t="s">
        <v>33</v>
      </c>
      <c r="O447">
        <v>797</v>
      </c>
      <c r="P447">
        <v>1.79</v>
      </c>
      <c r="Q447">
        <v>1.43</v>
      </c>
      <c r="R447" t="s">
        <v>1203</v>
      </c>
      <c r="S447" t="s">
        <v>195</v>
      </c>
    </row>
    <row r="448" spans="1:19" x14ac:dyDescent="0.3">
      <c r="A448" t="s">
        <v>641</v>
      </c>
      <c r="B448" t="s">
        <v>22</v>
      </c>
      <c r="C448">
        <v>2025</v>
      </c>
      <c r="D448">
        <v>1</v>
      </c>
      <c r="E448" s="2">
        <v>45678</v>
      </c>
      <c r="F448" t="s">
        <v>7</v>
      </c>
      <c r="G448" t="s">
        <v>8</v>
      </c>
      <c r="H448" t="s">
        <v>74</v>
      </c>
      <c r="I448" t="s">
        <v>77</v>
      </c>
      <c r="J448" t="s">
        <v>78</v>
      </c>
      <c r="K448" t="s">
        <v>73</v>
      </c>
      <c r="L448">
        <v>701000</v>
      </c>
      <c r="M448" t="s">
        <v>62</v>
      </c>
      <c r="N448" t="s">
        <v>33</v>
      </c>
      <c r="O448">
        <v>240</v>
      </c>
      <c r="P448">
        <v>1.79</v>
      </c>
      <c r="Q448">
        <v>0.43</v>
      </c>
      <c r="R448" t="s">
        <v>1198</v>
      </c>
      <c r="S448" t="s">
        <v>195</v>
      </c>
    </row>
    <row r="449" spans="1:19" x14ac:dyDescent="0.3">
      <c r="A449" t="s">
        <v>642</v>
      </c>
      <c r="B449" t="s">
        <v>22</v>
      </c>
      <c r="C449">
        <v>2025</v>
      </c>
      <c r="D449">
        <v>1</v>
      </c>
      <c r="E449" s="2">
        <v>45678</v>
      </c>
      <c r="F449" t="s">
        <v>7</v>
      </c>
      <c r="G449" t="s">
        <v>8</v>
      </c>
      <c r="H449" t="s">
        <v>74</v>
      </c>
      <c r="I449" t="s">
        <v>77</v>
      </c>
      <c r="J449" t="s">
        <v>78</v>
      </c>
      <c r="K449" t="s">
        <v>73</v>
      </c>
      <c r="L449">
        <v>701000</v>
      </c>
      <c r="M449" t="s">
        <v>62</v>
      </c>
      <c r="N449" t="s">
        <v>33</v>
      </c>
      <c r="O449">
        <v>1713</v>
      </c>
      <c r="P449">
        <v>1.8</v>
      </c>
      <c r="Q449">
        <v>3.08</v>
      </c>
      <c r="R449" t="s">
        <v>1205</v>
      </c>
      <c r="S449" t="s">
        <v>195</v>
      </c>
    </row>
    <row r="450" spans="1:19" x14ac:dyDescent="0.3">
      <c r="A450" t="s">
        <v>643</v>
      </c>
      <c r="B450" t="s">
        <v>22</v>
      </c>
      <c r="C450">
        <v>2025</v>
      </c>
      <c r="D450">
        <v>1</v>
      </c>
      <c r="E450" s="2">
        <v>45678</v>
      </c>
      <c r="F450" t="s">
        <v>7</v>
      </c>
      <c r="G450" t="s">
        <v>8</v>
      </c>
      <c r="H450" t="s">
        <v>74</v>
      </c>
      <c r="I450" t="s">
        <v>77</v>
      </c>
      <c r="J450" t="s">
        <v>78</v>
      </c>
      <c r="K450" t="s">
        <v>73</v>
      </c>
      <c r="L450">
        <v>701000</v>
      </c>
      <c r="M450" t="s">
        <v>62</v>
      </c>
      <c r="N450" t="s">
        <v>33</v>
      </c>
      <c r="O450">
        <v>1178</v>
      </c>
      <c r="P450">
        <v>1.8</v>
      </c>
      <c r="Q450">
        <v>2.12</v>
      </c>
      <c r="R450" t="s">
        <v>1199</v>
      </c>
      <c r="S450" t="s">
        <v>195</v>
      </c>
    </row>
    <row r="451" spans="1:19" x14ac:dyDescent="0.3">
      <c r="A451" t="s">
        <v>644</v>
      </c>
      <c r="B451" t="s">
        <v>22</v>
      </c>
      <c r="C451">
        <v>2025</v>
      </c>
      <c r="D451">
        <v>1</v>
      </c>
      <c r="E451" s="2">
        <v>45678</v>
      </c>
      <c r="F451" t="s">
        <v>7</v>
      </c>
      <c r="G451" t="s">
        <v>8</v>
      </c>
      <c r="H451" t="s">
        <v>74</v>
      </c>
      <c r="I451" t="s">
        <v>77</v>
      </c>
      <c r="J451" t="s">
        <v>78</v>
      </c>
      <c r="K451" t="s">
        <v>73</v>
      </c>
      <c r="L451">
        <v>701000</v>
      </c>
      <c r="M451" t="s">
        <v>62</v>
      </c>
      <c r="N451" t="s">
        <v>33</v>
      </c>
      <c r="O451">
        <v>619</v>
      </c>
      <c r="P451">
        <v>1.81</v>
      </c>
      <c r="Q451">
        <v>1.1200000000000001</v>
      </c>
      <c r="R451" t="s">
        <v>1200</v>
      </c>
      <c r="S451" t="s">
        <v>195</v>
      </c>
    </row>
    <row r="452" spans="1:19" x14ac:dyDescent="0.3">
      <c r="A452" t="s">
        <v>645</v>
      </c>
      <c r="B452" t="s">
        <v>22</v>
      </c>
      <c r="C452">
        <v>2025</v>
      </c>
      <c r="D452">
        <v>1</v>
      </c>
      <c r="E452" s="2">
        <v>45664</v>
      </c>
      <c r="F452" t="s">
        <v>7</v>
      </c>
      <c r="G452" t="s">
        <v>8</v>
      </c>
      <c r="H452" t="s">
        <v>70</v>
      </c>
      <c r="I452" t="s">
        <v>77</v>
      </c>
      <c r="J452" t="s">
        <v>78</v>
      </c>
      <c r="K452" t="s">
        <v>73</v>
      </c>
      <c r="L452">
        <v>701000</v>
      </c>
      <c r="M452" t="s">
        <v>62</v>
      </c>
      <c r="N452" t="s">
        <v>33</v>
      </c>
      <c r="O452">
        <v>980</v>
      </c>
      <c r="P452">
        <v>1.8</v>
      </c>
      <c r="Q452">
        <v>1.76</v>
      </c>
      <c r="R452" t="s">
        <v>1202</v>
      </c>
      <c r="S452" t="s">
        <v>195</v>
      </c>
    </row>
    <row r="453" spans="1:19" x14ac:dyDescent="0.3">
      <c r="A453" t="s">
        <v>646</v>
      </c>
      <c r="B453" t="s">
        <v>22</v>
      </c>
      <c r="C453">
        <v>2025</v>
      </c>
      <c r="D453">
        <v>1</v>
      </c>
      <c r="E453" s="2">
        <v>45664</v>
      </c>
      <c r="F453" t="s">
        <v>7</v>
      </c>
      <c r="G453" t="s">
        <v>8</v>
      </c>
      <c r="H453" t="s">
        <v>70</v>
      </c>
      <c r="I453" t="s">
        <v>77</v>
      </c>
      <c r="J453" t="s">
        <v>78</v>
      </c>
      <c r="K453" t="s">
        <v>73</v>
      </c>
      <c r="L453">
        <v>701000</v>
      </c>
      <c r="M453" t="s">
        <v>62</v>
      </c>
      <c r="N453" t="s">
        <v>33</v>
      </c>
      <c r="O453">
        <v>542</v>
      </c>
      <c r="P453">
        <v>1.81</v>
      </c>
      <c r="Q453">
        <v>0.98</v>
      </c>
      <c r="R453" t="s">
        <v>1203</v>
      </c>
      <c r="S453" t="s">
        <v>195</v>
      </c>
    </row>
    <row r="454" spans="1:19" x14ac:dyDescent="0.3">
      <c r="A454" t="s">
        <v>647</v>
      </c>
      <c r="B454" t="s">
        <v>22</v>
      </c>
      <c r="C454">
        <v>2025</v>
      </c>
      <c r="D454">
        <v>1</v>
      </c>
      <c r="E454" s="2">
        <v>45664</v>
      </c>
      <c r="F454" t="s">
        <v>7</v>
      </c>
      <c r="G454" t="s">
        <v>8</v>
      </c>
      <c r="H454" t="s">
        <v>70</v>
      </c>
      <c r="I454" t="s">
        <v>77</v>
      </c>
      <c r="J454" t="s">
        <v>78</v>
      </c>
      <c r="K454" t="s">
        <v>73</v>
      </c>
      <c r="L454">
        <v>701000</v>
      </c>
      <c r="M454" t="s">
        <v>62</v>
      </c>
      <c r="N454" t="s">
        <v>33</v>
      </c>
      <c r="O454">
        <v>152</v>
      </c>
      <c r="P454">
        <v>1.78</v>
      </c>
      <c r="Q454">
        <v>0.27</v>
      </c>
      <c r="R454" t="s">
        <v>1198</v>
      </c>
      <c r="S454" t="s">
        <v>195</v>
      </c>
    </row>
    <row r="455" spans="1:19" x14ac:dyDescent="0.3">
      <c r="A455" t="s">
        <v>648</v>
      </c>
      <c r="B455" t="s">
        <v>22</v>
      </c>
      <c r="C455">
        <v>2025</v>
      </c>
      <c r="D455">
        <v>1</v>
      </c>
      <c r="E455" s="2">
        <v>45664</v>
      </c>
      <c r="F455" t="s">
        <v>7</v>
      </c>
      <c r="G455" t="s">
        <v>8</v>
      </c>
      <c r="H455" t="s">
        <v>70</v>
      </c>
      <c r="I455" t="s">
        <v>77</v>
      </c>
      <c r="J455" t="s">
        <v>78</v>
      </c>
      <c r="K455" t="s">
        <v>73</v>
      </c>
      <c r="L455">
        <v>701000</v>
      </c>
      <c r="M455" t="s">
        <v>62</v>
      </c>
      <c r="N455" t="s">
        <v>33</v>
      </c>
      <c r="O455">
        <v>836</v>
      </c>
      <c r="P455">
        <v>1.81</v>
      </c>
      <c r="Q455">
        <v>1.51</v>
      </c>
      <c r="R455" t="s">
        <v>1200</v>
      </c>
      <c r="S455" t="s">
        <v>195</v>
      </c>
    </row>
    <row r="456" spans="1:19" x14ac:dyDescent="0.3">
      <c r="A456" t="s">
        <v>649</v>
      </c>
      <c r="B456" t="s">
        <v>22</v>
      </c>
      <c r="C456">
        <v>2025</v>
      </c>
      <c r="D456">
        <v>1</v>
      </c>
      <c r="E456" s="2">
        <v>45664</v>
      </c>
      <c r="F456" t="s">
        <v>7</v>
      </c>
      <c r="G456" t="s">
        <v>8</v>
      </c>
      <c r="H456" t="s">
        <v>70</v>
      </c>
      <c r="I456" t="s">
        <v>77</v>
      </c>
      <c r="J456" t="s">
        <v>78</v>
      </c>
      <c r="K456" t="s">
        <v>73</v>
      </c>
      <c r="L456">
        <v>701000</v>
      </c>
      <c r="M456" t="s">
        <v>62</v>
      </c>
      <c r="N456" t="s">
        <v>33</v>
      </c>
      <c r="O456">
        <v>1763</v>
      </c>
      <c r="P456">
        <v>1.8</v>
      </c>
      <c r="Q456">
        <v>3.17</v>
      </c>
      <c r="R456" t="s">
        <v>1201</v>
      </c>
      <c r="S456" t="s">
        <v>195</v>
      </c>
    </row>
    <row r="457" spans="1:19" x14ac:dyDescent="0.3">
      <c r="A457" t="s">
        <v>650</v>
      </c>
      <c r="B457" t="s">
        <v>22</v>
      </c>
      <c r="C457">
        <v>2025</v>
      </c>
      <c r="D457">
        <v>1</v>
      </c>
      <c r="E457" s="2">
        <v>45674</v>
      </c>
      <c r="F457" t="s">
        <v>7</v>
      </c>
      <c r="G457" t="s">
        <v>8</v>
      </c>
      <c r="H457" t="s">
        <v>70</v>
      </c>
      <c r="I457" t="s">
        <v>77</v>
      </c>
      <c r="J457" t="s">
        <v>78</v>
      </c>
      <c r="K457" t="s">
        <v>73</v>
      </c>
      <c r="L457">
        <v>701000</v>
      </c>
      <c r="M457" t="s">
        <v>62</v>
      </c>
      <c r="N457" t="s">
        <v>33</v>
      </c>
      <c r="O457">
        <v>1177</v>
      </c>
      <c r="P457">
        <v>1.8</v>
      </c>
      <c r="Q457">
        <v>2.12</v>
      </c>
      <c r="R457" t="s">
        <v>1201</v>
      </c>
      <c r="S457" t="s">
        <v>195</v>
      </c>
    </row>
    <row r="458" spans="1:19" x14ac:dyDescent="0.3">
      <c r="A458" t="s">
        <v>651</v>
      </c>
      <c r="B458" t="s">
        <v>22</v>
      </c>
      <c r="C458">
        <v>2025</v>
      </c>
      <c r="D458">
        <v>1</v>
      </c>
      <c r="E458" s="2">
        <v>45674</v>
      </c>
      <c r="F458" t="s">
        <v>7</v>
      </c>
      <c r="G458" t="s">
        <v>8</v>
      </c>
      <c r="H458" t="s">
        <v>70</v>
      </c>
      <c r="I458" t="s">
        <v>77</v>
      </c>
      <c r="J458" t="s">
        <v>78</v>
      </c>
      <c r="K458" t="s">
        <v>73</v>
      </c>
      <c r="L458">
        <v>701000</v>
      </c>
      <c r="M458" t="s">
        <v>62</v>
      </c>
      <c r="N458" t="s">
        <v>33</v>
      </c>
      <c r="O458">
        <v>674</v>
      </c>
      <c r="P458">
        <v>1.8</v>
      </c>
      <c r="Q458">
        <v>1.21</v>
      </c>
      <c r="R458" t="s">
        <v>1204</v>
      </c>
      <c r="S458" t="s">
        <v>195</v>
      </c>
    </row>
    <row r="459" spans="1:19" x14ac:dyDescent="0.3">
      <c r="A459" t="s">
        <v>652</v>
      </c>
      <c r="B459" t="s">
        <v>22</v>
      </c>
      <c r="C459">
        <v>2025</v>
      </c>
      <c r="D459">
        <v>1</v>
      </c>
      <c r="E459" s="2">
        <v>45674</v>
      </c>
      <c r="F459" t="s">
        <v>7</v>
      </c>
      <c r="G459" t="s">
        <v>8</v>
      </c>
      <c r="H459" t="s">
        <v>70</v>
      </c>
      <c r="I459" t="s">
        <v>77</v>
      </c>
      <c r="J459" t="s">
        <v>78</v>
      </c>
      <c r="K459" t="s">
        <v>73</v>
      </c>
      <c r="L459">
        <v>701000</v>
      </c>
      <c r="M459" t="s">
        <v>62</v>
      </c>
      <c r="N459" t="s">
        <v>33</v>
      </c>
      <c r="O459">
        <v>1078</v>
      </c>
      <c r="P459">
        <v>1.8</v>
      </c>
      <c r="Q459">
        <v>1.94</v>
      </c>
      <c r="R459" t="s">
        <v>1200</v>
      </c>
      <c r="S459" t="s">
        <v>195</v>
      </c>
    </row>
    <row r="460" spans="1:19" x14ac:dyDescent="0.3">
      <c r="A460" t="s">
        <v>653</v>
      </c>
      <c r="B460" t="s">
        <v>22</v>
      </c>
      <c r="C460">
        <v>2025</v>
      </c>
      <c r="D460">
        <v>1</v>
      </c>
      <c r="E460" s="2">
        <v>45674</v>
      </c>
      <c r="F460" t="s">
        <v>7</v>
      </c>
      <c r="G460" t="s">
        <v>8</v>
      </c>
      <c r="H460" t="s">
        <v>70</v>
      </c>
      <c r="I460" t="s">
        <v>77</v>
      </c>
      <c r="J460" t="s">
        <v>78</v>
      </c>
      <c r="K460" t="s">
        <v>73</v>
      </c>
      <c r="L460">
        <v>701000</v>
      </c>
      <c r="M460" t="s">
        <v>62</v>
      </c>
      <c r="N460" t="s">
        <v>33</v>
      </c>
      <c r="O460">
        <v>794</v>
      </c>
      <c r="P460">
        <v>1.8</v>
      </c>
      <c r="Q460">
        <v>1.43</v>
      </c>
      <c r="R460" t="s">
        <v>1202</v>
      </c>
      <c r="S460" t="s">
        <v>195</v>
      </c>
    </row>
    <row r="461" spans="1:19" x14ac:dyDescent="0.3">
      <c r="A461" t="s">
        <v>654</v>
      </c>
      <c r="B461" t="s">
        <v>22</v>
      </c>
      <c r="C461">
        <v>2025</v>
      </c>
      <c r="D461">
        <v>1</v>
      </c>
      <c r="E461" s="2">
        <v>45674</v>
      </c>
      <c r="F461" t="s">
        <v>7</v>
      </c>
      <c r="G461" t="s">
        <v>8</v>
      </c>
      <c r="H461" t="s">
        <v>70</v>
      </c>
      <c r="I461" t="s">
        <v>77</v>
      </c>
      <c r="J461" t="s">
        <v>78</v>
      </c>
      <c r="K461" t="s">
        <v>73</v>
      </c>
      <c r="L461">
        <v>701000</v>
      </c>
      <c r="M461" t="s">
        <v>62</v>
      </c>
      <c r="N461" t="s">
        <v>33</v>
      </c>
      <c r="O461">
        <v>589</v>
      </c>
      <c r="P461">
        <v>1.8</v>
      </c>
      <c r="Q461">
        <v>1.06</v>
      </c>
      <c r="R461" t="s">
        <v>1205</v>
      </c>
      <c r="S461" t="s">
        <v>195</v>
      </c>
    </row>
    <row r="462" spans="1:19" x14ac:dyDescent="0.3">
      <c r="A462" t="s">
        <v>655</v>
      </c>
      <c r="B462" t="s">
        <v>22</v>
      </c>
      <c r="C462">
        <v>2025</v>
      </c>
      <c r="D462">
        <v>1</v>
      </c>
      <c r="E462" s="2">
        <v>45661</v>
      </c>
      <c r="F462" t="s">
        <v>7</v>
      </c>
      <c r="G462" t="s">
        <v>8</v>
      </c>
      <c r="H462" t="s">
        <v>70</v>
      </c>
      <c r="I462" t="s">
        <v>77</v>
      </c>
      <c r="J462" t="s">
        <v>78</v>
      </c>
      <c r="K462" t="s">
        <v>73</v>
      </c>
      <c r="L462">
        <v>701000</v>
      </c>
      <c r="M462" t="s">
        <v>62</v>
      </c>
      <c r="N462" t="s">
        <v>33</v>
      </c>
      <c r="O462">
        <v>994</v>
      </c>
      <c r="P462">
        <v>1.8</v>
      </c>
      <c r="Q462">
        <v>1.79</v>
      </c>
      <c r="R462" t="s">
        <v>1204</v>
      </c>
      <c r="S462" t="s">
        <v>195</v>
      </c>
    </row>
    <row r="463" spans="1:19" x14ac:dyDescent="0.3">
      <c r="A463" t="s">
        <v>656</v>
      </c>
      <c r="B463" t="s">
        <v>22</v>
      </c>
      <c r="C463">
        <v>2025</v>
      </c>
      <c r="D463">
        <v>1</v>
      </c>
      <c r="E463" s="2">
        <v>45661</v>
      </c>
      <c r="F463" t="s">
        <v>7</v>
      </c>
      <c r="G463" t="s">
        <v>8</v>
      </c>
      <c r="H463" t="s">
        <v>70</v>
      </c>
      <c r="I463" t="s">
        <v>77</v>
      </c>
      <c r="J463" t="s">
        <v>78</v>
      </c>
      <c r="K463" t="s">
        <v>73</v>
      </c>
      <c r="L463">
        <v>701000</v>
      </c>
      <c r="M463" t="s">
        <v>62</v>
      </c>
      <c r="N463" t="s">
        <v>33</v>
      </c>
      <c r="O463">
        <v>872</v>
      </c>
      <c r="P463">
        <v>1.8</v>
      </c>
      <c r="Q463">
        <v>1.57</v>
      </c>
      <c r="R463" t="s">
        <v>1199</v>
      </c>
      <c r="S463" t="s">
        <v>195</v>
      </c>
    </row>
    <row r="464" spans="1:19" x14ac:dyDescent="0.3">
      <c r="A464" t="s">
        <v>657</v>
      </c>
      <c r="B464" t="s">
        <v>22</v>
      </c>
      <c r="C464">
        <v>2025</v>
      </c>
      <c r="D464">
        <v>1</v>
      </c>
      <c r="E464" s="2">
        <v>45661</v>
      </c>
      <c r="F464" t="s">
        <v>7</v>
      </c>
      <c r="G464" t="s">
        <v>8</v>
      </c>
      <c r="H464" t="s">
        <v>70</v>
      </c>
      <c r="I464" t="s">
        <v>77</v>
      </c>
      <c r="J464" t="s">
        <v>78</v>
      </c>
      <c r="K464" t="s">
        <v>73</v>
      </c>
      <c r="L464">
        <v>701000</v>
      </c>
      <c r="M464" t="s">
        <v>62</v>
      </c>
      <c r="N464" t="s">
        <v>33</v>
      </c>
      <c r="O464">
        <v>1108</v>
      </c>
      <c r="P464">
        <v>1.81</v>
      </c>
      <c r="Q464">
        <v>2</v>
      </c>
      <c r="R464" t="s">
        <v>1198</v>
      </c>
      <c r="S464" t="s">
        <v>195</v>
      </c>
    </row>
    <row r="465" spans="1:19" x14ac:dyDescent="0.3">
      <c r="A465" t="s">
        <v>658</v>
      </c>
      <c r="B465" t="s">
        <v>22</v>
      </c>
      <c r="C465">
        <v>2025</v>
      </c>
      <c r="D465">
        <v>1</v>
      </c>
      <c r="E465" s="2">
        <v>45661</v>
      </c>
      <c r="F465" t="s">
        <v>7</v>
      </c>
      <c r="G465" t="s">
        <v>8</v>
      </c>
      <c r="H465" t="s">
        <v>70</v>
      </c>
      <c r="I465" t="s">
        <v>77</v>
      </c>
      <c r="J465" t="s">
        <v>78</v>
      </c>
      <c r="K465" t="s">
        <v>73</v>
      </c>
      <c r="L465">
        <v>701000</v>
      </c>
      <c r="M465" t="s">
        <v>62</v>
      </c>
      <c r="N465" t="s">
        <v>33</v>
      </c>
      <c r="O465">
        <v>1193</v>
      </c>
      <c r="P465">
        <v>1.8</v>
      </c>
      <c r="Q465">
        <v>2.15</v>
      </c>
      <c r="R465" t="s">
        <v>1201</v>
      </c>
      <c r="S465" t="s">
        <v>195</v>
      </c>
    </row>
    <row r="466" spans="1:19" x14ac:dyDescent="0.3">
      <c r="A466" t="s">
        <v>659</v>
      </c>
      <c r="B466" t="s">
        <v>22</v>
      </c>
      <c r="C466">
        <v>2025</v>
      </c>
      <c r="D466">
        <v>1</v>
      </c>
      <c r="E466" s="2">
        <v>45661</v>
      </c>
      <c r="F466" t="s">
        <v>7</v>
      </c>
      <c r="G466" t="s">
        <v>8</v>
      </c>
      <c r="H466" t="s">
        <v>70</v>
      </c>
      <c r="I466" t="s">
        <v>77</v>
      </c>
      <c r="J466" t="s">
        <v>78</v>
      </c>
      <c r="K466" t="s">
        <v>73</v>
      </c>
      <c r="L466">
        <v>701000</v>
      </c>
      <c r="M466" t="s">
        <v>62</v>
      </c>
      <c r="N466" t="s">
        <v>33</v>
      </c>
      <c r="O466">
        <v>198</v>
      </c>
      <c r="P466">
        <v>1.77</v>
      </c>
      <c r="Q466">
        <v>0.35</v>
      </c>
      <c r="R466" t="s">
        <v>1203</v>
      </c>
      <c r="S466" t="s">
        <v>195</v>
      </c>
    </row>
    <row r="467" spans="1:19" x14ac:dyDescent="0.3">
      <c r="A467" t="s">
        <v>660</v>
      </c>
      <c r="B467" t="s">
        <v>22</v>
      </c>
      <c r="C467">
        <v>2025</v>
      </c>
      <c r="D467">
        <v>1</v>
      </c>
      <c r="E467" s="2">
        <v>45668</v>
      </c>
      <c r="F467" t="s">
        <v>7</v>
      </c>
      <c r="G467" t="s">
        <v>8</v>
      </c>
      <c r="H467" t="s">
        <v>74</v>
      </c>
      <c r="I467" t="s">
        <v>77</v>
      </c>
      <c r="J467" t="s">
        <v>78</v>
      </c>
      <c r="K467" t="s">
        <v>73</v>
      </c>
      <c r="L467">
        <v>701000</v>
      </c>
      <c r="M467" t="s">
        <v>62</v>
      </c>
      <c r="N467" t="s">
        <v>33</v>
      </c>
      <c r="O467">
        <v>267</v>
      </c>
      <c r="P467">
        <v>1.8</v>
      </c>
      <c r="Q467">
        <v>0.48</v>
      </c>
      <c r="R467" t="s">
        <v>1204</v>
      </c>
      <c r="S467" t="s">
        <v>195</v>
      </c>
    </row>
    <row r="468" spans="1:19" x14ac:dyDescent="0.3">
      <c r="A468" t="s">
        <v>661</v>
      </c>
      <c r="B468" t="s">
        <v>22</v>
      </c>
      <c r="C468">
        <v>2025</v>
      </c>
      <c r="D468">
        <v>1</v>
      </c>
      <c r="E468" s="2">
        <v>45668</v>
      </c>
      <c r="F468" t="s">
        <v>7</v>
      </c>
      <c r="G468" t="s">
        <v>8</v>
      </c>
      <c r="H468" t="s">
        <v>74</v>
      </c>
      <c r="I468" t="s">
        <v>77</v>
      </c>
      <c r="J468" t="s">
        <v>78</v>
      </c>
      <c r="K468" t="s">
        <v>73</v>
      </c>
      <c r="L468">
        <v>701000</v>
      </c>
      <c r="M468" t="s">
        <v>62</v>
      </c>
      <c r="N468" t="s">
        <v>33</v>
      </c>
      <c r="O468">
        <v>409</v>
      </c>
      <c r="P468">
        <v>1.81</v>
      </c>
      <c r="Q468">
        <v>0.74</v>
      </c>
      <c r="R468" t="s">
        <v>1202</v>
      </c>
      <c r="S468" t="s">
        <v>195</v>
      </c>
    </row>
    <row r="469" spans="1:19" x14ac:dyDescent="0.3">
      <c r="A469" t="s">
        <v>662</v>
      </c>
      <c r="B469" t="s">
        <v>22</v>
      </c>
      <c r="C469">
        <v>2025</v>
      </c>
      <c r="D469">
        <v>1</v>
      </c>
      <c r="E469" s="2">
        <v>45668</v>
      </c>
      <c r="F469" t="s">
        <v>7</v>
      </c>
      <c r="G469" t="s">
        <v>8</v>
      </c>
      <c r="H469" t="s">
        <v>74</v>
      </c>
      <c r="I469" t="s">
        <v>77</v>
      </c>
      <c r="J469" t="s">
        <v>78</v>
      </c>
      <c r="K469" t="s">
        <v>73</v>
      </c>
      <c r="L469">
        <v>701000</v>
      </c>
      <c r="M469" t="s">
        <v>62</v>
      </c>
      <c r="N469" t="s">
        <v>33</v>
      </c>
      <c r="O469">
        <v>1063</v>
      </c>
      <c r="P469">
        <v>1.8</v>
      </c>
      <c r="Q469">
        <v>1.91</v>
      </c>
      <c r="R469" t="s">
        <v>1198</v>
      </c>
      <c r="S469" t="s">
        <v>195</v>
      </c>
    </row>
    <row r="470" spans="1:19" x14ac:dyDescent="0.3">
      <c r="A470" t="s">
        <v>663</v>
      </c>
      <c r="B470" t="s">
        <v>22</v>
      </c>
      <c r="C470">
        <v>2025</v>
      </c>
      <c r="D470">
        <v>1</v>
      </c>
      <c r="E470" s="2">
        <v>45668</v>
      </c>
      <c r="F470" t="s">
        <v>7</v>
      </c>
      <c r="G470" t="s">
        <v>8</v>
      </c>
      <c r="H470" t="s">
        <v>74</v>
      </c>
      <c r="I470" t="s">
        <v>77</v>
      </c>
      <c r="J470" t="s">
        <v>78</v>
      </c>
      <c r="K470" t="s">
        <v>73</v>
      </c>
      <c r="L470">
        <v>701000</v>
      </c>
      <c r="M470" t="s">
        <v>62</v>
      </c>
      <c r="N470" t="s">
        <v>33</v>
      </c>
      <c r="O470">
        <v>295</v>
      </c>
      <c r="P470">
        <v>1.8</v>
      </c>
      <c r="Q470">
        <v>0.53</v>
      </c>
      <c r="R470" t="s">
        <v>1205</v>
      </c>
      <c r="S470" t="s">
        <v>195</v>
      </c>
    </row>
    <row r="471" spans="1:19" x14ac:dyDescent="0.3">
      <c r="A471" t="s">
        <v>664</v>
      </c>
      <c r="B471" t="s">
        <v>22</v>
      </c>
      <c r="C471">
        <v>2025</v>
      </c>
      <c r="D471">
        <v>1</v>
      </c>
      <c r="E471" s="2">
        <v>45668</v>
      </c>
      <c r="F471" t="s">
        <v>7</v>
      </c>
      <c r="G471" t="s">
        <v>8</v>
      </c>
      <c r="H471" t="s">
        <v>74</v>
      </c>
      <c r="I471" t="s">
        <v>77</v>
      </c>
      <c r="J471" t="s">
        <v>78</v>
      </c>
      <c r="K471" t="s">
        <v>73</v>
      </c>
      <c r="L471">
        <v>701000</v>
      </c>
      <c r="M471" t="s">
        <v>62</v>
      </c>
      <c r="N471" t="s">
        <v>33</v>
      </c>
      <c r="O471">
        <v>1633</v>
      </c>
      <c r="P471">
        <v>1.8</v>
      </c>
      <c r="Q471">
        <v>2.94</v>
      </c>
      <c r="R471" t="s">
        <v>1200</v>
      </c>
      <c r="S471" t="s">
        <v>195</v>
      </c>
    </row>
    <row r="472" spans="1:19" x14ac:dyDescent="0.3">
      <c r="A472" t="s">
        <v>665</v>
      </c>
      <c r="B472" t="s">
        <v>22</v>
      </c>
      <c r="C472">
        <v>2025</v>
      </c>
      <c r="D472">
        <v>1</v>
      </c>
      <c r="E472" s="2">
        <v>45667</v>
      </c>
      <c r="F472" t="s">
        <v>7</v>
      </c>
      <c r="G472" t="s">
        <v>8</v>
      </c>
      <c r="H472" t="s">
        <v>70</v>
      </c>
      <c r="I472" t="s">
        <v>77</v>
      </c>
      <c r="J472" t="s">
        <v>78</v>
      </c>
      <c r="K472" t="s">
        <v>73</v>
      </c>
      <c r="L472">
        <v>701000</v>
      </c>
      <c r="M472" t="s">
        <v>62</v>
      </c>
      <c r="N472" t="s">
        <v>33</v>
      </c>
      <c r="O472">
        <v>650</v>
      </c>
      <c r="P472">
        <v>1.8</v>
      </c>
      <c r="Q472">
        <v>1.17</v>
      </c>
      <c r="R472" t="s">
        <v>1201</v>
      </c>
      <c r="S472" t="s">
        <v>195</v>
      </c>
    </row>
    <row r="473" spans="1:19" x14ac:dyDescent="0.3">
      <c r="A473" t="s">
        <v>666</v>
      </c>
      <c r="B473" t="s">
        <v>22</v>
      </c>
      <c r="C473">
        <v>2025</v>
      </c>
      <c r="D473">
        <v>1</v>
      </c>
      <c r="E473" s="2">
        <v>45667</v>
      </c>
      <c r="F473" t="s">
        <v>7</v>
      </c>
      <c r="G473" t="s">
        <v>8</v>
      </c>
      <c r="H473" t="s">
        <v>70</v>
      </c>
      <c r="I473" t="s">
        <v>77</v>
      </c>
      <c r="J473" t="s">
        <v>78</v>
      </c>
      <c r="K473" t="s">
        <v>73</v>
      </c>
      <c r="L473">
        <v>701000</v>
      </c>
      <c r="M473" t="s">
        <v>62</v>
      </c>
      <c r="N473" t="s">
        <v>33</v>
      </c>
      <c r="O473">
        <v>1228</v>
      </c>
      <c r="P473">
        <v>1.8</v>
      </c>
      <c r="Q473">
        <v>2.21</v>
      </c>
      <c r="R473" t="s">
        <v>1203</v>
      </c>
      <c r="S473" t="s">
        <v>195</v>
      </c>
    </row>
    <row r="474" spans="1:19" x14ac:dyDescent="0.3">
      <c r="A474" t="s">
        <v>667</v>
      </c>
      <c r="B474" t="s">
        <v>22</v>
      </c>
      <c r="C474">
        <v>2025</v>
      </c>
      <c r="D474">
        <v>1</v>
      </c>
      <c r="E474" s="2">
        <v>45667</v>
      </c>
      <c r="F474" t="s">
        <v>7</v>
      </c>
      <c r="G474" t="s">
        <v>8</v>
      </c>
      <c r="H474" t="s">
        <v>70</v>
      </c>
      <c r="I474" t="s">
        <v>77</v>
      </c>
      <c r="J474" t="s">
        <v>78</v>
      </c>
      <c r="K474" t="s">
        <v>73</v>
      </c>
      <c r="L474">
        <v>701000</v>
      </c>
      <c r="M474" t="s">
        <v>62</v>
      </c>
      <c r="N474" t="s">
        <v>33</v>
      </c>
      <c r="O474">
        <v>196</v>
      </c>
      <c r="P474">
        <v>1.79</v>
      </c>
      <c r="Q474">
        <v>0.35</v>
      </c>
      <c r="R474" t="s">
        <v>1205</v>
      </c>
      <c r="S474" t="s">
        <v>195</v>
      </c>
    </row>
    <row r="475" spans="1:19" x14ac:dyDescent="0.3">
      <c r="A475" t="s">
        <v>668</v>
      </c>
      <c r="B475" t="s">
        <v>22</v>
      </c>
      <c r="C475">
        <v>2025</v>
      </c>
      <c r="D475">
        <v>1</v>
      </c>
      <c r="E475" s="2">
        <v>45667</v>
      </c>
      <c r="F475" t="s">
        <v>7</v>
      </c>
      <c r="G475" t="s">
        <v>8</v>
      </c>
      <c r="H475" t="s">
        <v>70</v>
      </c>
      <c r="I475" t="s">
        <v>77</v>
      </c>
      <c r="J475" t="s">
        <v>78</v>
      </c>
      <c r="K475" t="s">
        <v>73</v>
      </c>
      <c r="L475">
        <v>701000</v>
      </c>
      <c r="M475" t="s">
        <v>62</v>
      </c>
      <c r="N475" t="s">
        <v>33</v>
      </c>
      <c r="O475">
        <v>871</v>
      </c>
      <c r="P475">
        <v>1.8</v>
      </c>
      <c r="Q475">
        <v>1.57</v>
      </c>
      <c r="R475" t="s">
        <v>1198</v>
      </c>
      <c r="S475" t="s">
        <v>195</v>
      </c>
    </row>
    <row r="476" spans="1:19" x14ac:dyDescent="0.3">
      <c r="A476" t="s">
        <v>669</v>
      </c>
      <c r="B476" t="s">
        <v>22</v>
      </c>
      <c r="C476">
        <v>2025</v>
      </c>
      <c r="D476">
        <v>1</v>
      </c>
      <c r="E476" s="2">
        <v>45667</v>
      </c>
      <c r="F476" t="s">
        <v>7</v>
      </c>
      <c r="G476" t="s">
        <v>8</v>
      </c>
      <c r="H476" t="s">
        <v>70</v>
      </c>
      <c r="I476" t="s">
        <v>77</v>
      </c>
      <c r="J476" t="s">
        <v>78</v>
      </c>
      <c r="K476" t="s">
        <v>73</v>
      </c>
      <c r="L476">
        <v>701000</v>
      </c>
      <c r="M476" t="s">
        <v>62</v>
      </c>
      <c r="N476" t="s">
        <v>33</v>
      </c>
      <c r="O476">
        <v>932</v>
      </c>
      <c r="P476">
        <v>1.8</v>
      </c>
      <c r="Q476">
        <v>1.68</v>
      </c>
      <c r="R476" t="s">
        <v>1200</v>
      </c>
      <c r="S476" t="s">
        <v>195</v>
      </c>
    </row>
    <row r="477" spans="1:19" x14ac:dyDescent="0.3">
      <c r="A477" t="s">
        <v>670</v>
      </c>
      <c r="B477" t="s">
        <v>22</v>
      </c>
      <c r="C477">
        <v>2025</v>
      </c>
      <c r="D477">
        <v>1</v>
      </c>
      <c r="E477" s="2">
        <v>45667</v>
      </c>
      <c r="F477" t="s">
        <v>7</v>
      </c>
      <c r="G477" t="s">
        <v>8</v>
      </c>
      <c r="H477" t="s">
        <v>70</v>
      </c>
      <c r="I477" t="s">
        <v>77</v>
      </c>
      <c r="J477" t="s">
        <v>78</v>
      </c>
      <c r="K477" t="s">
        <v>73</v>
      </c>
      <c r="L477">
        <v>701000</v>
      </c>
      <c r="M477" t="s">
        <v>62</v>
      </c>
      <c r="N477" t="s">
        <v>33</v>
      </c>
      <c r="O477">
        <v>1278</v>
      </c>
      <c r="P477">
        <v>1.8</v>
      </c>
      <c r="Q477">
        <v>2.2999999999999998</v>
      </c>
      <c r="R477" t="s">
        <v>1204</v>
      </c>
      <c r="S477" t="s">
        <v>195</v>
      </c>
    </row>
    <row r="478" spans="1:19" x14ac:dyDescent="0.3">
      <c r="A478" t="s">
        <v>671</v>
      </c>
      <c r="B478" t="s">
        <v>22</v>
      </c>
      <c r="C478">
        <v>2025</v>
      </c>
      <c r="D478">
        <v>1</v>
      </c>
      <c r="E478" s="2">
        <v>45667</v>
      </c>
      <c r="F478" t="s">
        <v>7</v>
      </c>
      <c r="G478" t="s">
        <v>8</v>
      </c>
      <c r="H478" t="s">
        <v>70</v>
      </c>
      <c r="I478" t="s">
        <v>77</v>
      </c>
      <c r="J478" t="s">
        <v>78</v>
      </c>
      <c r="K478" t="s">
        <v>73</v>
      </c>
      <c r="L478">
        <v>701000</v>
      </c>
      <c r="M478" t="s">
        <v>62</v>
      </c>
      <c r="N478" t="s">
        <v>33</v>
      </c>
      <c r="O478">
        <v>555</v>
      </c>
      <c r="P478">
        <v>1.8</v>
      </c>
      <c r="Q478">
        <v>1</v>
      </c>
      <c r="R478" t="s">
        <v>1202</v>
      </c>
      <c r="S478" t="s">
        <v>195</v>
      </c>
    </row>
    <row r="479" spans="1:19" x14ac:dyDescent="0.3">
      <c r="A479" t="s">
        <v>672</v>
      </c>
      <c r="B479" t="s">
        <v>22</v>
      </c>
      <c r="C479">
        <v>2025</v>
      </c>
      <c r="D479">
        <v>1</v>
      </c>
      <c r="E479" s="2">
        <v>45667</v>
      </c>
      <c r="F479" t="s">
        <v>7</v>
      </c>
      <c r="G479" t="s">
        <v>8</v>
      </c>
      <c r="H479" t="s">
        <v>70</v>
      </c>
      <c r="I479" t="s">
        <v>77</v>
      </c>
      <c r="J479" t="s">
        <v>78</v>
      </c>
      <c r="K479" t="s">
        <v>73</v>
      </c>
      <c r="L479">
        <v>701000</v>
      </c>
      <c r="M479" t="s">
        <v>62</v>
      </c>
      <c r="N479" t="s">
        <v>33</v>
      </c>
      <c r="O479">
        <v>592</v>
      </c>
      <c r="P479">
        <v>1.81</v>
      </c>
      <c r="Q479">
        <v>1.07</v>
      </c>
      <c r="R479" t="s">
        <v>1198</v>
      </c>
      <c r="S479" t="s">
        <v>195</v>
      </c>
    </row>
    <row r="480" spans="1:19" x14ac:dyDescent="0.3">
      <c r="A480" t="s">
        <v>673</v>
      </c>
      <c r="B480" t="s">
        <v>22</v>
      </c>
      <c r="C480">
        <v>2025</v>
      </c>
      <c r="D480">
        <v>1</v>
      </c>
      <c r="E480" s="2">
        <v>45667</v>
      </c>
      <c r="F480" t="s">
        <v>7</v>
      </c>
      <c r="G480" t="s">
        <v>8</v>
      </c>
      <c r="H480" t="s">
        <v>70</v>
      </c>
      <c r="I480" t="s">
        <v>77</v>
      </c>
      <c r="J480" t="s">
        <v>78</v>
      </c>
      <c r="K480" t="s">
        <v>73</v>
      </c>
      <c r="L480">
        <v>701000</v>
      </c>
      <c r="M480" t="s">
        <v>62</v>
      </c>
      <c r="N480" t="s">
        <v>33</v>
      </c>
      <c r="O480">
        <v>1068</v>
      </c>
      <c r="P480">
        <v>1.8</v>
      </c>
      <c r="Q480">
        <v>1.92</v>
      </c>
      <c r="R480" t="s">
        <v>1199</v>
      </c>
      <c r="S480" t="s">
        <v>195</v>
      </c>
    </row>
    <row r="481" spans="1:19" x14ac:dyDescent="0.3">
      <c r="A481" t="s">
        <v>674</v>
      </c>
      <c r="B481" t="s">
        <v>22</v>
      </c>
      <c r="C481">
        <v>2025</v>
      </c>
      <c r="D481">
        <v>1</v>
      </c>
      <c r="E481" s="2">
        <v>45667</v>
      </c>
      <c r="F481" t="s">
        <v>7</v>
      </c>
      <c r="G481" t="s">
        <v>8</v>
      </c>
      <c r="H481" t="s">
        <v>70</v>
      </c>
      <c r="I481" t="s">
        <v>77</v>
      </c>
      <c r="J481" t="s">
        <v>78</v>
      </c>
      <c r="K481" t="s">
        <v>73</v>
      </c>
      <c r="L481">
        <v>701000</v>
      </c>
      <c r="M481" t="s">
        <v>62</v>
      </c>
      <c r="N481" t="s">
        <v>33</v>
      </c>
      <c r="O481">
        <v>1202</v>
      </c>
      <c r="P481">
        <v>1.8</v>
      </c>
      <c r="Q481">
        <v>2.16</v>
      </c>
      <c r="R481" t="s">
        <v>1205</v>
      </c>
      <c r="S481" t="s">
        <v>195</v>
      </c>
    </row>
    <row r="482" spans="1:19" x14ac:dyDescent="0.3">
      <c r="A482" t="s">
        <v>675</v>
      </c>
      <c r="B482" t="s">
        <v>22</v>
      </c>
      <c r="C482">
        <v>2025</v>
      </c>
      <c r="D482">
        <v>1</v>
      </c>
      <c r="E482" s="2">
        <v>45673</v>
      </c>
      <c r="F482" t="s">
        <v>7</v>
      </c>
      <c r="G482" t="s">
        <v>8</v>
      </c>
      <c r="H482" t="s">
        <v>70</v>
      </c>
      <c r="I482" t="s">
        <v>77</v>
      </c>
      <c r="J482" t="s">
        <v>78</v>
      </c>
      <c r="K482" t="s">
        <v>73</v>
      </c>
      <c r="L482">
        <v>701000</v>
      </c>
      <c r="M482" t="s">
        <v>62</v>
      </c>
      <c r="N482" t="s">
        <v>33</v>
      </c>
      <c r="O482">
        <v>373</v>
      </c>
      <c r="P482">
        <v>1.8</v>
      </c>
      <c r="Q482">
        <v>0.67</v>
      </c>
      <c r="R482" t="s">
        <v>1197</v>
      </c>
      <c r="S482" t="s">
        <v>195</v>
      </c>
    </row>
    <row r="483" spans="1:19" x14ac:dyDescent="0.3">
      <c r="A483" t="s">
        <v>676</v>
      </c>
      <c r="B483" t="s">
        <v>22</v>
      </c>
      <c r="C483">
        <v>2025</v>
      </c>
      <c r="D483">
        <v>1</v>
      </c>
      <c r="E483" s="2">
        <v>45673</v>
      </c>
      <c r="F483" t="s">
        <v>7</v>
      </c>
      <c r="G483" t="s">
        <v>8</v>
      </c>
      <c r="H483" t="s">
        <v>70</v>
      </c>
      <c r="I483" t="s">
        <v>77</v>
      </c>
      <c r="J483" t="s">
        <v>78</v>
      </c>
      <c r="K483" t="s">
        <v>73</v>
      </c>
      <c r="L483">
        <v>701000</v>
      </c>
      <c r="M483" t="s">
        <v>62</v>
      </c>
      <c r="N483" t="s">
        <v>33</v>
      </c>
      <c r="O483">
        <v>1266</v>
      </c>
      <c r="P483">
        <v>1.8</v>
      </c>
      <c r="Q483">
        <v>2.2799999999999998</v>
      </c>
      <c r="R483" t="s">
        <v>1203</v>
      </c>
      <c r="S483" t="s">
        <v>195</v>
      </c>
    </row>
    <row r="484" spans="1:19" x14ac:dyDescent="0.3">
      <c r="A484" t="s">
        <v>677</v>
      </c>
      <c r="B484" t="s">
        <v>22</v>
      </c>
      <c r="C484">
        <v>2025</v>
      </c>
      <c r="D484">
        <v>1</v>
      </c>
      <c r="E484" s="2">
        <v>45673</v>
      </c>
      <c r="F484" t="s">
        <v>7</v>
      </c>
      <c r="G484" t="s">
        <v>8</v>
      </c>
      <c r="H484" t="s">
        <v>70</v>
      </c>
      <c r="I484" t="s">
        <v>77</v>
      </c>
      <c r="J484" t="s">
        <v>78</v>
      </c>
      <c r="K484" t="s">
        <v>73</v>
      </c>
      <c r="L484">
        <v>701000</v>
      </c>
      <c r="M484" t="s">
        <v>62</v>
      </c>
      <c r="N484" t="s">
        <v>33</v>
      </c>
      <c r="O484">
        <v>958</v>
      </c>
      <c r="P484">
        <v>1.8</v>
      </c>
      <c r="Q484">
        <v>1.72</v>
      </c>
      <c r="R484" t="s">
        <v>1200</v>
      </c>
      <c r="S484" t="s">
        <v>195</v>
      </c>
    </row>
    <row r="485" spans="1:19" x14ac:dyDescent="0.3">
      <c r="A485" t="s">
        <v>678</v>
      </c>
      <c r="B485" t="s">
        <v>22</v>
      </c>
      <c r="C485">
        <v>2025</v>
      </c>
      <c r="D485">
        <v>1</v>
      </c>
      <c r="E485" s="2">
        <v>45673</v>
      </c>
      <c r="F485" t="s">
        <v>7</v>
      </c>
      <c r="G485" t="s">
        <v>8</v>
      </c>
      <c r="H485" t="s">
        <v>70</v>
      </c>
      <c r="I485" t="s">
        <v>77</v>
      </c>
      <c r="J485" t="s">
        <v>78</v>
      </c>
      <c r="K485" t="s">
        <v>73</v>
      </c>
      <c r="L485">
        <v>701000</v>
      </c>
      <c r="M485" t="s">
        <v>62</v>
      </c>
      <c r="N485" t="s">
        <v>33</v>
      </c>
      <c r="O485">
        <v>1209</v>
      </c>
      <c r="P485">
        <v>1.8</v>
      </c>
      <c r="Q485">
        <v>2.1800000000000002</v>
      </c>
      <c r="R485" t="s">
        <v>1202</v>
      </c>
      <c r="S485" t="s">
        <v>195</v>
      </c>
    </row>
    <row r="486" spans="1:19" x14ac:dyDescent="0.3">
      <c r="A486" t="s">
        <v>679</v>
      </c>
      <c r="B486" t="s">
        <v>22</v>
      </c>
      <c r="C486">
        <v>2025</v>
      </c>
      <c r="D486">
        <v>1</v>
      </c>
      <c r="E486" s="2">
        <v>45673</v>
      </c>
      <c r="F486" t="s">
        <v>7</v>
      </c>
      <c r="G486" t="s">
        <v>8</v>
      </c>
      <c r="H486" t="s">
        <v>70</v>
      </c>
      <c r="I486" t="s">
        <v>77</v>
      </c>
      <c r="J486" t="s">
        <v>78</v>
      </c>
      <c r="K486" t="s">
        <v>73</v>
      </c>
      <c r="L486">
        <v>701000</v>
      </c>
      <c r="M486" t="s">
        <v>62</v>
      </c>
      <c r="N486" t="s">
        <v>33</v>
      </c>
      <c r="O486">
        <v>431</v>
      </c>
      <c r="P486">
        <v>1.81</v>
      </c>
      <c r="Q486">
        <v>0.78</v>
      </c>
      <c r="R486" t="s">
        <v>1199</v>
      </c>
      <c r="S486" t="s">
        <v>195</v>
      </c>
    </row>
    <row r="487" spans="1:19" x14ac:dyDescent="0.3">
      <c r="A487" t="s">
        <v>680</v>
      </c>
      <c r="B487" t="s">
        <v>22</v>
      </c>
      <c r="C487">
        <v>2025</v>
      </c>
      <c r="D487">
        <v>1</v>
      </c>
      <c r="E487" s="2">
        <v>45679</v>
      </c>
      <c r="F487" t="s">
        <v>7</v>
      </c>
      <c r="G487" t="s">
        <v>8</v>
      </c>
      <c r="H487" t="s">
        <v>74</v>
      </c>
      <c r="I487" t="s">
        <v>77</v>
      </c>
      <c r="J487" t="s">
        <v>78</v>
      </c>
      <c r="K487" t="s">
        <v>73</v>
      </c>
      <c r="L487">
        <v>701000</v>
      </c>
      <c r="M487" t="s">
        <v>62</v>
      </c>
      <c r="N487" t="s">
        <v>33</v>
      </c>
      <c r="O487">
        <v>698</v>
      </c>
      <c r="P487">
        <v>1.81</v>
      </c>
      <c r="Q487">
        <v>1.26</v>
      </c>
      <c r="R487" t="s">
        <v>1204</v>
      </c>
      <c r="S487" t="s">
        <v>195</v>
      </c>
    </row>
    <row r="488" spans="1:19" x14ac:dyDescent="0.3">
      <c r="A488" t="s">
        <v>681</v>
      </c>
      <c r="B488" t="s">
        <v>22</v>
      </c>
      <c r="C488">
        <v>2025</v>
      </c>
      <c r="D488">
        <v>1</v>
      </c>
      <c r="E488" s="2">
        <v>45679</v>
      </c>
      <c r="F488" t="s">
        <v>7</v>
      </c>
      <c r="G488" t="s">
        <v>8</v>
      </c>
      <c r="H488" t="s">
        <v>74</v>
      </c>
      <c r="I488" t="s">
        <v>77</v>
      </c>
      <c r="J488" t="s">
        <v>78</v>
      </c>
      <c r="K488" t="s">
        <v>73</v>
      </c>
      <c r="L488">
        <v>701000</v>
      </c>
      <c r="M488" t="s">
        <v>62</v>
      </c>
      <c r="N488" t="s">
        <v>33</v>
      </c>
      <c r="O488">
        <v>424</v>
      </c>
      <c r="P488">
        <v>1.79</v>
      </c>
      <c r="Q488">
        <v>0.76</v>
      </c>
      <c r="R488" t="s">
        <v>1203</v>
      </c>
      <c r="S488" t="s">
        <v>195</v>
      </c>
    </row>
    <row r="489" spans="1:19" x14ac:dyDescent="0.3">
      <c r="A489" t="s">
        <v>682</v>
      </c>
      <c r="B489" t="s">
        <v>22</v>
      </c>
      <c r="C489">
        <v>2025</v>
      </c>
      <c r="D489">
        <v>1</v>
      </c>
      <c r="E489" s="2">
        <v>45679</v>
      </c>
      <c r="F489" t="s">
        <v>7</v>
      </c>
      <c r="G489" t="s">
        <v>8</v>
      </c>
      <c r="H489" t="s">
        <v>74</v>
      </c>
      <c r="I489" t="s">
        <v>77</v>
      </c>
      <c r="J489" t="s">
        <v>78</v>
      </c>
      <c r="K489" t="s">
        <v>73</v>
      </c>
      <c r="L489">
        <v>701000</v>
      </c>
      <c r="M489" t="s">
        <v>62</v>
      </c>
      <c r="N489" t="s">
        <v>33</v>
      </c>
      <c r="O489">
        <v>1434</v>
      </c>
      <c r="P489">
        <v>1.8</v>
      </c>
      <c r="Q489">
        <v>2.58</v>
      </c>
      <c r="R489" t="s">
        <v>1198</v>
      </c>
      <c r="S489" t="s">
        <v>195</v>
      </c>
    </row>
    <row r="490" spans="1:19" x14ac:dyDescent="0.3">
      <c r="A490" t="s">
        <v>683</v>
      </c>
      <c r="B490" t="s">
        <v>22</v>
      </c>
      <c r="C490">
        <v>2025</v>
      </c>
      <c r="D490">
        <v>1</v>
      </c>
      <c r="E490" s="2">
        <v>45679</v>
      </c>
      <c r="F490" t="s">
        <v>7</v>
      </c>
      <c r="G490" t="s">
        <v>8</v>
      </c>
      <c r="H490" t="s">
        <v>74</v>
      </c>
      <c r="I490" t="s">
        <v>77</v>
      </c>
      <c r="J490" t="s">
        <v>78</v>
      </c>
      <c r="K490" t="s">
        <v>73</v>
      </c>
      <c r="L490">
        <v>701000</v>
      </c>
      <c r="M490" t="s">
        <v>62</v>
      </c>
      <c r="N490" t="s">
        <v>33</v>
      </c>
      <c r="O490">
        <v>1410</v>
      </c>
      <c r="P490">
        <v>1.8</v>
      </c>
      <c r="Q490">
        <v>2.54</v>
      </c>
      <c r="R490" t="s">
        <v>1197</v>
      </c>
      <c r="S490" t="s">
        <v>195</v>
      </c>
    </row>
    <row r="491" spans="1:19" x14ac:dyDescent="0.3">
      <c r="A491" t="s">
        <v>684</v>
      </c>
      <c r="B491" t="s">
        <v>22</v>
      </c>
      <c r="C491">
        <v>2025</v>
      </c>
      <c r="D491">
        <v>1</v>
      </c>
      <c r="E491" s="2">
        <v>45679</v>
      </c>
      <c r="F491" t="s">
        <v>7</v>
      </c>
      <c r="G491" t="s">
        <v>8</v>
      </c>
      <c r="H491" t="s">
        <v>74</v>
      </c>
      <c r="I491" t="s">
        <v>77</v>
      </c>
      <c r="J491" t="s">
        <v>78</v>
      </c>
      <c r="K491" t="s">
        <v>73</v>
      </c>
      <c r="L491">
        <v>701000</v>
      </c>
      <c r="M491" t="s">
        <v>62</v>
      </c>
      <c r="N491" t="s">
        <v>33</v>
      </c>
      <c r="O491">
        <v>177</v>
      </c>
      <c r="P491">
        <v>1.81</v>
      </c>
      <c r="Q491">
        <v>0.32</v>
      </c>
      <c r="R491" t="s">
        <v>1205</v>
      </c>
      <c r="S491" t="s">
        <v>195</v>
      </c>
    </row>
    <row r="492" spans="1:19" x14ac:dyDescent="0.3">
      <c r="A492" t="s">
        <v>685</v>
      </c>
      <c r="B492" t="s">
        <v>22</v>
      </c>
      <c r="C492">
        <v>2025</v>
      </c>
      <c r="D492">
        <v>1</v>
      </c>
      <c r="E492" s="2">
        <v>45676</v>
      </c>
      <c r="F492" t="s">
        <v>7</v>
      </c>
      <c r="G492" t="s">
        <v>8</v>
      </c>
      <c r="H492" t="s">
        <v>74</v>
      </c>
      <c r="I492" t="s">
        <v>77</v>
      </c>
      <c r="J492" t="s">
        <v>78</v>
      </c>
      <c r="K492" t="s">
        <v>73</v>
      </c>
      <c r="L492">
        <v>701000</v>
      </c>
      <c r="M492" t="s">
        <v>62</v>
      </c>
      <c r="N492" t="s">
        <v>33</v>
      </c>
      <c r="O492">
        <v>844</v>
      </c>
      <c r="P492">
        <v>1.8</v>
      </c>
      <c r="Q492">
        <v>1.52</v>
      </c>
      <c r="R492" t="s">
        <v>1203</v>
      </c>
      <c r="S492" t="s">
        <v>195</v>
      </c>
    </row>
    <row r="493" spans="1:19" x14ac:dyDescent="0.3">
      <c r="A493" t="s">
        <v>686</v>
      </c>
      <c r="B493" t="s">
        <v>22</v>
      </c>
      <c r="C493">
        <v>2025</v>
      </c>
      <c r="D493">
        <v>1</v>
      </c>
      <c r="E493" s="2">
        <v>45676</v>
      </c>
      <c r="F493" t="s">
        <v>7</v>
      </c>
      <c r="G493" t="s">
        <v>8</v>
      </c>
      <c r="H493" t="s">
        <v>74</v>
      </c>
      <c r="I493" t="s">
        <v>77</v>
      </c>
      <c r="J493" t="s">
        <v>78</v>
      </c>
      <c r="K493" t="s">
        <v>73</v>
      </c>
      <c r="L493">
        <v>701000</v>
      </c>
      <c r="M493" t="s">
        <v>62</v>
      </c>
      <c r="N493" t="s">
        <v>33</v>
      </c>
      <c r="O493">
        <v>1491</v>
      </c>
      <c r="P493">
        <v>1.8</v>
      </c>
      <c r="Q493">
        <v>2.68</v>
      </c>
      <c r="R493" t="s">
        <v>1202</v>
      </c>
      <c r="S493" t="s">
        <v>195</v>
      </c>
    </row>
    <row r="494" spans="1:19" x14ac:dyDescent="0.3">
      <c r="A494" t="s">
        <v>687</v>
      </c>
      <c r="B494" t="s">
        <v>22</v>
      </c>
      <c r="C494">
        <v>2025</v>
      </c>
      <c r="D494">
        <v>1</v>
      </c>
      <c r="E494" s="2">
        <v>45676</v>
      </c>
      <c r="F494" t="s">
        <v>7</v>
      </c>
      <c r="G494" t="s">
        <v>8</v>
      </c>
      <c r="H494" t="s">
        <v>74</v>
      </c>
      <c r="I494" t="s">
        <v>77</v>
      </c>
      <c r="J494" t="s">
        <v>78</v>
      </c>
      <c r="K494" t="s">
        <v>73</v>
      </c>
      <c r="L494">
        <v>701000</v>
      </c>
      <c r="M494" t="s">
        <v>62</v>
      </c>
      <c r="N494" t="s">
        <v>33</v>
      </c>
      <c r="O494">
        <v>190</v>
      </c>
      <c r="P494">
        <v>1.79</v>
      </c>
      <c r="Q494">
        <v>0.34</v>
      </c>
      <c r="R494" t="s">
        <v>1205</v>
      </c>
      <c r="S494" t="s">
        <v>195</v>
      </c>
    </row>
    <row r="495" spans="1:19" x14ac:dyDescent="0.3">
      <c r="A495" t="s">
        <v>688</v>
      </c>
      <c r="B495" t="s">
        <v>22</v>
      </c>
      <c r="C495">
        <v>2025</v>
      </c>
      <c r="D495">
        <v>1</v>
      </c>
      <c r="E495" s="2">
        <v>45676</v>
      </c>
      <c r="F495" t="s">
        <v>7</v>
      </c>
      <c r="G495" t="s">
        <v>8</v>
      </c>
      <c r="H495" t="s">
        <v>74</v>
      </c>
      <c r="I495" t="s">
        <v>77</v>
      </c>
      <c r="J495" t="s">
        <v>78</v>
      </c>
      <c r="K495" t="s">
        <v>73</v>
      </c>
      <c r="L495">
        <v>701000</v>
      </c>
      <c r="M495" t="s">
        <v>62</v>
      </c>
      <c r="N495" t="s">
        <v>33</v>
      </c>
      <c r="O495">
        <v>1220</v>
      </c>
      <c r="P495">
        <v>1.8</v>
      </c>
      <c r="Q495">
        <v>2.2000000000000002</v>
      </c>
      <c r="R495" t="s">
        <v>1197</v>
      </c>
      <c r="S495" t="s">
        <v>195</v>
      </c>
    </row>
    <row r="496" spans="1:19" x14ac:dyDescent="0.3">
      <c r="A496" t="s">
        <v>689</v>
      </c>
      <c r="B496" t="s">
        <v>22</v>
      </c>
      <c r="C496">
        <v>2025</v>
      </c>
      <c r="D496">
        <v>1</v>
      </c>
      <c r="E496" s="2">
        <v>45676</v>
      </c>
      <c r="F496" t="s">
        <v>7</v>
      </c>
      <c r="G496" t="s">
        <v>8</v>
      </c>
      <c r="H496" t="s">
        <v>74</v>
      </c>
      <c r="I496" t="s">
        <v>77</v>
      </c>
      <c r="J496" t="s">
        <v>78</v>
      </c>
      <c r="K496" t="s">
        <v>73</v>
      </c>
      <c r="L496">
        <v>701000</v>
      </c>
      <c r="M496" t="s">
        <v>62</v>
      </c>
      <c r="N496" t="s">
        <v>33</v>
      </c>
      <c r="O496">
        <v>436</v>
      </c>
      <c r="P496">
        <v>1.81</v>
      </c>
      <c r="Q496">
        <v>0.79</v>
      </c>
      <c r="R496" t="s">
        <v>1199</v>
      </c>
      <c r="S496" t="s">
        <v>195</v>
      </c>
    </row>
    <row r="497" spans="1:19" x14ac:dyDescent="0.3">
      <c r="A497" t="s">
        <v>690</v>
      </c>
      <c r="B497" t="s">
        <v>22</v>
      </c>
      <c r="C497">
        <v>2025</v>
      </c>
      <c r="D497">
        <v>1</v>
      </c>
      <c r="E497" s="2">
        <v>45671</v>
      </c>
      <c r="F497" t="s">
        <v>7</v>
      </c>
      <c r="G497" t="s">
        <v>8</v>
      </c>
      <c r="H497" t="s">
        <v>70</v>
      </c>
      <c r="I497" t="s">
        <v>77</v>
      </c>
      <c r="J497" t="s">
        <v>78</v>
      </c>
      <c r="K497" t="s">
        <v>73</v>
      </c>
      <c r="L497">
        <v>701000</v>
      </c>
      <c r="M497" t="s">
        <v>62</v>
      </c>
      <c r="N497" t="s">
        <v>33</v>
      </c>
      <c r="O497">
        <v>369</v>
      </c>
      <c r="P497">
        <v>1.79</v>
      </c>
      <c r="Q497">
        <v>0.66</v>
      </c>
      <c r="R497" t="s">
        <v>1205</v>
      </c>
      <c r="S497" t="s">
        <v>195</v>
      </c>
    </row>
    <row r="498" spans="1:19" x14ac:dyDescent="0.3">
      <c r="A498" t="s">
        <v>691</v>
      </c>
      <c r="B498" t="s">
        <v>22</v>
      </c>
      <c r="C498">
        <v>2025</v>
      </c>
      <c r="D498">
        <v>1</v>
      </c>
      <c r="E498" s="2">
        <v>45671</v>
      </c>
      <c r="F498" t="s">
        <v>7</v>
      </c>
      <c r="G498" t="s">
        <v>8</v>
      </c>
      <c r="H498" t="s">
        <v>70</v>
      </c>
      <c r="I498" t="s">
        <v>77</v>
      </c>
      <c r="J498" t="s">
        <v>78</v>
      </c>
      <c r="K498" t="s">
        <v>73</v>
      </c>
      <c r="L498">
        <v>701000</v>
      </c>
      <c r="M498" t="s">
        <v>62</v>
      </c>
      <c r="N498" t="s">
        <v>33</v>
      </c>
      <c r="O498">
        <v>1120</v>
      </c>
      <c r="P498">
        <v>1.8</v>
      </c>
      <c r="Q498">
        <v>2.02</v>
      </c>
      <c r="R498" t="s">
        <v>1198</v>
      </c>
      <c r="S498" t="s">
        <v>195</v>
      </c>
    </row>
    <row r="499" spans="1:19" x14ac:dyDescent="0.3">
      <c r="A499" t="s">
        <v>692</v>
      </c>
      <c r="B499" t="s">
        <v>22</v>
      </c>
      <c r="C499">
        <v>2025</v>
      </c>
      <c r="D499">
        <v>1</v>
      </c>
      <c r="E499" s="2">
        <v>45671</v>
      </c>
      <c r="F499" t="s">
        <v>7</v>
      </c>
      <c r="G499" t="s">
        <v>8</v>
      </c>
      <c r="H499" t="s">
        <v>70</v>
      </c>
      <c r="I499" t="s">
        <v>77</v>
      </c>
      <c r="J499" t="s">
        <v>78</v>
      </c>
      <c r="K499" t="s">
        <v>73</v>
      </c>
      <c r="L499">
        <v>701000</v>
      </c>
      <c r="M499" t="s">
        <v>62</v>
      </c>
      <c r="N499" t="s">
        <v>33</v>
      </c>
      <c r="O499">
        <v>1224</v>
      </c>
      <c r="P499">
        <v>1.8</v>
      </c>
      <c r="Q499">
        <v>2.2000000000000002</v>
      </c>
      <c r="R499" t="s">
        <v>1200</v>
      </c>
      <c r="S499" t="s">
        <v>195</v>
      </c>
    </row>
    <row r="500" spans="1:19" x14ac:dyDescent="0.3">
      <c r="A500" t="s">
        <v>693</v>
      </c>
      <c r="B500" t="s">
        <v>22</v>
      </c>
      <c r="C500">
        <v>2025</v>
      </c>
      <c r="D500">
        <v>1</v>
      </c>
      <c r="E500" s="2">
        <v>45671</v>
      </c>
      <c r="F500" t="s">
        <v>7</v>
      </c>
      <c r="G500" t="s">
        <v>8</v>
      </c>
      <c r="H500" t="s">
        <v>70</v>
      </c>
      <c r="I500" t="s">
        <v>77</v>
      </c>
      <c r="J500" t="s">
        <v>78</v>
      </c>
      <c r="K500" t="s">
        <v>73</v>
      </c>
      <c r="L500">
        <v>701000</v>
      </c>
      <c r="M500" t="s">
        <v>62</v>
      </c>
      <c r="N500" t="s">
        <v>33</v>
      </c>
      <c r="O500">
        <v>1184</v>
      </c>
      <c r="P500">
        <v>1.8</v>
      </c>
      <c r="Q500">
        <v>2.13</v>
      </c>
      <c r="R500" t="s">
        <v>1199</v>
      </c>
      <c r="S500" t="s">
        <v>195</v>
      </c>
    </row>
    <row r="501" spans="1:19" x14ac:dyDescent="0.3">
      <c r="A501" t="s">
        <v>694</v>
      </c>
      <c r="B501" t="s">
        <v>22</v>
      </c>
      <c r="C501">
        <v>2025</v>
      </c>
      <c r="D501">
        <v>1</v>
      </c>
      <c r="E501" s="2">
        <v>45671</v>
      </c>
      <c r="F501" t="s">
        <v>7</v>
      </c>
      <c r="G501" t="s">
        <v>8</v>
      </c>
      <c r="H501" t="s">
        <v>70</v>
      </c>
      <c r="I501" t="s">
        <v>77</v>
      </c>
      <c r="J501" t="s">
        <v>78</v>
      </c>
      <c r="K501" t="s">
        <v>73</v>
      </c>
      <c r="L501">
        <v>701000</v>
      </c>
      <c r="M501" t="s">
        <v>62</v>
      </c>
      <c r="N501" t="s">
        <v>33</v>
      </c>
      <c r="O501">
        <v>1228</v>
      </c>
      <c r="P501">
        <v>1.81</v>
      </c>
      <c r="Q501">
        <v>2.2200000000000002</v>
      </c>
      <c r="R501" t="s">
        <v>1204</v>
      </c>
      <c r="S501" t="s">
        <v>195</v>
      </c>
    </row>
    <row r="502" spans="1:19" x14ac:dyDescent="0.3">
      <c r="A502" t="s">
        <v>695</v>
      </c>
      <c r="B502" t="s">
        <v>22</v>
      </c>
      <c r="C502">
        <v>2025</v>
      </c>
      <c r="D502">
        <v>1</v>
      </c>
      <c r="E502" s="2">
        <v>45665</v>
      </c>
      <c r="F502" t="s">
        <v>7</v>
      </c>
      <c r="G502" t="s">
        <v>8</v>
      </c>
      <c r="H502" t="s">
        <v>70</v>
      </c>
      <c r="I502" t="s">
        <v>77</v>
      </c>
      <c r="J502" t="s">
        <v>78</v>
      </c>
      <c r="K502" t="s">
        <v>73</v>
      </c>
      <c r="L502">
        <v>706000</v>
      </c>
      <c r="M502" t="s">
        <v>63</v>
      </c>
      <c r="N502" t="s">
        <v>33</v>
      </c>
      <c r="O502">
        <v>814</v>
      </c>
      <c r="P502">
        <v>1.81</v>
      </c>
      <c r="Q502">
        <v>1.47</v>
      </c>
      <c r="R502" t="s">
        <v>1200</v>
      </c>
      <c r="S502" t="s">
        <v>195</v>
      </c>
    </row>
    <row r="503" spans="1:19" x14ac:dyDescent="0.3">
      <c r="A503" t="s">
        <v>696</v>
      </c>
      <c r="B503" t="s">
        <v>22</v>
      </c>
      <c r="C503">
        <v>2025</v>
      </c>
      <c r="D503">
        <v>1</v>
      </c>
      <c r="E503" s="2">
        <v>45665</v>
      </c>
      <c r="F503" t="s">
        <v>7</v>
      </c>
      <c r="G503" t="s">
        <v>8</v>
      </c>
      <c r="H503" t="s">
        <v>70</v>
      </c>
      <c r="I503" t="s">
        <v>77</v>
      </c>
      <c r="J503" t="s">
        <v>78</v>
      </c>
      <c r="K503" t="s">
        <v>73</v>
      </c>
      <c r="L503">
        <v>706000</v>
      </c>
      <c r="M503" t="s">
        <v>63</v>
      </c>
      <c r="N503" t="s">
        <v>33</v>
      </c>
      <c r="O503">
        <v>1306</v>
      </c>
      <c r="P503">
        <v>1.8</v>
      </c>
      <c r="Q503">
        <v>2.35</v>
      </c>
      <c r="R503" t="s">
        <v>1197</v>
      </c>
      <c r="S503" t="s">
        <v>195</v>
      </c>
    </row>
    <row r="504" spans="1:19" x14ac:dyDescent="0.3">
      <c r="A504" t="s">
        <v>697</v>
      </c>
      <c r="B504" t="s">
        <v>22</v>
      </c>
      <c r="C504">
        <v>2025</v>
      </c>
      <c r="D504">
        <v>1</v>
      </c>
      <c r="E504" s="2">
        <v>45665</v>
      </c>
      <c r="F504" t="s">
        <v>7</v>
      </c>
      <c r="G504" t="s">
        <v>8</v>
      </c>
      <c r="H504" t="s">
        <v>70</v>
      </c>
      <c r="I504" t="s">
        <v>77</v>
      </c>
      <c r="J504" t="s">
        <v>78</v>
      </c>
      <c r="K504" t="s">
        <v>73</v>
      </c>
      <c r="L504">
        <v>706000</v>
      </c>
      <c r="M504" t="s">
        <v>63</v>
      </c>
      <c r="N504" t="s">
        <v>33</v>
      </c>
      <c r="O504">
        <v>564</v>
      </c>
      <c r="P504">
        <v>1.81</v>
      </c>
      <c r="Q504">
        <v>1.02</v>
      </c>
      <c r="R504" t="s">
        <v>1198</v>
      </c>
      <c r="S504" t="s">
        <v>195</v>
      </c>
    </row>
    <row r="505" spans="1:19" x14ac:dyDescent="0.3">
      <c r="A505" t="s">
        <v>698</v>
      </c>
      <c r="B505" t="s">
        <v>22</v>
      </c>
      <c r="C505">
        <v>2025</v>
      </c>
      <c r="D505">
        <v>1</v>
      </c>
      <c r="E505" s="2">
        <v>45665</v>
      </c>
      <c r="F505" t="s">
        <v>7</v>
      </c>
      <c r="G505" t="s">
        <v>8</v>
      </c>
      <c r="H505" t="s">
        <v>70</v>
      </c>
      <c r="I505" t="s">
        <v>77</v>
      </c>
      <c r="J505" t="s">
        <v>78</v>
      </c>
      <c r="K505" t="s">
        <v>73</v>
      </c>
      <c r="L505">
        <v>706000</v>
      </c>
      <c r="M505" t="s">
        <v>63</v>
      </c>
      <c r="N505" t="s">
        <v>33</v>
      </c>
      <c r="O505">
        <v>974</v>
      </c>
      <c r="P505">
        <v>1.8</v>
      </c>
      <c r="Q505">
        <v>1.75</v>
      </c>
      <c r="R505" t="s">
        <v>1201</v>
      </c>
      <c r="S505" t="s">
        <v>195</v>
      </c>
    </row>
    <row r="506" spans="1:19" x14ac:dyDescent="0.3">
      <c r="A506" t="s">
        <v>699</v>
      </c>
      <c r="B506" t="s">
        <v>22</v>
      </c>
      <c r="C506">
        <v>2025</v>
      </c>
      <c r="D506">
        <v>1</v>
      </c>
      <c r="E506" s="2">
        <v>45665</v>
      </c>
      <c r="F506" t="s">
        <v>7</v>
      </c>
      <c r="G506" t="s">
        <v>8</v>
      </c>
      <c r="H506" t="s">
        <v>70</v>
      </c>
      <c r="I506" t="s">
        <v>77</v>
      </c>
      <c r="J506" t="s">
        <v>78</v>
      </c>
      <c r="K506" t="s">
        <v>73</v>
      </c>
      <c r="L506">
        <v>706000</v>
      </c>
      <c r="M506" t="s">
        <v>63</v>
      </c>
      <c r="N506" t="s">
        <v>33</v>
      </c>
      <c r="O506">
        <v>1001</v>
      </c>
      <c r="P506">
        <v>1.8</v>
      </c>
      <c r="Q506">
        <v>1.8</v>
      </c>
      <c r="R506" t="s">
        <v>1204</v>
      </c>
      <c r="S506" t="s">
        <v>195</v>
      </c>
    </row>
    <row r="507" spans="1:19" x14ac:dyDescent="0.3">
      <c r="A507" t="s">
        <v>700</v>
      </c>
      <c r="B507" t="s">
        <v>22</v>
      </c>
      <c r="C507">
        <v>2025</v>
      </c>
      <c r="D507">
        <v>1</v>
      </c>
      <c r="E507" s="2">
        <v>45673</v>
      </c>
      <c r="F507" t="s">
        <v>7</v>
      </c>
      <c r="G507" t="s">
        <v>8</v>
      </c>
      <c r="H507" t="s">
        <v>74</v>
      </c>
      <c r="I507" t="s">
        <v>77</v>
      </c>
      <c r="J507" t="s">
        <v>78</v>
      </c>
      <c r="K507" t="s">
        <v>73</v>
      </c>
      <c r="L507">
        <v>701000</v>
      </c>
      <c r="M507" t="s">
        <v>62</v>
      </c>
      <c r="N507" t="s">
        <v>33</v>
      </c>
      <c r="O507">
        <v>458</v>
      </c>
      <c r="P507">
        <v>1.79</v>
      </c>
      <c r="Q507">
        <v>0.82</v>
      </c>
      <c r="R507" t="s">
        <v>1197</v>
      </c>
      <c r="S507" t="s">
        <v>195</v>
      </c>
    </row>
    <row r="508" spans="1:19" x14ac:dyDescent="0.3">
      <c r="A508" t="s">
        <v>701</v>
      </c>
      <c r="B508" t="s">
        <v>22</v>
      </c>
      <c r="C508">
        <v>2025</v>
      </c>
      <c r="D508">
        <v>1</v>
      </c>
      <c r="E508" s="2">
        <v>45673</v>
      </c>
      <c r="F508" t="s">
        <v>7</v>
      </c>
      <c r="G508" t="s">
        <v>8</v>
      </c>
      <c r="H508" t="s">
        <v>74</v>
      </c>
      <c r="I508" t="s">
        <v>77</v>
      </c>
      <c r="J508" t="s">
        <v>78</v>
      </c>
      <c r="K508" t="s">
        <v>73</v>
      </c>
      <c r="L508">
        <v>701000</v>
      </c>
      <c r="M508" t="s">
        <v>62</v>
      </c>
      <c r="N508" t="s">
        <v>33</v>
      </c>
      <c r="O508">
        <v>1236</v>
      </c>
      <c r="P508">
        <v>1.8</v>
      </c>
      <c r="Q508">
        <v>2.23</v>
      </c>
      <c r="R508" t="s">
        <v>1203</v>
      </c>
      <c r="S508" t="s">
        <v>195</v>
      </c>
    </row>
    <row r="509" spans="1:19" x14ac:dyDescent="0.3">
      <c r="A509" t="s">
        <v>702</v>
      </c>
      <c r="B509" t="s">
        <v>22</v>
      </c>
      <c r="C509">
        <v>2025</v>
      </c>
      <c r="D509">
        <v>1</v>
      </c>
      <c r="E509" s="2">
        <v>45673</v>
      </c>
      <c r="F509" t="s">
        <v>7</v>
      </c>
      <c r="G509" t="s">
        <v>8</v>
      </c>
      <c r="H509" t="s">
        <v>74</v>
      </c>
      <c r="I509" t="s">
        <v>77</v>
      </c>
      <c r="J509" t="s">
        <v>78</v>
      </c>
      <c r="K509" t="s">
        <v>73</v>
      </c>
      <c r="L509">
        <v>701000</v>
      </c>
      <c r="M509" t="s">
        <v>62</v>
      </c>
      <c r="N509" t="s">
        <v>33</v>
      </c>
      <c r="O509">
        <v>1013</v>
      </c>
      <c r="P509">
        <v>1.8</v>
      </c>
      <c r="Q509">
        <v>1.82</v>
      </c>
      <c r="R509" t="s">
        <v>1198</v>
      </c>
      <c r="S509" t="s">
        <v>195</v>
      </c>
    </row>
    <row r="510" spans="1:19" x14ac:dyDescent="0.3">
      <c r="A510" t="s">
        <v>703</v>
      </c>
      <c r="B510" t="s">
        <v>22</v>
      </c>
      <c r="C510">
        <v>2025</v>
      </c>
      <c r="D510">
        <v>1</v>
      </c>
      <c r="E510" s="2">
        <v>45673</v>
      </c>
      <c r="F510" t="s">
        <v>7</v>
      </c>
      <c r="G510" t="s">
        <v>8</v>
      </c>
      <c r="H510" t="s">
        <v>74</v>
      </c>
      <c r="I510" t="s">
        <v>77</v>
      </c>
      <c r="J510" t="s">
        <v>78</v>
      </c>
      <c r="K510" t="s">
        <v>73</v>
      </c>
      <c r="L510">
        <v>701000</v>
      </c>
      <c r="M510" t="s">
        <v>62</v>
      </c>
      <c r="N510" t="s">
        <v>33</v>
      </c>
      <c r="O510">
        <v>908</v>
      </c>
      <c r="P510">
        <v>1.81</v>
      </c>
      <c r="Q510">
        <v>1.64</v>
      </c>
      <c r="R510" t="s">
        <v>1201</v>
      </c>
      <c r="S510" t="s">
        <v>195</v>
      </c>
    </row>
    <row r="511" spans="1:19" x14ac:dyDescent="0.3">
      <c r="A511" t="s">
        <v>704</v>
      </c>
      <c r="B511" t="s">
        <v>22</v>
      </c>
      <c r="C511">
        <v>2025</v>
      </c>
      <c r="D511">
        <v>1</v>
      </c>
      <c r="E511" s="2">
        <v>45673</v>
      </c>
      <c r="F511" t="s">
        <v>7</v>
      </c>
      <c r="G511" t="s">
        <v>8</v>
      </c>
      <c r="H511" t="s">
        <v>74</v>
      </c>
      <c r="I511" t="s">
        <v>77</v>
      </c>
      <c r="J511" t="s">
        <v>78</v>
      </c>
      <c r="K511" t="s">
        <v>73</v>
      </c>
      <c r="L511">
        <v>701000</v>
      </c>
      <c r="M511" t="s">
        <v>62</v>
      </c>
      <c r="N511" t="s">
        <v>33</v>
      </c>
      <c r="O511">
        <v>305</v>
      </c>
      <c r="P511">
        <v>1.8</v>
      </c>
      <c r="Q511">
        <v>0.55000000000000004</v>
      </c>
      <c r="R511" t="s">
        <v>1200</v>
      </c>
      <c r="S511" t="s">
        <v>195</v>
      </c>
    </row>
    <row r="512" spans="1:19" x14ac:dyDescent="0.3">
      <c r="A512" t="s">
        <v>705</v>
      </c>
      <c r="B512" t="s">
        <v>22</v>
      </c>
      <c r="C512">
        <v>2025</v>
      </c>
      <c r="D512">
        <v>1</v>
      </c>
      <c r="E512" s="2">
        <v>45683</v>
      </c>
      <c r="F512" t="s">
        <v>7</v>
      </c>
      <c r="G512" t="s">
        <v>8</v>
      </c>
      <c r="H512" t="s">
        <v>74</v>
      </c>
      <c r="I512" t="s">
        <v>77</v>
      </c>
      <c r="J512" t="s">
        <v>78</v>
      </c>
      <c r="K512" t="s">
        <v>73</v>
      </c>
      <c r="L512">
        <v>701000</v>
      </c>
      <c r="M512" t="s">
        <v>62</v>
      </c>
      <c r="N512" t="s">
        <v>33</v>
      </c>
      <c r="O512">
        <v>320</v>
      </c>
      <c r="P512">
        <v>1.81</v>
      </c>
      <c r="Q512">
        <v>0.57999999999999996</v>
      </c>
      <c r="R512" t="s">
        <v>1201</v>
      </c>
      <c r="S512" t="s">
        <v>195</v>
      </c>
    </row>
    <row r="513" spans="1:19" x14ac:dyDescent="0.3">
      <c r="A513" t="s">
        <v>706</v>
      </c>
      <c r="B513" t="s">
        <v>22</v>
      </c>
      <c r="C513">
        <v>2025</v>
      </c>
      <c r="D513">
        <v>1</v>
      </c>
      <c r="E513" s="2">
        <v>45683</v>
      </c>
      <c r="F513" t="s">
        <v>7</v>
      </c>
      <c r="G513" t="s">
        <v>8</v>
      </c>
      <c r="H513" t="s">
        <v>74</v>
      </c>
      <c r="I513" t="s">
        <v>77</v>
      </c>
      <c r="J513" t="s">
        <v>78</v>
      </c>
      <c r="K513" t="s">
        <v>73</v>
      </c>
      <c r="L513">
        <v>701000</v>
      </c>
      <c r="M513" t="s">
        <v>62</v>
      </c>
      <c r="N513" t="s">
        <v>33</v>
      </c>
      <c r="O513">
        <v>499</v>
      </c>
      <c r="P513">
        <v>1.8</v>
      </c>
      <c r="Q513">
        <v>0.9</v>
      </c>
      <c r="R513" t="s">
        <v>1205</v>
      </c>
      <c r="S513" t="s">
        <v>195</v>
      </c>
    </row>
    <row r="514" spans="1:19" x14ac:dyDescent="0.3">
      <c r="A514" t="s">
        <v>707</v>
      </c>
      <c r="B514" t="s">
        <v>22</v>
      </c>
      <c r="C514">
        <v>2025</v>
      </c>
      <c r="D514">
        <v>1</v>
      </c>
      <c r="E514" s="2">
        <v>45683</v>
      </c>
      <c r="F514" t="s">
        <v>7</v>
      </c>
      <c r="G514" t="s">
        <v>8</v>
      </c>
      <c r="H514" t="s">
        <v>74</v>
      </c>
      <c r="I514" t="s">
        <v>77</v>
      </c>
      <c r="J514" t="s">
        <v>78</v>
      </c>
      <c r="K514" t="s">
        <v>73</v>
      </c>
      <c r="L514">
        <v>701000</v>
      </c>
      <c r="M514" t="s">
        <v>62</v>
      </c>
      <c r="N514" t="s">
        <v>33</v>
      </c>
      <c r="O514">
        <v>1811</v>
      </c>
      <c r="P514">
        <v>1.8</v>
      </c>
      <c r="Q514">
        <v>3.26</v>
      </c>
      <c r="R514" t="s">
        <v>1199</v>
      </c>
      <c r="S514" t="s">
        <v>195</v>
      </c>
    </row>
    <row r="515" spans="1:19" x14ac:dyDescent="0.3">
      <c r="A515" t="s">
        <v>708</v>
      </c>
      <c r="B515" t="s">
        <v>22</v>
      </c>
      <c r="C515">
        <v>2025</v>
      </c>
      <c r="D515">
        <v>1</v>
      </c>
      <c r="E515" s="2">
        <v>45683</v>
      </c>
      <c r="F515" t="s">
        <v>7</v>
      </c>
      <c r="G515" t="s">
        <v>8</v>
      </c>
      <c r="H515" t="s">
        <v>74</v>
      </c>
      <c r="I515" t="s">
        <v>77</v>
      </c>
      <c r="J515" t="s">
        <v>78</v>
      </c>
      <c r="K515" t="s">
        <v>73</v>
      </c>
      <c r="L515">
        <v>701000</v>
      </c>
      <c r="M515" t="s">
        <v>62</v>
      </c>
      <c r="N515" t="s">
        <v>33</v>
      </c>
      <c r="O515">
        <v>834</v>
      </c>
      <c r="P515">
        <v>1.8</v>
      </c>
      <c r="Q515">
        <v>1.5</v>
      </c>
      <c r="R515" t="s">
        <v>1197</v>
      </c>
      <c r="S515" t="s">
        <v>195</v>
      </c>
    </row>
    <row r="516" spans="1:19" x14ac:dyDescent="0.3">
      <c r="A516" t="s">
        <v>709</v>
      </c>
      <c r="B516" t="s">
        <v>22</v>
      </c>
      <c r="C516">
        <v>2025</v>
      </c>
      <c r="D516">
        <v>1</v>
      </c>
      <c r="E516" s="2">
        <v>45683</v>
      </c>
      <c r="F516" t="s">
        <v>7</v>
      </c>
      <c r="G516" t="s">
        <v>8</v>
      </c>
      <c r="H516" t="s">
        <v>74</v>
      </c>
      <c r="I516" t="s">
        <v>77</v>
      </c>
      <c r="J516" t="s">
        <v>78</v>
      </c>
      <c r="K516" t="s">
        <v>73</v>
      </c>
      <c r="L516">
        <v>701000</v>
      </c>
      <c r="M516" t="s">
        <v>62</v>
      </c>
      <c r="N516" t="s">
        <v>33</v>
      </c>
      <c r="O516">
        <v>275</v>
      </c>
      <c r="P516">
        <v>1.78</v>
      </c>
      <c r="Q516">
        <v>0.49</v>
      </c>
      <c r="R516" t="s">
        <v>1200</v>
      </c>
      <c r="S516" t="s">
        <v>195</v>
      </c>
    </row>
    <row r="517" spans="1:19" x14ac:dyDescent="0.3">
      <c r="A517" t="s">
        <v>710</v>
      </c>
      <c r="B517" t="s">
        <v>22</v>
      </c>
      <c r="C517">
        <v>2025</v>
      </c>
      <c r="D517">
        <v>1</v>
      </c>
      <c r="E517" s="2">
        <v>45668</v>
      </c>
      <c r="F517" t="s">
        <v>7</v>
      </c>
      <c r="G517" t="s">
        <v>8</v>
      </c>
      <c r="H517" t="s">
        <v>70</v>
      </c>
      <c r="I517" t="s">
        <v>79</v>
      </c>
      <c r="J517" t="s">
        <v>80</v>
      </c>
      <c r="K517" t="s">
        <v>73</v>
      </c>
      <c r="L517">
        <v>707000</v>
      </c>
      <c r="M517" t="s">
        <v>81</v>
      </c>
      <c r="N517" t="s">
        <v>33</v>
      </c>
      <c r="O517">
        <v>1212</v>
      </c>
      <c r="P517">
        <v>2.6</v>
      </c>
      <c r="Q517">
        <v>3.15</v>
      </c>
      <c r="R517" t="s">
        <v>1203</v>
      </c>
      <c r="S517" t="s">
        <v>195</v>
      </c>
    </row>
    <row r="518" spans="1:19" x14ac:dyDescent="0.3">
      <c r="A518" t="s">
        <v>711</v>
      </c>
      <c r="B518" t="s">
        <v>22</v>
      </c>
      <c r="C518">
        <v>2025</v>
      </c>
      <c r="D518">
        <v>1</v>
      </c>
      <c r="E518" s="2">
        <v>45668</v>
      </c>
      <c r="F518" t="s">
        <v>7</v>
      </c>
      <c r="G518" t="s">
        <v>8</v>
      </c>
      <c r="H518" t="s">
        <v>70</v>
      </c>
      <c r="I518" t="s">
        <v>79</v>
      </c>
      <c r="J518" t="s">
        <v>80</v>
      </c>
      <c r="K518" t="s">
        <v>73</v>
      </c>
      <c r="L518">
        <v>707000</v>
      </c>
      <c r="M518" t="s">
        <v>81</v>
      </c>
      <c r="N518" t="s">
        <v>33</v>
      </c>
      <c r="O518">
        <v>1200</v>
      </c>
      <c r="P518">
        <v>2.6</v>
      </c>
      <c r="Q518">
        <v>3.12</v>
      </c>
      <c r="R518" t="s">
        <v>1201</v>
      </c>
      <c r="S518" t="s">
        <v>195</v>
      </c>
    </row>
    <row r="519" spans="1:19" x14ac:dyDescent="0.3">
      <c r="A519" t="s">
        <v>712</v>
      </c>
      <c r="B519" t="s">
        <v>22</v>
      </c>
      <c r="C519">
        <v>2025</v>
      </c>
      <c r="D519">
        <v>1</v>
      </c>
      <c r="E519" s="2">
        <v>45668</v>
      </c>
      <c r="F519" t="s">
        <v>7</v>
      </c>
      <c r="G519" t="s">
        <v>8</v>
      </c>
      <c r="H519" t="s">
        <v>70</v>
      </c>
      <c r="I519" t="s">
        <v>79</v>
      </c>
      <c r="J519" t="s">
        <v>80</v>
      </c>
      <c r="K519" t="s">
        <v>73</v>
      </c>
      <c r="L519">
        <v>707000</v>
      </c>
      <c r="M519" t="s">
        <v>81</v>
      </c>
      <c r="N519" t="s">
        <v>33</v>
      </c>
      <c r="O519">
        <v>720</v>
      </c>
      <c r="P519">
        <v>2.6</v>
      </c>
      <c r="Q519">
        <v>1.87</v>
      </c>
      <c r="R519" t="s">
        <v>1200</v>
      </c>
      <c r="S519" t="s">
        <v>195</v>
      </c>
    </row>
    <row r="520" spans="1:19" x14ac:dyDescent="0.3">
      <c r="A520" t="s">
        <v>713</v>
      </c>
      <c r="B520" t="s">
        <v>22</v>
      </c>
      <c r="C520">
        <v>2025</v>
      </c>
      <c r="D520">
        <v>1</v>
      </c>
      <c r="E520" s="2">
        <v>45668</v>
      </c>
      <c r="F520" t="s">
        <v>7</v>
      </c>
      <c r="G520" t="s">
        <v>8</v>
      </c>
      <c r="H520" t="s">
        <v>70</v>
      </c>
      <c r="I520" t="s">
        <v>79</v>
      </c>
      <c r="J520" t="s">
        <v>80</v>
      </c>
      <c r="K520" t="s">
        <v>73</v>
      </c>
      <c r="L520">
        <v>707000</v>
      </c>
      <c r="M520" t="s">
        <v>81</v>
      </c>
      <c r="N520" t="s">
        <v>33</v>
      </c>
      <c r="O520">
        <v>1469</v>
      </c>
      <c r="P520">
        <v>2.6</v>
      </c>
      <c r="Q520">
        <v>3.82</v>
      </c>
      <c r="R520" t="s">
        <v>1199</v>
      </c>
      <c r="S520" t="s">
        <v>195</v>
      </c>
    </row>
    <row r="521" spans="1:19" x14ac:dyDescent="0.3">
      <c r="A521" t="s">
        <v>714</v>
      </c>
      <c r="B521" t="s">
        <v>22</v>
      </c>
      <c r="C521">
        <v>2025</v>
      </c>
      <c r="D521">
        <v>1</v>
      </c>
      <c r="E521" s="2">
        <v>45668</v>
      </c>
      <c r="F521" t="s">
        <v>7</v>
      </c>
      <c r="G521" t="s">
        <v>8</v>
      </c>
      <c r="H521" t="s">
        <v>70</v>
      </c>
      <c r="I521" t="s">
        <v>79</v>
      </c>
      <c r="J521" t="s">
        <v>80</v>
      </c>
      <c r="K521" t="s">
        <v>73</v>
      </c>
      <c r="L521">
        <v>707000</v>
      </c>
      <c r="M521" t="s">
        <v>81</v>
      </c>
      <c r="N521" t="s">
        <v>33</v>
      </c>
      <c r="O521">
        <v>2163</v>
      </c>
      <c r="P521">
        <v>2.6</v>
      </c>
      <c r="Q521">
        <v>5.63</v>
      </c>
      <c r="R521" t="s">
        <v>1197</v>
      </c>
      <c r="S521" t="s">
        <v>195</v>
      </c>
    </row>
    <row r="522" spans="1:19" x14ac:dyDescent="0.3">
      <c r="A522" t="s">
        <v>715</v>
      </c>
      <c r="B522" t="s">
        <v>22</v>
      </c>
      <c r="C522">
        <v>2025</v>
      </c>
      <c r="D522">
        <v>1</v>
      </c>
      <c r="E522" s="2">
        <v>45671</v>
      </c>
      <c r="F522" t="s">
        <v>7</v>
      </c>
      <c r="G522" t="s">
        <v>8</v>
      </c>
      <c r="H522" t="s">
        <v>70</v>
      </c>
      <c r="I522" t="s">
        <v>79</v>
      </c>
      <c r="J522" t="s">
        <v>80</v>
      </c>
      <c r="K522" t="s">
        <v>73</v>
      </c>
      <c r="L522">
        <v>701000</v>
      </c>
      <c r="M522" t="s">
        <v>62</v>
      </c>
      <c r="N522" t="s">
        <v>33</v>
      </c>
      <c r="O522">
        <v>1308</v>
      </c>
      <c r="P522">
        <v>2.6</v>
      </c>
      <c r="Q522">
        <v>3.4</v>
      </c>
      <c r="R522" t="s">
        <v>1198</v>
      </c>
      <c r="S522" t="s">
        <v>195</v>
      </c>
    </row>
    <row r="523" spans="1:19" x14ac:dyDescent="0.3">
      <c r="A523" t="s">
        <v>716</v>
      </c>
      <c r="B523" t="s">
        <v>22</v>
      </c>
      <c r="C523">
        <v>2025</v>
      </c>
      <c r="D523">
        <v>1</v>
      </c>
      <c r="E523" s="2">
        <v>45671</v>
      </c>
      <c r="F523" t="s">
        <v>7</v>
      </c>
      <c r="G523" t="s">
        <v>8</v>
      </c>
      <c r="H523" t="s">
        <v>70</v>
      </c>
      <c r="I523" t="s">
        <v>79</v>
      </c>
      <c r="J523" t="s">
        <v>80</v>
      </c>
      <c r="K523" t="s">
        <v>73</v>
      </c>
      <c r="L523">
        <v>701000</v>
      </c>
      <c r="M523" t="s">
        <v>62</v>
      </c>
      <c r="N523" t="s">
        <v>33</v>
      </c>
      <c r="O523">
        <v>955</v>
      </c>
      <c r="P523">
        <v>2.6</v>
      </c>
      <c r="Q523">
        <v>2.48</v>
      </c>
      <c r="R523" t="s">
        <v>1203</v>
      </c>
      <c r="S523" t="s">
        <v>195</v>
      </c>
    </row>
    <row r="524" spans="1:19" x14ac:dyDescent="0.3">
      <c r="A524" t="s">
        <v>717</v>
      </c>
      <c r="B524" t="s">
        <v>22</v>
      </c>
      <c r="C524">
        <v>2025</v>
      </c>
      <c r="D524">
        <v>1</v>
      </c>
      <c r="E524" s="2">
        <v>45671</v>
      </c>
      <c r="F524" t="s">
        <v>7</v>
      </c>
      <c r="G524" t="s">
        <v>8</v>
      </c>
      <c r="H524" t="s">
        <v>70</v>
      </c>
      <c r="I524" t="s">
        <v>79</v>
      </c>
      <c r="J524" t="s">
        <v>80</v>
      </c>
      <c r="K524" t="s">
        <v>73</v>
      </c>
      <c r="L524">
        <v>701000</v>
      </c>
      <c r="M524" t="s">
        <v>62</v>
      </c>
      <c r="N524" t="s">
        <v>33</v>
      </c>
      <c r="O524">
        <v>3381</v>
      </c>
      <c r="P524">
        <v>2.6</v>
      </c>
      <c r="Q524">
        <v>8.7899999999999991</v>
      </c>
      <c r="R524" t="s">
        <v>1202</v>
      </c>
      <c r="S524" t="s">
        <v>195</v>
      </c>
    </row>
    <row r="525" spans="1:19" x14ac:dyDescent="0.3">
      <c r="A525" t="s">
        <v>718</v>
      </c>
      <c r="B525" t="s">
        <v>22</v>
      </c>
      <c r="C525">
        <v>2025</v>
      </c>
      <c r="D525">
        <v>1</v>
      </c>
      <c r="E525" s="2">
        <v>45671</v>
      </c>
      <c r="F525" t="s">
        <v>7</v>
      </c>
      <c r="G525" t="s">
        <v>8</v>
      </c>
      <c r="H525" t="s">
        <v>70</v>
      </c>
      <c r="I525" t="s">
        <v>79</v>
      </c>
      <c r="J525" t="s">
        <v>80</v>
      </c>
      <c r="K525" t="s">
        <v>73</v>
      </c>
      <c r="L525">
        <v>701000</v>
      </c>
      <c r="M525" t="s">
        <v>62</v>
      </c>
      <c r="N525" t="s">
        <v>33</v>
      </c>
      <c r="O525">
        <v>2956</v>
      </c>
      <c r="P525">
        <v>2.6</v>
      </c>
      <c r="Q525">
        <v>7.69</v>
      </c>
      <c r="R525" t="s">
        <v>1205</v>
      </c>
      <c r="S525" t="s">
        <v>195</v>
      </c>
    </row>
    <row r="526" spans="1:19" x14ac:dyDescent="0.3">
      <c r="A526" t="s">
        <v>719</v>
      </c>
      <c r="B526" t="s">
        <v>22</v>
      </c>
      <c r="C526">
        <v>2025</v>
      </c>
      <c r="D526">
        <v>1</v>
      </c>
      <c r="E526" s="2">
        <v>45671</v>
      </c>
      <c r="F526" t="s">
        <v>7</v>
      </c>
      <c r="G526" t="s">
        <v>8</v>
      </c>
      <c r="H526" t="s">
        <v>70</v>
      </c>
      <c r="I526" t="s">
        <v>79</v>
      </c>
      <c r="J526" t="s">
        <v>80</v>
      </c>
      <c r="K526" t="s">
        <v>73</v>
      </c>
      <c r="L526">
        <v>701000</v>
      </c>
      <c r="M526" t="s">
        <v>62</v>
      </c>
      <c r="N526" t="s">
        <v>33</v>
      </c>
      <c r="O526">
        <v>706</v>
      </c>
      <c r="P526">
        <v>2.61</v>
      </c>
      <c r="Q526">
        <v>1.84</v>
      </c>
      <c r="R526" t="s">
        <v>1201</v>
      </c>
      <c r="S526" t="s">
        <v>195</v>
      </c>
    </row>
    <row r="527" spans="1:19" x14ac:dyDescent="0.3">
      <c r="A527" t="s">
        <v>720</v>
      </c>
      <c r="B527" t="s">
        <v>22</v>
      </c>
      <c r="C527">
        <v>2025</v>
      </c>
      <c r="D527">
        <v>1</v>
      </c>
      <c r="E527" s="2">
        <v>45669</v>
      </c>
      <c r="F527" t="s">
        <v>7</v>
      </c>
      <c r="G527" t="s">
        <v>8</v>
      </c>
      <c r="H527" t="s">
        <v>70</v>
      </c>
      <c r="I527" t="s">
        <v>79</v>
      </c>
      <c r="J527" t="s">
        <v>80</v>
      </c>
      <c r="K527" t="s">
        <v>73</v>
      </c>
      <c r="L527">
        <v>701000</v>
      </c>
      <c r="M527" t="s">
        <v>62</v>
      </c>
      <c r="N527" t="s">
        <v>33</v>
      </c>
      <c r="O527">
        <v>1861</v>
      </c>
      <c r="P527">
        <v>2.6</v>
      </c>
      <c r="Q527">
        <v>4.84</v>
      </c>
      <c r="R527" t="s">
        <v>1202</v>
      </c>
      <c r="S527" t="s">
        <v>195</v>
      </c>
    </row>
    <row r="528" spans="1:19" x14ac:dyDescent="0.3">
      <c r="A528" t="s">
        <v>721</v>
      </c>
      <c r="B528" t="s">
        <v>22</v>
      </c>
      <c r="C528">
        <v>2025</v>
      </c>
      <c r="D528">
        <v>1</v>
      </c>
      <c r="E528" s="2">
        <v>45669</v>
      </c>
      <c r="F528" t="s">
        <v>7</v>
      </c>
      <c r="G528" t="s">
        <v>8</v>
      </c>
      <c r="H528" t="s">
        <v>70</v>
      </c>
      <c r="I528" t="s">
        <v>79</v>
      </c>
      <c r="J528" t="s">
        <v>80</v>
      </c>
      <c r="K528" t="s">
        <v>73</v>
      </c>
      <c r="L528">
        <v>701000</v>
      </c>
      <c r="M528" t="s">
        <v>62</v>
      </c>
      <c r="N528" t="s">
        <v>33</v>
      </c>
      <c r="O528">
        <v>1043</v>
      </c>
      <c r="P528">
        <v>2.6</v>
      </c>
      <c r="Q528">
        <v>2.71</v>
      </c>
      <c r="R528" t="s">
        <v>1199</v>
      </c>
      <c r="S528" t="s">
        <v>195</v>
      </c>
    </row>
    <row r="529" spans="1:19" x14ac:dyDescent="0.3">
      <c r="A529" t="s">
        <v>722</v>
      </c>
      <c r="B529" t="s">
        <v>22</v>
      </c>
      <c r="C529">
        <v>2025</v>
      </c>
      <c r="D529">
        <v>1</v>
      </c>
      <c r="E529" s="2">
        <v>45669</v>
      </c>
      <c r="F529" t="s">
        <v>7</v>
      </c>
      <c r="G529" t="s">
        <v>8</v>
      </c>
      <c r="H529" t="s">
        <v>70</v>
      </c>
      <c r="I529" t="s">
        <v>79</v>
      </c>
      <c r="J529" t="s">
        <v>80</v>
      </c>
      <c r="K529" t="s">
        <v>73</v>
      </c>
      <c r="L529">
        <v>701000</v>
      </c>
      <c r="M529" t="s">
        <v>62</v>
      </c>
      <c r="N529" t="s">
        <v>33</v>
      </c>
      <c r="O529">
        <v>1212</v>
      </c>
      <c r="P529">
        <v>2.6</v>
      </c>
      <c r="Q529">
        <v>3.15</v>
      </c>
      <c r="R529" t="s">
        <v>1204</v>
      </c>
      <c r="S529" t="s">
        <v>195</v>
      </c>
    </row>
    <row r="530" spans="1:19" x14ac:dyDescent="0.3">
      <c r="A530" t="s">
        <v>723</v>
      </c>
      <c r="B530" t="s">
        <v>22</v>
      </c>
      <c r="C530">
        <v>2025</v>
      </c>
      <c r="D530">
        <v>1</v>
      </c>
      <c r="E530" s="2">
        <v>45669</v>
      </c>
      <c r="F530" t="s">
        <v>7</v>
      </c>
      <c r="G530" t="s">
        <v>8</v>
      </c>
      <c r="H530" t="s">
        <v>70</v>
      </c>
      <c r="I530" t="s">
        <v>79</v>
      </c>
      <c r="J530" t="s">
        <v>80</v>
      </c>
      <c r="K530" t="s">
        <v>73</v>
      </c>
      <c r="L530">
        <v>701000</v>
      </c>
      <c r="M530" t="s">
        <v>62</v>
      </c>
      <c r="N530" t="s">
        <v>33</v>
      </c>
      <c r="O530">
        <v>1816</v>
      </c>
      <c r="P530">
        <v>2.6</v>
      </c>
      <c r="Q530">
        <v>4.72</v>
      </c>
      <c r="R530" t="s">
        <v>1203</v>
      </c>
      <c r="S530" t="s">
        <v>195</v>
      </c>
    </row>
    <row r="531" spans="1:19" x14ac:dyDescent="0.3">
      <c r="A531" t="s">
        <v>724</v>
      </c>
      <c r="B531" t="s">
        <v>22</v>
      </c>
      <c r="C531">
        <v>2025</v>
      </c>
      <c r="D531">
        <v>1</v>
      </c>
      <c r="E531" s="2">
        <v>45669</v>
      </c>
      <c r="F531" t="s">
        <v>7</v>
      </c>
      <c r="G531" t="s">
        <v>8</v>
      </c>
      <c r="H531" t="s">
        <v>70</v>
      </c>
      <c r="I531" t="s">
        <v>79</v>
      </c>
      <c r="J531" t="s">
        <v>80</v>
      </c>
      <c r="K531" t="s">
        <v>73</v>
      </c>
      <c r="L531">
        <v>701000</v>
      </c>
      <c r="M531" t="s">
        <v>62</v>
      </c>
      <c r="N531" t="s">
        <v>33</v>
      </c>
      <c r="O531">
        <v>1642</v>
      </c>
      <c r="P531">
        <v>2.6</v>
      </c>
      <c r="Q531">
        <v>4.2699999999999996</v>
      </c>
      <c r="R531" t="s">
        <v>1198</v>
      </c>
      <c r="S531" t="s">
        <v>195</v>
      </c>
    </row>
    <row r="532" spans="1:19" x14ac:dyDescent="0.3">
      <c r="A532" t="s">
        <v>725</v>
      </c>
      <c r="B532" t="s">
        <v>22</v>
      </c>
      <c r="C532">
        <v>2025</v>
      </c>
      <c r="D532">
        <v>1</v>
      </c>
      <c r="E532" s="2">
        <v>45660</v>
      </c>
      <c r="F532" t="s">
        <v>7</v>
      </c>
      <c r="G532" t="s">
        <v>8</v>
      </c>
      <c r="H532" t="s">
        <v>74</v>
      </c>
      <c r="I532" t="s">
        <v>79</v>
      </c>
      <c r="J532" t="s">
        <v>80</v>
      </c>
      <c r="K532" t="s">
        <v>73</v>
      </c>
      <c r="L532">
        <v>701000</v>
      </c>
      <c r="M532" t="s">
        <v>62</v>
      </c>
      <c r="N532" t="s">
        <v>33</v>
      </c>
      <c r="O532">
        <v>191</v>
      </c>
      <c r="P532">
        <v>2.62</v>
      </c>
      <c r="Q532">
        <v>0.5</v>
      </c>
      <c r="R532" t="s">
        <v>1202</v>
      </c>
      <c r="S532" t="s">
        <v>195</v>
      </c>
    </row>
    <row r="533" spans="1:19" x14ac:dyDescent="0.3">
      <c r="A533" t="s">
        <v>726</v>
      </c>
      <c r="B533" t="s">
        <v>22</v>
      </c>
      <c r="C533">
        <v>2025</v>
      </c>
      <c r="D533">
        <v>1</v>
      </c>
      <c r="E533" s="2">
        <v>45660</v>
      </c>
      <c r="F533" t="s">
        <v>7</v>
      </c>
      <c r="G533" t="s">
        <v>8</v>
      </c>
      <c r="H533" t="s">
        <v>74</v>
      </c>
      <c r="I533" t="s">
        <v>79</v>
      </c>
      <c r="J533" t="s">
        <v>80</v>
      </c>
      <c r="K533" t="s">
        <v>73</v>
      </c>
      <c r="L533">
        <v>701000</v>
      </c>
      <c r="M533" t="s">
        <v>62</v>
      </c>
      <c r="N533" t="s">
        <v>33</v>
      </c>
      <c r="O533">
        <v>4344</v>
      </c>
      <c r="P533">
        <v>2.6</v>
      </c>
      <c r="Q533">
        <v>11.29</v>
      </c>
      <c r="R533" t="s">
        <v>1199</v>
      </c>
      <c r="S533" t="s">
        <v>195</v>
      </c>
    </row>
    <row r="534" spans="1:19" x14ac:dyDescent="0.3">
      <c r="A534" t="s">
        <v>727</v>
      </c>
      <c r="B534" t="s">
        <v>22</v>
      </c>
      <c r="C534">
        <v>2025</v>
      </c>
      <c r="D534">
        <v>1</v>
      </c>
      <c r="E534" s="2">
        <v>45660</v>
      </c>
      <c r="F534" t="s">
        <v>7</v>
      </c>
      <c r="G534" t="s">
        <v>8</v>
      </c>
      <c r="H534" t="s">
        <v>74</v>
      </c>
      <c r="I534" t="s">
        <v>79</v>
      </c>
      <c r="J534" t="s">
        <v>80</v>
      </c>
      <c r="K534" t="s">
        <v>73</v>
      </c>
      <c r="L534">
        <v>701000</v>
      </c>
      <c r="M534" t="s">
        <v>62</v>
      </c>
      <c r="N534" t="s">
        <v>33</v>
      </c>
      <c r="O534">
        <v>1483</v>
      </c>
      <c r="P534">
        <v>2.6</v>
      </c>
      <c r="Q534">
        <v>3.85</v>
      </c>
      <c r="R534" t="s">
        <v>1198</v>
      </c>
      <c r="S534" t="s">
        <v>195</v>
      </c>
    </row>
    <row r="535" spans="1:19" x14ac:dyDescent="0.3">
      <c r="A535" t="s">
        <v>728</v>
      </c>
      <c r="B535" t="s">
        <v>22</v>
      </c>
      <c r="C535">
        <v>2025</v>
      </c>
      <c r="D535">
        <v>1</v>
      </c>
      <c r="E535" s="2">
        <v>45660</v>
      </c>
      <c r="F535" t="s">
        <v>7</v>
      </c>
      <c r="G535" t="s">
        <v>8</v>
      </c>
      <c r="H535" t="s">
        <v>74</v>
      </c>
      <c r="I535" t="s">
        <v>79</v>
      </c>
      <c r="J535" t="s">
        <v>80</v>
      </c>
      <c r="K535" t="s">
        <v>73</v>
      </c>
      <c r="L535">
        <v>701000</v>
      </c>
      <c r="M535" t="s">
        <v>62</v>
      </c>
      <c r="N535" t="s">
        <v>33</v>
      </c>
      <c r="O535">
        <v>2137</v>
      </c>
      <c r="P535">
        <v>2.6</v>
      </c>
      <c r="Q535">
        <v>5.56</v>
      </c>
      <c r="R535" t="s">
        <v>1205</v>
      </c>
      <c r="S535" t="s">
        <v>195</v>
      </c>
    </row>
    <row r="536" spans="1:19" x14ac:dyDescent="0.3">
      <c r="A536" t="s">
        <v>729</v>
      </c>
      <c r="B536" t="s">
        <v>22</v>
      </c>
      <c r="C536">
        <v>2025</v>
      </c>
      <c r="D536">
        <v>1</v>
      </c>
      <c r="E536" s="2">
        <v>45660</v>
      </c>
      <c r="F536" t="s">
        <v>7</v>
      </c>
      <c r="G536" t="s">
        <v>8</v>
      </c>
      <c r="H536" t="s">
        <v>74</v>
      </c>
      <c r="I536" t="s">
        <v>79</v>
      </c>
      <c r="J536" t="s">
        <v>80</v>
      </c>
      <c r="K536" t="s">
        <v>73</v>
      </c>
      <c r="L536">
        <v>701000</v>
      </c>
      <c r="M536" t="s">
        <v>62</v>
      </c>
      <c r="N536" t="s">
        <v>33</v>
      </c>
      <c r="O536">
        <v>919</v>
      </c>
      <c r="P536">
        <v>2.6</v>
      </c>
      <c r="Q536">
        <v>2.39</v>
      </c>
      <c r="R536" t="s">
        <v>1203</v>
      </c>
      <c r="S536" t="s">
        <v>195</v>
      </c>
    </row>
    <row r="537" spans="1:19" x14ac:dyDescent="0.3">
      <c r="A537" t="s">
        <v>730</v>
      </c>
      <c r="B537" t="s">
        <v>22</v>
      </c>
      <c r="C537">
        <v>2025</v>
      </c>
      <c r="D537">
        <v>1</v>
      </c>
      <c r="E537" s="2">
        <v>45681</v>
      </c>
      <c r="F537" t="s">
        <v>7</v>
      </c>
      <c r="G537" t="s">
        <v>8</v>
      </c>
      <c r="H537" t="s">
        <v>70</v>
      </c>
      <c r="I537" t="s">
        <v>79</v>
      </c>
      <c r="J537" t="s">
        <v>80</v>
      </c>
      <c r="K537" t="s">
        <v>73</v>
      </c>
      <c r="L537">
        <v>701000</v>
      </c>
      <c r="M537" t="s">
        <v>62</v>
      </c>
      <c r="N537" t="s">
        <v>33</v>
      </c>
      <c r="O537">
        <v>999</v>
      </c>
      <c r="P537">
        <v>2.6</v>
      </c>
      <c r="Q537">
        <v>2.6</v>
      </c>
      <c r="R537" t="s">
        <v>1205</v>
      </c>
      <c r="S537" t="s">
        <v>195</v>
      </c>
    </row>
    <row r="538" spans="1:19" x14ac:dyDescent="0.3">
      <c r="A538" t="s">
        <v>731</v>
      </c>
      <c r="B538" t="s">
        <v>22</v>
      </c>
      <c r="C538">
        <v>2025</v>
      </c>
      <c r="D538">
        <v>1</v>
      </c>
      <c r="E538" s="2">
        <v>45681</v>
      </c>
      <c r="F538" t="s">
        <v>7</v>
      </c>
      <c r="G538" t="s">
        <v>8</v>
      </c>
      <c r="H538" t="s">
        <v>70</v>
      </c>
      <c r="I538" t="s">
        <v>79</v>
      </c>
      <c r="J538" t="s">
        <v>80</v>
      </c>
      <c r="K538" t="s">
        <v>73</v>
      </c>
      <c r="L538">
        <v>701000</v>
      </c>
      <c r="M538" t="s">
        <v>62</v>
      </c>
      <c r="N538" t="s">
        <v>33</v>
      </c>
      <c r="O538">
        <v>2400</v>
      </c>
      <c r="P538">
        <v>2.6</v>
      </c>
      <c r="Q538">
        <v>6.24</v>
      </c>
      <c r="R538" t="s">
        <v>1198</v>
      </c>
      <c r="S538" t="s">
        <v>195</v>
      </c>
    </row>
    <row r="539" spans="1:19" x14ac:dyDescent="0.3">
      <c r="A539" t="s">
        <v>732</v>
      </c>
      <c r="B539" t="s">
        <v>22</v>
      </c>
      <c r="C539">
        <v>2025</v>
      </c>
      <c r="D539">
        <v>1</v>
      </c>
      <c r="E539" s="2">
        <v>45681</v>
      </c>
      <c r="F539" t="s">
        <v>7</v>
      </c>
      <c r="G539" t="s">
        <v>8</v>
      </c>
      <c r="H539" t="s">
        <v>70</v>
      </c>
      <c r="I539" t="s">
        <v>79</v>
      </c>
      <c r="J539" t="s">
        <v>80</v>
      </c>
      <c r="K539" t="s">
        <v>73</v>
      </c>
      <c r="L539">
        <v>701000</v>
      </c>
      <c r="M539" t="s">
        <v>62</v>
      </c>
      <c r="N539" t="s">
        <v>33</v>
      </c>
      <c r="O539">
        <v>2195</v>
      </c>
      <c r="P539">
        <v>2.6</v>
      </c>
      <c r="Q539">
        <v>5.71</v>
      </c>
      <c r="R539" t="s">
        <v>1203</v>
      </c>
      <c r="S539" t="s">
        <v>195</v>
      </c>
    </row>
    <row r="540" spans="1:19" x14ac:dyDescent="0.3">
      <c r="A540" t="s">
        <v>733</v>
      </c>
      <c r="B540" t="s">
        <v>22</v>
      </c>
      <c r="C540">
        <v>2025</v>
      </c>
      <c r="D540">
        <v>1</v>
      </c>
      <c r="E540" s="2">
        <v>45681</v>
      </c>
      <c r="F540" t="s">
        <v>7</v>
      </c>
      <c r="G540" t="s">
        <v>8</v>
      </c>
      <c r="H540" t="s">
        <v>70</v>
      </c>
      <c r="I540" t="s">
        <v>79</v>
      </c>
      <c r="J540" t="s">
        <v>80</v>
      </c>
      <c r="K540" t="s">
        <v>73</v>
      </c>
      <c r="L540">
        <v>701000</v>
      </c>
      <c r="M540" t="s">
        <v>62</v>
      </c>
      <c r="N540" t="s">
        <v>33</v>
      </c>
      <c r="O540">
        <v>1256</v>
      </c>
      <c r="P540">
        <v>2.6</v>
      </c>
      <c r="Q540">
        <v>3.26</v>
      </c>
      <c r="R540" t="s">
        <v>1199</v>
      </c>
      <c r="S540" t="s">
        <v>195</v>
      </c>
    </row>
    <row r="541" spans="1:19" x14ac:dyDescent="0.3">
      <c r="A541" t="s">
        <v>734</v>
      </c>
      <c r="B541" t="s">
        <v>22</v>
      </c>
      <c r="C541">
        <v>2025</v>
      </c>
      <c r="D541">
        <v>1</v>
      </c>
      <c r="E541" s="2">
        <v>45681</v>
      </c>
      <c r="F541" t="s">
        <v>7</v>
      </c>
      <c r="G541" t="s">
        <v>8</v>
      </c>
      <c r="H541" t="s">
        <v>70</v>
      </c>
      <c r="I541" t="s">
        <v>79</v>
      </c>
      <c r="J541" t="s">
        <v>80</v>
      </c>
      <c r="K541" t="s">
        <v>73</v>
      </c>
      <c r="L541">
        <v>701000</v>
      </c>
      <c r="M541" t="s">
        <v>62</v>
      </c>
      <c r="N541" t="s">
        <v>33</v>
      </c>
      <c r="O541">
        <v>977</v>
      </c>
      <c r="P541">
        <v>2.6</v>
      </c>
      <c r="Q541">
        <v>2.54</v>
      </c>
      <c r="R541" t="s">
        <v>1202</v>
      </c>
      <c r="S541" t="s">
        <v>195</v>
      </c>
    </row>
    <row r="542" spans="1:19" x14ac:dyDescent="0.3">
      <c r="A542" t="s">
        <v>735</v>
      </c>
      <c r="B542" t="s">
        <v>22</v>
      </c>
      <c r="C542">
        <v>2025</v>
      </c>
      <c r="D542">
        <v>1</v>
      </c>
      <c r="E542" s="2">
        <v>45673</v>
      </c>
      <c r="F542" t="s">
        <v>7</v>
      </c>
      <c r="G542" t="s">
        <v>8</v>
      </c>
      <c r="H542" t="s">
        <v>70</v>
      </c>
      <c r="I542" t="s">
        <v>79</v>
      </c>
      <c r="J542" t="s">
        <v>80</v>
      </c>
      <c r="K542" t="s">
        <v>73</v>
      </c>
      <c r="L542">
        <v>701000</v>
      </c>
      <c r="M542" t="s">
        <v>62</v>
      </c>
      <c r="N542" t="s">
        <v>33</v>
      </c>
      <c r="O542">
        <v>1676</v>
      </c>
      <c r="P542">
        <v>2.6</v>
      </c>
      <c r="Q542">
        <v>4.3600000000000003</v>
      </c>
      <c r="R542" t="s">
        <v>1198</v>
      </c>
      <c r="S542" t="s">
        <v>195</v>
      </c>
    </row>
    <row r="543" spans="1:19" x14ac:dyDescent="0.3">
      <c r="A543" t="s">
        <v>736</v>
      </c>
      <c r="B543" t="s">
        <v>22</v>
      </c>
      <c r="C543">
        <v>2025</v>
      </c>
      <c r="D543">
        <v>1</v>
      </c>
      <c r="E543" s="2">
        <v>45673</v>
      </c>
      <c r="F543" t="s">
        <v>7</v>
      </c>
      <c r="G543" t="s">
        <v>8</v>
      </c>
      <c r="H543" t="s">
        <v>70</v>
      </c>
      <c r="I543" t="s">
        <v>79</v>
      </c>
      <c r="J543" t="s">
        <v>80</v>
      </c>
      <c r="K543" t="s">
        <v>73</v>
      </c>
      <c r="L543">
        <v>701000</v>
      </c>
      <c r="M543" t="s">
        <v>62</v>
      </c>
      <c r="N543" t="s">
        <v>33</v>
      </c>
      <c r="O543">
        <v>1369</v>
      </c>
      <c r="P543">
        <v>2.6</v>
      </c>
      <c r="Q543">
        <v>3.56</v>
      </c>
      <c r="R543" t="s">
        <v>1197</v>
      </c>
      <c r="S543" t="s">
        <v>195</v>
      </c>
    </row>
    <row r="544" spans="1:19" x14ac:dyDescent="0.3">
      <c r="A544" t="s">
        <v>737</v>
      </c>
      <c r="B544" t="s">
        <v>22</v>
      </c>
      <c r="C544">
        <v>2025</v>
      </c>
      <c r="D544">
        <v>1</v>
      </c>
      <c r="E544" s="2">
        <v>45673</v>
      </c>
      <c r="F544" t="s">
        <v>7</v>
      </c>
      <c r="G544" t="s">
        <v>8</v>
      </c>
      <c r="H544" t="s">
        <v>70</v>
      </c>
      <c r="I544" t="s">
        <v>79</v>
      </c>
      <c r="J544" t="s">
        <v>80</v>
      </c>
      <c r="K544" t="s">
        <v>73</v>
      </c>
      <c r="L544">
        <v>701000</v>
      </c>
      <c r="M544" t="s">
        <v>62</v>
      </c>
      <c r="N544" t="s">
        <v>33</v>
      </c>
      <c r="O544">
        <v>2931</v>
      </c>
      <c r="P544">
        <v>2.6</v>
      </c>
      <c r="Q544">
        <v>7.62</v>
      </c>
      <c r="R544" t="s">
        <v>1203</v>
      </c>
      <c r="S544" t="s">
        <v>195</v>
      </c>
    </row>
    <row r="545" spans="1:19" x14ac:dyDescent="0.3">
      <c r="A545" t="s">
        <v>738</v>
      </c>
      <c r="B545" t="s">
        <v>22</v>
      </c>
      <c r="C545">
        <v>2025</v>
      </c>
      <c r="D545">
        <v>1</v>
      </c>
      <c r="E545" s="2">
        <v>45673</v>
      </c>
      <c r="F545" t="s">
        <v>7</v>
      </c>
      <c r="G545" t="s">
        <v>8</v>
      </c>
      <c r="H545" t="s">
        <v>70</v>
      </c>
      <c r="I545" t="s">
        <v>79</v>
      </c>
      <c r="J545" t="s">
        <v>80</v>
      </c>
      <c r="K545" t="s">
        <v>73</v>
      </c>
      <c r="L545">
        <v>701000</v>
      </c>
      <c r="M545" t="s">
        <v>62</v>
      </c>
      <c r="N545" t="s">
        <v>33</v>
      </c>
      <c r="O545">
        <v>1905</v>
      </c>
      <c r="P545">
        <v>2.6</v>
      </c>
      <c r="Q545">
        <v>4.95</v>
      </c>
      <c r="R545" t="s">
        <v>1199</v>
      </c>
      <c r="S545" t="s">
        <v>195</v>
      </c>
    </row>
    <row r="546" spans="1:19" x14ac:dyDescent="0.3">
      <c r="A546" t="s">
        <v>739</v>
      </c>
      <c r="B546" t="s">
        <v>22</v>
      </c>
      <c r="C546">
        <v>2025</v>
      </c>
      <c r="D546">
        <v>1</v>
      </c>
      <c r="E546" s="2">
        <v>45673</v>
      </c>
      <c r="F546" t="s">
        <v>7</v>
      </c>
      <c r="G546" t="s">
        <v>8</v>
      </c>
      <c r="H546" t="s">
        <v>70</v>
      </c>
      <c r="I546" t="s">
        <v>79</v>
      </c>
      <c r="J546" t="s">
        <v>80</v>
      </c>
      <c r="K546" t="s">
        <v>73</v>
      </c>
      <c r="L546">
        <v>701000</v>
      </c>
      <c r="M546" t="s">
        <v>62</v>
      </c>
      <c r="N546" t="s">
        <v>33</v>
      </c>
      <c r="O546">
        <v>1254</v>
      </c>
      <c r="P546">
        <v>2.6</v>
      </c>
      <c r="Q546">
        <v>3.26</v>
      </c>
      <c r="R546" t="s">
        <v>1201</v>
      </c>
      <c r="S546" t="s">
        <v>195</v>
      </c>
    </row>
    <row r="547" spans="1:19" x14ac:dyDescent="0.3">
      <c r="A547" t="s">
        <v>740</v>
      </c>
      <c r="B547" t="s">
        <v>22</v>
      </c>
      <c r="C547">
        <v>2025</v>
      </c>
      <c r="D547">
        <v>1</v>
      </c>
      <c r="E547" s="2">
        <v>45664</v>
      </c>
      <c r="F547" t="s">
        <v>7</v>
      </c>
      <c r="G547" t="s">
        <v>8</v>
      </c>
      <c r="H547" t="s">
        <v>70</v>
      </c>
      <c r="I547" t="s">
        <v>79</v>
      </c>
      <c r="J547" t="s">
        <v>80</v>
      </c>
      <c r="K547" t="s">
        <v>73</v>
      </c>
      <c r="L547">
        <v>701000</v>
      </c>
      <c r="M547" t="s">
        <v>62</v>
      </c>
      <c r="N547" t="s">
        <v>33</v>
      </c>
      <c r="O547">
        <v>1650</v>
      </c>
      <c r="P547">
        <v>2.6</v>
      </c>
      <c r="Q547">
        <v>4.29</v>
      </c>
      <c r="R547" t="s">
        <v>1198</v>
      </c>
      <c r="S547" t="s">
        <v>195</v>
      </c>
    </row>
    <row r="548" spans="1:19" x14ac:dyDescent="0.3">
      <c r="A548" t="s">
        <v>741</v>
      </c>
      <c r="B548" t="s">
        <v>22</v>
      </c>
      <c r="C548">
        <v>2025</v>
      </c>
      <c r="D548">
        <v>1</v>
      </c>
      <c r="E548" s="2">
        <v>45664</v>
      </c>
      <c r="F548" t="s">
        <v>7</v>
      </c>
      <c r="G548" t="s">
        <v>8</v>
      </c>
      <c r="H548" t="s">
        <v>70</v>
      </c>
      <c r="I548" t="s">
        <v>79</v>
      </c>
      <c r="J548" t="s">
        <v>80</v>
      </c>
      <c r="K548" t="s">
        <v>73</v>
      </c>
      <c r="L548">
        <v>701000</v>
      </c>
      <c r="M548" t="s">
        <v>62</v>
      </c>
      <c r="N548" t="s">
        <v>33</v>
      </c>
      <c r="O548">
        <v>1229</v>
      </c>
      <c r="P548">
        <v>2.6</v>
      </c>
      <c r="Q548">
        <v>3.2</v>
      </c>
      <c r="R548" t="s">
        <v>1203</v>
      </c>
      <c r="S548" t="s">
        <v>195</v>
      </c>
    </row>
    <row r="549" spans="1:19" x14ac:dyDescent="0.3">
      <c r="A549" t="s">
        <v>742</v>
      </c>
      <c r="B549" t="s">
        <v>22</v>
      </c>
      <c r="C549">
        <v>2025</v>
      </c>
      <c r="D549">
        <v>1</v>
      </c>
      <c r="E549" s="2">
        <v>45664</v>
      </c>
      <c r="F549" t="s">
        <v>7</v>
      </c>
      <c r="G549" t="s">
        <v>8</v>
      </c>
      <c r="H549" t="s">
        <v>70</v>
      </c>
      <c r="I549" t="s">
        <v>79</v>
      </c>
      <c r="J549" t="s">
        <v>80</v>
      </c>
      <c r="K549" t="s">
        <v>73</v>
      </c>
      <c r="L549">
        <v>701000</v>
      </c>
      <c r="M549" t="s">
        <v>62</v>
      </c>
      <c r="N549" t="s">
        <v>33</v>
      </c>
      <c r="O549">
        <v>1674</v>
      </c>
      <c r="P549">
        <v>2.6</v>
      </c>
      <c r="Q549">
        <v>4.3499999999999996</v>
      </c>
      <c r="R549" t="s">
        <v>1205</v>
      </c>
      <c r="S549" t="s">
        <v>195</v>
      </c>
    </row>
    <row r="550" spans="1:19" x14ac:dyDescent="0.3">
      <c r="A550" t="s">
        <v>743</v>
      </c>
      <c r="B550" t="s">
        <v>22</v>
      </c>
      <c r="C550">
        <v>2025</v>
      </c>
      <c r="D550">
        <v>1</v>
      </c>
      <c r="E550" s="2">
        <v>45664</v>
      </c>
      <c r="F550" t="s">
        <v>7</v>
      </c>
      <c r="G550" t="s">
        <v>8</v>
      </c>
      <c r="H550" t="s">
        <v>70</v>
      </c>
      <c r="I550" t="s">
        <v>79</v>
      </c>
      <c r="J550" t="s">
        <v>80</v>
      </c>
      <c r="K550" t="s">
        <v>73</v>
      </c>
      <c r="L550">
        <v>701000</v>
      </c>
      <c r="M550" t="s">
        <v>62</v>
      </c>
      <c r="N550" t="s">
        <v>33</v>
      </c>
      <c r="O550">
        <v>1836</v>
      </c>
      <c r="P550">
        <v>2.6</v>
      </c>
      <c r="Q550">
        <v>4.7699999999999996</v>
      </c>
      <c r="R550" t="s">
        <v>1197</v>
      </c>
      <c r="S550" t="s">
        <v>195</v>
      </c>
    </row>
    <row r="551" spans="1:19" x14ac:dyDescent="0.3">
      <c r="A551" t="s">
        <v>744</v>
      </c>
      <c r="B551" t="s">
        <v>22</v>
      </c>
      <c r="C551">
        <v>2025</v>
      </c>
      <c r="D551">
        <v>1</v>
      </c>
      <c r="E551" s="2">
        <v>45664</v>
      </c>
      <c r="F551" t="s">
        <v>7</v>
      </c>
      <c r="G551" t="s">
        <v>8</v>
      </c>
      <c r="H551" t="s">
        <v>70</v>
      </c>
      <c r="I551" t="s">
        <v>79</v>
      </c>
      <c r="J551" t="s">
        <v>80</v>
      </c>
      <c r="K551" t="s">
        <v>73</v>
      </c>
      <c r="L551">
        <v>701000</v>
      </c>
      <c r="M551" t="s">
        <v>62</v>
      </c>
      <c r="N551" t="s">
        <v>33</v>
      </c>
      <c r="O551">
        <v>558</v>
      </c>
      <c r="P551">
        <v>2.6</v>
      </c>
      <c r="Q551">
        <v>1.45</v>
      </c>
      <c r="R551" t="s">
        <v>1202</v>
      </c>
      <c r="S551" t="s">
        <v>195</v>
      </c>
    </row>
    <row r="552" spans="1:19" x14ac:dyDescent="0.3">
      <c r="A552" t="s">
        <v>745</v>
      </c>
      <c r="B552" t="s">
        <v>22</v>
      </c>
      <c r="C552">
        <v>2025</v>
      </c>
      <c r="D552">
        <v>1</v>
      </c>
      <c r="E552" s="2">
        <v>45663</v>
      </c>
      <c r="F552" t="s">
        <v>7</v>
      </c>
      <c r="G552" t="s">
        <v>8</v>
      </c>
      <c r="H552" t="s">
        <v>70</v>
      </c>
      <c r="I552" t="s">
        <v>79</v>
      </c>
      <c r="J552" t="s">
        <v>80</v>
      </c>
      <c r="K552" t="s">
        <v>73</v>
      </c>
      <c r="L552">
        <v>707000</v>
      </c>
      <c r="M552" t="s">
        <v>81</v>
      </c>
      <c r="N552" t="s">
        <v>33</v>
      </c>
      <c r="O552">
        <v>2022</v>
      </c>
      <c r="P552">
        <v>2.6</v>
      </c>
      <c r="Q552">
        <v>5.26</v>
      </c>
      <c r="R552" t="s">
        <v>1205</v>
      </c>
      <c r="S552" t="s">
        <v>195</v>
      </c>
    </row>
    <row r="553" spans="1:19" x14ac:dyDescent="0.3">
      <c r="A553" t="s">
        <v>746</v>
      </c>
      <c r="B553" t="s">
        <v>22</v>
      </c>
      <c r="C553">
        <v>2025</v>
      </c>
      <c r="D553">
        <v>1</v>
      </c>
      <c r="E553" s="2">
        <v>45663</v>
      </c>
      <c r="F553" t="s">
        <v>7</v>
      </c>
      <c r="G553" t="s">
        <v>8</v>
      </c>
      <c r="H553" t="s">
        <v>70</v>
      </c>
      <c r="I553" t="s">
        <v>79</v>
      </c>
      <c r="J553" t="s">
        <v>80</v>
      </c>
      <c r="K553" t="s">
        <v>73</v>
      </c>
      <c r="L553">
        <v>707000</v>
      </c>
      <c r="M553" t="s">
        <v>81</v>
      </c>
      <c r="N553" t="s">
        <v>33</v>
      </c>
      <c r="O553">
        <v>1135</v>
      </c>
      <c r="P553">
        <v>2.6</v>
      </c>
      <c r="Q553">
        <v>2.95</v>
      </c>
      <c r="R553" t="s">
        <v>1201</v>
      </c>
      <c r="S553" t="s">
        <v>195</v>
      </c>
    </row>
    <row r="554" spans="1:19" x14ac:dyDescent="0.3">
      <c r="A554" t="s">
        <v>747</v>
      </c>
      <c r="B554" t="s">
        <v>22</v>
      </c>
      <c r="C554">
        <v>2025</v>
      </c>
      <c r="D554">
        <v>1</v>
      </c>
      <c r="E554" s="2">
        <v>45663</v>
      </c>
      <c r="F554" t="s">
        <v>7</v>
      </c>
      <c r="G554" t="s">
        <v>8</v>
      </c>
      <c r="H554" t="s">
        <v>70</v>
      </c>
      <c r="I554" t="s">
        <v>79</v>
      </c>
      <c r="J554" t="s">
        <v>80</v>
      </c>
      <c r="K554" t="s">
        <v>73</v>
      </c>
      <c r="L554">
        <v>707000</v>
      </c>
      <c r="M554" t="s">
        <v>81</v>
      </c>
      <c r="N554" t="s">
        <v>33</v>
      </c>
      <c r="O554">
        <v>711</v>
      </c>
      <c r="P554">
        <v>2.6</v>
      </c>
      <c r="Q554">
        <v>1.85</v>
      </c>
      <c r="R554" t="s">
        <v>1203</v>
      </c>
      <c r="S554" t="s">
        <v>195</v>
      </c>
    </row>
    <row r="555" spans="1:19" x14ac:dyDescent="0.3">
      <c r="A555" t="s">
        <v>748</v>
      </c>
      <c r="B555" t="s">
        <v>22</v>
      </c>
      <c r="C555">
        <v>2025</v>
      </c>
      <c r="D555">
        <v>1</v>
      </c>
      <c r="E555" s="2">
        <v>45663</v>
      </c>
      <c r="F555" t="s">
        <v>7</v>
      </c>
      <c r="G555" t="s">
        <v>8</v>
      </c>
      <c r="H555" t="s">
        <v>70</v>
      </c>
      <c r="I555" t="s">
        <v>79</v>
      </c>
      <c r="J555" t="s">
        <v>80</v>
      </c>
      <c r="K555" t="s">
        <v>73</v>
      </c>
      <c r="L555">
        <v>707000</v>
      </c>
      <c r="M555" t="s">
        <v>81</v>
      </c>
      <c r="N555" t="s">
        <v>33</v>
      </c>
      <c r="O555">
        <v>2499</v>
      </c>
      <c r="P555">
        <v>2.6</v>
      </c>
      <c r="Q555">
        <v>6.5</v>
      </c>
      <c r="R555" t="s">
        <v>1204</v>
      </c>
      <c r="S555" t="s">
        <v>195</v>
      </c>
    </row>
    <row r="556" spans="1:19" x14ac:dyDescent="0.3">
      <c r="A556" t="s">
        <v>749</v>
      </c>
      <c r="B556" t="s">
        <v>22</v>
      </c>
      <c r="C556">
        <v>2025</v>
      </c>
      <c r="D556">
        <v>1</v>
      </c>
      <c r="E556" s="2">
        <v>45663</v>
      </c>
      <c r="F556" t="s">
        <v>7</v>
      </c>
      <c r="G556" t="s">
        <v>8</v>
      </c>
      <c r="H556" t="s">
        <v>70</v>
      </c>
      <c r="I556" t="s">
        <v>79</v>
      </c>
      <c r="J556" t="s">
        <v>80</v>
      </c>
      <c r="K556" t="s">
        <v>73</v>
      </c>
      <c r="L556">
        <v>707000</v>
      </c>
      <c r="M556" t="s">
        <v>81</v>
      </c>
      <c r="N556" t="s">
        <v>33</v>
      </c>
      <c r="O556">
        <v>901</v>
      </c>
      <c r="P556">
        <v>2.6</v>
      </c>
      <c r="Q556">
        <v>2.34</v>
      </c>
      <c r="R556" t="s">
        <v>1197</v>
      </c>
      <c r="S556" t="s">
        <v>195</v>
      </c>
    </row>
    <row r="557" spans="1:19" x14ac:dyDescent="0.3">
      <c r="A557" t="s">
        <v>750</v>
      </c>
      <c r="B557" t="s">
        <v>22</v>
      </c>
      <c r="C557">
        <v>2025</v>
      </c>
      <c r="D557">
        <v>1</v>
      </c>
      <c r="E557" s="2">
        <v>45669</v>
      </c>
      <c r="F557" t="s">
        <v>7</v>
      </c>
      <c r="G557" t="s">
        <v>8</v>
      </c>
      <c r="H557" t="s">
        <v>70</v>
      </c>
      <c r="I557" t="s">
        <v>79</v>
      </c>
      <c r="J557" t="s">
        <v>80</v>
      </c>
      <c r="K557" t="s">
        <v>73</v>
      </c>
      <c r="L557">
        <v>707000</v>
      </c>
      <c r="M557" t="s">
        <v>81</v>
      </c>
      <c r="N557" t="s">
        <v>33</v>
      </c>
      <c r="O557">
        <v>766</v>
      </c>
      <c r="P557">
        <v>2.6</v>
      </c>
      <c r="Q557">
        <v>1.99</v>
      </c>
      <c r="R557" t="s">
        <v>1205</v>
      </c>
      <c r="S557" t="s">
        <v>195</v>
      </c>
    </row>
    <row r="558" spans="1:19" x14ac:dyDescent="0.3">
      <c r="A558" t="s">
        <v>751</v>
      </c>
      <c r="B558" t="s">
        <v>22</v>
      </c>
      <c r="C558">
        <v>2025</v>
      </c>
      <c r="D558">
        <v>1</v>
      </c>
      <c r="E558" s="2">
        <v>45669</v>
      </c>
      <c r="F558" t="s">
        <v>7</v>
      </c>
      <c r="G558" t="s">
        <v>8</v>
      </c>
      <c r="H558" t="s">
        <v>70</v>
      </c>
      <c r="I558" t="s">
        <v>79</v>
      </c>
      <c r="J558" t="s">
        <v>80</v>
      </c>
      <c r="K558" t="s">
        <v>73</v>
      </c>
      <c r="L558">
        <v>707000</v>
      </c>
      <c r="M558" t="s">
        <v>81</v>
      </c>
      <c r="N558" t="s">
        <v>33</v>
      </c>
      <c r="O558">
        <v>1815</v>
      </c>
      <c r="P558">
        <v>2.6</v>
      </c>
      <c r="Q558">
        <v>4.72</v>
      </c>
      <c r="R558" t="s">
        <v>1199</v>
      </c>
      <c r="S558" t="s">
        <v>195</v>
      </c>
    </row>
    <row r="559" spans="1:19" x14ac:dyDescent="0.3">
      <c r="A559" t="s">
        <v>752</v>
      </c>
      <c r="B559" t="s">
        <v>22</v>
      </c>
      <c r="C559">
        <v>2025</v>
      </c>
      <c r="D559">
        <v>1</v>
      </c>
      <c r="E559" s="2">
        <v>45669</v>
      </c>
      <c r="F559" t="s">
        <v>7</v>
      </c>
      <c r="G559" t="s">
        <v>8</v>
      </c>
      <c r="H559" t="s">
        <v>70</v>
      </c>
      <c r="I559" t="s">
        <v>79</v>
      </c>
      <c r="J559" t="s">
        <v>80</v>
      </c>
      <c r="K559" t="s">
        <v>73</v>
      </c>
      <c r="L559">
        <v>707000</v>
      </c>
      <c r="M559" t="s">
        <v>81</v>
      </c>
      <c r="N559" t="s">
        <v>33</v>
      </c>
      <c r="O559">
        <v>3585</v>
      </c>
      <c r="P559">
        <v>2.6</v>
      </c>
      <c r="Q559">
        <v>9.32</v>
      </c>
      <c r="R559" t="s">
        <v>1200</v>
      </c>
      <c r="S559" t="s">
        <v>195</v>
      </c>
    </row>
    <row r="560" spans="1:19" x14ac:dyDescent="0.3">
      <c r="A560" t="s">
        <v>753</v>
      </c>
      <c r="B560" t="s">
        <v>22</v>
      </c>
      <c r="C560">
        <v>2025</v>
      </c>
      <c r="D560">
        <v>1</v>
      </c>
      <c r="E560" s="2">
        <v>45669</v>
      </c>
      <c r="F560" t="s">
        <v>7</v>
      </c>
      <c r="G560" t="s">
        <v>8</v>
      </c>
      <c r="H560" t="s">
        <v>70</v>
      </c>
      <c r="I560" t="s">
        <v>79</v>
      </c>
      <c r="J560" t="s">
        <v>80</v>
      </c>
      <c r="K560" t="s">
        <v>73</v>
      </c>
      <c r="L560">
        <v>707000</v>
      </c>
      <c r="M560" t="s">
        <v>81</v>
      </c>
      <c r="N560" t="s">
        <v>33</v>
      </c>
      <c r="O560">
        <v>984</v>
      </c>
      <c r="P560">
        <v>2.6</v>
      </c>
      <c r="Q560">
        <v>2.56</v>
      </c>
      <c r="R560" t="s">
        <v>1198</v>
      </c>
      <c r="S560" t="s">
        <v>195</v>
      </c>
    </row>
    <row r="561" spans="1:19" x14ac:dyDescent="0.3">
      <c r="A561" t="s">
        <v>754</v>
      </c>
      <c r="B561" t="s">
        <v>22</v>
      </c>
      <c r="C561">
        <v>2025</v>
      </c>
      <c r="D561">
        <v>1</v>
      </c>
      <c r="E561" s="2">
        <v>45669</v>
      </c>
      <c r="F561" t="s">
        <v>7</v>
      </c>
      <c r="G561" t="s">
        <v>8</v>
      </c>
      <c r="H561" t="s">
        <v>70</v>
      </c>
      <c r="I561" t="s">
        <v>79</v>
      </c>
      <c r="J561" t="s">
        <v>80</v>
      </c>
      <c r="K561" t="s">
        <v>73</v>
      </c>
      <c r="L561">
        <v>707000</v>
      </c>
      <c r="M561" t="s">
        <v>81</v>
      </c>
      <c r="N561" t="s">
        <v>33</v>
      </c>
      <c r="O561">
        <v>1114</v>
      </c>
      <c r="P561">
        <v>2.6</v>
      </c>
      <c r="Q561">
        <v>2.9</v>
      </c>
      <c r="R561" t="s">
        <v>1204</v>
      </c>
      <c r="S561" t="s">
        <v>195</v>
      </c>
    </row>
    <row r="562" spans="1:19" x14ac:dyDescent="0.3">
      <c r="A562" t="s">
        <v>755</v>
      </c>
      <c r="B562" t="s">
        <v>22</v>
      </c>
      <c r="C562">
        <v>2025</v>
      </c>
      <c r="D562">
        <v>1</v>
      </c>
      <c r="E562" s="2">
        <v>45671</v>
      </c>
      <c r="F562" t="s">
        <v>7</v>
      </c>
      <c r="G562" t="s">
        <v>8</v>
      </c>
      <c r="H562" t="s">
        <v>74</v>
      </c>
      <c r="I562" t="s">
        <v>79</v>
      </c>
      <c r="J562" t="s">
        <v>80</v>
      </c>
      <c r="K562" t="s">
        <v>73</v>
      </c>
      <c r="L562">
        <v>701000</v>
      </c>
      <c r="M562" t="s">
        <v>62</v>
      </c>
      <c r="N562" t="s">
        <v>33</v>
      </c>
      <c r="O562">
        <v>2210</v>
      </c>
      <c r="P562">
        <v>2.6</v>
      </c>
      <c r="Q562">
        <v>5.75</v>
      </c>
      <c r="R562" t="s">
        <v>1204</v>
      </c>
      <c r="S562" t="s">
        <v>195</v>
      </c>
    </row>
    <row r="563" spans="1:19" x14ac:dyDescent="0.3">
      <c r="A563" t="s">
        <v>756</v>
      </c>
      <c r="B563" t="s">
        <v>22</v>
      </c>
      <c r="C563">
        <v>2025</v>
      </c>
      <c r="D563">
        <v>1</v>
      </c>
      <c r="E563" s="2">
        <v>45671</v>
      </c>
      <c r="F563" t="s">
        <v>7</v>
      </c>
      <c r="G563" t="s">
        <v>8</v>
      </c>
      <c r="H563" t="s">
        <v>74</v>
      </c>
      <c r="I563" t="s">
        <v>79</v>
      </c>
      <c r="J563" t="s">
        <v>80</v>
      </c>
      <c r="K563" t="s">
        <v>73</v>
      </c>
      <c r="L563">
        <v>701000</v>
      </c>
      <c r="M563" t="s">
        <v>62</v>
      </c>
      <c r="N563" t="s">
        <v>33</v>
      </c>
      <c r="O563">
        <v>1125</v>
      </c>
      <c r="P563">
        <v>2.6</v>
      </c>
      <c r="Q563">
        <v>2.93</v>
      </c>
      <c r="R563" t="s">
        <v>1202</v>
      </c>
      <c r="S563" t="s">
        <v>195</v>
      </c>
    </row>
    <row r="564" spans="1:19" x14ac:dyDescent="0.3">
      <c r="A564" t="s">
        <v>757</v>
      </c>
      <c r="B564" t="s">
        <v>22</v>
      </c>
      <c r="C564">
        <v>2025</v>
      </c>
      <c r="D564">
        <v>1</v>
      </c>
      <c r="E564" s="2">
        <v>45671</v>
      </c>
      <c r="F564" t="s">
        <v>7</v>
      </c>
      <c r="G564" t="s">
        <v>8</v>
      </c>
      <c r="H564" t="s">
        <v>74</v>
      </c>
      <c r="I564" t="s">
        <v>79</v>
      </c>
      <c r="J564" t="s">
        <v>80</v>
      </c>
      <c r="K564" t="s">
        <v>73</v>
      </c>
      <c r="L564">
        <v>701000</v>
      </c>
      <c r="M564" t="s">
        <v>62</v>
      </c>
      <c r="N564" t="s">
        <v>33</v>
      </c>
      <c r="O564">
        <v>1912</v>
      </c>
      <c r="P564">
        <v>2.6</v>
      </c>
      <c r="Q564">
        <v>4.97</v>
      </c>
      <c r="R564" t="s">
        <v>1203</v>
      </c>
      <c r="S564" t="s">
        <v>195</v>
      </c>
    </row>
    <row r="565" spans="1:19" x14ac:dyDescent="0.3">
      <c r="A565" t="s">
        <v>758</v>
      </c>
      <c r="B565" t="s">
        <v>22</v>
      </c>
      <c r="C565">
        <v>2025</v>
      </c>
      <c r="D565">
        <v>1</v>
      </c>
      <c r="E565" s="2">
        <v>45671</v>
      </c>
      <c r="F565" t="s">
        <v>7</v>
      </c>
      <c r="G565" t="s">
        <v>8</v>
      </c>
      <c r="H565" t="s">
        <v>74</v>
      </c>
      <c r="I565" t="s">
        <v>79</v>
      </c>
      <c r="J565" t="s">
        <v>80</v>
      </c>
      <c r="K565" t="s">
        <v>73</v>
      </c>
      <c r="L565">
        <v>701000</v>
      </c>
      <c r="M565" t="s">
        <v>62</v>
      </c>
      <c r="N565" t="s">
        <v>33</v>
      </c>
      <c r="O565">
        <v>1036</v>
      </c>
      <c r="P565">
        <v>2.61</v>
      </c>
      <c r="Q565">
        <v>2.7</v>
      </c>
      <c r="R565" t="s">
        <v>1198</v>
      </c>
      <c r="S565" t="s">
        <v>195</v>
      </c>
    </row>
    <row r="566" spans="1:19" x14ac:dyDescent="0.3">
      <c r="A566" t="s">
        <v>759</v>
      </c>
      <c r="B566" t="s">
        <v>22</v>
      </c>
      <c r="C566">
        <v>2025</v>
      </c>
      <c r="D566">
        <v>1</v>
      </c>
      <c r="E566" s="2">
        <v>45671</v>
      </c>
      <c r="F566" t="s">
        <v>7</v>
      </c>
      <c r="G566" t="s">
        <v>8</v>
      </c>
      <c r="H566" t="s">
        <v>74</v>
      </c>
      <c r="I566" t="s">
        <v>79</v>
      </c>
      <c r="J566" t="s">
        <v>80</v>
      </c>
      <c r="K566" t="s">
        <v>73</v>
      </c>
      <c r="L566">
        <v>701000</v>
      </c>
      <c r="M566" t="s">
        <v>62</v>
      </c>
      <c r="N566" t="s">
        <v>33</v>
      </c>
      <c r="O566">
        <v>992</v>
      </c>
      <c r="P566">
        <v>2.59</v>
      </c>
      <c r="Q566">
        <v>2.57</v>
      </c>
      <c r="R566" t="s">
        <v>1199</v>
      </c>
      <c r="S566" t="s">
        <v>195</v>
      </c>
    </row>
    <row r="567" spans="1:19" x14ac:dyDescent="0.3">
      <c r="A567" t="s">
        <v>760</v>
      </c>
      <c r="B567" t="s">
        <v>22</v>
      </c>
      <c r="C567">
        <v>2025</v>
      </c>
      <c r="D567">
        <v>1</v>
      </c>
      <c r="E567" s="2">
        <v>45679</v>
      </c>
      <c r="F567" t="s">
        <v>7</v>
      </c>
      <c r="G567" t="s">
        <v>8</v>
      </c>
      <c r="H567" t="s">
        <v>74</v>
      </c>
      <c r="I567" t="s">
        <v>79</v>
      </c>
      <c r="J567" t="s">
        <v>80</v>
      </c>
      <c r="K567" t="s">
        <v>73</v>
      </c>
      <c r="L567">
        <v>701000</v>
      </c>
      <c r="M567" t="s">
        <v>62</v>
      </c>
      <c r="N567" t="s">
        <v>33</v>
      </c>
      <c r="O567">
        <v>1263</v>
      </c>
      <c r="P567">
        <v>2.6</v>
      </c>
      <c r="Q567">
        <v>3.28</v>
      </c>
      <c r="R567" t="s">
        <v>1204</v>
      </c>
      <c r="S567" t="s">
        <v>195</v>
      </c>
    </row>
    <row r="568" spans="1:19" x14ac:dyDescent="0.3">
      <c r="A568" t="s">
        <v>761</v>
      </c>
      <c r="B568" t="s">
        <v>22</v>
      </c>
      <c r="C568">
        <v>2025</v>
      </c>
      <c r="D568">
        <v>1</v>
      </c>
      <c r="E568" s="2">
        <v>45679</v>
      </c>
      <c r="F568" t="s">
        <v>7</v>
      </c>
      <c r="G568" t="s">
        <v>8</v>
      </c>
      <c r="H568" t="s">
        <v>74</v>
      </c>
      <c r="I568" t="s">
        <v>79</v>
      </c>
      <c r="J568" t="s">
        <v>80</v>
      </c>
      <c r="K568" t="s">
        <v>73</v>
      </c>
      <c r="L568">
        <v>701000</v>
      </c>
      <c r="M568" t="s">
        <v>62</v>
      </c>
      <c r="N568" t="s">
        <v>33</v>
      </c>
      <c r="O568">
        <v>2151</v>
      </c>
      <c r="P568">
        <v>2.6</v>
      </c>
      <c r="Q568">
        <v>5.59</v>
      </c>
      <c r="R568" t="s">
        <v>1205</v>
      </c>
      <c r="S568" t="s">
        <v>195</v>
      </c>
    </row>
    <row r="569" spans="1:19" x14ac:dyDescent="0.3">
      <c r="A569" t="s">
        <v>762</v>
      </c>
      <c r="B569" t="s">
        <v>22</v>
      </c>
      <c r="C569">
        <v>2025</v>
      </c>
      <c r="D569">
        <v>1</v>
      </c>
      <c r="E569" s="2">
        <v>45679</v>
      </c>
      <c r="F569" t="s">
        <v>7</v>
      </c>
      <c r="G569" t="s">
        <v>8</v>
      </c>
      <c r="H569" t="s">
        <v>74</v>
      </c>
      <c r="I569" t="s">
        <v>79</v>
      </c>
      <c r="J569" t="s">
        <v>80</v>
      </c>
      <c r="K569" t="s">
        <v>73</v>
      </c>
      <c r="L569">
        <v>701000</v>
      </c>
      <c r="M569" t="s">
        <v>62</v>
      </c>
      <c r="N569" t="s">
        <v>33</v>
      </c>
      <c r="O569">
        <v>931</v>
      </c>
      <c r="P569">
        <v>2.6</v>
      </c>
      <c r="Q569">
        <v>2.42</v>
      </c>
      <c r="R569" t="s">
        <v>1200</v>
      </c>
      <c r="S569" t="s">
        <v>195</v>
      </c>
    </row>
    <row r="570" spans="1:19" x14ac:dyDescent="0.3">
      <c r="A570" t="s">
        <v>763</v>
      </c>
      <c r="B570" t="s">
        <v>22</v>
      </c>
      <c r="C570">
        <v>2025</v>
      </c>
      <c r="D570">
        <v>1</v>
      </c>
      <c r="E570" s="2">
        <v>45679</v>
      </c>
      <c r="F570" t="s">
        <v>7</v>
      </c>
      <c r="G570" t="s">
        <v>8</v>
      </c>
      <c r="H570" t="s">
        <v>74</v>
      </c>
      <c r="I570" t="s">
        <v>79</v>
      </c>
      <c r="J570" t="s">
        <v>80</v>
      </c>
      <c r="K570" t="s">
        <v>73</v>
      </c>
      <c r="L570">
        <v>701000</v>
      </c>
      <c r="M570" t="s">
        <v>62</v>
      </c>
      <c r="N570" t="s">
        <v>33</v>
      </c>
      <c r="O570">
        <v>1695</v>
      </c>
      <c r="P570">
        <v>2.6</v>
      </c>
      <c r="Q570">
        <v>4.41</v>
      </c>
      <c r="R570" t="s">
        <v>1203</v>
      </c>
      <c r="S570" t="s">
        <v>195</v>
      </c>
    </row>
    <row r="571" spans="1:19" x14ac:dyDescent="0.3">
      <c r="A571" t="s">
        <v>764</v>
      </c>
      <c r="B571" t="s">
        <v>22</v>
      </c>
      <c r="C571">
        <v>2025</v>
      </c>
      <c r="D571">
        <v>1</v>
      </c>
      <c r="E571" s="2">
        <v>45679</v>
      </c>
      <c r="F571" t="s">
        <v>7</v>
      </c>
      <c r="G571" t="s">
        <v>8</v>
      </c>
      <c r="H571" t="s">
        <v>74</v>
      </c>
      <c r="I571" t="s">
        <v>79</v>
      </c>
      <c r="J571" t="s">
        <v>80</v>
      </c>
      <c r="K571" t="s">
        <v>73</v>
      </c>
      <c r="L571">
        <v>701000</v>
      </c>
      <c r="M571" t="s">
        <v>62</v>
      </c>
      <c r="N571" t="s">
        <v>33</v>
      </c>
      <c r="O571">
        <v>2224</v>
      </c>
      <c r="P571">
        <v>2.6</v>
      </c>
      <c r="Q571">
        <v>5.79</v>
      </c>
      <c r="R571" t="s">
        <v>1197</v>
      </c>
      <c r="S571" t="s">
        <v>195</v>
      </c>
    </row>
    <row r="572" spans="1:19" x14ac:dyDescent="0.3">
      <c r="A572" t="s">
        <v>765</v>
      </c>
      <c r="B572" t="s">
        <v>22</v>
      </c>
      <c r="C572">
        <v>2025</v>
      </c>
      <c r="D572">
        <v>1</v>
      </c>
      <c r="E572" s="2">
        <v>45673</v>
      </c>
      <c r="F572" t="s">
        <v>7</v>
      </c>
      <c r="G572" t="s">
        <v>8</v>
      </c>
      <c r="H572" t="s">
        <v>70</v>
      </c>
      <c r="I572" t="s">
        <v>79</v>
      </c>
      <c r="J572" t="s">
        <v>80</v>
      </c>
      <c r="K572" t="s">
        <v>73</v>
      </c>
      <c r="L572">
        <v>701000</v>
      </c>
      <c r="M572" t="s">
        <v>62</v>
      </c>
      <c r="N572" t="s">
        <v>33</v>
      </c>
      <c r="O572">
        <v>546</v>
      </c>
      <c r="P572">
        <v>2.6</v>
      </c>
      <c r="Q572">
        <v>1.42</v>
      </c>
      <c r="R572" t="s">
        <v>1200</v>
      </c>
      <c r="S572" t="s">
        <v>195</v>
      </c>
    </row>
    <row r="573" spans="1:19" x14ac:dyDescent="0.3">
      <c r="A573" t="s">
        <v>766</v>
      </c>
      <c r="B573" t="s">
        <v>22</v>
      </c>
      <c r="C573">
        <v>2025</v>
      </c>
      <c r="D573">
        <v>1</v>
      </c>
      <c r="E573" s="2">
        <v>45673</v>
      </c>
      <c r="F573" t="s">
        <v>7</v>
      </c>
      <c r="G573" t="s">
        <v>8</v>
      </c>
      <c r="H573" t="s">
        <v>70</v>
      </c>
      <c r="I573" t="s">
        <v>79</v>
      </c>
      <c r="J573" t="s">
        <v>80</v>
      </c>
      <c r="K573" t="s">
        <v>73</v>
      </c>
      <c r="L573">
        <v>701000</v>
      </c>
      <c r="M573" t="s">
        <v>62</v>
      </c>
      <c r="N573" t="s">
        <v>33</v>
      </c>
      <c r="O573">
        <v>823</v>
      </c>
      <c r="P573">
        <v>2.6</v>
      </c>
      <c r="Q573">
        <v>2.14</v>
      </c>
      <c r="R573" t="s">
        <v>1197</v>
      </c>
      <c r="S573" t="s">
        <v>195</v>
      </c>
    </row>
    <row r="574" spans="1:19" x14ac:dyDescent="0.3">
      <c r="A574" t="s">
        <v>767</v>
      </c>
      <c r="B574" t="s">
        <v>22</v>
      </c>
      <c r="C574">
        <v>2025</v>
      </c>
      <c r="D574">
        <v>1</v>
      </c>
      <c r="E574" s="2">
        <v>45673</v>
      </c>
      <c r="F574" t="s">
        <v>7</v>
      </c>
      <c r="G574" t="s">
        <v>8</v>
      </c>
      <c r="H574" t="s">
        <v>70</v>
      </c>
      <c r="I574" t="s">
        <v>79</v>
      </c>
      <c r="J574" t="s">
        <v>80</v>
      </c>
      <c r="K574" t="s">
        <v>73</v>
      </c>
      <c r="L574">
        <v>701000</v>
      </c>
      <c r="M574" t="s">
        <v>62</v>
      </c>
      <c r="N574" t="s">
        <v>33</v>
      </c>
      <c r="O574">
        <v>1028</v>
      </c>
      <c r="P574">
        <v>2.6</v>
      </c>
      <c r="Q574">
        <v>2.67</v>
      </c>
      <c r="R574" t="s">
        <v>1198</v>
      </c>
      <c r="S574" t="s">
        <v>195</v>
      </c>
    </row>
    <row r="575" spans="1:19" x14ac:dyDescent="0.3">
      <c r="A575" t="s">
        <v>768</v>
      </c>
      <c r="B575" t="s">
        <v>22</v>
      </c>
      <c r="C575">
        <v>2025</v>
      </c>
      <c r="D575">
        <v>1</v>
      </c>
      <c r="E575" s="2">
        <v>45673</v>
      </c>
      <c r="F575" t="s">
        <v>7</v>
      </c>
      <c r="G575" t="s">
        <v>8</v>
      </c>
      <c r="H575" t="s">
        <v>70</v>
      </c>
      <c r="I575" t="s">
        <v>79</v>
      </c>
      <c r="J575" t="s">
        <v>80</v>
      </c>
      <c r="K575" t="s">
        <v>73</v>
      </c>
      <c r="L575">
        <v>701000</v>
      </c>
      <c r="M575" t="s">
        <v>62</v>
      </c>
      <c r="N575" t="s">
        <v>33</v>
      </c>
      <c r="O575">
        <v>1774</v>
      </c>
      <c r="P575">
        <v>2.6</v>
      </c>
      <c r="Q575">
        <v>4.6100000000000003</v>
      </c>
      <c r="R575" t="s">
        <v>1201</v>
      </c>
      <c r="S575" t="s">
        <v>195</v>
      </c>
    </row>
    <row r="576" spans="1:19" x14ac:dyDescent="0.3">
      <c r="A576" t="s">
        <v>769</v>
      </c>
      <c r="B576" t="s">
        <v>22</v>
      </c>
      <c r="C576">
        <v>2025</v>
      </c>
      <c r="D576">
        <v>1</v>
      </c>
      <c r="E576" s="2">
        <v>45673</v>
      </c>
      <c r="F576" t="s">
        <v>7</v>
      </c>
      <c r="G576" t="s">
        <v>8</v>
      </c>
      <c r="H576" t="s">
        <v>70</v>
      </c>
      <c r="I576" t="s">
        <v>79</v>
      </c>
      <c r="J576" t="s">
        <v>80</v>
      </c>
      <c r="K576" t="s">
        <v>73</v>
      </c>
      <c r="L576">
        <v>701000</v>
      </c>
      <c r="M576" t="s">
        <v>62</v>
      </c>
      <c r="N576" t="s">
        <v>33</v>
      </c>
      <c r="O576">
        <v>2975</v>
      </c>
      <c r="P576">
        <v>2.6</v>
      </c>
      <c r="Q576">
        <v>7.74</v>
      </c>
      <c r="R576" t="s">
        <v>1203</v>
      </c>
      <c r="S576" t="s">
        <v>195</v>
      </c>
    </row>
    <row r="577" spans="1:19" x14ac:dyDescent="0.3">
      <c r="A577" t="s">
        <v>770</v>
      </c>
      <c r="B577" t="s">
        <v>22</v>
      </c>
      <c r="C577">
        <v>2025</v>
      </c>
      <c r="D577">
        <v>1</v>
      </c>
      <c r="E577" s="2">
        <v>45682</v>
      </c>
      <c r="F577" t="s">
        <v>7</v>
      </c>
      <c r="G577" t="s">
        <v>8</v>
      </c>
      <c r="H577" t="s">
        <v>70</v>
      </c>
      <c r="I577" t="s">
        <v>79</v>
      </c>
      <c r="J577" t="s">
        <v>80</v>
      </c>
      <c r="K577" t="s">
        <v>73</v>
      </c>
      <c r="L577">
        <v>701000</v>
      </c>
      <c r="M577" t="s">
        <v>62</v>
      </c>
      <c r="N577" t="s">
        <v>33</v>
      </c>
      <c r="O577">
        <v>932</v>
      </c>
      <c r="P577">
        <v>2.6</v>
      </c>
      <c r="Q577">
        <v>2.42</v>
      </c>
      <c r="R577" t="s">
        <v>1205</v>
      </c>
      <c r="S577" t="s">
        <v>195</v>
      </c>
    </row>
    <row r="578" spans="1:19" x14ac:dyDescent="0.3">
      <c r="A578" t="s">
        <v>771</v>
      </c>
      <c r="B578" t="s">
        <v>22</v>
      </c>
      <c r="C578">
        <v>2025</v>
      </c>
      <c r="D578">
        <v>1</v>
      </c>
      <c r="E578" s="2">
        <v>45682</v>
      </c>
      <c r="F578" t="s">
        <v>7</v>
      </c>
      <c r="G578" t="s">
        <v>8</v>
      </c>
      <c r="H578" t="s">
        <v>70</v>
      </c>
      <c r="I578" t="s">
        <v>79</v>
      </c>
      <c r="J578" t="s">
        <v>80</v>
      </c>
      <c r="K578" t="s">
        <v>73</v>
      </c>
      <c r="L578">
        <v>701000</v>
      </c>
      <c r="M578" t="s">
        <v>62</v>
      </c>
      <c r="N578" t="s">
        <v>33</v>
      </c>
      <c r="O578">
        <v>2494</v>
      </c>
      <c r="P578">
        <v>2.6</v>
      </c>
      <c r="Q578">
        <v>6.49</v>
      </c>
      <c r="R578" t="s">
        <v>1203</v>
      </c>
      <c r="S578" t="s">
        <v>195</v>
      </c>
    </row>
    <row r="579" spans="1:19" x14ac:dyDescent="0.3">
      <c r="A579" t="s">
        <v>772</v>
      </c>
      <c r="B579" t="s">
        <v>22</v>
      </c>
      <c r="C579">
        <v>2025</v>
      </c>
      <c r="D579">
        <v>1</v>
      </c>
      <c r="E579" s="2">
        <v>45682</v>
      </c>
      <c r="F579" t="s">
        <v>7</v>
      </c>
      <c r="G579" t="s">
        <v>8</v>
      </c>
      <c r="H579" t="s">
        <v>70</v>
      </c>
      <c r="I579" t="s">
        <v>79</v>
      </c>
      <c r="J579" t="s">
        <v>80</v>
      </c>
      <c r="K579" t="s">
        <v>73</v>
      </c>
      <c r="L579">
        <v>701000</v>
      </c>
      <c r="M579" t="s">
        <v>62</v>
      </c>
      <c r="N579" t="s">
        <v>33</v>
      </c>
      <c r="O579">
        <v>503</v>
      </c>
      <c r="P579">
        <v>2.6</v>
      </c>
      <c r="Q579">
        <v>1.31</v>
      </c>
      <c r="R579" t="s">
        <v>1201</v>
      </c>
      <c r="S579" t="s">
        <v>195</v>
      </c>
    </row>
    <row r="580" spans="1:19" x14ac:dyDescent="0.3">
      <c r="A580" t="s">
        <v>773</v>
      </c>
      <c r="B580" t="s">
        <v>22</v>
      </c>
      <c r="C580">
        <v>2025</v>
      </c>
      <c r="D580">
        <v>1</v>
      </c>
      <c r="E580" s="2">
        <v>45682</v>
      </c>
      <c r="F580" t="s">
        <v>7</v>
      </c>
      <c r="G580" t="s">
        <v>8</v>
      </c>
      <c r="H580" t="s">
        <v>70</v>
      </c>
      <c r="I580" t="s">
        <v>79</v>
      </c>
      <c r="J580" t="s">
        <v>80</v>
      </c>
      <c r="K580" t="s">
        <v>73</v>
      </c>
      <c r="L580">
        <v>701000</v>
      </c>
      <c r="M580" t="s">
        <v>62</v>
      </c>
      <c r="N580" t="s">
        <v>33</v>
      </c>
      <c r="O580">
        <v>701</v>
      </c>
      <c r="P580">
        <v>2.6</v>
      </c>
      <c r="Q580">
        <v>1.82</v>
      </c>
      <c r="R580" t="s">
        <v>1198</v>
      </c>
      <c r="S580" t="s">
        <v>195</v>
      </c>
    </row>
    <row r="581" spans="1:19" x14ac:dyDescent="0.3">
      <c r="A581" t="s">
        <v>774</v>
      </c>
      <c r="B581" t="s">
        <v>22</v>
      </c>
      <c r="C581">
        <v>2025</v>
      </c>
      <c r="D581">
        <v>1</v>
      </c>
      <c r="E581" s="2">
        <v>45682</v>
      </c>
      <c r="F581" t="s">
        <v>7</v>
      </c>
      <c r="G581" t="s">
        <v>8</v>
      </c>
      <c r="H581" t="s">
        <v>70</v>
      </c>
      <c r="I581" t="s">
        <v>79</v>
      </c>
      <c r="J581" t="s">
        <v>80</v>
      </c>
      <c r="K581" t="s">
        <v>73</v>
      </c>
      <c r="L581">
        <v>701000</v>
      </c>
      <c r="M581" t="s">
        <v>62</v>
      </c>
      <c r="N581" t="s">
        <v>33</v>
      </c>
      <c r="O581">
        <v>2588</v>
      </c>
      <c r="P581">
        <v>2.6</v>
      </c>
      <c r="Q581">
        <v>6.73</v>
      </c>
      <c r="R581" t="s">
        <v>1197</v>
      </c>
      <c r="S581" t="s">
        <v>195</v>
      </c>
    </row>
    <row r="582" spans="1:19" x14ac:dyDescent="0.3">
      <c r="A582" t="s">
        <v>775</v>
      </c>
      <c r="B582" t="s">
        <v>22</v>
      </c>
      <c r="C582">
        <v>2025</v>
      </c>
      <c r="D582">
        <v>1</v>
      </c>
      <c r="E582" s="2">
        <v>45682</v>
      </c>
      <c r="F582" t="s">
        <v>7</v>
      </c>
      <c r="G582" t="s">
        <v>8</v>
      </c>
      <c r="H582" t="s">
        <v>70</v>
      </c>
      <c r="I582" t="s">
        <v>79</v>
      </c>
      <c r="J582" t="s">
        <v>80</v>
      </c>
      <c r="K582" t="s">
        <v>73</v>
      </c>
      <c r="L582">
        <v>701000</v>
      </c>
      <c r="M582" t="s">
        <v>62</v>
      </c>
      <c r="N582" t="s">
        <v>33</v>
      </c>
      <c r="O582">
        <v>3416</v>
      </c>
      <c r="P582">
        <v>2.6</v>
      </c>
      <c r="Q582">
        <v>8.8800000000000008</v>
      </c>
      <c r="R582" t="s">
        <v>1205</v>
      </c>
      <c r="S582" t="s">
        <v>195</v>
      </c>
    </row>
    <row r="583" spans="1:19" x14ac:dyDescent="0.3">
      <c r="A583" t="s">
        <v>776</v>
      </c>
      <c r="B583" t="s">
        <v>22</v>
      </c>
      <c r="C583">
        <v>2025</v>
      </c>
      <c r="D583">
        <v>1</v>
      </c>
      <c r="E583" s="2">
        <v>45682</v>
      </c>
      <c r="F583" t="s">
        <v>7</v>
      </c>
      <c r="G583" t="s">
        <v>8</v>
      </c>
      <c r="H583" t="s">
        <v>70</v>
      </c>
      <c r="I583" t="s">
        <v>79</v>
      </c>
      <c r="J583" t="s">
        <v>80</v>
      </c>
      <c r="K583" t="s">
        <v>73</v>
      </c>
      <c r="L583">
        <v>701000</v>
      </c>
      <c r="M583" t="s">
        <v>62</v>
      </c>
      <c r="N583" t="s">
        <v>33</v>
      </c>
      <c r="O583">
        <v>1389</v>
      </c>
      <c r="P583">
        <v>2.6</v>
      </c>
      <c r="Q583">
        <v>3.61</v>
      </c>
      <c r="R583" t="s">
        <v>1203</v>
      </c>
      <c r="S583" t="s">
        <v>195</v>
      </c>
    </row>
    <row r="584" spans="1:19" x14ac:dyDescent="0.3">
      <c r="A584" t="s">
        <v>777</v>
      </c>
      <c r="B584" t="s">
        <v>22</v>
      </c>
      <c r="C584">
        <v>2025</v>
      </c>
      <c r="D584">
        <v>1</v>
      </c>
      <c r="E584" s="2">
        <v>45682</v>
      </c>
      <c r="F584" t="s">
        <v>7</v>
      </c>
      <c r="G584" t="s">
        <v>8</v>
      </c>
      <c r="H584" t="s">
        <v>70</v>
      </c>
      <c r="I584" t="s">
        <v>79</v>
      </c>
      <c r="J584" t="s">
        <v>80</v>
      </c>
      <c r="K584" t="s">
        <v>73</v>
      </c>
      <c r="L584">
        <v>701000</v>
      </c>
      <c r="M584" t="s">
        <v>62</v>
      </c>
      <c r="N584" t="s">
        <v>33</v>
      </c>
      <c r="O584">
        <v>1136</v>
      </c>
      <c r="P584">
        <v>2.6</v>
      </c>
      <c r="Q584">
        <v>2.95</v>
      </c>
      <c r="R584" t="s">
        <v>1204</v>
      </c>
      <c r="S584" t="s">
        <v>195</v>
      </c>
    </row>
    <row r="585" spans="1:19" x14ac:dyDescent="0.3">
      <c r="A585" t="s">
        <v>778</v>
      </c>
      <c r="B585" t="s">
        <v>22</v>
      </c>
      <c r="C585">
        <v>2025</v>
      </c>
      <c r="D585">
        <v>1</v>
      </c>
      <c r="E585" s="2">
        <v>45682</v>
      </c>
      <c r="F585" t="s">
        <v>7</v>
      </c>
      <c r="G585" t="s">
        <v>8</v>
      </c>
      <c r="H585" t="s">
        <v>70</v>
      </c>
      <c r="I585" t="s">
        <v>79</v>
      </c>
      <c r="J585" t="s">
        <v>80</v>
      </c>
      <c r="K585" t="s">
        <v>73</v>
      </c>
      <c r="L585">
        <v>701000</v>
      </c>
      <c r="M585" t="s">
        <v>62</v>
      </c>
      <c r="N585" t="s">
        <v>33</v>
      </c>
      <c r="O585">
        <v>616</v>
      </c>
      <c r="P585">
        <v>2.6</v>
      </c>
      <c r="Q585">
        <v>1.6</v>
      </c>
      <c r="R585" t="s">
        <v>1197</v>
      </c>
      <c r="S585" t="s">
        <v>195</v>
      </c>
    </row>
    <row r="586" spans="1:19" x14ac:dyDescent="0.3">
      <c r="A586" t="s">
        <v>779</v>
      </c>
      <c r="B586" t="s">
        <v>22</v>
      </c>
      <c r="C586">
        <v>2025</v>
      </c>
      <c r="D586">
        <v>1</v>
      </c>
      <c r="E586" s="2">
        <v>45682</v>
      </c>
      <c r="F586" t="s">
        <v>7</v>
      </c>
      <c r="G586" t="s">
        <v>8</v>
      </c>
      <c r="H586" t="s">
        <v>70</v>
      </c>
      <c r="I586" t="s">
        <v>79</v>
      </c>
      <c r="J586" t="s">
        <v>80</v>
      </c>
      <c r="K586" t="s">
        <v>73</v>
      </c>
      <c r="L586">
        <v>701000</v>
      </c>
      <c r="M586" t="s">
        <v>62</v>
      </c>
      <c r="N586" t="s">
        <v>33</v>
      </c>
      <c r="O586">
        <v>1978</v>
      </c>
      <c r="P586">
        <v>2.6</v>
      </c>
      <c r="Q586">
        <v>5.15</v>
      </c>
      <c r="R586" t="s">
        <v>1202</v>
      </c>
      <c r="S586" t="s">
        <v>195</v>
      </c>
    </row>
    <row r="587" spans="1:19" x14ac:dyDescent="0.3">
      <c r="A587" t="s">
        <v>780</v>
      </c>
      <c r="B587" t="s">
        <v>22</v>
      </c>
      <c r="C587">
        <v>2025</v>
      </c>
      <c r="D587">
        <v>1</v>
      </c>
      <c r="E587" s="2">
        <v>45671</v>
      </c>
      <c r="F587" t="s">
        <v>7</v>
      </c>
      <c r="G587" t="s">
        <v>8</v>
      </c>
      <c r="H587" t="s">
        <v>70</v>
      </c>
      <c r="I587" t="s">
        <v>79</v>
      </c>
      <c r="J587" t="s">
        <v>80</v>
      </c>
      <c r="K587" t="s">
        <v>73</v>
      </c>
      <c r="L587">
        <v>701000</v>
      </c>
      <c r="M587" t="s">
        <v>62</v>
      </c>
      <c r="N587" t="s">
        <v>33</v>
      </c>
      <c r="O587">
        <v>1348</v>
      </c>
      <c r="P587">
        <v>2.6</v>
      </c>
      <c r="Q587">
        <v>3.51</v>
      </c>
      <c r="R587" t="s">
        <v>1204</v>
      </c>
      <c r="S587" t="s">
        <v>195</v>
      </c>
    </row>
    <row r="588" spans="1:19" x14ac:dyDescent="0.3">
      <c r="A588" t="s">
        <v>781</v>
      </c>
      <c r="B588" t="s">
        <v>22</v>
      </c>
      <c r="C588">
        <v>2025</v>
      </c>
      <c r="D588">
        <v>1</v>
      </c>
      <c r="E588" s="2">
        <v>45671</v>
      </c>
      <c r="F588" t="s">
        <v>7</v>
      </c>
      <c r="G588" t="s">
        <v>8</v>
      </c>
      <c r="H588" t="s">
        <v>70</v>
      </c>
      <c r="I588" t="s">
        <v>79</v>
      </c>
      <c r="J588" t="s">
        <v>80</v>
      </c>
      <c r="K588" t="s">
        <v>73</v>
      </c>
      <c r="L588">
        <v>701000</v>
      </c>
      <c r="M588" t="s">
        <v>62</v>
      </c>
      <c r="N588" t="s">
        <v>33</v>
      </c>
      <c r="O588">
        <v>2043</v>
      </c>
      <c r="P588">
        <v>2.6</v>
      </c>
      <c r="Q588">
        <v>5.31</v>
      </c>
      <c r="R588" t="s">
        <v>1198</v>
      </c>
      <c r="S588" t="s">
        <v>195</v>
      </c>
    </row>
    <row r="589" spans="1:19" x14ac:dyDescent="0.3">
      <c r="A589" t="s">
        <v>782</v>
      </c>
      <c r="B589" t="s">
        <v>22</v>
      </c>
      <c r="C589">
        <v>2025</v>
      </c>
      <c r="D589">
        <v>1</v>
      </c>
      <c r="E589" s="2">
        <v>45671</v>
      </c>
      <c r="F589" t="s">
        <v>7</v>
      </c>
      <c r="G589" t="s">
        <v>8</v>
      </c>
      <c r="H589" t="s">
        <v>70</v>
      </c>
      <c r="I589" t="s">
        <v>79</v>
      </c>
      <c r="J589" t="s">
        <v>80</v>
      </c>
      <c r="K589" t="s">
        <v>73</v>
      </c>
      <c r="L589">
        <v>701000</v>
      </c>
      <c r="M589" t="s">
        <v>62</v>
      </c>
      <c r="N589" t="s">
        <v>33</v>
      </c>
      <c r="O589">
        <v>979</v>
      </c>
      <c r="P589">
        <v>2.6</v>
      </c>
      <c r="Q589">
        <v>2.5499999999999998</v>
      </c>
      <c r="R589" t="s">
        <v>1199</v>
      </c>
      <c r="S589" t="s">
        <v>195</v>
      </c>
    </row>
    <row r="590" spans="1:19" x14ac:dyDescent="0.3">
      <c r="A590" t="s">
        <v>783</v>
      </c>
      <c r="B590" t="s">
        <v>22</v>
      </c>
      <c r="C590">
        <v>2025</v>
      </c>
      <c r="D590">
        <v>1</v>
      </c>
      <c r="E590" s="2">
        <v>45671</v>
      </c>
      <c r="F590" t="s">
        <v>7</v>
      </c>
      <c r="G590" t="s">
        <v>8</v>
      </c>
      <c r="H590" t="s">
        <v>70</v>
      </c>
      <c r="I590" t="s">
        <v>79</v>
      </c>
      <c r="J590" t="s">
        <v>80</v>
      </c>
      <c r="K590" t="s">
        <v>73</v>
      </c>
      <c r="L590">
        <v>701000</v>
      </c>
      <c r="M590" t="s">
        <v>62</v>
      </c>
      <c r="N590" t="s">
        <v>33</v>
      </c>
      <c r="O590">
        <v>1900</v>
      </c>
      <c r="P590">
        <v>2.6</v>
      </c>
      <c r="Q590">
        <v>4.9400000000000004</v>
      </c>
      <c r="R590" t="s">
        <v>1197</v>
      </c>
      <c r="S590" t="s">
        <v>195</v>
      </c>
    </row>
    <row r="591" spans="1:19" x14ac:dyDescent="0.3">
      <c r="A591" t="s">
        <v>784</v>
      </c>
      <c r="B591" t="s">
        <v>22</v>
      </c>
      <c r="C591">
        <v>2025</v>
      </c>
      <c r="D591">
        <v>1</v>
      </c>
      <c r="E591" s="2">
        <v>45671</v>
      </c>
      <c r="F591" t="s">
        <v>7</v>
      </c>
      <c r="G591" t="s">
        <v>8</v>
      </c>
      <c r="H591" t="s">
        <v>70</v>
      </c>
      <c r="I591" t="s">
        <v>79</v>
      </c>
      <c r="J591" t="s">
        <v>80</v>
      </c>
      <c r="K591" t="s">
        <v>73</v>
      </c>
      <c r="L591">
        <v>701000</v>
      </c>
      <c r="M591" t="s">
        <v>62</v>
      </c>
      <c r="N591" t="s">
        <v>33</v>
      </c>
      <c r="O591">
        <v>2253</v>
      </c>
      <c r="P591">
        <v>2.6</v>
      </c>
      <c r="Q591">
        <v>5.85</v>
      </c>
      <c r="R591" t="s">
        <v>1202</v>
      </c>
      <c r="S591" t="s">
        <v>195</v>
      </c>
    </row>
    <row r="592" spans="1:19" x14ac:dyDescent="0.3">
      <c r="A592" t="s">
        <v>785</v>
      </c>
      <c r="B592" t="s">
        <v>22</v>
      </c>
      <c r="C592">
        <v>2025</v>
      </c>
      <c r="D592">
        <v>1</v>
      </c>
      <c r="E592" s="2">
        <v>45678</v>
      </c>
      <c r="F592" t="s">
        <v>7</v>
      </c>
      <c r="G592" t="s">
        <v>8</v>
      </c>
      <c r="H592" t="s">
        <v>70</v>
      </c>
      <c r="I592" t="s">
        <v>79</v>
      </c>
      <c r="J592" t="s">
        <v>80</v>
      </c>
      <c r="K592" t="s">
        <v>73</v>
      </c>
      <c r="L592">
        <v>701000</v>
      </c>
      <c r="M592" t="s">
        <v>62</v>
      </c>
      <c r="N592" t="s">
        <v>33</v>
      </c>
      <c r="O592">
        <v>385</v>
      </c>
      <c r="P592">
        <v>2.6</v>
      </c>
      <c r="Q592">
        <v>1</v>
      </c>
      <c r="R592" t="s">
        <v>1197</v>
      </c>
      <c r="S592" t="s">
        <v>195</v>
      </c>
    </row>
    <row r="593" spans="1:19" x14ac:dyDescent="0.3">
      <c r="A593" t="s">
        <v>786</v>
      </c>
      <c r="B593" t="s">
        <v>22</v>
      </c>
      <c r="C593">
        <v>2025</v>
      </c>
      <c r="D593">
        <v>1</v>
      </c>
      <c r="E593" s="2">
        <v>45678</v>
      </c>
      <c r="F593" t="s">
        <v>7</v>
      </c>
      <c r="G593" t="s">
        <v>8</v>
      </c>
      <c r="H593" t="s">
        <v>70</v>
      </c>
      <c r="I593" t="s">
        <v>79</v>
      </c>
      <c r="J593" t="s">
        <v>80</v>
      </c>
      <c r="K593" t="s">
        <v>73</v>
      </c>
      <c r="L593">
        <v>701000</v>
      </c>
      <c r="M593" t="s">
        <v>62</v>
      </c>
      <c r="N593" t="s">
        <v>33</v>
      </c>
      <c r="O593">
        <v>2148</v>
      </c>
      <c r="P593">
        <v>2.6</v>
      </c>
      <c r="Q593">
        <v>5.59</v>
      </c>
      <c r="R593" t="s">
        <v>1200</v>
      </c>
      <c r="S593" t="s">
        <v>195</v>
      </c>
    </row>
    <row r="594" spans="1:19" x14ac:dyDescent="0.3">
      <c r="A594" t="s">
        <v>787</v>
      </c>
      <c r="B594" t="s">
        <v>22</v>
      </c>
      <c r="C594">
        <v>2025</v>
      </c>
      <c r="D594">
        <v>1</v>
      </c>
      <c r="E594" s="2">
        <v>45678</v>
      </c>
      <c r="F594" t="s">
        <v>7</v>
      </c>
      <c r="G594" t="s">
        <v>8</v>
      </c>
      <c r="H594" t="s">
        <v>70</v>
      </c>
      <c r="I594" t="s">
        <v>79</v>
      </c>
      <c r="J594" t="s">
        <v>80</v>
      </c>
      <c r="K594" t="s">
        <v>73</v>
      </c>
      <c r="L594">
        <v>701000</v>
      </c>
      <c r="M594" t="s">
        <v>62</v>
      </c>
      <c r="N594" t="s">
        <v>33</v>
      </c>
      <c r="O594">
        <v>1354</v>
      </c>
      <c r="P594">
        <v>2.6</v>
      </c>
      <c r="Q594">
        <v>3.52</v>
      </c>
      <c r="R594" t="s">
        <v>1204</v>
      </c>
      <c r="S594" t="s">
        <v>195</v>
      </c>
    </row>
    <row r="595" spans="1:19" x14ac:dyDescent="0.3">
      <c r="A595" t="s">
        <v>788</v>
      </c>
      <c r="B595" t="s">
        <v>22</v>
      </c>
      <c r="C595">
        <v>2025</v>
      </c>
      <c r="D595">
        <v>1</v>
      </c>
      <c r="E595" s="2">
        <v>45678</v>
      </c>
      <c r="F595" t="s">
        <v>7</v>
      </c>
      <c r="G595" t="s">
        <v>8</v>
      </c>
      <c r="H595" t="s">
        <v>70</v>
      </c>
      <c r="I595" t="s">
        <v>79</v>
      </c>
      <c r="J595" t="s">
        <v>80</v>
      </c>
      <c r="K595" t="s">
        <v>73</v>
      </c>
      <c r="L595">
        <v>701000</v>
      </c>
      <c r="M595" t="s">
        <v>62</v>
      </c>
      <c r="N595" t="s">
        <v>33</v>
      </c>
      <c r="O595">
        <v>2588</v>
      </c>
      <c r="P595">
        <v>2.6</v>
      </c>
      <c r="Q595">
        <v>6.73</v>
      </c>
      <c r="R595" t="s">
        <v>1199</v>
      </c>
      <c r="S595" t="s">
        <v>195</v>
      </c>
    </row>
    <row r="596" spans="1:19" x14ac:dyDescent="0.3">
      <c r="A596" t="s">
        <v>789</v>
      </c>
      <c r="B596" t="s">
        <v>22</v>
      </c>
      <c r="C596">
        <v>2025</v>
      </c>
      <c r="D596">
        <v>1</v>
      </c>
      <c r="E596" s="2">
        <v>45678</v>
      </c>
      <c r="F596" t="s">
        <v>7</v>
      </c>
      <c r="G596" t="s">
        <v>8</v>
      </c>
      <c r="H596" t="s">
        <v>70</v>
      </c>
      <c r="I596" t="s">
        <v>79</v>
      </c>
      <c r="J596" t="s">
        <v>80</v>
      </c>
      <c r="K596" t="s">
        <v>73</v>
      </c>
      <c r="L596">
        <v>701000</v>
      </c>
      <c r="M596" t="s">
        <v>62</v>
      </c>
      <c r="N596" t="s">
        <v>33</v>
      </c>
      <c r="O596">
        <v>721</v>
      </c>
      <c r="P596">
        <v>2.59</v>
      </c>
      <c r="Q596">
        <v>1.87</v>
      </c>
      <c r="R596" t="s">
        <v>1198</v>
      </c>
      <c r="S596" t="s">
        <v>195</v>
      </c>
    </row>
    <row r="597" spans="1:19" x14ac:dyDescent="0.3">
      <c r="A597" t="s">
        <v>790</v>
      </c>
      <c r="B597" t="s">
        <v>22</v>
      </c>
      <c r="C597">
        <v>2025</v>
      </c>
      <c r="D597">
        <v>1</v>
      </c>
      <c r="E597" s="2">
        <v>45660</v>
      </c>
      <c r="F597" t="s">
        <v>7</v>
      </c>
      <c r="G597" t="s">
        <v>8</v>
      </c>
      <c r="H597" t="s">
        <v>74</v>
      </c>
      <c r="I597" t="s">
        <v>79</v>
      </c>
      <c r="J597" t="s">
        <v>80</v>
      </c>
      <c r="K597" t="s">
        <v>73</v>
      </c>
      <c r="L597">
        <v>701000</v>
      </c>
      <c r="M597" t="s">
        <v>62</v>
      </c>
      <c r="N597" t="s">
        <v>33</v>
      </c>
      <c r="O597">
        <v>533</v>
      </c>
      <c r="P597">
        <v>2.61</v>
      </c>
      <c r="Q597">
        <v>1.39</v>
      </c>
      <c r="R597" t="s">
        <v>1203</v>
      </c>
      <c r="S597" t="s">
        <v>195</v>
      </c>
    </row>
    <row r="598" spans="1:19" x14ac:dyDescent="0.3">
      <c r="A598" t="s">
        <v>791</v>
      </c>
      <c r="B598" t="s">
        <v>22</v>
      </c>
      <c r="C598">
        <v>2025</v>
      </c>
      <c r="D598">
        <v>1</v>
      </c>
      <c r="E598" s="2">
        <v>45660</v>
      </c>
      <c r="F598" t="s">
        <v>7</v>
      </c>
      <c r="G598" t="s">
        <v>8</v>
      </c>
      <c r="H598" t="s">
        <v>74</v>
      </c>
      <c r="I598" t="s">
        <v>79</v>
      </c>
      <c r="J598" t="s">
        <v>80</v>
      </c>
      <c r="K598" t="s">
        <v>73</v>
      </c>
      <c r="L598">
        <v>701000</v>
      </c>
      <c r="M598" t="s">
        <v>62</v>
      </c>
      <c r="N598" t="s">
        <v>33</v>
      </c>
      <c r="O598">
        <v>1550</v>
      </c>
      <c r="P598">
        <v>2.6</v>
      </c>
      <c r="Q598">
        <v>4.03</v>
      </c>
      <c r="R598" t="s">
        <v>1197</v>
      </c>
      <c r="S598" t="s">
        <v>195</v>
      </c>
    </row>
    <row r="599" spans="1:19" x14ac:dyDescent="0.3">
      <c r="A599" t="s">
        <v>792</v>
      </c>
      <c r="B599" t="s">
        <v>22</v>
      </c>
      <c r="C599">
        <v>2025</v>
      </c>
      <c r="D599">
        <v>1</v>
      </c>
      <c r="E599" s="2">
        <v>45660</v>
      </c>
      <c r="F599" t="s">
        <v>7</v>
      </c>
      <c r="G599" t="s">
        <v>8</v>
      </c>
      <c r="H599" t="s">
        <v>74</v>
      </c>
      <c r="I599" t="s">
        <v>79</v>
      </c>
      <c r="J599" t="s">
        <v>80</v>
      </c>
      <c r="K599" t="s">
        <v>73</v>
      </c>
      <c r="L599">
        <v>701000</v>
      </c>
      <c r="M599" t="s">
        <v>62</v>
      </c>
      <c r="N599" t="s">
        <v>33</v>
      </c>
      <c r="O599">
        <v>955</v>
      </c>
      <c r="P599">
        <v>2.6</v>
      </c>
      <c r="Q599">
        <v>2.48</v>
      </c>
      <c r="R599" t="s">
        <v>1201</v>
      </c>
      <c r="S599" t="s">
        <v>195</v>
      </c>
    </row>
    <row r="600" spans="1:19" x14ac:dyDescent="0.3">
      <c r="A600" t="s">
        <v>793</v>
      </c>
      <c r="B600" t="s">
        <v>22</v>
      </c>
      <c r="C600">
        <v>2025</v>
      </c>
      <c r="D600">
        <v>1</v>
      </c>
      <c r="E600" s="2">
        <v>45660</v>
      </c>
      <c r="F600" t="s">
        <v>7</v>
      </c>
      <c r="G600" t="s">
        <v>8</v>
      </c>
      <c r="H600" t="s">
        <v>74</v>
      </c>
      <c r="I600" t="s">
        <v>79</v>
      </c>
      <c r="J600" t="s">
        <v>80</v>
      </c>
      <c r="K600" t="s">
        <v>73</v>
      </c>
      <c r="L600">
        <v>701000</v>
      </c>
      <c r="M600" t="s">
        <v>62</v>
      </c>
      <c r="N600" t="s">
        <v>33</v>
      </c>
      <c r="O600">
        <v>2624</v>
      </c>
      <c r="P600">
        <v>2.6</v>
      </c>
      <c r="Q600">
        <v>6.82</v>
      </c>
      <c r="R600" t="s">
        <v>1198</v>
      </c>
      <c r="S600" t="s">
        <v>195</v>
      </c>
    </row>
    <row r="601" spans="1:19" x14ac:dyDescent="0.3">
      <c r="A601" t="s">
        <v>794</v>
      </c>
      <c r="B601" t="s">
        <v>22</v>
      </c>
      <c r="C601">
        <v>2025</v>
      </c>
      <c r="D601">
        <v>1</v>
      </c>
      <c r="E601" s="2">
        <v>45660</v>
      </c>
      <c r="F601" t="s">
        <v>7</v>
      </c>
      <c r="G601" t="s">
        <v>8</v>
      </c>
      <c r="H601" t="s">
        <v>74</v>
      </c>
      <c r="I601" t="s">
        <v>79</v>
      </c>
      <c r="J601" t="s">
        <v>80</v>
      </c>
      <c r="K601" t="s">
        <v>73</v>
      </c>
      <c r="L601">
        <v>701000</v>
      </c>
      <c r="M601" t="s">
        <v>62</v>
      </c>
      <c r="N601" t="s">
        <v>33</v>
      </c>
      <c r="O601">
        <v>2268</v>
      </c>
      <c r="P601">
        <v>2.6</v>
      </c>
      <c r="Q601">
        <v>5.9</v>
      </c>
      <c r="R601" t="s">
        <v>1205</v>
      </c>
      <c r="S601" t="s">
        <v>195</v>
      </c>
    </row>
    <row r="602" spans="1:19" x14ac:dyDescent="0.3">
      <c r="A602" t="s">
        <v>795</v>
      </c>
      <c r="B602" t="s">
        <v>22</v>
      </c>
      <c r="C602">
        <v>2025</v>
      </c>
      <c r="D602">
        <v>1</v>
      </c>
      <c r="E602" s="2">
        <v>45659</v>
      </c>
      <c r="F602" t="s">
        <v>7</v>
      </c>
      <c r="G602" t="s">
        <v>8</v>
      </c>
      <c r="H602" t="s">
        <v>70</v>
      </c>
      <c r="I602" t="s">
        <v>82</v>
      </c>
      <c r="J602" t="s">
        <v>83</v>
      </c>
      <c r="K602" t="s">
        <v>73</v>
      </c>
      <c r="L602">
        <v>701000</v>
      </c>
      <c r="M602" t="s">
        <v>62</v>
      </c>
      <c r="N602" t="s">
        <v>33</v>
      </c>
      <c r="O602">
        <v>13</v>
      </c>
      <c r="P602">
        <v>18.46</v>
      </c>
      <c r="Q602">
        <v>0.24</v>
      </c>
      <c r="R602" t="s">
        <v>1197</v>
      </c>
      <c r="S602" t="s">
        <v>195</v>
      </c>
    </row>
    <row r="603" spans="1:19" x14ac:dyDescent="0.3">
      <c r="A603" t="s">
        <v>796</v>
      </c>
      <c r="B603" t="s">
        <v>22</v>
      </c>
      <c r="C603">
        <v>2025</v>
      </c>
      <c r="D603">
        <v>1</v>
      </c>
      <c r="E603" s="2">
        <v>45659</v>
      </c>
      <c r="F603" t="s">
        <v>7</v>
      </c>
      <c r="G603" t="s">
        <v>8</v>
      </c>
      <c r="H603" t="s">
        <v>70</v>
      </c>
      <c r="I603" t="s">
        <v>82</v>
      </c>
      <c r="J603" t="s">
        <v>83</v>
      </c>
      <c r="K603" t="s">
        <v>73</v>
      </c>
      <c r="L603">
        <v>701000</v>
      </c>
      <c r="M603" t="s">
        <v>62</v>
      </c>
      <c r="N603" t="s">
        <v>33</v>
      </c>
      <c r="O603">
        <v>144</v>
      </c>
      <c r="P603">
        <v>18.47</v>
      </c>
      <c r="Q603">
        <v>2.66</v>
      </c>
      <c r="R603" t="s">
        <v>1205</v>
      </c>
      <c r="S603" t="s">
        <v>195</v>
      </c>
    </row>
    <row r="604" spans="1:19" x14ac:dyDescent="0.3">
      <c r="A604" t="s">
        <v>797</v>
      </c>
      <c r="B604" t="s">
        <v>22</v>
      </c>
      <c r="C604">
        <v>2025</v>
      </c>
      <c r="D604">
        <v>1</v>
      </c>
      <c r="E604" s="2">
        <v>45659</v>
      </c>
      <c r="F604" t="s">
        <v>7</v>
      </c>
      <c r="G604" t="s">
        <v>8</v>
      </c>
      <c r="H604" t="s">
        <v>70</v>
      </c>
      <c r="I604" t="s">
        <v>82</v>
      </c>
      <c r="J604" t="s">
        <v>83</v>
      </c>
      <c r="K604" t="s">
        <v>73</v>
      </c>
      <c r="L604">
        <v>701000</v>
      </c>
      <c r="M604" t="s">
        <v>62</v>
      </c>
      <c r="N604" t="s">
        <v>33</v>
      </c>
      <c r="O604">
        <v>134</v>
      </c>
      <c r="P604">
        <v>18.510000000000002</v>
      </c>
      <c r="Q604">
        <v>2.48</v>
      </c>
      <c r="R604" t="s">
        <v>1199</v>
      </c>
      <c r="S604" t="s">
        <v>195</v>
      </c>
    </row>
    <row r="605" spans="1:19" x14ac:dyDescent="0.3">
      <c r="A605" t="s">
        <v>798</v>
      </c>
      <c r="B605" t="s">
        <v>22</v>
      </c>
      <c r="C605">
        <v>2025</v>
      </c>
      <c r="D605">
        <v>1</v>
      </c>
      <c r="E605" s="2">
        <v>45659</v>
      </c>
      <c r="F605" t="s">
        <v>7</v>
      </c>
      <c r="G605" t="s">
        <v>8</v>
      </c>
      <c r="H605" t="s">
        <v>70</v>
      </c>
      <c r="I605" t="s">
        <v>82</v>
      </c>
      <c r="J605" t="s">
        <v>83</v>
      </c>
      <c r="K605" t="s">
        <v>73</v>
      </c>
      <c r="L605">
        <v>701000</v>
      </c>
      <c r="M605" t="s">
        <v>62</v>
      </c>
      <c r="N605" t="s">
        <v>33</v>
      </c>
      <c r="O605">
        <v>111</v>
      </c>
      <c r="P605">
        <v>18.47</v>
      </c>
      <c r="Q605">
        <v>2.0499999999999998</v>
      </c>
      <c r="R605" t="s">
        <v>1204</v>
      </c>
      <c r="S605" t="s">
        <v>195</v>
      </c>
    </row>
    <row r="606" spans="1:19" x14ac:dyDescent="0.3">
      <c r="A606" t="s">
        <v>799</v>
      </c>
      <c r="B606" t="s">
        <v>22</v>
      </c>
      <c r="C606">
        <v>2025</v>
      </c>
      <c r="D606">
        <v>1</v>
      </c>
      <c r="E606" s="2">
        <v>45659</v>
      </c>
      <c r="F606" t="s">
        <v>7</v>
      </c>
      <c r="G606" t="s">
        <v>8</v>
      </c>
      <c r="H606" t="s">
        <v>70</v>
      </c>
      <c r="I606" t="s">
        <v>82</v>
      </c>
      <c r="J606" t="s">
        <v>83</v>
      </c>
      <c r="K606" t="s">
        <v>73</v>
      </c>
      <c r="L606">
        <v>701000</v>
      </c>
      <c r="M606" t="s">
        <v>62</v>
      </c>
      <c r="N606" t="s">
        <v>33</v>
      </c>
      <c r="O606">
        <v>126</v>
      </c>
      <c r="P606">
        <v>18.489999999999998</v>
      </c>
      <c r="Q606">
        <v>2.33</v>
      </c>
      <c r="R606" t="s">
        <v>1203</v>
      </c>
      <c r="S606" t="s">
        <v>195</v>
      </c>
    </row>
    <row r="607" spans="1:19" x14ac:dyDescent="0.3">
      <c r="A607" t="s">
        <v>800</v>
      </c>
      <c r="B607" t="s">
        <v>22</v>
      </c>
      <c r="C607">
        <v>2025</v>
      </c>
      <c r="D607">
        <v>1</v>
      </c>
      <c r="E607" s="2">
        <v>45660</v>
      </c>
      <c r="F607" t="s">
        <v>7</v>
      </c>
      <c r="G607" t="s">
        <v>8</v>
      </c>
      <c r="H607" t="s">
        <v>74</v>
      </c>
      <c r="I607" t="s">
        <v>82</v>
      </c>
      <c r="J607" t="s">
        <v>83</v>
      </c>
      <c r="K607" t="s">
        <v>73</v>
      </c>
      <c r="L607">
        <v>706000</v>
      </c>
      <c r="M607" t="s">
        <v>63</v>
      </c>
      <c r="N607" t="s">
        <v>33</v>
      </c>
      <c r="O607">
        <v>85</v>
      </c>
      <c r="P607">
        <v>18.59</v>
      </c>
      <c r="Q607">
        <v>1.58</v>
      </c>
      <c r="R607" t="s">
        <v>1199</v>
      </c>
      <c r="S607" t="s">
        <v>195</v>
      </c>
    </row>
    <row r="608" spans="1:19" x14ac:dyDescent="0.3">
      <c r="A608" t="s">
        <v>801</v>
      </c>
      <c r="B608" t="s">
        <v>22</v>
      </c>
      <c r="C608">
        <v>2025</v>
      </c>
      <c r="D608">
        <v>1</v>
      </c>
      <c r="E608" s="2">
        <v>45660</v>
      </c>
      <c r="F608" t="s">
        <v>7</v>
      </c>
      <c r="G608" t="s">
        <v>8</v>
      </c>
      <c r="H608" t="s">
        <v>74</v>
      </c>
      <c r="I608" t="s">
        <v>82</v>
      </c>
      <c r="J608" t="s">
        <v>83</v>
      </c>
      <c r="K608" t="s">
        <v>73</v>
      </c>
      <c r="L608">
        <v>706000</v>
      </c>
      <c r="M608" t="s">
        <v>63</v>
      </c>
      <c r="N608" t="s">
        <v>33</v>
      </c>
      <c r="O608">
        <v>63</v>
      </c>
      <c r="P608">
        <v>18.57</v>
      </c>
      <c r="Q608">
        <v>1.17</v>
      </c>
      <c r="R608" t="s">
        <v>1202</v>
      </c>
      <c r="S608" t="s">
        <v>195</v>
      </c>
    </row>
    <row r="609" spans="1:19" x14ac:dyDescent="0.3">
      <c r="A609" t="s">
        <v>802</v>
      </c>
      <c r="B609" t="s">
        <v>22</v>
      </c>
      <c r="C609">
        <v>2025</v>
      </c>
      <c r="D609">
        <v>1</v>
      </c>
      <c r="E609" s="2">
        <v>45660</v>
      </c>
      <c r="F609" t="s">
        <v>7</v>
      </c>
      <c r="G609" t="s">
        <v>8</v>
      </c>
      <c r="H609" t="s">
        <v>74</v>
      </c>
      <c r="I609" t="s">
        <v>82</v>
      </c>
      <c r="J609" t="s">
        <v>83</v>
      </c>
      <c r="K609" t="s">
        <v>73</v>
      </c>
      <c r="L609">
        <v>706000</v>
      </c>
      <c r="M609" t="s">
        <v>63</v>
      </c>
      <c r="N609" t="s">
        <v>33</v>
      </c>
      <c r="O609">
        <v>90</v>
      </c>
      <c r="P609">
        <v>18.559999999999999</v>
      </c>
      <c r="Q609">
        <v>1.67</v>
      </c>
      <c r="R609" t="s">
        <v>1197</v>
      </c>
      <c r="S609" t="s">
        <v>195</v>
      </c>
    </row>
    <row r="610" spans="1:19" x14ac:dyDescent="0.3">
      <c r="A610" t="s">
        <v>803</v>
      </c>
      <c r="B610" t="s">
        <v>22</v>
      </c>
      <c r="C610">
        <v>2025</v>
      </c>
      <c r="D610">
        <v>1</v>
      </c>
      <c r="E610" s="2">
        <v>45660</v>
      </c>
      <c r="F610" t="s">
        <v>7</v>
      </c>
      <c r="G610" t="s">
        <v>8</v>
      </c>
      <c r="H610" t="s">
        <v>74</v>
      </c>
      <c r="I610" t="s">
        <v>82</v>
      </c>
      <c r="J610" t="s">
        <v>83</v>
      </c>
      <c r="K610" t="s">
        <v>73</v>
      </c>
      <c r="L610">
        <v>706000</v>
      </c>
      <c r="M610" t="s">
        <v>63</v>
      </c>
      <c r="N610" t="s">
        <v>33</v>
      </c>
      <c r="O610">
        <v>161</v>
      </c>
      <c r="P610">
        <v>18.510000000000002</v>
      </c>
      <c r="Q610">
        <v>2.98</v>
      </c>
      <c r="R610" t="s">
        <v>1204</v>
      </c>
      <c r="S610" t="s">
        <v>195</v>
      </c>
    </row>
    <row r="611" spans="1:19" x14ac:dyDescent="0.3">
      <c r="A611" t="s">
        <v>804</v>
      </c>
      <c r="B611" t="s">
        <v>22</v>
      </c>
      <c r="C611">
        <v>2025</v>
      </c>
      <c r="D611">
        <v>1</v>
      </c>
      <c r="E611" s="2">
        <v>45660</v>
      </c>
      <c r="F611" t="s">
        <v>7</v>
      </c>
      <c r="G611" t="s">
        <v>8</v>
      </c>
      <c r="H611" t="s">
        <v>74</v>
      </c>
      <c r="I611" t="s">
        <v>82</v>
      </c>
      <c r="J611" t="s">
        <v>83</v>
      </c>
      <c r="K611" t="s">
        <v>73</v>
      </c>
      <c r="L611">
        <v>706000</v>
      </c>
      <c r="M611" t="s">
        <v>63</v>
      </c>
      <c r="N611" t="s">
        <v>33</v>
      </c>
      <c r="O611">
        <v>220</v>
      </c>
      <c r="P611">
        <v>18.41</v>
      </c>
      <c r="Q611">
        <v>4.05</v>
      </c>
      <c r="R611" t="s">
        <v>1200</v>
      </c>
      <c r="S611" t="s">
        <v>195</v>
      </c>
    </row>
    <row r="612" spans="1:19" x14ac:dyDescent="0.3">
      <c r="A612" t="s">
        <v>805</v>
      </c>
      <c r="B612" t="s">
        <v>22</v>
      </c>
      <c r="C612">
        <v>2025</v>
      </c>
      <c r="D612">
        <v>1</v>
      </c>
      <c r="E612" s="2">
        <v>45672</v>
      </c>
      <c r="F612" t="s">
        <v>7</v>
      </c>
      <c r="G612" t="s">
        <v>8</v>
      </c>
      <c r="H612" t="s">
        <v>70</v>
      </c>
      <c r="I612" t="s">
        <v>82</v>
      </c>
      <c r="J612" t="s">
        <v>83</v>
      </c>
      <c r="K612" t="s">
        <v>73</v>
      </c>
      <c r="L612">
        <v>701000</v>
      </c>
      <c r="M612" t="s">
        <v>62</v>
      </c>
      <c r="N612" t="s">
        <v>33</v>
      </c>
      <c r="O612">
        <v>45</v>
      </c>
      <c r="P612">
        <v>18.22</v>
      </c>
      <c r="Q612">
        <v>0.82</v>
      </c>
      <c r="R612" t="s">
        <v>1197</v>
      </c>
      <c r="S612" t="s">
        <v>195</v>
      </c>
    </row>
    <row r="613" spans="1:19" x14ac:dyDescent="0.3">
      <c r="A613" t="s">
        <v>806</v>
      </c>
      <c r="B613" t="s">
        <v>22</v>
      </c>
      <c r="C613">
        <v>2025</v>
      </c>
      <c r="D613">
        <v>1</v>
      </c>
      <c r="E613" s="2">
        <v>45672</v>
      </c>
      <c r="F613" t="s">
        <v>7</v>
      </c>
      <c r="G613" t="s">
        <v>8</v>
      </c>
      <c r="H613" t="s">
        <v>70</v>
      </c>
      <c r="I613" t="s">
        <v>82</v>
      </c>
      <c r="J613" t="s">
        <v>83</v>
      </c>
      <c r="K613" t="s">
        <v>73</v>
      </c>
      <c r="L613">
        <v>701000</v>
      </c>
      <c r="M613" t="s">
        <v>62</v>
      </c>
      <c r="N613" t="s">
        <v>33</v>
      </c>
      <c r="O613">
        <v>121</v>
      </c>
      <c r="P613">
        <v>18.600000000000001</v>
      </c>
      <c r="Q613">
        <v>2.25</v>
      </c>
      <c r="R613" t="s">
        <v>1200</v>
      </c>
      <c r="S613" t="s">
        <v>195</v>
      </c>
    </row>
    <row r="614" spans="1:19" x14ac:dyDescent="0.3">
      <c r="A614" t="s">
        <v>807</v>
      </c>
      <c r="B614" t="s">
        <v>22</v>
      </c>
      <c r="C614">
        <v>2025</v>
      </c>
      <c r="D614">
        <v>1</v>
      </c>
      <c r="E614" s="2">
        <v>45672</v>
      </c>
      <c r="F614" t="s">
        <v>7</v>
      </c>
      <c r="G614" t="s">
        <v>8</v>
      </c>
      <c r="H614" t="s">
        <v>70</v>
      </c>
      <c r="I614" t="s">
        <v>82</v>
      </c>
      <c r="J614" t="s">
        <v>83</v>
      </c>
      <c r="K614" t="s">
        <v>73</v>
      </c>
      <c r="L614">
        <v>701000</v>
      </c>
      <c r="M614" t="s">
        <v>62</v>
      </c>
      <c r="N614" t="s">
        <v>33</v>
      </c>
      <c r="O614">
        <v>88</v>
      </c>
      <c r="P614">
        <v>18.41</v>
      </c>
      <c r="Q614">
        <v>1.62</v>
      </c>
      <c r="R614" t="s">
        <v>1199</v>
      </c>
      <c r="S614" t="s">
        <v>195</v>
      </c>
    </row>
    <row r="615" spans="1:19" x14ac:dyDescent="0.3">
      <c r="A615" t="s">
        <v>808</v>
      </c>
      <c r="B615" t="s">
        <v>22</v>
      </c>
      <c r="C615">
        <v>2025</v>
      </c>
      <c r="D615">
        <v>1</v>
      </c>
      <c r="E615" s="2">
        <v>45672</v>
      </c>
      <c r="F615" t="s">
        <v>7</v>
      </c>
      <c r="G615" t="s">
        <v>8</v>
      </c>
      <c r="H615" t="s">
        <v>70</v>
      </c>
      <c r="I615" t="s">
        <v>82</v>
      </c>
      <c r="J615" t="s">
        <v>83</v>
      </c>
      <c r="K615" t="s">
        <v>73</v>
      </c>
      <c r="L615">
        <v>701000</v>
      </c>
      <c r="M615" t="s">
        <v>62</v>
      </c>
      <c r="N615" t="s">
        <v>33</v>
      </c>
      <c r="O615">
        <v>85</v>
      </c>
      <c r="P615">
        <v>18.59</v>
      </c>
      <c r="Q615">
        <v>1.58</v>
      </c>
      <c r="R615" t="s">
        <v>1205</v>
      </c>
      <c r="S615" t="s">
        <v>195</v>
      </c>
    </row>
    <row r="616" spans="1:19" x14ac:dyDescent="0.3">
      <c r="A616" t="s">
        <v>809</v>
      </c>
      <c r="B616" t="s">
        <v>22</v>
      </c>
      <c r="C616">
        <v>2025</v>
      </c>
      <c r="D616">
        <v>1</v>
      </c>
      <c r="E616" s="2">
        <v>45672</v>
      </c>
      <c r="F616" t="s">
        <v>7</v>
      </c>
      <c r="G616" t="s">
        <v>8</v>
      </c>
      <c r="H616" t="s">
        <v>70</v>
      </c>
      <c r="I616" t="s">
        <v>82</v>
      </c>
      <c r="J616" t="s">
        <v>83</v>
      </c>
      <c r="K616" t="s">
        <v>73</v>
      </c>
      <c r="L616">
        <v>701000</v>
      </c>
      <c r="M616" t="s">
        <v>62</v>
      </c>
      <c r="N616" t="s">
        <v>33</v>
      </c>
      <c r="O616">
        <v>143</v>
      </c>
      <c r="P616">
        <v>18.53</v>
      </c>
      <c r="Q616">
        <v>2.65</v>
      </c>
      <c r="R616" t="s">
        <v>1202</v>
      </c>
      <c r="S616" t="s">
        <v>195</v>
      </c>
    </row>
    <row r="617" spans="1:19" x14ac:dyDescent="0.3">
      <c r="A617" t="s">
        <v>810</v>
      </c>
      <c r="B617" t="s">
        <v>22</v>
      </c>
      <c r="C617">
        <v>2025</v>
      </c>
      <c r="D617">
        <v>1</v>
      </c>
      <c r="E617" s="2">
        <v>45667</v>
      </c>
      <c r="F617" t="s">
        <v>7</v>
      </c>
      <c r="G617" t="s">
        <v>8</v>
      </c>
      <c r="H617" t="s">
        <v>74</v>
      </c>
      <c r="I617" t="s">
        <v>82</v>
      </c>
      <c r="J617" t="s">
        <v>83</v>
      </c>
      <c r="K617" t="s">
        <v>73</v>
      </c>
      <c r="L617">
        <v>701000</v>
      </c>
      <c r="M617" t="s">
        <v>62</v>
      </c>
      <c r="N617" t="s">
        <v>33</v>
      </c>
      <c r="O617">
        <v>138</v>
      </c>
      <c r="P617">
        <v>18.48</v>
      </c>
      <c r="Q617">
        <v>2.5499999999999998</v>
      </c>
      <c r="R617" t="s">
        <v>1197</v>
      </c>
      <c r="S617" t="s">
        <v>195</v>
      </c>
    </row>
    <row r="618" spans="1:19" x14ac:dyDescent="0.3">
      <c r="A618" t="s">
        <v>811</v>
      </c>
      <c r="B618" t="s">
        <v>22</v>
      </c>
      <c r="C618">
        <v>2025</v>
      </c>
      <c r="D618">
        <v>1</v>
      </c>
      <c r="E618" s="2">
        <v>45667</v>
      </c>
      <c r="F618" t="s">
        <v>7</v>
      </c>
      <c r="G618" t="s">
        <v>8</v>
      </c>
      <c r="H618" t="s">
        <v>74</v>
      </c>
      <c r="I618" t="s">
        <v>82</v>
      </c>
      <c r="J618" t="s">
        <v>83</v>
      </c>
      <c r="K618" t="s">
        <v>73</v>
      </c>
      <c r="L618">
        <v>701000</v>
      </c>
      <c r="M618" t="s">
        <v>62</v>
      </c>
      <c r="N618" t="s">
        <v>33</v>
      </c>
      <c r="O618">
        <v>269</v>
      </c>
      <c r="P618">
        <v>18.55</v>
      </c>
      <c r="Q618">
        <v>4.99</v>
      </c>
      <c r="R618" t="s">
        <v>1203</v>
      </c>
      <c r="S618" t="s">
        <v>195</v>
      </c>
    </row>
    <row r="619" spans="1:19" x14ac:dyDescent="0.3">
      <c r="A619" t="s">
        <v>812</v>
      </c>
      <c r="B619" t="s">
        <v>22</v>
      </c>
      <c r="C619">
        <v>2025</v>
      </c>
      <c r="D619">
        <v>1</v>
      </c>
      <c r="E619" s="2">
        <v>45667</v>
      </c>
      <c r="F619" t="s">
        <v>7</v>
      </c>
      <c r="G619" t="s">
        <v>8</v>
      </c>
      <c r="H619" t="s">
        <v>74</v>
      </c>
      <c r="I619" t="s">
        <v>82</v>
      </c>
      <c r="J619" t="s">
        <v>83</v>
      </c>
      <c r="K619" t="s">
        <v>73</v>
      </c>
      <c r="L619">
        <v>701000</v>
      </c>
      <c r="M619" t="s">
        <v>62</v>
      </c>
      <c r="N619" t="s">
        <v>33</v>
      </c>
      <c r="O619">
        <v>22</v>
      </c>
      <c r="P619">
        <v>18.64</v>
      </c>
      <c r="Q619">
        <v>0.41</v>
      </c>
      <c r="R619" t="s">
        <v>1200</v>
      </c>
      <c r="S619" t="s">
        <v>195</v>
      </c>
    </row>
    <row r="620" spans="1:19" x14ac:dyDescent="0.3">
      <c r="A620" t="s">
        <v>813</v>
      </c>
      <c r="B620" t="s">
        <v>22</v>
      </c>
      <c r="C620">
        <v>2025</v>
      </c>
      <c r="D620">
        <v>1</v>
      </c>
      <c r="E620" s="2">
        <v>45667</v>
      </c>
      <c r="F620" t="s">
        <v>7</v>
      </c>
      <c r="G620" t="s">
        <v>8</v>
      </c>
      <c r="H620" t="s">
        <v>74</v>
      </c>
      <c r="I620" t="s">
        <v>82</v>
      </c>
      <c r="J620" t="s">
        <v>83</v>
      </c>
      <c r="K620" t="s">
        <v>73</v>
      </c>
      <c r="L620">
        <v>701000</v>
      </c>
      <c r="M620" t="s">
        <v>62</v>
      </c>
      <c r="N620" t="s">
        <v>33</v>
      </c>
      <c r="O620">
        <v>105</v>
      </c>
      <c r="P620">
        <v>18.57</v>
      </c>
      <c r="Q620">
        <v>1.95</v>
      </c>
      <c r="R620" t="s">
        <v>1201</v>
      </c>
      <c r="S620" t="s">
        <v>195</v>
      </c>
    </row>
    <row r="621" spans="1:19" x14ac:dyDescent="0.3">
      <c r="A621" t="s">
        <v>814</v>
      </c>
      <c r="B621" t="s">
        <v>22</v>
      </c>
      <c r="C621">
        <v>2025</v>
      </c>
      <c r="D621">
        <v>1</v>
      </c>
      <c r="E621" s="2">
        <v>45667</v>
      </c>
      <c r="F621" t="s">
        <v>7</v>
      </c>
      <c r="G621" t="s">
        <v>8</v>
      </c>
      <c r="H621" t="s">
        <v>74</v>
      </c>
      <c r="I621" t="s">
        <v>82</v>
      </c>
      <c r="J621" t="s">
        <v>83</v>
      </c>
      <c r="K621" t="s">
        <v>73</v>
      </c>
      <c r="L621">
        <v>701000</v>
      </c>
      <c r="M621" t="s">
        <v>62</v>
      </c>
      <c r="N621" t="s">
        <v>33</v>
      </c>
      <c r="O621">
        <v>81</v>
      </c>
      <c r="P621">
        <v>18.27</v>
      </c>
      <c r="Q621">
        <v>1.48</v>
      </c>
      <c r="R621" t="s">
        <v>1204</v>
      </c>
      <c r="S621" t="s">
        <v>195</v>
      </c>
    </row>
    <row r="622" spans="1:19" x14ac:dyDescent="0.3">
      <c r="A622" t="s">
        <v>815</v>
      </c>
      <c r="B622" t="s">
        <v>22</v>
      </c>
      <c r="C622">
        <v>2025</v>
      </c>
      <c r="D622">
        <v>1</v>
      </c>
      <c r="E622" s="2">
        <v>45683</v>
      </c>
      <c r="F622" t="s">
        <v>7</v>
      </c>
      <c r="G622" t="s">
        <v>8</v>
      </c>
      <c r="H622" t="s">
        <v>74</v>
      </c>
      <c r="I622" t="s">
        <v>82</v>
      </c>
      <c r="J622" t="s">
        <v>83</v>
      </c>
      <c r="K622" t="s">
        <v>73</v>
      </c>
      <c r="L622">
        <v>701000</v>
      </c>
      <c r="M622" t="s">
        <v>62</v>
      </c>
      <c r="N622" t="s">
        <v>33</v>
      </c>
      <c r="O622">
        <v>96</v>
      </c>
      <c r="P622">
        <v>18.440000000000001</v>
      </c>
      <c r="Q622">
        <v>1.77</v>
      </c>
      <c r="R622" t="s">
        <v>1199</v>
      </c>
      <c r="S622" t="s">
        <v>195</v>
      </c>
    </row>
    <row r="623" spans="1:19" x14ac:dyDescent="0.3">
      <c r="A623" t="s">
        <v>816</v>
      </c>
      <c r="B623" t="s">
        <v>22</v>
      </c>
      <c r="C623">
        <v>2025</v>
      </c>
      <c r="D623">
        <v>1</v>
      </c>
      <c r="E623" s="2">
        <v>45683</v>
      </c>
      <c r="F623" t="s">
        <v>7</v>
      </c>
      <c r="G623" t="s">
        <v>8</v>
      </c>
      <c r="H623" t="s">
        <v>74</v>
      </c>
      <c r="I623" t="s">
        <v>82</v>
      </c>
      <c r="J623" t="s">
        <v>83</v>
      </c>
      <c r="K623" t="s">
        <v>73</v>
      </c>
      <c r="L623">
        <v>701000</v>
      </c>
      <c r="M623" t="s">
        <v>62</v>
      </c>
      <c r="N623" t="s">
        <v>33</v>
      </c>
      <c r="O623">
        <v>111</v>
      </c>
      <c r="P623">
        <v>18.559999999999999</v>
      </c>
      <c r="Q623">
        <v>2.06</v>
      </c>
      <c r="R623" t="s">
        <v>1204</v>
      </c>
      <c r="S623" t="s">
        <v>195</v>
      </c>
    </row>
    <row r="624" spans="1:19" x14ac:dyDescent="0.3">
      <c r="A624" t="s">
        <v>817</v>
      </c>
      <c r="B624" t="s">
        <v>22</v>
      </c>
      <c r="C624">
        <v>2025</v>
      </c>
      <c r="D624">
        <v>1</v>
      </c>
      <c r="E624" s="2">
        <v>45683</v>
      </c>
      <c r="F624" t="s">
        <v>7</v>
      </c>
      <c r="G624" t="s">
        <v>8</v>
      </c>
      <c r="H624" t="s">
        <v>74</v>
      </c>
      <c r="I624" t="s">
        <v>82</v>
      </c>
      <c r="J624" t="s">
        <v>83</v>
      </c>
      <c r="K624" t="s">
        <v>73</v>
      </c>
      <c r="L624">
        <v>701000</v>
      </c>
      <c r="M624" t="s">
        <v>62</v>
      </c>
      <c r="N624" t="s">
        <v>33</v>
      </c>
      <c r="O624">
        <v>70</v>
      </c>
      <c r="P624">
        <v>18.43</v>
      </c>
      <c r="Q624">
        <v>1.29</v>
      </c>
      <c r="R624" t="s">
        <v>1200</v>
      </c>
      <c r="S624" t="s">
        <v>195</v>
      </c>
    </row>
    <row r="625" spans="1:19" x14ac:dyDescent="0.3">
      <c r="A625" t="s">
        <v>818</v>
      </c>
      <c r="B625" t="s">
        <v>22</v>
      </c>
      <c r="C625">
        <v>2025</v>
      </c>
      <c r="D625">
        <v>1</v>
      </c>
      <c r="E625" s="2">
        <v>45683</v>
      </c>
      <c r="F625" t="s">
        <v>7</v>
      </c>
      <c r="G625" t="s">
        <v>8</v>
      </c>
      <c r="H625" t="s">
        <v>74</v>
      </c>
      <c r="I625" t="s">
        <v>82</v>
      </c>
      <c r="J625" t="s">
        <v>83</v>
      </c>
      <c r="K625" t="s">
        <v>73</v>
      </c>
      <c r="L625">
        <v>701000</v>
      </c>
      <c r="M625" t="s">
        <v>62</v>
      </c>
      <c r="N625" t="s">
        <v>33</v>
      </c>
      <c r="O625">
        <v>15</v>
      </c>
      <c r="P625">
        <v>18.670000000000002</v>
      </c>
      <c r="Q625">
        <v>0.28000000000000003</v>
      </c>
      <c r="R625" t="s">
        <v>1202</v>
      </c>
      <c r="S625" t="s">
        <v>195</v>
      </c>
    </row>
    <row r="626" spans="1:19" x14ac:dyDescent="0.3">
      <c r="A626" t="s">
        <v>819</v>
      </c>
      <c r="B626" t="s">
        <v>22</v>
      </c>
      <c r="C626">
        <v>2025</v>
      </c>
      <c r="D626">
        <v>1</v>
      </c>
      <c r="E626" s="2">
        <v>45683</v>
      </c>
      <c r="F626" t="s">
        <v>7</v>
      </c>
      <c r="G626" t="s">
        <v>8</v>
      </c>
      <c r="H626" t="s">
        <v>74</v>
      </c>
      <c r="I626" t="s">
        <v>82</v>
      </c>
      <c r="J626" t="s">
        <v>83</v>
      </c>
      <c r="K626" t="s">
        <v>73</v>
      </c>
      <c r="L626">
        <v>701000</v>
      </c>
      <c r="M626" t="s">
        <v>62</v>
      </c>
      <c r="N626" t="s">
        <v>33</v>
      </c>
      <c r="O626">
        <v>163</v>
      </c>
      <c r="P626">
        <v>18.53</v>
      </c>
      <c r="Q626">
        <v>3.02</v>
      </c>
      <c r="R626" t="s">
        <v>1198</v>
      </c>
      <c r="S626" t="s">
        <v>195</v>
      </c>
    </row>
    <row r="627" spans="1:19" x14ac:dyDescent="0.3">
      <c r="A627" t="s">
        <v>820</v>
      </c>
      <c r="B627" t="s">
        <v>22</v>
      </c>
      <c r="C627">
        <v>2025</v>
      </c>
      <c r="D627">
        <v>1</v>
      </c>
      <c r="E627" s="2">
        <v>45673</v>
      </c>
      <c r="F627" t="s">
        <v>7</v>
      </c>
      <c r="G627" t="s">
        <v>8</v>
      </c>
      <c r="H627" t="s">
        <v>74</v>
      </c>
      <c r="I627" t="s">
        <v>82</v>
      </c>
      <c r="J627" t="s">
        <v>83</v>
      </c>
      <c r="K627" t="s">
        <v>73</v>
      </c>
      <c r="L627">
        <v>701000</v>
      </c>
      <c r="M627" t="s">
        <v>62</v>
      </c>
      <c r="N627" t="s">
        <v>33</v>
      </c>
      <c r="O627">
        <v>129</v>
      </c>
      <c r="P627">
        <v>18.53</v>
      </c>
      <c r="Q627">
        <v>2.39</v>
      </c>
      <c r="R627" t="s">
        <v>1199</v>
      </c>
      <c r="S627" t="s">
        <v>195</v>
      </c>
    </row>
    <row r="628" spans="1:19" x14ac:dyDescent="0.3">
      <c r="A628" t="s">
        <v>821</v>
      </c>
      <c r="B628" t="s">
        <v>22</v>
      </c>
      <c r="C628">
        <v>2025</v>
      </c>
      <c r="D628">
        <v>1</v>
      </c>
      <c r="E628" s="2">
        <v>45673</v>
      </c>
      <c r="F628" t="s">
        <v>7</v>
      </c>
      <c r="G628" t="s">
        <v>8</v>
      </c>
      <c r="H628" t="s">
        <v>74</v>
      </c>
      <c r="I628" t="s">
        <v>82</v>
      </c>
      <c r="J628" t="s">
        <v>83</v>
      </c>
      <c r="K628" t="s">
        <v>73</v>
      </c>
      <c r="L628">
        <v>701000</v>
      </c>
      <c r="M628" t="s">
        <v>62</v>
      </c>
      <c r="N628" t="s">
        <v>33</v>
      </c>
      <c r="O628">
        <v>33</v>
      </c>
      <c r="P628">
        <v>18.18</v>
      </c>
      <c r="Q628">
        <v>0.6</v>
      </c>
      <c r="R628" t="s">
        <v>1205</v>
      </c>
      <c r="S628" t="s">
        <v>195</v>
      </c>
    </row>
    <row r="629" spans="1:19" x14ac:dyDescent="0.3">
      <c r="A629" t="s">
        <v>822</v>
      </c>
      <c r="B629" t="s">
        <v>22</v>
      </c>
      <c r="C629">
        <v>2025</v>
      </c>
      <c r="D629">
        <v>1</v>
      </c>
      <c r="E629" s="2">
        <v>45673</v>
      </c>
      <c r="F629" t="s">
        <v>7</v>
      </c>
      <c r="G629" t="s">
        <v>8</v>
      </c>
      <c r="H629" t="s">
        <v>74</v>
      </c>
      <c r="I629" t="s">
        <v>82</v>
      </c>
      <c r="J629" t="s">
        <v>83</v>
      </c>
      <c r="K629" t="s">
        <v>73</v>
      </c>
      <c r="L629">
        <v>701000</v>
      </c>
      <c r="M629" t="s">
        <v>62</v>
      </c>
      <c r="N629" t="s">
        <v>33</v>
      </c>
      <c r="O629">
        <v>283</v>
      </c>
      <c r="P629">
        <v>18.48</v>
      </c>
      <c r="Q629">
        <v>5.23</v>
      </c>
      <c r="R629" t="s">
        <v>1204</v>
      </c>
      <c r="S629" t="s">
        <v>195</v>
      </c>
    </row>
    <row r="630" spans="1:19" x14ac:dyDescent="0.3">
      <c r="A630" t="s">
        <v>823</v>
      </c>
      <c r="B630" t="s">
        <v>22</v>
      </c>
      <c r="C630">
        <v>2025</v>
      </c>
      <c r="D630">
        <v>1</v>
      </c>
      <c r="E630" s="2">
        <v>45673</v>
      </c>
      <c r="F630" t="s">
        <v>7</v>
      </c>
      <c r="G630" t="s">
        <v>8</v>
      </c>
      <c r="H630" t="s">
        <v>74</v>
      </c>
      <c r="I630" t="s">
        <v>82</v>
      </c>
      <c r="J630" t="s">
        <v>83</v>
      </c>
      <c r="K630" t="s">
        <v>73</v>
      </c>
      <c r="L630">
        <v>701000</v>
      </c>
      <c r="M630" t="s">
        <v>62</v>
      </c>
      <c r="N630" t="s">
        <v>33</v>
      </c>
      <c r="O630">
        <v>3</v>
      </c>
      <c r="P630">
        <v>16.670000000000002</v>
      </c>
      <c r="Q630">
        <v>0.05</v>
      </c>
      <c r="R630" t="s">
        <v>1200</v>
      </c>
      <c r="S630" t="s">
        <v>195</v>
      </c>
    </row>
    <row r="631" spans="1:19" x14ac:dyDescent="0.3">
      <c r="A631" t="s">
        <v>824</v>
      </c>
      <c r="B631" t="s">
        <v>22</v>
      </c>
      <c r="C631">
        <v>2025</v>
      </c>
      <c r="D631">
        <v>1</v>
      </c>
      <c r="E631" s="2">
        <v>45673</v>
      </c>
      <c r="F631" t="s">
        <v>7</v>
      </c>
      <c r="G631" t="s">
        <v>8</v>
      </c>
      <c r="H631" t="s">
        <v>74</v>
      </c>
      <c r="I631" t="s">
        <v>82</v>
      </c>
      <c r="J631" t="s">
        <v>83</v>
      </c>
      <c r="K631" t="s">
        <v>73</v>
      </c>
      <c r="L631">
        <v>701000</v>
      </c>
      <c r="M631" t="s">
        <v>62</v>
      </c>
      <c r="N631" t="s">
        <v>33</v>
      </c>
      <c r="O631">
        <v>81</v>
      </c>
      <c r="P631">
        <v>18.77</v>
      </c>
      <c r="Q631">
        <v>1.52</v>
      </c>
      <c r="R631" t="s">
        <v>1201</v>
      </c>
      <c r="S631" t="s">
        <v>195</v>
      </c>
    </row>
    <row r="632" spans="1:19" x14ac:dyDescent="0.3">
      <c r="A632" t="s">
        <v>825</v>
      </c>
      <c r="B632" t="s">
        <v>22</v>
      </c>
      <c r="C632">
        <v>2025</v>
      </c>
      <c r="D632">
        <v>1</v>
      </c>
      <c r="E632" s="2">
        <v>45680</v>
      </c>
      <c r="F632" t="s">
        <v>7</v>
      </c>
      <c r="G632" t="s">
        <v>8</v>
      </c>
      <c r="H632" t="s">
        <v>70</v>
      </c>
      <c r="I632" t="s">
        <v>82</v>
      </c>
      <c r="J632" t="s">
        <v>83</v>
      </c>
      <c r="K632" t="s">
        <v>73</v>
      </c>
      <c r="L632">
        <v>701000</v>
      </c>
      <c r="M632" t="s">
        <v>62</v>
      </c>
      <c r="N632" t="s">
        <v>33</v>
      </c>
      <c r="O632">
        <v>90</v>
      </c>
      <c r="P632">
        <v>18.559999999999999</v>
      </c>
      <c r="Q632">
        <v>1.67</v>
      </c>
      <c r="R632" t="s">
        <v>1199</v>
      </c>
      <c r="S632" t="s">
        <v>195</v>
      </c>
    </row>
    <row r="633" spans="1:19" x14ac:dyDescent="0.3">
      <c r="A633" t="s">
        <v>826</v>
      </c>
      <c r="B633" t="s">
        <v>22</v>
      </c>
      <c r="C633">
        <v>2025</v>
      </c>
      <c r="D633">
        <v>1</v>
      </c>
      <c r="E633" s="2">
        <v>45680</v>
      </c>
      <c r="F633" t="s">
        <v>7</v>
      </c>
      <c r="G633" t="s">
        <v>8</v>
      </c>
      <c r="H633" t="s">
        <v>70</v>
      </c>
      <c r="I633" t="s">
        <v>82</v>
      </c>
      <c r="J633" t="s">
        <v>83</v>
      </c>
      <c r="K633" t="s">
        <v>73</v>
      </c>
      <c r="L633">
        <v>701000</v>
      </c>
      <c r="M633" t="s">
        <v>62</v>
      </c>
      <c r="N633" t="s">
        <v>33</v>
      </c>
      <c r="O633">
        <v>155</v>
      </c>
      <c r="P633">
        <v>18.52</v>
      </c>
      <c r="Q633">
        <v>2.87</v>
      </c>
      <c r="R633" t="s">
        <v>1202</v>
      </c>
      <c r="S633" t="s">
        <v>195</v>
      </c>
    </row>
    <row r="634" spans="1:19" x14ac:dyDescent="0.3">
      <c r="A634" t="s">
        <v>827</v>
      </c>
      <c r="B634" t="s">
        <v>22</v>
      </c>
      <c r="C634">
        <v>2025</v>
      </c>
      <c r="D634">
        <v>1</v>
      </c>
      <c r="E634" s="2">
        <v>45680</v>
      </c>
      <c r="F634" t="s">
        <v>7</v>
      </c>
      <c r="G634" t="s">
        <v>8</v>
      </c>
      <c r="H634" t="s">
        <v>70</v>
      </c>
      <c r="I634" t="s">
        <v>82</v>
      </c>
      <c r="J634" t="s">
        <v>83</v>
      </c>
      <c r="K634" t="s">
        <v>73</v>
      </c>
      <c r="L634">
        <v>701000</v>
      </c>
      <c r="M634" t="s">
        <v>62</v>
      </c>
      <c r="N634" t="s">
        <v>33</v>
      </c>
      <c r="O634">
        <v>41</v>
      </c>
      <c r="P634">
        <v>18.54</v>
      </c>
      <c r="Q634">
        <v>0.76</v>
      </c>
      <c r="R634" t="s">
        <v>1205</v>
      </c>
      <c r="S634" t="s">
        <v>195</v>
      </c>
    </row>
    <row r="635" spans="1:19" x14ac:dyDescent="0.3">
      <c r="A635" t="s">
        <v>828</v>
      </c>
      <c r="B635" t="s">
        <v>22</v>
      </c>
      <c r="C635">
        <v>2025</v>
      </c>
      <c r="D635">
        <v>1</v>
      </c>
      <c r="E635" s="2">
        <v>45680</v>
      </c>
      <c r="F635" t="s">
        <v>7</v>
      </c>
      <c r="G635" t="s">
        <v>8</v>
      </c>
      <c r="H635" t="s">
        <v>70</v>
      </c>
      <c r="I635" t="s">
        <v>82</v>
      </c>
      <c r="J635" t="s">
        <v>83</v>
      </c>
      <c r="K635" t="s">
        <v>73</v>
      </c>
      <c r="L635">
        <v>701000</v>
      </c>
      <c r="M635" t="s">
        <v>62</v>
      </c>
      <c r="N635" t="s">
        <v>33</v>
      </c>
      <c r="O635">
        <v>132</v>
      </c>
      <c r="P635">
        <v>18.48</v>
      </c>
      <c r="Q635">
        <v>2.44</v>
      </c>
      <c r="R635" t="s">
        <v>1201</v>
      </c>
      <c r="S635" t="s">
        <v>195</v>
      </c>
    </row>
    <row r="636" spans="1:19" x14ac:dyDescent="0.3">
      <c r="A636" t="s">
        <v>829</v>
      </c>
      <c r="B636" t="s">
        <v>22</v>
      </c>
      <c r="C636">
        <v>2025</v>
      </c>
      <c r="D636">
        <v>1</v>
      </c>
      <c r="E636" s="2">
        <v>45680</v>
      </c>
      <c r="F636" t="s">
        <v>7</v>
      </c>
      <c r="G636" t="s">
        <v>8</v>
      </c>
      <c r="H636" t="s">
        <v>70</v>
      </c>
      <c r="I636" t="s">
        <v>82</v>
      </c>
      <c r="J636" t="s">
        <v>83</v>
      </c>
      <c r="K636" t="s">
        <v>73</v>
      </c>
      <c r="L636">
        <v>701000</v>
      </c>
      <c r="M636" t="s">
        <v>62</v>
      </c>
      <c r="N636" t="s">
        <v>33</v>
      </c>
      <c r="O636">
        <v>83</v>
      </c>
      <c r="P636">
        <v>18.43</v>
      </c>
      <c r="Q636">
        <v>1.53</v>
      </c>
      <c r="R636" t="s">
        <v>1204</v>
      </c>
      <c r="S636" t="s">
        <v>195</v>
      </c>
    </row>
    <row r="637" spans="1:19" x14ac:dyDescent="0.3">
      <c r="A637" t="s">
        <v>830</v>
      </c>
      <c r="B637" t="s">
        <v>22</v>
      </c>
      <c r="C637">
        <v>2025</v>
      </c>
      <c r="D637">
        <v>1</v>
      </c>
      <c r="E637" s="2">
        <v>45663</v>
      </c>
      <c r="F637" t="s">
        <v>7</v>
      </c>
      <c r="G637" t="s">
        <v>8</v>
      </c>
      <c r="H637" t="s">
        <v>70</v>
      </c>
      <c r="I637" t="s">
        <v>82</v>
      </c>
      <c r="J637" t="s">
        <v>83</v>
      </c>
      <c r="K637" t="s">
        <v>73</v>
      </c>
      <c r="L637">
        <v>701000</v>
      </c>
      <c r="M637" t="s">
        <v>62</v>
      </c>
      <c r="N637" t="s">
        <v>33</v>
      </c>
      <c r="O637">
        <v>121</v>
      </c>
      <c r="P637">
        <v>18.510000000000002</v>
      </c>
      <c r="Q637">
        <v>2.2400000000000002</v>
      </c>
      <c r="R637" t="s">
        <v>1201</v>
      </c>
      <c r="S637" t="s">
        <v>195</v>
      </c>
    </row>
    <row r="638" spans="1:19" x14ac:dyDescent="0.3">
      <c r="A638" t="s">
        <v>831</v>
      </c>
      <c r="B638" t="s">
        <v>22</v>
      </c>
      <c r="C638">
        <v>2025</v>
      </c>
      <c r="D638">
        <v>1</v>
      </c>
      <c r="E638" s="2">
        <v>45663</v>
      </c>
      <c r="F638" t="s">
        <v>7</v>
      </c>
      <c r="G638" t="s">
        <v>8</v>
      </c>
      <c r="H638" t="s">
        <v>70</v>
      </c>
      <c r="I638" t="s">
        <v>82</v>
      </c>
      <c r="J638" t="s">
        <v>83</v>
      </c>
      <c r="K638" t="s">
        <v>73</v>
      </c>
      <c r="L638">
        <v>701000</v>
      </c>
      <c r="M638" t="s">
        <v>62</v>
      </c>
      <c r="N638" t="s">
        <v>33</v>
      </c>
      <c r="O638">
        <v>21</v>
      </c>
      <c r="P638">
        <v>18.100000000000001</v>
      </c>
      <c r="Q638">
        <v>0.38</v>
      </c>
      <c r="R638" t="s">
        <v>1202</v>
      </c>
      <c r="S638" t="s">
        <v>195</v>
      </c>
    </row>
    <row r="639" spans="1:19" x14ac:dyDescent="0.3">
      <c r="A639" t="s">
        <v>832</v>
      </c>
      <c r="B639" t="s">
        <v>22</v>
      </c>
      <c r="C639">
        <v>2025</v>
      </c>
      <c r="D639">
        <v>1</v>
      </c>
      <c r="E639" s="2">
        <v>45663</v>
      </c>
      <c r="F639" t="s">
        <v>7</v>
      </c>
      <c r="G639" t="s">
        <v>8</v>
      </c>
      <c r="H639" t="s">
        <v>70</v>
      </c>
      <c r="I639" t="s">
        <v>82</v>
      </c>
      <c r="J639" t="s">
        <v>83</v>
      </c>
      <c r="K639" t="s">
        <v>73</v>
      </c>
      <c r="L639">
        <v>701000</v>
      </c>
      <c r="M639" t="s">
        <v>62</v>
      </c>
      <c r="N639" t="s">
        <v>33</v>
      </c>
      <c r="O639">
        <v>99</v>
      </c>
      <c r="P639">
        <v>18.59</v>
      </c>
      <c r="Q639">
        <v>1.84</v>
      </c>
      <c r="R639" t="s">
        <v>1203</v>
      </c>
      <c r="S639" t="s">
        <v>195</v>
      </c>
    </row>
    <row r="640" spans="1:19" x14ac:dyDescent="0.3">
      <c r="A640" t="s">
        <v>833</v>
      </c>
      <c r="B640" t="s">
        <v>22</v>
      </c>
      <c r="C640">
        <v>2025</v>
      </c>
      <c r="D640">
        <v>1</v>
      </c>
      <c r="E640" s="2">
        <v>45663</v>
      </c>
      <c r="F640" t="s">
        <v>7</v>
      </c>
      <c r="G640" t="s">
        <v>8</v>
      </c>
      <c r="H640" t="s">
        <v>70</v>
      </c>
      <c r="I640" t="s">
        <v>82</v>
      </c>
      <c r="J640" t="s">
        <v>83</v>
      </c>
      <c r="K640" t="s">
        <v>73</v>
      </c>
      <c r="L640">
        <v>701000</v>
      </c>
      <c r="M640" t="s">
        <v>62</v>
      </c>
      <c r="N640" t="s">
        <v>33</v>
      </c>
      <c r="O640">
        <v>218</v>
      </c>
      <c r="P640">
        <v>18.489999999999998</v>
      </c>
      <c r="Q640">
        <v>4.03</v>
      </c>
      <c r="R640" t="s">
        <v>1197</v>
      </c>
      <c r="S640" t="s">
        <v>195</v>
      </c>
    </row>
    <row r="641" spans="1:19" x14ac:dyDescent="0.3">
      <c r="A641" t="s">
        <v>834</v>
      </c>
      <c r="B641" t="s">
        <v>22</v>
      </c>
      <c r="C641">
        <v>2025</v>
      </c>
      <c r="D641">
        <v>1</v>
      </c>
      <c r="E641" s="2">
        <v>45663</v>
      </c>
      <c r="F641" t="s">
        <v>7</v>
      </c>
      <c r="G641" t="s">
        <v>8</v>
      </c>
      <c r="H641" t="s">
        <v>70</v>
      </c>
      <c r="I641" t="s">
        <v>82</v>
      </c>
      <c r="J641" t="s">
        <v>83</v>
      </c>
      <c r="K641" t="s">
        <v>73</v>
      </c>
      <c r="L641">
        <v>701000</v>
      </c>
      <c r="M641" t="s">
        <v>62</v>
      </c>
      <c r="N641" t="s">
        <v>33</v>
      </c>
      <c r="O641">
        <v>57</v>
      </c>
      <c r="P641">
        <v>18.600000000000001</v>
      </c>
      <c r="Q641">
        <v>1.06</v>
      </c>
      <c r="R641" t="s">
        <v>1205</v>
      </c>
      <c r="S641" t="s">
        <v>195</v>
      </c>
    </row>
    <row r="642" spans="1:19" x14ac:dyDescent="0.3">
      <c r="A642" t="s">
        <v>835</v>
      </c>
      <c r="B642" t="s">
        <v>22</v>
      </c>
      <c r="C642">
        <v>2025</v>
      </c>
      <c r="D642">
        <v>1</v>
      </c>
      <c r="E642" s="2">
        <v>45663</v>
      </c>
      <c r="F642" t="s">
        <v>7</v>
      </c>
      <c r="G642" t="s">
        <v>8</v>
      </c>
      <c r="H642" t="s">
        <v>74</v>
      </c>
      <c r="I642" t="s">
        <v>82</v>
      </c>
      <c r="J642" t="s">
        <v>83</v>
      </c>
      <c r="K642" t="s">
        <v>73</v>
      </c>
      <c r="L642">
        <v>701000</v>
      </c>
      <c r="M642" t="s">
        <v>62</v>
      </c>
      <c r="N642" t="s">
        <v>33</v>
      </c>
      <c r="O642">
        <v>125</v>
      </c>
      <c r="P642">
        <v>18.48</v>
      </c>
      <c r="Q642">
        <v>2.31</v>
      </c>
      <c r="R642" t="s">
        <v>1203</v>
      </c>
      <c r="S642" t="s">
        <v>195</v>
      </c>
    </row>
    <row r="643" spans="1:19" x14ac:dyDescent="0.3">
      <c r="A643" t="s">
        <v>836</v>
      </c>
      <c r="B643" t="s">
        <v>22</v>
      </c>
      <c r="C643">
        <v>2025</v>
      </c>
      <c r="D643">
        <v>1</v>
      </c>
      <c r="E643" s="2">
        <v>45663</v>
      </c>
      <c r="F643" t="s">
        <v>7</v>
      </c>
      <c r="G643" t="s">
        <v>8</v>
      </c>
      <c r="H643" t="s">
        <v>74</v>
      </c>
      <c r="I643" t="s">
        <v>82</v>
      </c>
      <c r="J643" t="s">
        <v>83</v>
      </c>
      <c r="K643" t="s">
        <v>73</v>
      </c>
      <c r="L643">
        <v>701000</v>
      </c>
      <c r="M643" t="s">
        <v>62</v>
      </c>
      <c r="N643" t="s">
        <v>33</v>
      </c>
      <c r="O643">
        <v>54</v>
      </c>
      <c r="P643">
        <v>18.329999999999998</v>
      </c>
      <c r="Q643">
        <v>0.99</v>
      </c>
      <c r="R643" t="s">
        <v>1202</v>
      </c>
      <c r="S643" t="s">
        <v>195</v>
      </c>
    </row>
    <row r="644" spans="1:19" x14ac:dyDescent="0.3">
      <c r="A644" t="s">
        <v>837</v>
      </c>
      <c r="B644" t="s">
        <v>22</v>
      </c>
      <c r="C644">
        <v>2025</v>
      </c>
      <c r="D644">
        <v>1</v>
      </c>
      <c r="E644" s="2">
        <v>45663</v>
      </c>
      <c r="F644" t="s">
        <v>7</v>
      </c>
      <c r="G644" t="s">
        <v>8</v>
      </c>
      <c r="H644" t="s">
        <v>74</v>
      </c>
      <c r="I644" t="s">
        <v>82</v>
      </c>
      <c r="J644" t="s">
        <v>83</v>
      </c>
      <c r="K644" t="s">
        <v>73</v>
      </c>
      <c r="L644">
        <v>701000</v>
      </c>
      <c r="M644" t="s">
        <v>62</v>
      </c>
      <c r="N644" t="s">
        <v>33</v>
      </c>
      <c r="O644">
        <v>60</v>
      </c>
      <c r="P644">
        <v>18.670000000000002</v>
      </c>
      <c r="Q644">
        <v>1.1200000000000001</v>
      </c>
      <c r="R644" t="s">
        <v>1197</v>
      </c>
      <c r="S644" t="s">
        <v>195</v>
      </c>
    </row>
    <row r="645" spans="1:19" x14ac:dyDescent="0.3">
      <c r="A645" t="s">
        <v>838</v>
      </c>
      <c r="B645" t="s">
        <v>22</v>
      </c>
      <c r="C645">
        <v>2025</v>
      </c>
      <c r="D645">
        <v>1</v>
      </c>
      <c r="E645" s="2">
        <v>45663</v>
      </c>
      <c r="F645" t="s">
        <v>7</v>
      </c>
      <c r="G645" t="s">
        <v>8</v>
      </c>
      <c r="H645" t="s">
        <v>74</v>
      </c>
      <c r="I645" t="s">
        <v>82</v>
      </c>
      <c r="J645" t="s">
        <v>83</v>
      </c>
      <c r="K645" t="s">
        <v>73</v>
      </c>
      <c r="L645">
        <v>701000</v>
      </c>
      <c r="M645" t="s">
        <v>62</v>
      </c>
      <c r="N645" t="s">
        <v>33</v>
      </c>
      <c r="O645">
        <v>243</v>
      </c>
      <c r="P645">
        <v>18.52</v>
      </c>
      <c r="Q645">
        <v>4.5</v>
      </c>
      <c r="R645" t="s">
        <v>1198</v>
      </c>
      <c r="S645" t="s">
        <v>195</v>
      </c>
    </row>
    <row r="646" spans="1:19" x14ac:dyDescent="0.3">
      <c r="A646" t="s">
        <v>839</v>
      </c>
      <c r="B646" t="s">
        <v>22</v>
      </c>
      <c r="C646">
        <v>2025</v>
      </c>
      <c r="D646">
        <v>1</v>
      </c>
      <c r="E646" s="2">
        <v>45663</v>
      </c>
      <c r="F646" t="s">
        <v>7</v>
      </c>
      <c r="G646" t="s">
        <v>8</v>
      </c>
      <c r="H646" t="s">
        <v>74</v>
      </c>
      <c r="I646" t="s">
        <v>82</v>
      </c>
      <c r="J646" t="s">
        <v>83</v>
      </c>
      <c r="K646" t="s">
        <v>73</v>
      </c>
      <c r="L646">
        <v>701000</v>
      </c>
      <c r="M646" t="s">
        <v>62</v>
      </c>
      <c r="N646" t="s">
        <v>33</v>
      </c>
      <c r="O646">
        <v>105</v>
      </c>
      <c r="P646">
        <v>18.48</v>
      </c>
      <c r="Q646">
        <v>1.94</v>
      </c>
      <c r="R646" t="s">
        <v>1199</v>
      </c>
      <c r="S646" t="s">
        <v>195</v>
      </c>
    </row>
    <row r="647" spans="1:19" x14ac:dyDescent="0.3">
      <c r="A647" t="s">
        <v>840</v>
      </c>
      <c r="B647" t="s">
        <v>22</v>
      </c>
      <c r="C647">
        <v>2025</v>
      </c>
      <c r="D647">
        <v>1</v>
      </c>
      <c r="E647" s="2">
        <v>45659</v>
      </c>
      <c r="F647" t="s">
        <v>7</v>
      </c>
      <c r="G647" t="s">
        <v>8</v>
      </c>
      <c r="H647" t="s">
        <v>70</v>
      </c>
      <c r="I647" t="s">
        <v>82</v>
      </c>
      <c r="J647" t="s">
        <v>83</v>
      </c>
      <c r="K647" t="s">
        <v>73</v>
      </c>
      <c r="L647">
        <v>701000</v>
      </c>
      <c r="M647" t="s">
        <v>62</v>
      </c>
      <c r="N647" t="s">
        <v>33</v>
      </c>
      <c r="O647">
        <v>156</v>
      </c>
      <c r="P647">
        <v>18.46</v>
      </c>
      <c r="Q647">
        <v>2.88</v>
      </c>
      <c r="R647" t="s">
        <v>1200</v>
      </c>
      <c r="S647" t="s">
        <v>195</v>
      </c>
    </row>
    <row r="648" spans="1:19" x14ac:dyDescent="0.3">
      <c r="A648" t="s">
        <v>841</v>
      </c>
      <c r="B648" t="s">
        <v>22</v>
      </c>
      <c r="C648">
        <v>2025</v>
      </c>
      <c r="D648">
        <v>1</v>
      </c>
      <c r="E648" s="2">
        <v>45659</v>
      </c>
      <c r="F648" t="s">
        <v>7</v>
      </c>
      <c r="G648" t="s">
        <v>8</v>
      </c>
      <c r="H648" t="s">
        <v>70</v>
      </c>
      <c r="I648" t="s">
        <v>82</v>
      </c>
      <c r="J648" t="s">
        <v>83</v>
      </c>
      <c r="K648" t="s">
        <v>73</v>
      </c>
      <c r="L648">
        <v>701000</v>
      </c>
      <c r="M648" t="s">
        <v>62</v>
      </c>
      <c r="N648" t="s">
        <v>33</v>
      </c>
      <c r="O648">
        <v>77</v>
      </c>
      <c r="P648">
        <v>18.440000000000001</v>
      </c>
      <c r="Q648">
        <v>1.42</v>
      </c>
      <c r="R648" t="s">
        <v>1203</v>
      </c>
      <c r="S648" t="s">
        <v>195</v>
      </c>
    </row>
    <row r="649" spans="1:19" x14ac:dyDescent="0.3">
      <c r="A649" t="s">
        <v>842</v>
      </c>
      <c r="B649" t="s">
        <v>22</v>
      </c>
      <c r="C649">
        <v>2025</v>
      </c>
      <c r="D649">
        <v>1</v>
      </c>
      <c r="E649" s="2">
        <v>45659</v>
      </c>
      <c r="F649" t="s">
        <v>7</v>
      </c>
      <c r="G649" t="s">
        <v>8</v>
      </c>
      <c r="H649" t="s">
        <v>70</v>
      </c>
      <c r="I649" t="s">
        <v>82</v>
      </c>
      <c r="J649" t="s">
        <v>83</v>
      </c>
      <c r="K649" t="s">
        <v>73</v>
      </c>
      <c r="L649">
        <v>701000</v>
      </c>
      <c r="M649" t="s">
        <v>62</v>
      </c>
      <c r="N649" t="s">
        <v>33</v>
      </c>
      <c r="O649">
        <v>33</v>
      </c>
      <c r="P649">
        <v>18.48</v>
      </c>
      <c r="Q649">
        <v>0.61</v>
      </c>
      <c r="R649" t="s">
        <v>1205</v>
      </c>
      <c r="S649" t="s">
        <v>195</v>
      </c>
    </row>
    <row r="650" spans="1:19" x14ac:dyDescent="0.3">
      <c r="A650" t="s">
        <v>843</v>
      </c>
      <c r="B650" t="s">
        <v>22</v>
      </c>
      <c r="C650">
        <v>2025</v>
      </c>
      <c r="D650">
        <v>1</v>
      </c>
      <c r="E650" s="2">
        <v>45659</v>
      </c>
      <c r="F650" t="s">
        <v>7</v>
      </c>
      <c r="G650" t="s">
        <v>8</v>
      </c>
      <c r="H650" t="s">
        <v>70</v>
      </c>
      <c r="I650" t="s">
        <v>82</v>
      </c>
      <c r="J650" t="s">
        <v>83</v>
      </c>
      <c r="K650" t="s">
        <v>73</v>
      </c>
      <c r="L650">
        <v>701000</v>
      </c>
      <c r="M650" t="s">
        <v>62</v>
      </c>
      <c r="N650" t="s">
        <v>33</v>
      </c>
      <c r="O650">
        <v>174</v>
      </c>
      <c r="P650">
        <v>18.559999999999999</v>
      </c>
      <c r="Q650">
        <v>3.23</v>
      </c>
      <c r="R650" t="s">
        <v>1201</v>
      </c>
      <c r="S650" t="s">
        <v>195</v>
      </c>
    </row>
    <row r="651" spans="1:19" x14ac:dyDescent="0.3">
      <c r="A651" t="s">
        <v>844</v>
      </c>
      <c r="B651" t="s">
        <v>22</v>
      </c>
      <c r="C651">
        <v>2025</v>
      </c>
      <c r="D651">
        <v>1</v>
      </c>
      <c r="E651" s="2">
        <v>45659</v>
      </c>
      <c r="F651" t="s">
        <v>7</v>
      </c>
      <c r="G651" t="s">
        <v>8</v>
      </c>
      <c r="H651" t="s">
        <v>70</v>
      </c>
      <c r="I651" t="s">
        <v>82</v>
      </c>
      <c r="J651" t="s">
        <v>83</v>
      </c>
      <c r="K651" t="s">
        <v>73</v>
      </c>
      <c r="L651">
        <v>701000</v>
      </c>
      <c r="M651" t="s">
        <v>62</v>
      </c>
      <c r="N651" t="s">
        <v>33</v>
      </c>
      <c r="O651">
        <v>113</v>
      </c>
      <c r="P651">
        <v>18.5</v>
      </c>
      <c r="Q651">
        <v>2.09</v>
      </c>
      <c r="R651" t="s">
        <v>1199</v>
      </c>
      <c r="S651" t="s">
        <v>195</v>
      </c>
    </row>
    <row r="652" spans="1:19" x14ac:dyDescent="0.3">
      <c r="A652" t="s">
        <v>845</v>
      </c>
      <c r="B652" t="s">
        <v>22</v>
      </c>
      <c r="C652">
        <v>2025</v>
      </c>
      <c r="D652">
        <v>1</v>
      </c>
      <c r="E652" s="2">
        <v>45663</v>
      </c>
      <c r="F652" t="s">
        <v>7</v>
      </c>
      <c r="G652" t="s">
        <v>8</v>
      </c>
      <c r="H652" t="s">
        <v>70</v>
      </c>
      <c r="I652" t="s">
        <v>82</v>
      </c>
      <c r="J652" t="s">
        <v>83</v>
      </c>
      <c r="K652" t="s">
        <v>73</v>
      </c>
      <c r="L652">
        <v>701000</v>
      </c>
      <c r="M652" t="s">
        <v>62</v>
      </c>
      <c r="N652" t="s">
        <v>33</v>
      </c>
      <c r="O652">
        <v>131</v>
      </c>
      <c r="P652">
        <v>18.47</v>
      </c>
      <c r="Q652">
        <v>2.42</v>
      </c>
      <c r="R652" t="s">
        <v>1204</v>
      </c>
      <c r="S652" t="s">
        <v>195</v>
      </c>
    </row>
    <row r="653" spans="1:19" x14ac:dyDescent="0.3">
      <c r="A653" t="s">
        <v>846</v>
      </c>
      <c r="B653" t="s">
        <v>22</v>
      </c>
      <c r="C653">
        <v>2025</v>
      </c>
      <c r="D653">
        <v>1</v>
      </c>
      <c r="E653" s="2">
        <v>45663</v>
      </c>
      <c r="F653" t="s">
        <v>7</v>
      </c>
      <c r="G653" t="s">
        <v>8</v>
      </c>
      <c r="H653" t="s">
        <v>70</v>
      </c>
      <c r="I653" t="s">
        <v>82</v>
      </c>
      <c r="J653" t="s">
        <v>83</v>
      </c>
      <c r="K653" t="s">
        <v>73</v>
      </c>
      <c r="L653">
        <v>701000</v>
      </c>
      <c r="M653" t="s">
        <v>62</v>
      </c>
      <c r="N653" t="s">
        <v>33</v>
      </c>
      <c r="O653">
        <v>197</v>
      </c>
      <c r="P653">
        <v>18.53</v>
      </c>
      <c r="Q653">
        <v>3.65</v>
      </c>
      <c r="R653" t="s">
        <v>1198</v>
      </c>
      <c r="S653" t="s">
        <v>195</v>
      </c>
    </row>
    <row r="654" spans="1:19" x14ac:dyDescent="0.3">
      <c r="A654" t="s">
        <v>847</v>
      </c>
      <c r="B654" t="s">
        <v>22</v>
      </c>
      <c r="C654">
        <v>2025</v>
      </c>
      <c r="D654">
        <v>1</v>
      </c>
      <c r="E654" s="2">
        <v>45663</v>
      </c>
      <c r="F654" t="s">
        <v>7</v>
      </c>
      <c r="G654" t="s">
        <v>8</v>
      </c>
      <c r="H654" t="s">
        <v>70</v>
      </c>
      <c r="I654" t="s">
        <v>82</v>
      </c>
      <c r="J654" t="s">
        <v>83</v>
      </c>
      <c r="K654" t="s">
        <v>73</v>
      </c>
      <c r="L654">
        <v>701000</v>
      </c>
      <c r="M654" t="s">
        <v>62</v>
      </c>
      <c r="N654" t="s">
        <v>33</v>
      </c>
      <c r="O654">
        <v>76</v>
      </c>
      <c r="P654">
        <v>18.55</v>
      </c>
      <c r="Q654">
        <v>1.41</v>
      </c>
      <c r="R654" t="s">
        <v>1197</v>
      </c>
      <c r="S654" t="s">
        <v>195</v>
      </c>
    </row>
    <row r="655" spans="1:19" x14ac:dyDescent="0.3">
      <c r="A655" t="s">
        <v>848</v>
      </c>
      <c r="B655" t="s">
        <v>22</v>
      </c>
      <c r="C655">
        <v>2025</v>
      </c>
      <c r="D655">
        <v>1</v>
      </c>
      <c r="E655" s="2">
        <v>45663</v>
      </c>
      <c r="F655" t="s">
        <v>7</v>
      </c>
      <c r="G655" t="s">
        <v>8</v>
      </c>
      <c r="H655" t="s">
        <v>70</v>
      </c>
      <c r="I655" t="s">
        <v>82</v>
      </c>
      <c r="J655" t="s">
        <v>83</v>
      </c>
      <c r="K655" t="s">
        <v>73</v>
      </c>
      <c r="L655">
        <v>701000</v>
      </c>
      <c r="M655" t="s">
        <v>62</v>
      </c>
      <c r="N655" t="s">
        <v>33</v>
      </c>
      <c r="O655">
        <v>48</v>
      </c>
      <c r="P655">
        <v>18.54</v>
      </c>
      <c r="Q655">
        <v>0.89</v>
      </c>
      <c r="R655" t="s">
        <v>1200</v>
      </c>
      <c r="S655" t="s">
        <v>195</v>
      </c>
    </row>
    <row r="656" spans="1:19" x14ac:dyDescent="0.3">
      <c r="A656" t="s">
        <v>849</v>
      </c>
      <c r="B656" t="s">
        <v>22</v>
      </c>
      <c r="C656">
        <v>2025</v>
      </c>
      <c r="D656">
        <v>1</v>
      </c>
      <c r="E656" s="2">
        <v>45663</v>
      </c>
      <c r="F656" t="s">
        <v>7</v>
      </c>
      <c r="G656" t="s">
        <v>8</v>
      </c>
      <c r="H656" t="s">
        <v>70</v>
      </c>
      <c r="I656" t="s">
        <v>82</v>
      </c>
      <c r="J656" t="s">
        <v>83</v>
      </c>
      <c r="K656" t="s">
        <v>73</v>
      </c>
      <c r="L656">
        <v>701000</v>
      </c>
      <c r="M656" t="s">
        <v>62</v>
      </c>
      <c r="N656" t="s">
        <v>33</v>
      </c>
      <c r="O656">
        <v>93</v>
      </c>
      <c r="P656">
        <v>18.39</v>
      </c>
      <c r="Q656">
        <v>1.71</v>
      </c>
      <c r="R656" t="s">
        <v>1199</v>
      </c>
      <c r="S656" t="s">
        <v>195</v>
      </c>
    </row>
    <row r="657" spans="1:19" x14ac:dyDescent="0.3">
      <c r="A657" t="s">
        <v>850</v>
      </c>
      <c r="B657" t="s">
        <v>22</v>
      </c>
      <c r="C657">
        <v>2025</v>
      </c>
      <c r="D657">
        <v>1</v>
      </c>
      <c r="E657" s="2">
        <v>45668</v>
      </c>
      <c r="F657" t="s">
        <v>7</v>
      </c>
      <c r="G657" t="s">
        <v>8</v>
      </c>
      <c r="H657" t="s">
        <v>70</v>
      </c>
      <c r="I657" t="s">
        <v>82</v>
      </c>
      <c r="J657" t="s">
        <v>83</v>
      </c>
      <c r="K657" t="s">
        <v>73</v>
      </c>
      <c r="L657">
        <v>707000</v>
      </c>
      <c r="M657" t="s">
        <v>81</v>
      </c>
      <c r="N657" t="s">
        <v>33</v>
      </c>
      <c r="O657">
        <v>107</v>
      </c>
      <c r="P657">
        <v>18.41</v>
      </c>
      <c r="Q657">
        <v>1.97</v>
      </c>
      <c r="R657" t="s">
        <v>1205</v>
      </c>
      <c r="S657" t="s">
        <v>195</v>
      </c>
    </row>
    <row r="658" spans="1:19" x14ac:dyDescent="0.3">
      <c r="A658" t="s">
        <v>851</v>
      </c>
      <c r="B658" t="s">
        <v>22</v>
      </c>
      <c r="C658">
        <v>2025</v>
      </c>
      <c r="D658">
        <v>1</v>
      </c>
      <c r="E658" s="2">
        <v>45668</v>
      </c>
      <c r="F658" t="s">
        <v>7</v>
      </c>
      <c r="G658" t="s">
        <v>8</v>
      </c>
      <c r="H658" t="s">
        <v>70</v>
      </c>
      <c r="I658" t="s">
        <v>82</v>
      </c>
      <c r="J658" t="s">
        <v>83</v>
      </c>
      <c r="K658" t="s">
        <v>73</v>
      </c>
      <c r="L658">
        <v>707000</v>
      </c>
      <c r="M658" t="s">
        <v>81</v>
      </c>
      <c r="N658" t="s">
        <v>33</v>
      </c>
      <c r="O658">
        <v>78</v>
      </c>
      <c r="P658">
        <v>18.59</v>
      </c>
      <c r="Q658">
        <v>1.45</v>
      </c>
      <c r="R658" t="s">
        <v>1201</v>
      </c>
      <c r="S658" t="s">
        <v>195</v>
      </c>
    </row>
    <row r="659" spans="1:19" x14ac:dyDescent="0.3">
      <c r="A659" t="s">
        <v>852</v>
      </c>
      <c r="B659" t="s">
        <v>22</v>
      </c>
      <c r="C659">
        <v>2025</v>
      </c>
      <c r="D659">
        <v>1</v>
      </c>
      <c r="E659" s="2">
        <v>45668</v>
      </c>
      <c r="F659" t="s">
        <v>7</v>
      </c>
      <c r="G659" t="s">
        <v>8</v>
      </c>
      <c r="H659" t="s">
        <v>70</v>
      </c>
      <c r="I659" t="s">
        <v>82</v>
      </c>
      <c r="J659" t="s">
        <v>83</v>
      </c>
      <c r="K659" t="s">
        <v>73</v>
      </c>
      <c r="L659">
        <v>707000</v>
      </c>
      <c r="M659" t="s">
        <v>81</v>
      </c>
      <c r="N659" t="s">
        <v>33</v>
      </c>
      <c r="O659">
        <v>66</v>
      </c>
      <c r="P659">
        <v>18.48</v>
      </c>
      <c r="Q659">
        <v>1.22</v>
      </c>
      <c r="R659" t="s">
        <v>1200</v>
      </c>
      <c r="S659" t="s">
        <v>195</v>
      </c>
    </row>
    <row r="660" spans="1:19" x14ac:dyDescent="0.3">
      <c r="A660" t="s">
        <v>853</v>
      </c>
      <c r="B660" t="s">
        <v>22</v>
      </c>
      <c r="C660">
        <v>2025</v>
      </c>
      <c r="D660">
        <v>1</v>
      </c>
      <c r="E660" s="2">
        <v>45668</v>
      </c>
      <c r="F660" t="s">
        <v>7</v>
      </c>
      <c r="G660" t="s">
        <v>8</v>
      </c>
      <c r="H660" t="s">
        <v>70</v>
      </c>
      <c r="I660" t="s">
        <v>82</v>
      </c>
      <c r="J660" t="s">
        <v>83</v>
      </c>
      <c r="K660" t="s">
        <v>73</v>
      </c>
      <c r="L660">
        <v>707000</v>
      </c>
      <c r="M660" t="s">
        <v>81</v>
      </c>
      <c r="N660" t="s">
        <v>33</v>
      </c>
      <c r="O660">
        <v>65</v>
      </c>
      <c r="P660">
        <v>18.62</v>
      </c>
      <c r="Q660">
        <v>1.21</v>
      </c>
      <c r="R660" t="s">
        <v>1204</v>
      </c>
      <c r="S660" t="s">
        <v>195</v>
      </c>
    </row>
    <row r="661" spans="1:19" x14ac:dyDescent="0.3">
      <c r="A661" t="s">
        <v>854</v>
      </c>
      <c r="B661" t="s">
        <v>22</v>
      </c>
      <c r="C661">
        <v>2025</v>
      </c>
      <c r="D661">
        <v>1</v>
      </c>
      <c r="E661" s="2">
        <v>45668</v>
      </c>
      <c r="F661" t="s">
        <v>7</v>
      </c>
      <c r="G661" t="s">
        <v>8</v>
      </c>
      <c r="H661" t="s">
        <v>70</v>
      </c>
      <c r="I661" t="s">
        <v>82</v>
      </c>
      <c r="J661" t="s">
        <v>83</v>
      </c>
      <c r="K661" t="s">
        <v>73</v>
      </c>
      <c r="L661">
        <v>707000</v>
      </c>
      <c r="M661" t="s">
        <v>81</v>
      </c>
      <c r="N661" t="s">
        <v>33</v>
      </c>
      <c r="O661">
        <v>141</v>
      </c>
      <c r="P661">
        <v>18.510000000000002</v>
      </c>
      <c r="Q661">
        <v>2.61</v>
      </c>
      <c r="R661" t="s">
        <v>1199</v>
      </c>
      <c r="S661" t="s">
        <v>195</v>
      </c>
    </row>
    <row r="662" spans="1:19" x14ac:dyDescent="0.3">
      <c r="A662" t="s">
        <v>855</v>
      </c>
      <c r="B662" t="s">
        <v>22</v>
      </c>
      <c r="C662">
        <v>2025</v>
      </c>
      <c r="D662">
        <v>1</v>
      </c>
      <c r="E662" s="2">
        <v>45678</v>
      </c>
      <c r="F662" t="s">
        <v>7</v>
      </c>
      <c r="G662" t="s">
        <v>8</v>
      </c>
      <c r="H662" t="s">
        <v>74</v>
      </c>
      <c r="I662" t="s">
        <v>82</v>
      </c>
      <c r="J662" t="s">
        <v>83</v>
      </c>
      <c r="K662" t="s">
        <v>73</v>
      </c>
      <c r="L662">
        <v>701000</v>
      </c>
      <c r="M662" t="s">
        <v>62</v>
      </c>
      <c r="N662" t="s">
        <v>33</v>
      </c>
      <c r="O662">
        <v>197</v>
      </c>
      <c r="P662">
        <v>18.48</v>
      </c>
      <c r="Q662">
        <v>3.64</v>
      </c>
      <c r="R662" t="s">
        <v>1205</v>
      </c>
      <c r="S662" t="s">
        <v>195</v>
      </c>
    </row>
    <row r="663" spans="1:19" x14ac:dyDescent="0.3">
      <c r="A663" t="s">
        <v>856</v>
      </c>
      <c r="B663" t="s">
        <v>22</v>
      </c>
      <c r="C663">
        <v>2025</v>
      </c>
      <c r="D663">
        <v>1</v>
      </c>
      <c r="E663" s="2">
        <v>45678</v>
      </c>
      <c r="F663" t="s">
        <v>7</v>
      </c>
      <c r="G663" t="s">
        <v>8</v>
      </c>
      <c r="H663" t="s">
        <v>74</v>
      </c>
      <c r="I663" t="s">
        <v>82</v>
      </c>
      <c r="J663" t="s">
        <v>83</v>
      </c>
      <c r="K663" t="s">
        <v>73</v>
      </c>
      <c r="L663">
        <v>701000</v>
      </c>
      <c r="M663" t="s">
        <v>62</v>
      </c>
      <c r="N663" t="s">
        <v>33</v>
      </c>
      <c r="O663">
        <v>156</v>
      </c>
      <c r="P663">
        <v>18.46</v>
      </c>
      <c r="Q663">
        <v>2.88</v>
      </c>
      <c r="R663" t="s">
        <v>1198</v>
      </c>
      <c r="S663" t="s">
        <v>195</v>
      </c>
    </row>
    <row r="664" spans="1:19" x14ac:dyDescent="0.3">
      <c r="A664" t="s">
        <v>857</v>
      </c>
      <c r="B664" t="s">
        <v>22</v>
      </c>
      <c r="C664">
        <v>2025</v>
      </c>
      <c r="D664">
        <v>1</v>
      </c>
      <c r="E664" s="2">
        <v>45678</v>
      </c>
      <c r="F664" t="s">
        <v>7</v>
      </c>
      <c r="G664" t="s">
        <v>8</v>
      </c>
      <c r="H664" t="s">
        <v>74</v>
      </c>
      <c r="I664" t="s">
        <v>82</v>
      </c>
      <c r="J664" t="s">
        <v>83</v>
      </c>
      <c r="K664" t="s">
        <v>73</v>
      </c>
      <c r="L664">
        <v>701000</v>
      </c>
      <c r="M664" t="s">
        <v>62</v>
      </c>
      <c r="N664" t="s">
        <v>33</v>
      </c>
      <c r="O664">
        <v>41</v>
      </c>
      <c r="P664">
        <v>18.29</v>
      </c>
      <c r="Q664">
        <v>0.75</v>
      </c>
      <c r="R664" t="s">
        <v>1202</v>
      </c>
      <c r="S664" t="s">
        <v>195</v>
      </c>
    </row>
    <row r="665" spans="1:19" x14ac:dyDescent="0.3">
      <c r="A665" t="s">
        <v>858</v>
      </c>
      <c r="B665" t="s">
        <v>22</v>
      </c>
      <c r="C665">
        <v>2025</v>
      </c>
      <c r="D665">
        <v>1</v>
      </c>
      <c r="E665" s="2">
        <v>45678</v>
      </c>
      <c r="F665" t="s">
        <v>7</v>
      </c>
      <c r="G665" t="s">
        <v>8</v>
      </c>
      <c r="H665" t="s">
        <v>74</v>
      </c>
      <c r="I665" t="s">
        <v>82</v>
      </c>
      <c r="J665" t="s">
        <v>83</v>
      </c>
      <c r="K665" t="s">
        <v>73</v>
      </c>
      <c r="L665">
        <v>701000</v>
      </c>
      <c r="M665" t="s">
        <v>62</v>
      </c>
      <c r="N665" t="s">
        <v>33</v>
      </c>
      <c r="O665">
        <v>130</v>
      </c>
      <c r="P665">
        <v>18.46</v>
      </c>
      <c r="Q665">
        <v>2.4</v>
      </c>
      <c r="R665" t="s">
        <v>1204</v>
      </c>
      <c r="S665" t="s">
        <v>195</v>
      </c>
    </row>
    <row r="666" spans="1:19" x14ac:dyDescent="0.3">
      <c r="A666" t="s">
        <v>859</v>
      </c>
      <c r="B666" t="s">
        <v>22</v>
      </c>
      <c r="C666">
        <v>2025</v>
      </c>
      <c r="D666">
        <v>1</v>
      </c>
      <c r="E666" s="2">
        <v>45678</v>
      </c>
      <c r="F666" t="s">
        <v>7</v>
      </c>
      <c r="G666" t="s">
        <v>8</v>
      </c>
      <c r="H666" t="s">
        <v>74</v>
      </c>
      <c r="I666" t="s">
        <v>82</v>
      </c>
      <c r="J666" t="s">
        <v>83</v>
      </c>
      <c r="K666" t="s">
        <v>73</v>
      </c>
      <c r="L666">
        <v>701000</v>
      </c>
      <c r="M666" t="s">
        <v>62</v>
      </c>
      <c r="N666" t="s">
        <v>33</v>
      </c>
      <c r="O666">
        <v>67</v>
      </c>
      <c r="P666">
        <v>18.809999999999999</v>
      </c>
      <c r="Q666">
        <v>1.26</v>
      </c>
      <c r="R666" t="s">
        <v>1199</v>
      </c>
      <c r="S666" t="s">
        <v>195</v>
      </c>
    </row>
    <row r="667" spans="1:19" x14ac:dyDescent="0.3">
      <c r="A667" t="s">
        <v>860</v>
      </c>
      <c r="B667" t="s">
        <v>22</v>
      </c>
      <c r="C667">
        <v>2025</v>
      </c>
      <c r="D667">
        <v>1</v>
      </c>
      <c r="E667" s="2">
        <v>45680</v>
      </c>
      <c r="F667" t="s">
        <v>7</v>
      </c>
      <c r="G667" t="s">
        <v>8</v>
      </c>
      <c r="H667" t="s">
        <v>70</v>
      </c>
      <c r="I667" t="s">
        <v>82</v>
      </c>
      <c r="J667" t="s">
        <v>83</v>
      </c>
      <c r="K667" t="s">
        <v>73</v>
      </c>
      <c r="L667">
        <v>701000</v>
      </c>
      <c r="M667" t="s">
        <v>62</v>
      </c>
      <c r="N667" t="s">
        <v>33</v>
      </c>
      <c r="O667">
        <v>75</v>
      </c>
      <c r="P667">
        <v>18.53</v>
      </c>
      <c r="Q667">
        <v>1.39</v>
      </c>
      <c r="R667" t="s">
        <v>1201</v>
      </c>
      <c r="S667" t="s">
        <v>195</v>
      </c>
    </row>
    <row r="668" spans="1:19" x14ac:dyDescent="0.3">
      <c r="A668" t="s">
        <v>861</v>
      </c>
      <c r="B668" t="s">
        <v>22</v>
      </c>
      <c r="C668">
        <v>2025</v>
      </c>
      <c r="D668">
        <v>1</v>
      </c>
      <c r="E668" s="2">
        <v>45680</v>
      </c>
      <c r="F668" t="s">
        <v>7</v>
      </c>
      <c r="G668" t="s">
        <v>8</v>
      </c>
      <c r="H668" t="s">
        <v>70</v>
      </c>
      <c r="I668" t="s">
        <v>82</v>
      </c>
      <c r="J668" t="s">
        <v>83</v>
      </c>
      <c r="K668" t="s">
        <v>73</v>
      </c>
      <c r="L668">
        <v>701000</v>
      </c>
      <c r="M668" t="s">
        <v>62</v>
      </c>
      <c r="N668" t="s">
        <v>33</v>
      </c>
      <c r="O668">
        <v>123</v>
      </c>
      <c r="P668">
        <v>18.46</v>
      </c>
      <c r="Q668">
        <v>2.27</v>
      </c>
      <c r="R668" t="s">
        <v>1200</v>
      </c>
      <c r="S668" t="s">
        <v>195</v>
      </c>
    </row>
    <row r="669" spans="1:19" x14ac:dyDescent="0.3">
      <c r="A669" t="s">
        <v>862</v>
      </c>
      <c r="B669" t="s">
        <v>22</v>
      </c>
      <c r="C669">
        <v>2025</v>
      </c>
      <c r="D669">
        <v>1</v>
      </c>
      <c r="E669" s="2">
        <v>45680</v>
      </c>
      <c r="F669" t="s">
        <v>7</v>
      </c>
      <c r="G669" t="s">
        <v>8</v>
      </c>
      <c r="H669" t="s">
        <v>70</v>
      </c>
      <c r="I669" t="s">
        <v>82</v>
      </c>
      <c r="J669" t="s">
        <v>83</v>
      </c>
      <c r="K669" t="s">
        <v>73</v>
      </c>
      <c r="L669">
        <v>701000</v>
      </c>
      <c r="M669" t="s">
        <v>62</v>
      </c>
      <c r="N669" t="s">
        <v>33</v>
      </c>
      <c r="O669">
        <v>108</v>
      </c>
      <c r="P669">
        <v>18.61</v>
      </c>
      <c r="Q669">
        <v>2.0099999999999998</v>
      </c>
      <c r="R669" t="s">
        <v>1204</v>
      </c>
      <c r="S669" t="s">
        <v>195</v>
      </c>
    </row>
    <row r="670" spans="1:19" x14ac:dyDescent="0.3">
      <c r="A670" t="s">
        <v>863</v>
      </c>
      <c r="B670" t="s">
        <v>22</v>
      </c>
      <c r="C670">
        <v>2025</v>
      </c>
      <c r="D670">
        <v>1</v>
      </c>
      <c r="E670" s="2">
        <v>45680</v>
      </c>
      <c r="F670" t="s">
        <v>7</v>
      </c>
      <c r="G670" t="s">
        <v>8</v>
      </c>
      <c r="H670" t="s">
        <v>70</v>
      </c>
      <c r="I670" t="s">
        <v>82</v>
      </c>
      <c r="J670" t="s">
        <v>83</v>
      </c>
      <c r="K670" t="s">
        <v>73</v>
      </c>
      <c r="L670">
        <v>701000</v>
      </c>
      <c r="M670" t="s">
        <v>62</v>
      </c>
      <c r="N670" t="s">
        <v>33</v>
      </c>
      <c r="O670">
        <v>97</v>
      </c>
      <c r="P670">
        <v>18.559999999999999</v>
      </c>
      <c r="Q670">
        <v>1.8</v>
      </c>
      <c r="R670" t="s">
        <v>1205</v>
      </c>
      <c r="S670" t="s">
        <v>195</v>
      </c>
    </row>
    <row r="671" spans="1:19" x14ac:dyDescent="0.3">
      <c r="A671" t="s">
        <v>864</v>
      </c>
      <c r="B671" t="s">
        <v>22</v>
      </c>
      <c r="C671">
        <v>2025</v>
      </c>
      <c r="D671">
        <v>1</v>
      </c>
      <c r="E671" s="2">
        <v>45680</v>
      </c>
      <c r="F671" t="s">
        <v>7</v>
      </c>
      <c r="G671" t="s">
        <v>8</v>
      </c>
      <c r="H671" t="s">
        <v>70</v>
      </c>
      <c r="I671" t="s">
        <v>82</v>
      </c>
      <c r="J671" t="s">
        <v>83</v>
      </c>
      <c r="K671" t="s">
        <v>73</v>
      </c>
      <c r="L671">
        <v>701000</v>
      </c>
      <c r="M671" t="s">
        <v>62</v>
      </c>
      <c r="N671" t="s">
        <v>33</v>
      </c>
      <c r="O671">
        <v>51</v>
      </c>
      <c r="P671">
        <v>18.43</v>
      </c>
      <c r="Q671">
        <v>0.94</v>
      </c>
      <c r="R671" t="s">
        <v>1198</v>
      </c>
      <c r="S671" t="s">
        <v>195</v>
      </c>
    </row>
    <row r="672" spans="1:19" x14ac:dyDescent="0.3">
      <c r="A672" t="s">
        <v>865</v>
      </c>
      <c r="B672" t="s">
        <v>22</v>
      </c>
      <c r="C672">
        <v>2025</v>
      </c>
      <c r="D672">
        <v>1</v>
      </c>
      <c r="E672" s="2">
        <v>45666</v>
      </c>
      <c r="F672" t="s">
        <v>7</v>
      </c>
      <c r="G672" t="s">
        <v>8</v>
      </c>
      <c r="H672" t="s">
        <v>74</v>
      </c>
      <c r="I672" t="s">
        <v>82</v>
      </c>
      <c r="J672" t="s">
        <v>83</v>
      </c>
      <c r="K672" t="s">
        <v>73</v>
      </c>
      <c r="L672">
        <v>701000</v>
      </c>
      <c r="M672" t="s">
        <v>62</v>
      </c>
      <c r="N672" t="s">
        <v>33</v>
      </c>
      <c r="O672">
        <v>88</v>
      </c>
      <c r="P672">
        <v>18.64</v>
      </c>
      <c r="Q672">
        <v>1.64</v>
      </c>
      <c r="R672" t="s">
        <v>1200</v>
      </c>
      <c r="S672" t="s">
        <v>195</v>
      </c>
    </row>
    <row r="673" spans="1:19" x14ac:dyDescent="0.3">
      <c r="A673" t="s">
        <v>866</v>
      </c>
      <c r="B673" t="s">
        <v>22</v>
      </c>
      <c r="C673">
        <v>2025</v>
      </c>
      <c r="D673">
        <v>1</v>
      </c>
      <c r="E673" s="2">
        <v>45666</v>
      </c>
      <c r="F673" t="s">
        <v>7</v>
      </c>
      <c r="G673" t="s">
        <v>8</v>
      </c>
      <c r="H673" t="s">
        <v>74</v>
      </c>
      <c r="I673" t="s">
        <v>82</v>
      </c>
      <c r="J673" t="s">
        <v>83</v>
      </c>
      <c r="K673" t="s">
        <v>73</v>
      </c>
      <c r="L673">
        <v>701000</v>
      </c>
      <c r="M673" t="s">
        <v>62</v>
      </c>
      <c r="N673" t="s">
        <v>33</v>
      </c>
      <c r="O673">
        <v>115</v>
      </c>
      <c r="P673">
        <v>18.43</v>
      </c>
      <c r="Q673">
        <v>2.12</v>
      </c>
      <c r="R673" t="s">
        <v>1204</v>
      </c>
      <c r="S673" t="s">
        <v>195</v>
      </c>
    </row>
    <row r="674" spans="1:19" x14ac:dyDescent="0.3">
      <c r="A674" t="s">
        <v>867</v>
      </c>
      <c r="B674" t="s">
        <v>22</v>
      </c>
      <c r="C674">
        <v>2025</v>
      </c>
      <c r="D674">
        <v>1</v>
      </c>
      <c r="E674" s="2">
        <v>45666</v>
      </c>
      <c r="F674" t="s">
        <v>7</v>
      </c>
      <c r="G674" t="s">
        <v>8</v>
      </c>
      <c r="H674" t="s">
        <v>74</v>
      </c>
      <c r="I674" t="s">
        <v>82</v>
      </c>
      <c r="J674" t="s">
        <v>83</v>
      </c>
      <c r="K674" t="s">
        <v>73</v>
      </c>
      <c r="L674">
        <v>701000</v>
      </c>
      <c r="M674" t="s">
        <v>62</v>
      </c>
      <c r="N674" t="s">
        <v>33</v>
      </c>
      <c r="O674">
        <v>137</v>
      </c>
      <c r="P674">
        <v>18.54</v>
      </c>
      <c r="Q674">
        <v>2.54</v>
      </c>
      <c r="R674" t="s">
        <v>1201</v>
      </c>
      <c r="S674" t="s">
        <v>195</v>
      </c>
    </row>
    <row r="675" spans="1:19" x14ac:dyDescent="0.3">
      <c r="A675" t="s">
        <v>868</v>
      </c>
      <c r="B675" t="s">
        <v>22</v>
      </c>
      <c r="C675">
        <v>2025</v>
      </c>
      <c r="D675">
        <v>1</v>
      </c>
      <c r="E675" s="2">
        <v>45666</v>
      </c>
      <c r="F675" t="s">
        <v>7</v>
      </c>
      <c r="G675" t="s">
        <v>8</v>
      </c>
      <c r="H675" t="s">
        <v>74</v>
      </c>
      <c r="I675" t="s">
        <v>82</v>
      </c>
      <c r="J675" t="s">
        <v>83</v>
      </c>
      <c r="K675" t="s">
        <v>73</v>
      </c>
      <c r="L675">
        <v>701000</v>
      </c>
      <c r="M675" t="s">
        <v>62</v>
      </c>
      <c r="N675" t="s">
        <v>33</v>
      </c>
      <c r="O675">
        <v>102</v>
      </c>
      <c r="P675">
        <v>18.53</v>
      </c>
      <c r="Q675">
        <v>1.89</v>
      </c>
      <c r="R675" t="s">
        <v>1197</v>
      </c>
      <c r="S675" t="s">
        <v>195</v>
      </c>
    </row>
    <row r="676" spans="1:19" x14ac:dyDescent="0.3">
      <c r="A676" t="s">
        <v>869</v>
      </c>
      <c r="B676" t="s">
        <v>22</v>
      </c>
      <c r="C676">
        <v>2025</v>
      </c>
      <c r="D676">
        <v>1</v>
      </c>
      <c r="E676" s="2">
        <v>45666</v>
      </c>
      <c r="F676" t="s">
        <v>7</v>
      </c>
      <c r="G676" t="s">
        <v>8</v>
      </c>
      <c r="H676" t="s">
        <v>74</v>
      </c>
      <c r="I676" t="s">
        <v>82</v>
      </c>
      <c r="J676" t="s">
        <v>83</v>
      </c>
      <c r="K676" t="s">
        <v>73</v>
      </c>
      <c r="L676">
        <v>701000</v>
      </c>
      <c r="M676" t="s">
        <v>62</v>
      </c>
      <c r="N676" t="s">
        <v>33</v>
      </c>
      <c r="O676">
        <v>86</v>
      </c>
      <c r="P676">
        <v>18.37</v>
      </c>
      <c r="Q676">
        <v>1.58</v>
      </c>
      <c r="R676" t="s">
        <v>1203</v>
      </c>
      <c r="S676" t="s">
        <v>195</v>
      </c>
    </row>
    <row r="677" spans="1:19" x14ac:dyDescent="0.3">
      <c r="A677" t="s">
        <v>870</v>
      </c>
      <c r="B677" t="s">
        <v>22</v>
      </c>
      <c r="C677">
        <v>2025</v>
      </c>
      <c r="D677">
        <v>1</v>
      </c>
      <c r="E677" s="2">
        <v>45676</v>
      </c>
      <c r="F677" t="s">
        <v>7</v>
      </c>
      <c r="G677" t="s">
        <v>8</v>
      </c>
      <c r="H677" t="s">
        <v>70</v>
      </c>
      <c r="I677" t="s">
        <v>82</v>
      </c>
      <c r="J677" t="s">
        <v>83</v>
      </c>
      <c r="K677" t="s">
        <v>73</v>
      </c>
      <c r="L677">
        <v>701000</v>
      </c>
      <c r="M677" t="s">
        <v>62</v>
      </c>
      <c r="N677" t="s">
        <v>33</v>
      </c>
      <c r="O677">
        <v>44</v>
      </c>
      <c r="P677">
        <v>18.41</v>
      </c>
      <c r="Q677">
        <v>0.81</v>
      </c>
      <c r="R677" t="s">
        <v>1199</v>
      </c>
      <c r="S677" t="s">
        <v>195</v>
      </c>
    </row>
    <row r="678" spans="1:19" x14ac:dyDescent="0.3">
      <c r="A678" t="s">
        <v>871</v>
      </c>
      <c r="B678" t="s">
        <v>22</v>
      </c>
      <c r="C678">
        <v>2025</v>
      </c>
      <c r="D678">
        <v>1</v>
      </c>
      <c r="E678" s="2">
        <v>45676</v>
      </c>
      <c r="F678" t="s">
        <v>7</v>
      </c>
      <c r="G678" t="s">
        <v>8</v>
      </c>
      <c r="H678" t="s">
        <v>70</v>
      </c>
      <c r="I678" t="s">
        <v>82</v>
      </c>
      <c r="J678" t="s">
        <v>83</v>
      </c>
      <c r="K678" t="s">
        <v>73</v>
      </c>
      <c r="L678">
        <v>701000</v>
      </c>
      <c r="M678" t="s">
        <v>62</v>
      </c>
      <c r="N678" t="s">
        <v>33</v>
      </c>
      <c r="O678">
        <v>58</v>
      </c>
      <c r="P678">
        <v>18.45</v>
      </c>
      <c r="Q678">
        <v>1.07</v>
      </c>
      <c r="R678" t="s">
        <v>1204</v>
      </c>
      <c r="S678" t="s">
        <v>195</v>
      </c>
    </row>
    <row r="679" spans="1:19" x14ac:dyDescent="0.3">
      <c r="A679" t="s">
        <v>872</v>
      </c>
      <c r="B679" t="s">
        <v>22</v>
      </c>
      <c r="C679">
        <v>2025</v>
      </c>
      <c r="D679">
        <v>1</v>
      </c>
      <c r="E679" s="2">
        <v>45676</v>
      </c>
      <c r="F679" t="s">
        <v>7</v>
      </c>
      <c r="G679" t="s">
        <v>8</v>
      </c>
      <c r="H679" t="s">
        <v>70</v>
      </c>
      <c r="I679" t="s">
        <v>82</v>
      </c>
      <c r="J679" t="s">
        <v>83</v>
      </c>
      <c r="K679" t="s">
        <v>73</v>
      </c>
      <c r="L679">
        <v>701000</v>
      </c>
      <c r="M679" t="s">
        <v>62</v>
      </c>
      <c r="N679" t="s">
        <v>33</v>
      </c>
      <c r="O679">
        <v>153</v>
      </c>
      <c r="P679">
        <v>18.5</v>
      </c>
      <c r="Q679">
        <v>2.83</v>
      </c>
      <c r="R679" t="s">
        <v>1202</v>
      </c>
      <c r="S679" t="s">
        <v>195</v>
      </c>
    </row>
    <row r="680" spans="1:19" x14ac:dyDescent="0.3">
      <c r="A680" t="s">
        <v>873</v>
      </c>
      <c r="B680" t="s">
        <v>22</v>
      </c>
      <c r="C680">
        <v>2025</v>
      </c>
      <c r="D680">
        <v>1</v>
      </c>
      <c r="E680" s="2">
        <v>45676</v>
      </c>
      <c r="F680" t="s">
        <v>7</v>
      </c>
      <c r="G680" t="s">
        <v>8</v>
      </c>
      <c r="H680" t="s">
        <v>70</v>
      </c>
      <c r="I680" t="s">
        <v>82</v>
      </c>
      <c r="J680" t="s">
        <v>83</v>
      </c>
      <c r="K680" t="s">
        <v>73</v>
      </c>
      <c r="L680">
        <v>701000</v>
      </c>
      <c r="M680" t="s">
        <v>62</v>
      </c>
      <c r="N680" t="s">
        <v>33</v>
      </c>
      <c r="O680">
        <v>93</v>
      </c>
      <c r="P680">
        <v>18.600000000000001</v>
      </c>
      <c r="Q680">
        <v>1.73</v>
      </c>
      <c r="R680" t="s">
        <v>1205</v>
      </c>
      <c r="S680" t="s">
        <v>195</v>
      </c>
    </row>
    <row r="681" spans="1:19" x14ac:dyDescent="0.3">
      <c r="A681" t="s">
        <v>874</v>
      </c>
      <c r="B681" t="s">
        <v>22</v>
      </c>
      <c r="C681">
        <v>2025</v>
      </c>
      <c r="D681">
        <v>1</v>
      </c>
      <c r="E681" s="2">
        <v>45676</v>
      </c>
      <c r="F681" t="s">
        <v>7</v>
      </c>
      <c r="G681" t="s">
        <v>8</v>
      </c>
      <c r="H681" t="s">
        <v>70</v>
      </c>
      <c r="I681" t="s">
        <v>82</v>
      </c>
      <c r="J681" t="s">
        <v>83</v>
      </c>
      <c r="K681" t="s">
        <v>73</v>
      </c>
      <c r="L681">
        <v>701000</v>
      </c>
      <c r="M681" t="s">
        <v>62</v>
      </c>
      <c r="N681" t="s">
        <v>33</v>
      </c>
      <c r="O681">
        <v>93</v>
      </c>
      <c r="P681">
        <v>18.39</v>
      </c>
      <c r="Q681">
        <v>1.71</v>
      </c>
      <c r="R681" t="s">
        <v>1200</v>
      </c>
      <c r="S681" t="s">
        <v>195</v>
      </c>
    </row>
    <row r="682" spans="1:19" x14ac:dyDescent="0.3">
      <c r="A682" t="s">
        <v>875</v>
      </c>
      <c r="B682" t="s">
        <v>22</v>
      </c>
      <c r="C682">
        <v>2025</v>
      </c>
      <c r="D682">
        <v>1</v>
      </c>
      <c r="E682" s="2">
        <v>45669</v>
      </c>
      <c r="F682" t="s">
        <v>7</v>
      </c>
      <c r="G682" t="s">
        <v>8</v>
      </c>
      <c r="H682" t="s">
        <v>70</v>
      </c>
      <c r="I682" t="s">
        <v>82</v>
      </c>
      <c r="J682" t="s">
        <v>83</v>
      </c>
      <c r="K682" t="s">
        <v>73</v>
      </c>
      <c r="L682">
        <v>701000</v>
      </c>
      <c r="M682" t="s">
        <v>62</v>
      </c>
      <c r="N682" t="s">
        <v>33</v>
      </c>
      <c r="O682">
        <v>91</v>
      </c>
      <c r="P682">
        <v>18.46</v>
      </c>
      <c r="Q682">
        <v>1.68</v>
      </c>
      <c r="R682" t="s">
        <v>1198</v>
      </c>
      <c r="S682" t="s">
        <v>195</v>
      </c>
    </row>
    <row r="683" spans="1:19" x14ac:dyDescent="0.3">
      <c r="A683" t="s">
        <v>876</v>
      </c>
      <c r="B683" t="s">
        <v>22</v>
      </c>
      <c r="C683">
        <v>2025</v>
      </c>
      <c r="D683">
        <v>1</v>
      </c>
      <c r="E683" s="2">
        <v>45669</v>
      </c>
      <c r="F683" t="s">
        <v>7</v>
      </c>
      <c r="G683" t="s">
        <v>8</v>
      </c>
      <c r="H683" t="s">
        <v>70</v>
      </c>
      <c r="I683" t="s">
        <v>82</v>
      </c>
      <c r="J683" t="s">
        <v>83</v>
      </c>
      <c r="K683" t="s">
        <v>73</v>
      </c>
      <c r="L683">
        <v>701000</v>
      </c>
      <c r="M683" t="s">
        <v>62</v>
      </c>
      <c r="N683" t="s">
        <v>33</v>
      </c>
      <c r="O683">
        <v>132</v>
      </c>
      <c r="P683">
        <v>18.48</v>
      </c>
      <c r="Q683">
        <v>2.44</v>
      </c>
      <c r="R683" t="s">
        <v>1202</v>
      </c>
      <c r="S683" t="s">
        <v>195</v>
      </c>
    </row>
    <row r="684" spans="1:19" x14ac:dyDescent="0.3">
      <c r="A684" t="s">
        <v>877</v>
      </c>
      <c r="B684" t="s">
        <v>22</v>
      </c>
      <c r="C684">
        <v>2025</v>
      </c>
      <c r="D684">
        <v>1</v>
      </c>
      <c r="E684" s="2">
        <v>45669</v>
      </c>
      <c r="F684" t="s">
        <v>7</v>
      </c>
      <c r="G684" t="s">
        <v>8</v>
      </c>
      <c r="H684" t="s">
        <v>70</v>
      </c>
      <c r="I684" t="s">
        <v>82</v>
      </c>
      <c r="J684" t="s">
        <v>83</v>
      </c>
      <c r="K684" t="s">
        <v>73</v>
      </c>
      <c r="L684">
        <v>701000</v>
      </c>
      <c r="M684" t="s">
        <v>62</v>
      </c>
      <c r="N684" t="s">
        <v>33</v>
      </c>
      <c r="O684">
        <v>127</v>
      </c>
      <c r="P684">
        <v>18.5</v>
      </c>
      <c r="Q684">
        <v>2.35</v>
      </c>
      <c r="R684" t="s">
        <v>1200</v>
      </c>
      <c r="S684" t="s">
        <v>195</v>
      </c>
    </row>
    <row r="685" spans="1:19" x14ac:dyDescent="0.3">
      <c r="A685" t="s">
        <v>878</v>
      </c>
      <c r="B685" t="s">
        <v>22</v>
      </c>
      <c r="C685">
        <v>2025</v>
      </c>
      <c r="D685">
        <v>1</v>
      </c>
      <c r="E685" s="2">
        <v>45669</v>
      </c>
      <c r="F685" t="s">
        <v>7</v>
      </c>
      <c r="G685" t="s">
        <v>8</v>
      </c>
      <c r="H685" t="s">
        <v>70</v>
      </c>
      <c r="I685" t="s">
        <v>82</v>
      </c>
      <c r="J685" t="s">
        <v>83</v>
      </c>
      <c r="K685" t="s">
        <v>73</v>
      </c>
      <c r="L685">
        <v>701000</v>
      </c>
      <c r="M685" t="s">
        <v>62</v>
      </c>
      <c r="N685" t="s">
        <v>33</v>
      </c>
      <c r="O685">
        <v>187</v>
      </c>
      <c r="P685">
        <v>18.5</v>
      </c>
      <c r="Q685">
        <v>3.46</v>
      </c>
      <c r="R685" t="s">
        <v>1197</v>
      </c>
      <c r="S685" t="s">
        <v>195</v>
      </c>
    </row>
    <row r="686" spans="1:19" x14ac:dyDescent="0.3">
      <c r="A686" t="s">
        <v>879</v>
      </c>
      <c r="B686" t="s">
        <v>22</v>
      </c>
      <c r="C686">
        <v>2025</v>
      </c>
      <c r="D686">
        <v>1</v>
      </c>
      <c r="E686" s="2">
        <v>45669</v>
      </c>
      <c r="F686" t="s">
        <v>7</v>
      </c>
      <c r="G686" t="s">
        <v>8</v>
      </c>
      <c r="H686" t="s">
        <v>70</v>
      </c>
      <c r="I686" t="s">
        <v>82</v>
      </c>
      <c r="J686" t="s">
        <v>83</v>
      </c>
      <c r="K686" t="s">
        <v>73</v>
      </c>
      <c r="L686">
        <v>701000</v>
      </c>
      <c r="M686" t="s">
        <v>62</v>
      </c>
      <c r="N686" t="s">
        <v>33</v>
      </c>
      <c r="O686">
        <v>17</v>
      </c>
      <c r="P686">
        <v>19.41</v>
      </c>
      <c r="Q686">
        <v>0.33</v>
      </c>
      <c r="R686" t="s">
        <v>1205</v>
      </c>
      <c r="S686" t="s">
        <v>195</v>
      </c>
    </row>
    <row r="687" spans="1:19" x14ac:dyDescent="0.3">
      <c r="A687" t="s">
        <v>880</v>
      </c>
      <c r="B687" t="s">
        <v>22</v>
      </c>
      <c r="C687">
        <v>2025</v>
      </c>
      <c r="D687">
        <v>1</v>
      </c>
      <c r="E687" s="2">
        <v>45666</v>
      </c>
      <c r="F687" t="s">
        <v>7</v>
      </c>
      <c r="G687" t="s">
        <v>8</v>
      </c>
      <c r="H687" t="s">
        <v>74</v>
      </c>
      <c r="I687" t="s">
        <v>82</v>
      </c>
      <c r="J687" t="s">
        <v>83</v>
      </c>
      <c r="K687" t="s">
        <v>73</v>
      </c>
      <c r="L687">
        <v>701000</v>
      </c>
      <c r="M687" t="s">
        <v>62</v>
      </c>
      <c r="N687" t="s">
        <v>33</v>
      </c>
      <c r="O687">
        <v>109</v>
      </c>
      <c r="P687">
        <v>18.62</v>
      </c>
      <c r="Q687">
        <v>2.0299999999999998</v>
      </c>
      <c r="R687" t="s">
        <v>1201</v>
      </c>
      <c r="S687" t="s">
        <v>195</v>
      </c>
    </row>
    <row r="688" spans="1:19" x14ac:dyDescent="0.3">
      <c r="A688" t="s">
        <v>881</v>
      </c>
      <c r="B688" t="s">
        <v>22</v>
      </c>
      <c r="C688">
        <v>2025</v>
      </c>
      <c r="D688">
        <v>1</v>
      </c>
      <c r="E688" s="2">
        <v>45666</v>
      </c>
      <c r="F688" t="s">
        <v>7</v>
      </c>
      <c r="G688" t="s">
        <v>8</v>
      </c>
      <c r="H688" t="s">
        <v>74</v>
      </c>
      <c r="I688" t="s">
        <v>82</v>
      </c>
      <c r="J688" t="s">
        <v>83</v>
      </c>
      <c r="K688" t="s">
        <v>73</v>
      </c>
      <c r="L688">
        <v>701000</v>
      </c>
      <c r="M688" t="s">
        <v>62</v>
      </c>
      <c r="N688" t="s">
        <v>33</v>
      </c>
      <c r="O688">
        <v>261</v>
      </c>
      <c r="P688">
        <v>18.54</v>
      </c>
      <c r="Q688">
        <v>4.84</v>
      </c>
      <c r="R688" t="s">
        <v>1204</v>
      </c>
      <c r="S688" t="s">
        <v>195</v>
      </c>
    </row>
    <row r="689" spans="1:19" x14ac:dyDescent="0.3">
      <c r="A689" t="s">
        <v>882</v>
      </c>
      <c r="B689" t="s">
        <v>22</v>
      </c>
      <c r="C689">
        <v>2025</v>
      </c>
      <c r="D689">
        <v>1</v>
      </c>
      <c r="E689" s="2">
        <v>45666</v>
      </c>
      <c r="F689" t="s">
        <v>7</v>
      </c>
      <c r="G689" t="s">
        <v>8</v>
      </c>
      <c r="H689" t="s">
        <v>74</v>
      </c>
      <c r="I689" t="s">
        <v>82</v>
      </c>
      <c r="J689" t="s">
        <v>83</v>
      </c>
      <c r="K689" t="s">
        <v>73</v>
      </c>
      <c r="L689">
        <v>701000</v>
      </c>
      <c r="M689" t="s">
        <v>62</v>
      </c>
      <c r="N689" t="s">
        <v>33</v>
      </c>
      <c r="O689">
        <v>65</v>
      </c>
      <c r="P689">
        <v>18.62</v>
      </c>
      <c r="Q689">
        <v>1.21</v>
      </c>
      <c r="R689" t="s">
        <v>1197</v>
      </c>
      <c r="S689" t="s">
        <v>195</v>
      </c>
    </row>
    <row r="690" spans="1:19" x14ac:dyDescent="0.3">
      <c r="A690" t="s">
        <v>883</v>
      </c>
      <c r="B690" t="s">
        <v>22</v>
      </c>
      <c r="C690">
        <v>2025</v>
      </c>
      <c r="D690">
        <v>1</v>
      </c>
      <c r="E690" s="2">
        <v>45666</v>
      </c>
      <c r="F690" t="s">
        <v>7</v>
      </c>
      <c r="G690" t="s">
        <v>8</v>
      </c>
      <c r="H690" t="s">
        <v>74</v>
      </c>
      <c r="I690" t="s">
        <v>82</v>
      </c>
      <c r="J690" t="s">
        <v>83</v>
      </c>
      <c r="K690" t="s">
        <v>73</v>
      </c>
      <c r="L690">
        <v>701000</v>
      </c>
      <c r="M690" t="s">
        <v>62</v>
      </c>
      <c r="N690" t="s">
        <v>33</v>
      </c>
      <c r="O690">
        <v>47</v>
      </c>
      <c r="P690">
        <v>18.510000000000002</v>
      </c>
      <c r="Q690">
        <v>0.87</v>
      </c>
      <c r="R690" t="s">
        <v>1198</v>
      </c>
      <c r="S690" t="s">
        <v>195</v>
      </c>
    </row>
    <row r="691" spans="1:19" x14ac:dyDescent="0.3">
      <c r="A691" t="s">
        <v>884</v>
      </c>
      <c r="B691" t="s">
        <v>22</v>
      </c>
      <c r="C691">
        <v>2025</v>
      </c>
      <c r="D691">
        <v>1</v>
      </c>
      <c r="E691" s="2">
        <v>45666</v>
      </c>
      <c r="F691" t="s">
        <v>7</v>
      </c>
      <c r="G691" t="s">
        <v>8</v>
      </c>
      <c r="H691" t="s">
        <v>74</v>
      </c>
      <c r="I691" t="s">
        <v>82</v>
      </c>
      <c r="J691" t="s">
        <v>83</v>
      </c>
      <c r="K691" t="s">
        <v>73</v>
      </c>
      <c r="L691">
        <v>701000</v>
      </c>
      <c r="M691" t="s">
        <v>62</v>
      </c>
      <c r="N691" t="s">
        <v>33</v>
      </c>
      <c r="O691">
        <v>66</v>
      </c>
      <c r="P691">
        <v>18.18</v>
      </c>
      <c r="Q691">
        <v>1.2</v>
      </c>
      <c r="R691" t="s">
        <v>1202</v>
      </c>
      <c r="S691" t="s">
        <v>195</v>
      </c>
    </row>
    <row r="692" spans="1:19" x14ac:dyDescent="0.3">
      <c r="A692" t="s">
        <v>885</v>
      </c>
      <c r="B692" t="s">
        <v>22</v>
      </c>
      <c r="C692">
        <v>2025</v>
      </c>
      <c r="D692">
        <v>1</v>
      </c>
      <c r="E692" s="2">
        <v>45670</v>
      </c>
      <c r="F692" t="s">
        <v>7</v>
      </c>
      <c r="G692" t="s">
        <v>8</v>
      </c>
      <c r="H692" t="s">
        <v>70</v>
      </c>
      <c r="I692" t="s">
        <v>82</v>
      </c>
      <c r="J692" t="s">
        <v>83</v>
      </c>
      <c r="K692" t="s">
        <v>73</v>
      </c>
      <c r="L692">
        <v>701000</v>
      </c>
      <c r="M692" t="s">
        <v>62</v>
      </c>
      <c r="N692" t="s">
        <v>33</v>
      </c>
      <c r="O692">
        <v>70</v>
      </c>
      <c r="P692">
        <v>18.43</v>
      </c>
      <c r="Q692">
        <v>1.29</v>
      </c>
      <c r="R692" t="s">
        <v>1198</v>
      </c>
      <c r="S692" t="s">
        <v>195</v>
      </c>
    </row>
    <row r="693" spans="1:19" x14ac:dyDescent="0.3">
      <c r="A693" t="s">
        <v>886</v>
      </c>
      <c r="B693" t="s">
        <v>22</v>
      </c>
      <c r="C693">
        <v>2025</v>
      </c>
      <c r="D693">
        <v>1</v>
      </c>
      <c r="E693" s="2">
        <v>45670</v>
      </c>
      <c r="F693" t="s">
        <v>7</v>
      </c>
      <c r="G693" t="s">
        <v>8</v>
      </c>
      <c r="H693" t="s">
        <v>70</v>
      </c>
      <c r="I693" t="s">
        <v>82</v>
      </c>
      <c r="J693" t="s">
        <v>83</v>
      </c>
      <c r="K693" t="s">
        <v>73</v>
      </c>
      <c r="L693">
        <v>701000</v>
      </c>
      <c r="M693" t="s">
        <v>62</v>
      </c>
      <c r="N693" t="s">
        <v>33</v>
      </c>
      <c r="O693">
        <v>175</v>
      </c>
      <c r="P693">
        <v>18.46</v>
      </c>
      <c r="Q693">
        <v>3.23</v>
      </c>
      <c r="R693" t="s">
        <v>1197</v>
      </c>
      <c r="S693" t="s">
        <v>195</v>
      </c>
    </row>
    <row r="694" spans="1:19" x14ac:dyDescent="0.3">
      <c r="A694" t="s">
        <v>887</v>
      </c>
      <c r="B694" t="s">
        <v>22</v>
      </c>
      <c r="C694">
        <v>2025</v>
      </c>
      <c r="D694">
        <v>1</v>
      </c>
      <c r="E694" s="2">
        <v>45670</v>
      </c>
      <c r="F694" t="s">
        <v>7</v>
      </c>
      <c r="G694" t="s">
        <v>8</v>
      </c>
      <c r="H694" t="s">
        <v>70</v>
      </c>
      <c r="I694" t="s">
        <v>82</v>
      </c>
      <c r="J694" t="s">
        <v>83</v>
      </c>
      <c r="K694" t="s">
        <v>73</v>
      </c>
      <c r="L694">
        <v>701000</v>
      </c>
      <c r="M694" t="s">
        <v>62</v>
      </c>
      <c r="N694" t="s">
        <v>33</v>
      </c>
      <c r="O694">
        <v>161</v>
      </c>
      <c r="P694">
        <v>18.510000000000002</v>
      </c>
      <c r="Q694">
        <v>2.98</v>
      </c>
      <c r="R694" t="s">
        <v>1205</v>
      </c>
      <c r="S694" t="s">
        <v>195</v>
      </c>
    </row>
    <row r="695" spans="1:19" x14ac:dyDescent="0.3">
      <c r="A695" t="s">
        <v>888</v>
      </c>
      <c r="B695" t="s">
        <v>22</v>
      </c>
      <c r="C695">
        <v>2025</v>
      </c>
      <c r="D695">
        <v>1</v>
      </c>
      <c r="E695" s="2">
        <v>45670</v>
      </c>
      <c r="F695" t="s">
        <v>7</v>
      </c>
      <c r="G695" t="s">
        <v>8</v>
      </c>
      <c r="H695" t="s">
        <v>70</v>
      </c>
      <c r="I695" t="s">
        <v>82</v>
      </c>
      <c r="J695" t="s">
        <v>83</v>
      </c>
      <c r="K695" t="s">
        <v>73</v>
      </c>
      <c r="L695">
        <v>701000</v>
      </c>
      <c r="M695" t="s">
        <v>62</v>
      </c>
      <c r="N695" t="s">
        <v>33</v>
      </c>
      <c r="O695">
        <v>74</v>
      </c>
      <c r="P695">
        <v>18.510000000000002</v>
      </c>
      <c r="Q695">
        <v>1.37</v>
      </c>
      <c r="R695" t="s">
        <v>1202</v>
      </c>
      <c r="S695" t="s">
        <v>195</v>
      </c>
    </row>
    <row r="696" spans="1:19" x14ac:dyDescent="0.3">
      <c r="A696" t="s">
        <v>889</v>
      </c>
      <c r="B696" t="s">
        <v>22</v>
      </c>
      <c r="C696">
        <v>2025</v>
      </c>
      <c r="D696">
        <v>1</v>
      </c>
      <c r="E696" s="2">
        <v>45670</v>
      </c>
      <c r="F696" t="s">
        <v>7</v>
      </c>
      <c r="G696" t="s">
        <v>8</v>
      </c>
      <c r="H696" t="s">
        <v>70</v>
      </c>
      <c r="I696" t="s">
        <v>82</v>
      </c>
      <c r="J696" t="s">
        <v>83</v>
      </c>
      <c r="K696" t="s">
        <v>73</v>
      </c>
      <c r="L696">
        <v>701000</v>
      </c>
      <c r="M696" t="s">
        <v>62</v>
      </c>
      <c r="N696" t="s">
        <v>33</v>
      </c>
      <c r="O696">
        <v>42</v>
      </c>
      <c r="P696">
        <v>18.57</v>
      </c>
      <c r="Q696">
        <v>0.78</v>
      </c>
      <c r="R696" t="s">
        <v>1203</v>
      </c>
      <c r="S696" t="s">
        <v>195</v>
      </c>
    </row>
    <row r="697" spans="1:19" x14ac:dyDescent="0.3">
      <c r="A697" t="s">
        <v>890</v>
      </c>
      <c r="B697" t="s">
        <v>22</v>
      </c>
      <c r="C697">
        <v>2025</v>
      </c>
      <c r="D697">
        <v>1</v>
      </c>
      <c r="E697" s="2">
        <v>45665</v>
      </c>
      <c r="F697" t="s">
        <v>7</v>
      </c>
      <c r="G697" t="s">
        <v>8</v>
      </c>
      <c r="H697" t="s">
        <v>70</v>
      </c>
      <c r="I697" t="s">
        <v>82</v>
      </c>
      <c r="J697" t="s">
        <v>83</v>
      </c>
      <c r="K697" t="s">
        <v>73</v>
      </c>
      <c r="L697">
        <v>707000</v>
      </c>
      <c r="M697" t="s">
        <v>81</v>
      </c>
      <c r="N697" t="s">
        <v>33</v>
      </c>
      <c r="O697">
        <v>112</v>
      </c>
      <c r="P697">
        <v>18.57</v>
      </c>
      <c r="Q697">
        <v>2.08</v>
      </c>
      <c r="R697" t="s">
        <v>1202</v>
      </c>
      <c r="S697" t="s">
        <v>195</v>
      </c>
    </row>
    <row r="698" spans="1:19" x14ac:dyDescent="0.3">
      <c r="A698" t="s">
        <v>891</v>
      </c>
      <c r="B698" t="s">
        <v>22</v>
      </c>
      <c r="C698">
        <v>2025</v>
      </c>
      <c r="D698">
        <v>1</v>
      </c>
      <c r="E698" s="2">
        <v>45665</v>
      </c>
      <c r="F698" t="s">
        <v>7</v>
      </c>
      <c r="G698" t="s">
        <v>8</v>
      </c>
      <c r="H698" t="s">
        <v>70</v>
      </c>
      <c r="I698" t="s">
        <v>82</v>
      </c>
      <c r="J698" t="s">
        <v>83</v>
      </c>
      <c r="K698" t="s">
        <v>73</v>
      </c>
      <c r="L698">
        <v>707000</v>
      </c>
      <c r="M698" t="s">
        <v>81</v>
      </c>
      <c r="N698" t="s">
        <v>33</v>
      </c>
      <c r="O698">
        <v>75</v>
      </c>
      <c r="P698">
        <v>18.53</v>
      </c>
      <c r="Q698">
        <v>1.39</v>
      </c>
      <c r="R698" t="s">
        <v>1204</v>
      </c>
      <c r="S698" t="s">
        <v>195</v>
      </c>
    </row>
    <row r="699" spans="1:19" x14ac:dyDescent="0.3">
      <c r="A699" t="s">
        <v>892</v>
      </c>
      <c r="B699" t="s">
        <v>22</v>
      </c>
      <c r="C699">
        <v>2025</v>
      </c>
      <c r="D699">
        <v>1</v>
      </c>
      <c r="E699" s="2">
        <v>45665</v>
      </c>
      <c r="F699" t="s">
        <v>7</v>
      </c>
      <c r="G699" t="s">
        <v>8</v>
      </c>
      <c r="H699" t="s">
        <v>70</v>
      </c>
      <c r="I699" t="s">
        <v>82</v>
      </c>
      <c r="J699" t="s">
        <v>83</v>
      </c>
      <c r="K699" t="s">
        <v>73</v>
      </c>
      <c r="L699">
        <v>707000</v>
      </c>
      <c r="M699" t="s">
        <v>81</v>
      </c>
      <c r="N699" t="s">
        <v>33</v>
      </c>
      <c r="O699">
        <v>41</v>
      </c>
      <c r="P699">
        <v>18.54</v>
      </c>
      <c r="Q699">
        <v>0.76</v>
      </c>
      <c r="R699" t="s">
        <v>1197</v>
      </c>
      <c r="S699" t="s">
        <v>195</v>
      </c>
    </row>
    <row r="700" spans="1:19" x14ac:dyDescent="0.3">
      <c r="A700" t="s">
        <v>893</v>
      </c>
      <c r="B700" t="s">
        <v>22</v>
      </c>
      <c r="C700">
        <v>2025</v>
      </c>
      <c r="D700">
        <v>1</v>
      </c>
      <c r="E700" s="2">
        <v>45665</v>
      </c>
      <c r="F700" t="s">
        <v>7</v>
      </c>
      <c r="G700" t="s">
        <v>8</v>
      </c>
      <c r="H700" t="s">
        <v>70</v>
      </c>
      <c r="I700" t="s">
        <v>82</v>
      </c>
      <c r="J700" t="s">
        <v>83</v>
      </c>
      <c r="K700" t="s">
        <v>73</v>
      </c>
      <c r="L700">
        <v>707000</v>
      </c>
      <c r="M700" t="s">
        <v>81</v>
      </c>
      <c r="N700" t="s">
        <v>33</v>
      </c>
      <c r="O700">
        <v>210</v>
      </c>
      <c r="P700">
        <v>18.48</v>
      </c>
      <c r="Q700">
        <v>3.88</v>
      </c>
      <c r="R700" t="s">
        <v>1205</v>
      </c>
      <c r="S700" t="s">
        <v>195</v>
      </c>
    </row>
    <row r="701" spans="1:19" x14ac:dyDescent="0.3">
      <c r="A701" t="s">
        <v>894</v>
      </c>
      <c r="B701" t="s">
        <v>22</v>
      </c>
      <c r="C701">
        <v>2025</v>
      </c>
      <c r="D701">
        <v>1</v>
      </c>
      <c r="E701" s="2">
        <v>45665</v>
      </c>
      <c r="F701" t="s">
        <v>7</v>
      </c>
      <c r="G701" t="s">
        <v>8</v>
      </c>
      <c r="H701" t="s">
        <v>70</v>
      </c>
      <c r="I701" t="s">
        <v>82</v>
      </c>
      <c r="J701" t="s">
        <v>83</v>
      </c>
      <c r="K701" t="s">
        <v>73</v>
      </c>
      <c r="L701">
        <v>707000</v>
      </c>
      <c r="M701" t="s">
        <v>81</v>
      </c>
      <c r="N701" t="s">
        <v>33</v>
      </c>
      <c r="O701">
        <v>32</v>
      </c>
      <c r="P701">
        <v>18.13</v>
      </c>
      <c r="Q701">
        <v>0.57999999999999996</v>
      </c>
      <c r="R701" t="s">
        <v>1200</v>
      </c>
      <c r="S701" t="s">
        <v>195</v>
      </c>
    </row>
    <row r="702" spans="1:19" x14ac:dyDescent="0.3">
      <c r="A702" t="s">
        <v>895</v>
      </c>
      <c r="B702" t="s">
        <v>22</v>
      </c>
      <c r="C702">
        <v>2025</v>
      </c>
      <c r="D702">
        <v>1</v>
      </c>
      <c r="E702" s="2">
        <v>45661</v>
      </c>
      <c r="F702" t="s">
        <v>7</v>
      </c>
      <c r="G702" t="s">
        <v>8</v>
      </c>
      <c r="H702" t="s">
        <v>70</v>
      </c>
      <c r="I702" t="s">
        <v>82</v>
      </c>
      <c r="J702" t="s">
        <v>83</v>
      </c>
      <c r="K702" t="s">
        <v>73</v>
      </c>
      <c r="L702">
        <v>707000</v>
      </c>
      <c r="M702" t="s">
        <v>81</v>
      </c>
      <c r="N702" t="s">
        <v>33</v>
      </c>
      <c r="O702">
        <v>187</v>
      </c>
      <c r="P702">
        <v>18.5</v>
      </c>
      <c r="Q702">
        <v>3.46</v>
      </c>
      <c r="R702" t="s">
        <v>1201</v>
      </c>
      <c r="S702" t="s">
        <v>195</v>
      </c>
    </row>
    <row r="703" spans="1:19" x14ac:dyDescent="0.3">
      <c r="A703" t="s">
        <v>896</v>
      </c>
      <c r="B703" t="s">
        <v>22</v>
      </c>
      <c r="C703">
        <v>2025</v>
      </c>
      <c r="D703">
        <v>1</v>
      </c>
      <c r="E703" s="2">
        <v>45661</v>
      </c>
      <c r="F703" t="s">
        <v>7</v>
      </c>
      <c r="G703" t="s">
        <v>8</v>
      </c>
      <c r="H703" t="s">
        <v>70</v>
      </c>
      <c r="I703" t="s">
        <v>82</v>
      </c>
      <c r="J703" t="s">
        <v>83</v>
      </c>
      <c r="K703" t="s">
        <v>73</v>
      </c>
      <c r="L703">
        <v>707000</v>
      </c>
      <c r="M703" t="s">
        <v>81</v>
      </c>
      <c r="N703" t="s">
        <v>33</v>
      </c>
      <c r="O703">
        <v>83</v>
      </c>
      <c r="P703">
        <v>18.55</v>
      </c>
      <c r="Q703">
        <v>1.54</v>
      </c>
      <c r="R703" t="s">
        <v>1204</v>
      </c>
      <c r="S703" t="s">
        <v>195</v>
      </c>
    </row>
    <row r="704" spans="1:19" x14ac:dyDescent="0.3">
      <c r="A704" t="s">
        <v>897</v>
      </c>
      <c r="B704" t="s">
        <v>22</v>
      </c>
      <c r="C704">
        <v>2025</v>
      </c>
      <c r="D704">
        <v>1</v>
      </c>
      <c r="E704" s="2">
        <v>45661</v>
      </c>
      <c r="F704" t="s">
        <v>7</v>
      </c>
      <c r="G704" t="s">
        <v>8</v>
      </c>
      <c r="H704" t="s">
        <v>70</v>
      </c>
      <c r="I704" t="s">
        <v>82</v>
      </c>
      <c r="J704" t="s">
        <v>83</v>
      </c>
      <c r="K704" t="s">
        <v>73</v>
      </c>
      <c r="L704">
        <v>707000</v>
      </c>
      <c r="M704" t="s">
        <v>81</v>
      </c>
      <c r="N704" t="s">
        <v>33</v>
      </c>
      <c r="O704">
        <v>130</v>
      </c>
      <c r="P704">
        <v>18.54</v>
      </c>
      <c r="Q704">
        <v>2.41</v>
      </c>
      <c r="R704" t="s">
        <v>1198</v>
      </c>
      <c r="S704" t="s">
        <v>195</v>
      </c>
    </row>
    <row r="705" spans="1:19" x14ac:dyDescent="0.3">
      <c r="A705" t="s">
        <v>898</v>
      </c>
      <c r="B705" t="s">
        <v>22</v>
      </c>
      <c r="C705">
        <v>2025</v>
      </c>
      <c r="D705">
        <v>1</v>
      </c>
      <c r="E705" s="2">
        <v>45661</v>
      </c>
      <c r="F705" t="s">
        <v>7</v>
      </c>
      <c r="G705" t="s">
        <v>8</v>
      </c>
      <c r="H705" t="s">
        <v>70</v>
      </c>
      <c r="I705" t="s">
        <v>82</v>
      </c>
      <c r="J705" t="s">
        <v>83</v>
      </c>
      <c r="K705" t="s">
        <v>73</v>
      </c>
      <c r="L705">
        <v>707000</v>
      </c>
      <c r="M705" t="s">
        <v>81</v>
      </c>
      <c r="N705" t="s">
        <v>33</v>
      </c>
      <c r="O705">
        <v>61</v>
      </c>
      <c r="P705">
        <v>18.36</v>
      </c>
      <c r="Q705">
        <v>1.1200000000000001</v>
      </c>
      <c r="R705" t="s">
        <v>1205</v>
      </c>
      <c r="S705" t="s">
        <v>195</v>
      </c>
    </row>
    <row r="706" spans="1:19" x14ac:dyDescent="0.3">
      <c r="A706" t="s">
        <v>899</v>
      </c>
      <c r="B706" t="s">
        <v>22</v>
      </c>
      <c r="C706">
        <v>2025</v>
      </c>
      <c r="D706">
        <v>1</v>
      </c>
      <c r="E706" s="2">
        <v>45661</v>
      </c>
      <c r="F706" t="s">
        <v>7</v>
      </c>
      <c r="G706" t="s">
        <v>8</v>
      </c>
      <c r="H706" t="s">
        <v>70</v>
      </c>
      <c r="I706" t="s">
        <v>82</v>
      </c>
      <c r="J706" t="s">
        <v>83</v>
      </c>
      <c r="K706" t="s">
        <v>73</v>
      </c>
      <c r="L706">
        <v>707000</v>
      </c>
      <c r="M706" t="s">
        <v>81</v>
      </c>
      <c r="N706" t="s">
        <v>33</v>
      </c>
      <c r="O706">
        <v>126</v>
      </c>
      <c r="P706">
        <v>18.489999999999998</v>
      </c>
      <c r="Q706">
        <v>2.33</v>
      </c>
      <c r="R706" t="s">
        <v>1203</v>
      </c>
      <c r="S706" t="s">
        <v>195</v>
      </c>
    </row>
    <row r="707" spans="1:19" x14ac:dyDescent="0.3">
      <c r="A707" t="s">
        <v>900</v>
      </c>
      <c r="B707" t="s">
        <v>22</v>
      </c>
      <c r="C707">
        <v>2025</v>
      </c>
      <c r="D707">
        <v>1</v>
      </c>
      <c r="E707" s="2">
        <v>45667</v>
      </c>
      <c r="F707" t="s">
        <v>7</v>
      </c>
      <c r="G707" t="s">
        <v>8</v>
      </c>
      <c r="H707" t="s">
        <v>74</v>
      </c>
      <c r="I707" t="s">
        <v>82</v>
      </c>
      <c r="J707" t="s">
        <v>83</v>
      </c>
      <c r="K707" t="s">
        <v>73</v>
      </c>
      <c r="L707">
        <v>701000</v>
      </c>
      <c r="M707" t="s">
        <v>62</v>
      </c>
      <c r="N707" t="s">
        <v>33</v>
      </c>
      <c r="O707">
        <v>74</v>
      </c>
      <c r="P707">
        <v>18.510000000000002</v>
      </c>
      <c r="Q707">
        <v>1.37</v>
      </c>
      <c r="R707" t="s">
        <v>1198</v>
      </c>
      <c r="S707" t="s">
        <v>195</v>
      </c>
    </row>
    <row r="708" spans="1:19" x14ac:dyDescent="0.3">
      <c r="A708" t="s">
        <v>901</v>
      </c>
      <c r="B708" t="s">
        <v>22</v>
      </c>
      <c r="C708">
        <v>2025</v>
      </c>
      <c r="D708">
        <v>1</v>
      </c>
      <c r="E708" s="2">
        <v>45667</v>
      </c>
      <c r="F708" t="s">
        <v>7</v>
      </c>
      <c r="G708" t="s">
        <v>8</v>
      </c>
      <c r="H708" t="s">
        <v>74</v>
      </c>
      <c r="I708" t="s">
        <v>82</v>
      </c>
      <c r="J708" t="s">
        <v>83</v>
      </c>
      <c r="K708" t="s">
        <v>73</v>
      </c>
      <c r="L708">
        <v>701000</v>
      </c>
      <c r="M708" t="s">
        <v>62</v>
      </c>
      <c r="N708" t="s">
        <v>33</v>
      </c>
      <c r="O708">
        <v>26</v>
      </c>
      <c r="P708">
        <v>18.46</v>
      </c>
      <c r="Q708">
        <v>0.48</v>
      </c>
      <c r="R708" t="s">
        <v>1204</v>
      </c>
      <c r="S708" t="s">
        <v>195</v>
      </c>
    </row>
    <row r="709" spans="1:19" x14ac:dyDescent="0.3">
      <c r="A709" t="s">
        <v>902</v>
      </c>
      <c r="B709" t="s">
        <v>22</v>
      </c>
      <c r="C709">
        <v>2025</v>
      </c>
      <c r="D709">
        <v>1</v>
      </c>
      <c r="E709" s="2">
        <v>45667</v>
      </c>
      <c r="F709" t="s">
        <v>7</v>
      </c>
      <c r="G709" t="s">
        <v>8</v>
      </c>
      <c r="H709" t="s">
        <v>74</v>
      </c>
      <c r="I709" t="s">
        <v>82</v>
      </c>
      <c r="J709" t="s">
        <v>83</v>
      </c>
      <c r="K709" t="s">
        <v>73</v>
      </c>
      <c r="L709">
        <v>701000</v>
      </c>
      <c r="M709" t="s">
        <v>62</v>
      </c>
      <c r="N709" t="s">
        <v>33</v>
      </c>
      <c r="O709">
        <v>100</v>
      </c>
      <c r="P709">
        <v>18.5</v>
      </c>
      <c r="Q709">
        <v>1.85</v>
      </c>
      <c r="R709" t="s">
        <v>1197</v>
      </c>
      <c r="S709" t="s">
        <v>195</v>
      </c>
    </row>
    <row r="710" spans="1:19" x14ac:dyDescent="0.3">
      <c r="A710" t="s">
        <v>903</v>
      </c>
      <c r="B710" t="s">
        <v>22</v>
      </c>
      <c r="C710">
        <v>2025</v>
      </c>
      <c r="D710">
        <v>1</v>
      </c>
      <c r="E710" s="2">
        <v>45667</v>
      </c>
      <c r="F710" t="s">
        <v>7</v>
      </c>
      <c r="G710" t="s">
        <v>8</v>
      </c>
      <c r="H710" t="s">
        <v>74</v>
      </c>
      <c r="I710" t="s">
        <v>82</v>
      </c>
      <c r="J710" t="s">
        <v>83</v>
      </c>
      <c r="K710" t="s">
        <v>73</v>
      </c>
      <c r="L710">
        <v>701000</v>
      </c>
      <c r="M710" t="s">
        <v>62</v>
      </c>
      <c r="N710" t="s">
        <v>33</v>
      </c>
      <c r="O710">
        <v>214</v>
      </c>
      <c r="P710">
        <v>18.5</v>
      </c>
      <c r="Q710">
        <v>3.96</v>
      </c>
      <c r="R710" t="s">
        <v>1200</v>
      </c>
      <c r="S710" t="s">
        <v>195</v>
      </c>
    </row>
    <row r="711" spans="1:19" x14ac:dyDescent="0.3">
      <c r="A711" t="s">
        <v>904</v>
      </c>
      <c r="B711" t="s">
        <v>22</v>
      </c>
      <c r="C711">
        <v>2025</v>
      </c>
      <c r="D711">
        <v>1</v>
      </c>
      <c r="E711" s="2">
        <v>45667</v>
      </c>
      <c r="F711" t="s">
        <v>7</v>
      </c>
      <c r="G711" t="s">
        <v>8</v>
      </c>
      <c r="H711" t="s">
        <v>74</v>
      </c>
      <c r="I711" t="s">
        <v>82</v>
      </c>
      <c r="J711" t="s">
        <v>83</v>
      </c>
      <c r="K711" t="s">
        <v>73</v>
      </c>
      <c r="L711">
        <v>701000</v>
      </c>
      <c r="M711" t="s">
        <v>62</v>
      </c>
      <c r="N711" t="s">
        <v>33</v>
      </c>
      <c r="O711">
        <v>93</v>
      </c>
      <c r="P711">
        <v>18.39</v>
      </c>
      <c r="Q711">
        <v>1.71</v>
      </c>
      <c r="R711" t="s">
        <v>1205</v>
      </c>
      <c r="S711" t="s">
        <v>195</v>
      </c>
    </row>
    <row r="712" spans="1:19" x14ac:dyDescent="0.3">
      <c r="A712" t="s">
        <v>905</v>
      </c>
      <c r="B712" t="s">
        <v>22</v>
      </c>
      <c r="C712">
        <v>2025</v>
      </c>
      <c r="D712">
        <v>1</v>
      </c>
      <c r="E712" s="2">
        <v>45675</v>
      </c>
      <c r="F712" t="s">
        <v>7</v>
      </c>
      <c r="G712" t="s">
        <v>8</v>
      </c>
      <c r="H712" t="s">
        <v>70</v>
      </c>
      <c r="I712" t="s">
        <v>82</v>
      </c>
      <c r="J712" t="s">
        <v>83</v>
      </c>
      <c r="K712" t="s">
        <v>73</v>
      </c>
      <c r="L712">
        <v>707000</v>
      </c>
      <c r="M712" t="s">
        <v>81</v>
      </c>
      <c r="N712" t="s">
        <v>33</v>
      </c>
      <c r="O712">
        <v>209</v>
      </c>
      <c r="P712">
        <v>18.52</v>
      </c>
      <c r="Q712">
        <v>3.87</v>
      </c>
      <c r="R712" t="s">
        <v>1205</v>
      </c>
      <c r="S712" t="s">
        <v>195</v>
      </c>
    </row>
    <row r="713" spans="1:19" x14ac:dyDescent="0.3">
      <c r="A713" t="s">
        <v>906</v>
      </c>
      <c r="B713" t="s">
        <v>22</v>
      </c>
      <c r="C713">
        <v>2025</v>
      </c>
      <c r="D713">
        <v>1</v>
      </c>
      <c r="E713" s="2">
        <v>45675</v>
      </c>
      <c r="F713" t="s">
        <v>7</v>
      </c>
      <c r="G713" t="s">
        <v>8</v>
      </c>
      <c r="H713" t="s">
        <v>70</v>
      </c>
      <c r="I713" t="s">
        <v>82</v>
      </c>
      <c r="J713" t="s">
        <v>83</v>
      </c>
      <c r="K713" t="s">
        <v>73</v>
      </c>
      <c r="L713">
        <v>707000</v>
      </c>
      <c r="M713" t="s">
        <v>81</v>
      </c>
      <c r="N713" t="s">
        <v>33</v>
      </c>
      <c r="O713">
        <v>84</v>
      </c>
      <c r="P713">
        <v>18.45</v>
      </c>
      <c r="Q713">
        <v>1.55</v>
      </c>
      <c r="R713" t="s">
        <v>1198</v>
      </c>
      <c r="S713" t="s">
        <v>195</v>
      </c>
    </row>
    <row r="714" spans="1:19" x14ac:dyDescent="0.3">
      <c r="A714" t="s">
        <v>907</v>
      </c>
      <c r="B714" t="s">
        <v>22</v>
      </c>
      <c r="C714">
        <v>2025</v>
      </c>
      <c r="D714">
        <v>1</v>
      </c>
      <c r="E714" s="2">
        <v>45675</v>
      </c>
      <c r="F714" t="s">
        <v>7</v>
      </c>
      <c r="G714" t="s">
        <v>8</v>
      </c>
      <c r="H714" t="s">
        <v>70</v>
      </c>
      <c r="I714" t="s">
        <v>82</v>
      </c>
      <c r="J714" t="s">
        <v>83</v>
      </c>
      <c r="K714" t="s">
        <v>73</v>
      </c>
      <c r="L714">
        <v>707000</v>
      </c>
      <c r="M714" t="s">
        <v>81</v>
      </c>
      <c r="N714" t="s">
        <v>33</v>
      </c>
      <c r="O714">
        <v>62</v>
      </c>
      <c r="P714">
        <v>18.71</v>
      </c>
      <c r="Q714">
        <v>1.1599999999999999</v>
      </c>
      <c r="R714" t="s">
        <v>1203</v>
      </c>
      <c r="S714" t="s">
        <v>195</v>
      </c>
    </row>
    <row r="715" spans="1:19" x14ac:dyDescent="0.3">
      <c r="A715" t="s">
        <v>908</v>
      </c>
      <c r="B715" t="s">
        <v>22</v>
      </c>
      <c r="C715">
        <v>2025</v>
      </c>
      <c r="D715">
        <v>1</v>
      </c>
      <c r="E715" s="2">
        <v>45675</v>
      </c>
      <c r="F715" t="s">
        <v>7</v>
      </c>
      <c r="G715" t="s">
        <v>8</v>
      </c>
      <c r="H715" t="s">
        <v>70</v>
      </c>
      <c r="I715" t="s">
        <v>82</v>
      </c>
      <c r="J715" t="s">
        <v>83</v>
      </c>
      <c r="K715" t="s">
        <v>73</v>
      </c>
      <c r="L715">
        <v>707000</v>
      </c>
      <c r="M715" t="s">
        <v>81</v>
      </c>
      <c r="N715" t="s">
        <v>33</v>
      </c>
      <c r="O715">
        <v>71</v>
      </c>
      <c r="P715">
        <v>18.59</v>
      </c>
      <c r="Q715">
        <v>1.32</v>
      </c>
      <c r="R715" t="s">
        <v>1204</v>
      </c>
      <c r="S715" t="s">
        <v>195</v>
      </c>
    </row>
    <row r="716" spans="1:19" x14ac:dyDescent="0.3">
      <c r="A716" t="s">
        <v>909</v>
      </c>
      <c r="B716" t="s">
        <v>22</v>
      </c>
      <c r="C716">
        <v>2025</v>
      </c>
      <c r="D716">
        <v>1</v>
      </c>
      <c r="E716" s="2">
        <v>45675</v>
      </c>
      <c r="F716" t="s">
        <v>7</v>
      </c>
      <c r="G716" t="s">
        <v>8</v>
      </c>
      <c r="H716" t="s">
        <v>70</v>
      </c>
      <c r="I716" t="s">
        <v>82</v>
      </c>
      <c r="J716" t="s">
        <v>83</v>
      </c>
      <c r="K716" t="s">
        <v>73</v>
      </c>
      <c r="L716">
        <v>707000</v>
      </c>
      <c r="M716" t="s">
        <v>81</v>
      </c>
      <c r="N716" t="s">
        <v>33</v>
      </c>
      <c r="O716">
        <v>189</v>
      </c>
      <c r="P716">
        <v>18.41</v>
      </c>
      <c r="Q716">
        <v>3.48</v>
      </c>
      <c r="R716" t="s">
        <v>1197</v>
      </c>
      <c r="S716" t="s">
        <v>195</v>
      </c>
    </row>
    <row r="717" spans="1:19" x14ac:dyDescent="0.3">
      <c r="A717" t="s">
        <v>910</v>
      </c>
      <c r="B717" t="s">
        <v>22</v>
      </c>
      <c r="C717">
        <v>2025</v>
      </c>
      <c r="D717">
        <v>1</v>
      </c>
      <c r="E717" s="2">
        <v>45678</v>
      </c>
      <c r="F717" t="s">
        <v>7</v>
      </c>
      <c r="G717" t="s">
        <v>8</v>
      </c>
      <c r="H717" t="s">
        <v>70</v>
      </c>
      <c r="I717" t="s">
        <v>82</v>
      </c>
      <c r="J717" t="s">
        <v>83</v>
      </c>
      <c r="K717" t="s">
        <v>73</v>
      </c>
      <c r="L717">
        <v>701000</v>
      </c>
      <c r="M717" t="s">
        <v>62</v>
      </c>
      <c r="N717" t="s">
        <v>33</v>
      </c>
      <c r="O717">
        <v>55</v>
      </c>
      <c r="P717">
        <v>18.36</v>
      </c>
      <c r="Q717">
        <v>1.01</v>
      </c>
      <c r="R717" t="s">
        <v>1204</v>
      </c>
      <c r="S717" t="s">
        <v>195</v>
      </c>
    </row>
    <row r="718" spans="1:19" x14ac:dyDescent="0.3">
      <c r="A718" t="s">
        <v>911</v>
      </c>
      <c r="B718" t="s">
        <v>22</v>
      </c>
      <c r="C718">
        <v>2025</v>
      </c>
      <c r="D718">
        <v>1</v>
      </c>
      <c r="E718" s="2">
        <v>45678</v>
      </c>
      <c r="F718" t="s">
        <v>7</v>
      </c>
      <c r="G718" t="s">
        <v>8</v>
      </c>
      <c r="H718" t="s">
        <v>70</v>
      </c>
      <c r="I718" t="s">
        <v>82</v>
      </c>
      <c r="J718" t="s">
        <v>83</v>
      </c>
      <c r="K718" t="s">
        <v>73</v>
      </c>
      <c r="L718">
        <v>701000</v>
      </c>
      <c r="M718" t="s">
        <v>62</v>
      </c>
      <c r="N718" t="s">
        <v>33</v>
      </c>
      <c r="O718">
        <v>279</v>
      </c>
      <c r="P718">
        <v>18.53</v>
      </c>
      <c r="Q718">
        <v>5.17</v>
      </c>
      <c r="R718" t="s">
        <v>1202</v>
      </c>
      <c r="S718" t="s">
        <v>195</v>
      </c>
    </row>
    <row r="719" spans="1:19" x14ac:dyDescent="0.3">
      <c r="A719" t="s">
        <v>912</v>
      </c>
      <c r="B719" t="s">
        <v>22</v>
      </c>
      <c r="C719">
        <v>2025</v>
      </c>
      <c r="D719">
        <v>1</v>
      </c>
      <c r="E719" s="2">
        <v>45678</v>
      </c>
      <c r="F719" t="s">
        <v>7</v>
      </c>
      <c r="G719" t="s">
        <v>8</v>
      </c>
      <c r="H719" t="s">
        <v>70</v>
      </c>
      <c r="I719" t="s">
        <v>82</v>
      </c>
      <c r="J719" t="s">
        <v>83</v>
      </c>
      <c r="K719" t="s">
        <v>73</v>
      </c>
      <c r="L719">
        <v>701000</v>
      </c>
      <c r="M719" t="s">
        <v>62</v>
      </c>
      <c r="N719" t="s">
        <v>33</v>
      </c>
      <c r="O719">
        <v>45</v>
      </c>
      <c r="P719">
        <v>18.440000000000001</v>
      </c>
      <c r="Q719">
        <v>0.83</v>
      </c>
      <c r="R719" t="s">
        <v>1205</v>
      </c>
      <c r="S719" t="s">
        <v>195</v>
      </c>
    </row>
    <row r="720" spans="1:19" x14ac:dyDescent="0.3">
      <c r="A720" t="s">
        <v>913</v>
      </c>
      <c r="B720" t="s">
        <v>22</v>
      </c>
      <c r="C720">
        <v>2025</v>
      </c>
      <c r="D720">
        <v>1</v>
      </c>
      <c r="E720" s="2">
        <v>45678</v>
      </c>
      <c r="F720" t="s">
        <v>7</v>
      </c>
      <c r="G720" t="s">
        <v>8</v>
      </c>
      <c r="H720" t="s">
        <v>70</v>
      </c>
      <c r="I720" t="s">
        <v>82</v>
      </c>
      <c r="J720" t="s">
        <v>83</v>
      </c>
      <c r="K720" t="s">
        <v>73</v>
      </c>
      <c r="L720">
        <v>701000</v>
      </c>
      <c r="M720" t="s">
        <v>62</v>
      </c>
      <c r="N720" t="s">
        <v>33</v>
      </c>
      <c r="O720">
        <v>127</v>
      </c>
      <c r="P720">
        <v>18.5</v>
      </c>
      <c r="Q720">
        <v>2.35</v>
      </c>
      <c r="R720" t="s">
        <v>1199</v>
      </c>
      <c r="S720" t="s">
        <v>195</v>
      </c>
    </row>
    <row r="721" spans="1:19" x14ac:dyDescent="0.3">
      <c r="A721" t="s">
        <v>914</v>
      </c>
      <c r="B721" t="s">
        <v>22</v>
      </c>
      <c r="C721">
        <v>2025</v>
      </c>
      <c r="D721">
        <v>1</v>
      </c>
      <c r="E721" s="2">
        <v>45678</v>
      </c>
      <c r="F721" t="s">
        <v>7</v>
      </c>
      <c r="G721" t="s">
        <v>8</v>
      </c>
      <c r="H721" t="s">
        <v>70</v>
      </c>
      <c r="I721" t="s">
        <v>82</v>
      </c>
      <c r="J721" t="s">
        <v>83</v>
      </c>
      <c r="K721" t="s">
        <v>73</v>
      </c>
      <c r="L721">
        <v>701000</v>
      </c>
      <c r="M721" t="s">
        <v>62</v>
      </c>
      <c r="N721" t="s">
        <v>33</v>
      </c>
      <c r="O721">
        <v>48</v>
      </c>
      <c r="P721">
        <v>18.54</v>
      </c>
      <c r="Q721">
        <v>0.89</v>
      </c>
      <c r="R721" t="s">
        <v>1203</v>
      </c>
      <c r="S721" t="s">
        <v>195</v>
      </c>
    </row>
    <row r="722" spans="1:19" x14ac:dyDescent="0.3">
      <c r="A722" t="s">
        <v>915</v>
      </c>
      <c r="B722" t="s">
        <v>22</v>
      </c>
      <c r="C722">
        <v>2025</v>
      </c>
      <c r="D722">
        <v>1</v>
      </c>
      <c r="E722" s="2">
        <v>45659</v>
      </c>
      <c r="F722" t="s">
        <v>7</v>
      </c>
      <c r="G722" t="s">
        <v>8</v>
      </c>
      <c r="H722" t="s">
        <v>70</v>
      </c>
      <c r="I722" t="s">
        <v>82</v>
      </c>
      <c r="J722" t="s">
        <v>83</v>
      </c>
      <c r="K722" t="s">
        <v>73</v>
      </c>
      <c r="L722">
        <v>701000</v>
      </c>
      <c r="M722" t="s">
        <v>62</v>
      </c>
      <c r="N722" t="s">
        <v>33</v>
      </c>
      <c r="O722">
        <v>72</v>
      </c>
      <c r="P722">
        <v>18.47</v>
      </c>
      <c r="Q722">
        <v>1.33</v>
      </c>
      <c r="R722" t="s">
        <v>1198</v>
      </c>
      <c r="S722" t="s">
        <v>195</v>
      </c>
    </row>
    <row r="723" spans="1:19" x14ac:dyDescent="0.3">
      <c r="A723" t="s">
        <v>916</v>
      </c>
      <c r="B723" t="s">
        <v>22</v>
      </c>
      <c r="C723">
        <v>2025</v>
      </c>
      <c r="D723">
        <v>1</v>
      </c>
      <c r="E723" s="2">
        <v>45659</v>
      </c>
      <c r="F723" t="s">
        <v>7</v>
      </c>
      <c r="G723" t="s">
        <v>8</v>
      </c>
      <c r="H723" t="s">
        <v>70</v>
      </c>
      <c r="I723" t="s">
        <v>82</v>
      </c>
      <c r="J723" t="s">
        <v>83</v>
      </c>
      <c r="K723" t="s">
        <v>73</v>
      </c>
      <c r="L723">
        <v>701000</v>
      </c>
      <c r="M723" t="s">
        <v>62</v>
      </c>
      <c r="N723" t="s">
        <v>33</v>
      </c>
      <c r="O723">
        <v>69</v>
      </c>
      <c r="P723">
        <v>18.41</v>
      </c>
      <c r="Q723">
        <v>1.27</v>
      </c>
      <c r="R723" t="s">
        <v>1204</v>
      </c>
      <c r="S723" t="s">
        <v>195</v>
      </c>
    </row>
    <row r="724" spans="1:19" x14ac:dyDescent="0.3">
      <c r="A724" t="s">
        <v>917</v>
      </c>
      <c r="B724" t="s">
        <v>22</v>
      </c>
      <c r="C724">
        <v>2025</v>
      </c>
      <c r="D724">
        <v>1</v>
      </c>
      <c r="E724" s="2">
        <v>45659</v>
      </c>
      <c r="F724" t="s">
        <v>7</v>
      </c>
      <c r="G724" t="s">
        <v>8</v>
      </c>
      <c r="H724" t="s">
        <v>70</v>
      </c>
      <c r="I724" t="s">
        <v>82</v>
      </c>
      <c r="J724" t="s">
        <v>83</v>
      </c>
      <c r="K724" t="s">
        <v>73</v>
      </c>
      <c r="L724">
        <v>701000</v>
      </c>
      <c r="M724" t="s">
        <v>62</v>
      </c>
      <c r="N724" t="s">
        <v>33</v>
      </c>
      <c r="O724">
        <v>45</v>
      </c>
      <c r="P724">
        <v>18.440000000000001</v>
      </c>
      <c r="Q724">
        <v>0.83</v>
      </c>
      <c r="R724" t="s">
        <v>1197</v>
      </c>
      <c r="S724" t="s">
        <v>195</v>
      </c>
    </row>
    <row r="725" spans="1:19" x14ac:dyDescent="0.3">
      <c r="A725" t="s">
        <v>918</v>
      </c>
      <c r="B725" t="s">
        <v>22</v>
      </c>
      <c r="C725">
        <v>2025</v>
      </c>
      <c r="D725">
        <v>1</v>
      </c>
      <c r="E725" s="2">
        <v>45659</v>
      </c>
      <c r="F725" t="s">
        <v>7</v>
      </c>
      <c r="G725" t="s">
        <v>8</v>
      </c>
      <c r="H725" t="s">
        <v>70</v>
      </c>
      <c r="I725" t="s">
        <v>82</v>
      </c>
      <c r="J725" t="s">
        <v>83</v>
      </c>
      <c r="K725" t="s">
        <v>73</v>
      </c>
      <c r="L725">
        <v>701000</v>
      </c>
      <c r="M725" t="s">
        <v>62</v>
      </c>
      <c r="N725" t="s">
        <v>33</v>
      </c>
      <c r="O725">
        <v>108</v>
      </c>
      <c r="P725">
        <v>18.52</v>
      </c>
      <c r="Q725">
        <v>2</v>
      </c>
      <c r="R725" t="s">
        <v>1203</v>
      </c>
      <c r="S725" t="s">
        <v>195</v>
      </c>
    </row>
    <row r="726" spans="1:19" x14ac:dyDescent="0.3">
      <c r="A726" t="s">
        <v>919</v>
      </c>
      <c r="B726" t="s">
        <v>22</v>
      </c>
      <c r="C726">
        <v>2025</v>
      </c>
      <c r="D726">
        <v>1</v>
      </c>
      <c r="E726" s="2">
        <v>45659</v>
      </c>
      <c r="F726" t="s">
        <v>7</v>
      </c>
      <c r="G726" t="s">
        <v>8</v>
      </c>
      <c r="H726" t="s">
        <v>70</v>
      </c>
      <c r="I726" t="s">
        <v>82</v>
      </c>
      <c r="J726" t="s">
        <v>83</v>
      </c>
      <c r="K726" t="s">
        <v>73</v>
      </c>
      <c r="L726">
        <v>701000</v>
      </c>
      <c r="M726" t="s">
        <v>62</v>
      </c>
      <c r="N726" t="s">
        <v>33</v>
      </c>
      <c r="O726">
        <v>167</v>
      </c>
      <c r="P726">
        <v>18.5</v>
      </c>
      <c r="Q726">
        <v>3.09</v>
      </c>
      <c r="R726" t="s">
        <v>1205</v>
      </c>
      <c r="S726" t="s">
        <v>195</v>
      </c>
    </row>
    <row r="727" spans="1:19" x14ac:dyDescent="0.3">
      <c r="A727" t="s">
        <v>920</v>
      </c>
      <c r="B727" t="s">
        <v>22</v>
      </c>
      <c r="C727">
        <v>2025</v>
      </c>
      <c r="D727">
        <v>1</v>
      </c>
      <c r="E727" s="2">
        <v>45662</v>
      </c>
      <c r="F727" t="s">
        <v>7</v>
      </c>
      <c r="G727" t="s">
        <v>8</v>
      </c>
      <c r="H727" t="s">
        <v>70</v>
      </c>
      <c r="I727" t="s">
        <v>82</v>
      </c>
      <c r="J727" t="s">
        <v>83</v>
      </c>
      <c r="K727" t="s">
        <v>73</v>
      </c>
      <c r="L727">
        <v>701000</v>
      </c>
      <c r="M727" t="s">
        <v>62</v>
      </c>
      <c r="N727" t="s">
        <v>33</v>
      </c>
      <c r="O727">
        <v>182</v>
      </c>
      <c r="P727">
        <v>18.46</v>
      </c>
      <c r="Q727">
        <v>3.36</v>
      </c>
      <c r="R727" t="s">
        <v>1203</v>
      </c>
      <c r="S727" t="s">
        <v>195</v>
      </c>
    </row>
    <row r="728" spans="1:19" x14ac:dyDescent="0.3">
      <c r="A728" t="s">
        <v>921</v>
      </c>
      <c r="B728" t="s">
        <v>22</v>
      </c>
      <c r="C728">
        <v>2025</v>
      </c>
      <c r="D728">
        <v>1</v>
      </c>
      <c r="E728" s="2">
        <v>45662</v>
      </c>
      <c r="F728" t="s">
        <v>7</v>
      </c>
      <c r="G728" t="s">
        <v>8</v>
      </c>
      <c r="H728" t="s">
        <v>70</v>
      </c>
      <c r="I728" t="s">
        <v>82</v>
      </c>
      <c r="J728" t="s">
        <v>83</v>
      </c>
      <c r="K728" t="s">
        <v>73</v>
      </c>
      <c r="L728">
        <v>701000</v>
      </c>
      <c r="M728" t="s">
        <v>62</v>
      </c>
      <c r="N728" t="s">
        <v>33</v>
      </c>
      <c r="O728">
        <v>45</v>
      </c>
      <c r="P728">
        <v>18.670000000000002</v>
      </c>
      <c r="Q728">
        <v>0.84</v>
      </c>
      <c r="R728" t="s">
        <v>1204</v>
      </c>
      <c r="S728" t="s">
        <v>195</v>
      </c>
    </row>
    <row r="729" spans="1:19" x14ac:dyDescent="0.3">
      <c r="A729" t="s">
        <v>922</v>
      </c>
      <c r="B729" t="s">
        <v>22</v>
      </c>
      <c r="C729">
        <v>2025</v>
      </c>
      <c r="D729">
        <v>1</v>
      </c>
      <c r="E729" s="2">
        <v>45662</v>
      </c>
      <c r="F729" t="s">
        <v>7</v>
      </c>
      <c r="G729" t="s">
        <v>8</v>
      </c>
      <c r="H729" t="s">
        <v>70</v>
      </c>
      <c r="I729" t="s">
        <v>82</v>
      </c>
      <c r="J729" t="s">
        <v>83</v>
      </c>
      <c r="K729" t="s">
        <v>73</v>
      </c>
      <c r="L729">
        <v>701000</v>
      </c>
      <c r="M729" t="s">
        <v>62</v>
      </c>
      <c r="N729" t="s">
        <v>33</v>
      </c>
      <c r="O729">
        <v>118</v>
      </c>
      <c r="P729">
        <v>18.47</v>
      </c>
      <c r="Q729">
        <v>2.1800000000000002</v>
      </c>
      <c r="R729" t="s">
        <v>1199</v>
      </c>
      <c r="S729" t="s">
        <v>195</v>
      </c>
    </row>
    <row r="730" spans="1:19" x14ac:dyDescent="0.3">
      <c r="A730" t="s">
        <v>923</v>
      </c>
      <c r="B730" t="s">
        <v>22</v>
      </c>
      <c r="C730">
        <v>2025</v>
      </c>
      <c r="D730">
        <v>1</v>
      </c>
      <c r="E730" s="2">
        <v>45662</v>
      </c>
      <c r="F730" t="s">
        <v>7</v>
      </c>
      <c r="G730" t="s">
        <v>8</v>
      </c>
      <c r="H730" t="s">
        <v>70</v>
      </c>
      <c r="I730" t="s">
        <v>82</v>
      </c>
      <c r="J730" t="s">
        <v>83</v>
      </c>
      <c r="K730" t="s">
        <v>73</v>
      </c>
      <c r="L730">
        <v>701000</v>
      </c>
      <c r="M730" t="s">
        <v>62</v>
      </c>
      <c r="N730" t="s">
        <v>33</v>
      </c>
      <c r="O730">
        <v>18</v>
      </c>
      <c r="P730">
        <v>17.78</v>
      </c>
      <c r="Q730">
        <v>0.32</v>
      </c>
      <c r="R730" t="s">
        <v>1202</v>
      </c>
      <c r="S730" t="s">
        <v>195</v>
      </c>
    </row>
    <row r="731" spans="1:19" x14ac:dyDescent="0.3">
      <c r="A731" t="s">
        <v>924</v>
      </c>
      <c r="B731" t="s">
        <v>22</v>
      </c>
      <c r="C731">
        <v>2025</v>
      </c>
      <c r="D731">
        <v>1</v>
      </c>
      <c r="E731" s="2">
        <v>45662</v>
      </c>
      <c r="F731" t="s">
        <v>7</v>
      </c>
      <c r="G731" t="s">
        <v>8</v>
      </c>
      <c r="H731" t="s">
        <v>70</v>
      </c>
      <c r="I731" t="s">
        <v>82</v>
      </c>
      <c r="J731" t="s">
        <v>83</v>
      </c>
      <c r="K731" t="s">
        <v>73</v>
      </c>
      <c r="L731">
        <v>701000</v>
      </c>
      <c r="M731" t="s">
        <v>62</v>
      </c>
      <c r="N731" t="s">
        <v>33</v>
      </c>
      <c r="O731">
        <v>72</v>
      </c>
      <c r="P731">
        <v>18.61</v>
      </c>
      <c r="Q731">
        <v>1.34</v>
      </c>
      <c r="R731" t="s">
        <v>1198</v>
      </c>
      <c r="S731" t="s">
        <v>195</v>
      </c>
    </row>
    <row r="732" spans="1:19" x14ac:dyDescent="0.3">
      <c r="A732" t="s">
        <v>925</v>
      </c>
      <c r="B732" t="s">
        <v>22</v>
      </c>
      <c r="C732">
        <v>2025</v>
      </c>
      <c r="D732">
        <v>1</v>
      </c>
      <c r="E732" s="2">
        <v>45668</v>
      </c>
      <c r="F732" t="s">
        <v>7</v>
      </c>
      <c r="G732" t="s">
        <v>8</v>
      </c>
      <c r="H732" t="s">
        <v>70</v>
      </c>
      <c r="I732" t="s">
        <v>82</v>
      </c>
      <c r="J732" t="s">
        <v>83</v>
      </c>
      <c r="K732" t="s">
        <v>73</v>
      </c>
      <c r="L732">
        <v>701000</v>
      </c>
      <c r="M732" t="s">
        <v>62</v>
      </c>
      <c r="N732" t="s">
        <v>33</v>
      </c>
      <c r="O732">
        <v>222</v>
      </c>
      <c r="P732">
        <v>18.47</v>
      </c>
      <c r="Q732">
        <v>4.0999999999999996</v>
      </c>
      <c r="R732" t="s">
        <v>1199</v>
      </c>
      <c r="S732" t="s">
        <v>195</v>
      </c>
    </row>
    <row r="733" spans="1:19" x14ac:dyDescent="0.3">
      <c r="A733" t="s">
        <v>926</v>
      </c>
      <c r="B733" t="s">
        <v>22</v>
      </c>
      <c r="C733">
        <v>2025</v>
      </c>
      <c r="D733">
        <v>1</v>
      </c>
      <c r="E733" s="2">
        <v>45668</v>
      </c>
      <c r="F733" t="s">
        <v>7</v>
      </c>
      <c r="G733" t="s">
        <v>8</v>
      </c>
      <c r="H733" t="s">
        <v>70</v>
      </c>
      <c r="I733" t="s">
        <v>82</v>
      </c>
      <c r="J733" t="s">
        <v>83</v>
      </c>
      <c r="K733" t="s">
        <v>73</v>
      </c>
      <c r="L733">
        <v>701000</v>
      </c>
      <c r="M733" t="s">
        <v>62</v>
      </c>
      <c r="N733" t="s">
        <v>33</v>
      </c>
      <c r="O733">
        <v>64</v>
      </c>
      <c r="P733">
        <v>18.59</v>
      </c>
      <c r="Q733">
        <v>1.19</v>
      </c>
      <c r="R733" t="s">
        <v>1201</v>
      </c>
      <c r="S733" t="s">
        <v>195</v>
      </c>
    </row>
    <row r="734" spans="1:19" x14ac:dyDescent="0.3">
      <c r="A734" t="s">
        <v>927</v>
      </c>
      <c r="B734" t="s">
        <v>22</v>
      </c>
      <c r="C734">
        <v>2025</v>
      </c>
      <c r="D734">
        <v>1</v>
      </c>
      <c r="E734" s="2">
        <v>45668</v>
      </c>
      <c r="F734" t="s">
        <v>7</v>
      </c>
      <c r="G734" t="s">
        <v>8</v>
      </c>
      <c r="H734" t="s">
        <v>70</v>
      </c>
      <c r="I734" t="s">
        <v>82</v>
      </c>
      <c r="J734" t="s">
        <v>83</v>
      </c>
      <c r="K734" t="s">
        <v>73</v>
      </c>
      <c r="L734">
        <v>701000</v>
      </c>
      <c r="M734" t="s">
        <v>62</v>
      </c>
      <c r="N734" t="s">
        <v>33</v>
      </c>
      <c r="O734">
        <v>142</v>
      </c>
      <c r="P734">
        <v>18.52</v>
      </c>
      <c r="Q734">
        <v>2.63</v>
      </c>
      <c r="R734" t="s">
        <v>1203</v>
      </c>
      <c r="S734" t="s">
        <v>195</v>
      </c>
    </row>
    <row r="735" spans="1:19" x14ac:dyDescent="0.3">
      <c r="A735" t="s">
        <v>928</v>
      </c>
      <c r="B735" t="s">
        <v>22</v>
      </c>
      <c r="C735">
        <v>2025</v>
      </c>
      <c r="D735">
        <v>1</v>
      </c>
      <c r="E735" s="2">
        <v>45668</v>
      </c>
      <c r="F735" t="s">
        <v>7</v>
      </c>
      <c r="G735" t="s">
        <v>8</v>
      </c>
      <c r="H735" t="s">
        <v>70</v>
      </c>
      <c r="I735" t="s">
        <v>82</v>
      </c>
      <c r="J735" t="s">
        <v>83</v>
      </c>
      <c r="K735" t="s">
        <v>73</v>
      </c>
      <c r="L735">
        <v>701000</v>
      </c>
      <c r="M735" t="s">
        <v>62</v>
      </c>
      <c r="N735" t="s">
        <v>33</v>
      </c>
      <c r="O735">
        <v>100</v>
      </c>
      <c r="P735">
        <v>18.5</v>
      </c>
      <c r="Q735">
        <v>1.85</v>
      </c>
      <c r="R735" t="s">
        <v>1200</v>
      </c>
      <c r="S735" t="s">
        <v>195</v>
      </c>
    </row>
    <row r="736" spans="1:19" x14ac:dyDescent="0.3">
      <c r="A736" t="s">
        <v>929</v>
      </c>
      <c r="B736" t="s">
        <v>22</v>
      </c>
      <c r="C736">
        <v>2025</v>
      </c>
      <c r="D736">
        <v>1</v>
      </c>
      <c r="E736" s="2">
        <v>45668</v>
      </c>
      <c r="F736" t="s">
        <v>7</v>
      </c>
      <c r="G736" t="s">
        <v>8</v>
      </c>
      <c r="H736" t="s">
        <v>70</v>
      </c>
      <c r="I736" t="s">
        <v>82</v>
      </c>
      <c r="J736" t="s">
        <v>83</v>
      </c>
      <c r="K736" t="s">
        <v>73</v>
      </c>
      <c r="L736">
        <v>701000</v>
      </c>
      <c r="M736" t="s">
        <v>62</v>
      </c>
      <c r="N736" t="s">
        <v>33</v>
      </c>
      <c r="O736">
        <v>19</v>
      </c>
      <c r="P736">
        <v>17.89</v>
      </c>
      <c r="Q736">
        <v>0.34</v>
      </c>
      <c r="R736" t="s">
        <v>1197</v>
      </c>
      <c r="S736" t="s">
        <v>195</v>
      </c>
    </row>
    <row r="737" spans="1:19" x14ac:dyDescent="0.3">
      <c r="A737" t="s">
        <v>930</v>
      </c>
      <c r="B737" t="s">
        <v>22</v>
      </c>
      <c r="C737">
        <v>2025</v>
      </c>
      <c r="D737">
        <v>1</v>
      </c>
      <c r="E737" s="2">
        <v>45675</v>
      </c>
      <c r="F737" t="s">
        <v>7</v>
      </c>
      <c r="G737" t="s">
        <v>8</v>
      </c>
      <c r="H737" t="s">
        <v>70</v>
      </c>
      <c r="I737" t="s">
        <v>82</v>
      </c>
      <c r="J737" t="s">
        <v>83</v>
      </c>
      <c r="K737" t="s">
        <v>73</v>
      </c>
      <c r="L737">
        <v>701000</v>
      </c>
      <c r="M737" t="s">
        <v>62</v>
      </c>
      <c r="N737" t="s">
        <v>33</v>
      </c>
      <c r="O737">
        <v>46</v>
      </c>
      <c r="P737">
        <v>18.48</v>
      </c>
      <c r="Q737">
        <v>0.85</v>
      </c>
      <c r="R737" t="s">
        <v>1197</v>
      </c>
      <c r="S737" t="s">
        <v>195</v>
      </c>
    </row>
    <row r="738" spans="1:19" x14ac:dyDescent="0.3">
      <c r="A738" t="s">
        <v>931</v>
      </c>
      <c r="B738" t="s">
        <v>22</v>
      </c>
      <c r="C738">
        <v>2025</v>
      </c>
      <c r="D738">
        <v>1</v>
      </c>
      <c r="E738" s="2">
        <v>45675</v>
      </c>
      <c r="F738" t="s">
        <v>7</v>
      </c>
      <c r="G738" t="s">
        <v>8</v>
      </c>
      <c r="H738" t="s">
        <v>70</v>
      </c>
      <c r="I738" t="s">
        <v>82</v>
      </c>
      <c r="J738" t="s">
        <v>83</v>
      </c>
      <c r="K738" t="s">
        <v>73</v>
      </c>
      <c r="L738">
        <v>701000</v>
      </c>
      <c r="M738" t="s">
        <v>62</v>
      </c>
      <c r="N738" t="s">
        <v>33</v>
      </c>
      <c r="O738">
        <v>120</v>
      </c>
      <c r="P738">
        <v>18.579999999999998</v>
      </c>
      <c r="Q738">
        <v>2.23</v>
      </c>
      <c r="R738" t="s">
        <v>1204</v>
      </c>
      <c r="S738" t="s">
        <v>195</v>
      </c>
    </row>
    <row r="739" spans="1:19" x14ac:dyDescent="0.3">
      <c r="A739" t="s">
        <v>932</v>
      </c>
      <c r="B739" t="s">
        <v>22</v>
      </c>
      <c r="C739">
        <v>2025</v>
      </c>
      <c r="D739">
        <v>1</v>
      </c>
      <c r="E739" s="2">
        <v>45675</v>
      </c>
      <c r="F739" t="s">
        <v>7</v>
      </c>
      <c r="G739" t="s">
        <v>8</v>
      </c>
      <c r="H739" t="s">
        <v>70</v>
      </c>
      <c r="I739" t="s">
        <v>82</v>
      </c>
      <c r="J739" t="s">
        <v>83</v>
      </c>
      <c r="K739" t="s">
        <v>73</v>
      </c>
      <c r="L739">
        <v>701000</v>
      </c>
      <c r="M739" t="s">
        <v>62</v>
      </c>
      <c r="N739" t="s">
        <v>33</v>
      </c>
      <c r="O739">
        <v>67</v>
      </c>
      <c r="P739">
        <v>18.36</v>
      </c>
      <c r="Q739">
        <v>1.23</v>
      </c>
      <c r="R739" t="s">
        <v>1205</v>
      </c>
      <c r="S739" t="s">
        <v>195</v>
      </c>
    </row>
    <row r="740" spans="1:19" x14ac:dyDescent="0.3">
      <c r="A740" t="s">
        <v>933</v>
      </c>
      <c r="B740" t="s">
        <v>22</v>
      </c>
      <c r="C740">
        <v>2025</v>
      </c>
      <c r="D740">
        <v>1</v>
      </c>
      <c r="E740" s="2">
        <v>45675</v>
      </c>
      <c r="F740" t="s">
        <v>7</v>
      </c>
      <c r="G740" t="s">
        <v>8</v>
      </c>
      <c r="H740" t="s">
        <v>70</v>
      </c>
      <c r="I740" t="s">
        <v>82</v>
      </c>
      <c r="J740" t="s">
        <v>83</v>
      </c>
      <c r="K740" t="s">
        <v>73</v>
      </c>
      <c r="L740">
        <v>701000</v>
      </c>
      <c r="M740" t="s">
        <v>62</v>
      </c>
      <c r="N740" t="s">
        <v>33</v>
      </c>
      <c r="O740">
        <v>29</v>
      </c>
      <c r="P740">
        <v>18.28</v>
      </c>
      <c r="Q740">
        <v>0.53</v>
      </c>
      <c r="R740" t="s">
        <v>1200</v>
      </c>
      <c r="S740" t="s">
        <v>195</v>
      </c>
    </row>
    <row r="741" spans="1:19" x14ac:dyDescent="0.3">
      <c r="A741" t="s">
        <v>934</v>
      </c>
      <c r="B741" t="s">
        <v>22</v>
      </c>
      <c r="C741">
        <v>2025</v>
      </c>
      <c r="D741">
        <v>1</v>
      </c>
      <c r="E741" s="2">
        <v>45675</v>
      </c>
      <c r="F741" t="s">
        <v>7</v>
      </c>
      <c r="G741" t="s">
        <v>8</v>
      </c>
      <c r="H741" t="s">
        <v>70</v>
      </c>
      <c r="I741" t="s">
        <v>82</v>
      </c>
      <c r="J741" t="s">
        <v>83</v>
      </c>
      <c r="K741" t="s">
        <v>73</v>
      </c>
      <c r="L741">
        <v>701000</v>
      </c>
      <c r="M741" t="s">
        <v>62</v>
      </c>
      <c r="N741" t="s">
        <v>33</v>
      </c>
      <c r="O741">
        <v>186</v>
      </c>
      <c r="P741">
        <v>18.489999999999998</v>
      </c>
      <c r="Q741">
        <v>3.44</v>
      </c>
      <c r="R741" t="s">
        <v>1198</v>
      </c>
      <c r="S741" t="s">
        <v>195</v>
      </c>
    </row>
    <row r="742" spans="1:19" x14ac:dyDescent="0.3">
      <c r="A742" t="s">
        <v>935</v>
      </c>
      <c r="B742" t="s">
        <v>22</v>
      </c>
      <c r="C742">
        <v>2025</v>
      </c>
      <c r="D742">
        <v>1</v>
      </c>
      <c r="E742" s="2">
        <v>45676</v>
      </c>
      <c r="F742" t="s">
        <v>7</v>
      </c>
      <c r="G742" t="s">
        <v>8</v>
      </c>
      <c r="H742" t="s">
        <v>70</v>
      </c>
      <c r="I742" t="s">
        <v>82</v>
      </c>
      <c r="J742" t="s">
        <v>83</v>
      </c>
      <c r="K742" t="s">
        <v>73</v>
      </c>
      <c r="L742">
        <v>701000</v>
      </c>
      <c r="M742" t="s">
        <v>62</v>
      </c>
      <c r="N742" t="s">
        <v>33</v>
      </c>
      <c r="O742">
        <v>25</v>
      </c>
      <c r="P742">
        <v>18.399999999999999</v>
      </c>
      <c r="Q742">
        <v>0.46</v>
      </c>
      <c r="R742" t="s">
        <v>1198</v>
      </c>
      <c r="S742" t="s">
        <v>195</v>
      </c>
    </row>
    <row r="743" spans="1:19" x14ac:dyDescent="0.3">
      <c r="A743" t="s">
        <v>936</v>
      </c>
      <c r="B743" t="s">
        <v>22</v>
      </c>
      <c r="C743">
        <v>2025</v>
      </c>
      <c r="D743">
        <v>1</v>
      </c>
      <c r="E743" s="2">
        <v>45676</v>
      </c>
      <c r="F743" t="s">
        <v>7</v>
      </c>
      <c r="G743" t="s">
        <v>8</v>
      </c>
      <c r="H743" t="s">
        <v>70</v>
      </c>
      <c r="I743" t="s">
        <v>82</v>
      </c>
      <c r="J743" t="s">
        <v>83</v>
      </c>
      <c r="K743" t="s">
        <v>73</v>
      </c>
      <c r="L743">
        <v>701000</v>
      </c>
      <c r="M743" t="s">
        <v>62</v>
      </c>
      <c r="N743" t="s">
        <v>33</v>
      </c>
      <c r="O743">
        <v>96</v>
      </c>
      <c r="P743">
        <v>18.440000000000001</v>
      </c>
      <c r="Q743">
        <v>1.77</v>
      </c>
      <c r="R743" t="s">
        <v>1203</v>
      </c>
      <c r="S743" t="s">
        <v>195</v>
      </c>
    </row>
    <row r="744" spans="1:19" x14ac:dyDescent="0.3">
      <c r="A744" t="s">
        <v>937</v>
      </c>
      <c r="B744" t="s">
        <v>22</v>
      </c>
      <c r="C744">
        <v>2025</v>
      </c>
      <c r="D744">
        <v>1</v>
      </c>
      <c r="E744" s="2">
        <v>45676</v>
      </c>
      <c r="F744" t="s">
        <v>7</v>
      </c>
      <c r="G744" t="s">
        <v>8</v>
      </c>
      <c r="H744" t="s">
        <v>70</v>
      </c>
      <c r="I744" t="s">
        <v>82</v>
      </c>
      <c r="J744" t="s">
        <v>83</v>
      </c>
      <c r="K744" t="s">
        <v>73</v>
      </c>
      <c r="L744">
        <v>701000</v>
      </c>
      <c r="M744" t="s">
        <v>62</v>
      </c>
      <c r="N744" t="s">
        <v>33</v>
      </c>
      <c r="O744">
        <v>70</v>
      </c>
      <c r="P744">
        <v>18.57</v>
      </c>
      <c r="Q744">
        <v>1.3</v>
      </c>
      <c r="R744" t="s">
        <v>1200</v>
      </c>
      <c r="S744" t="s">
        <v>195</v>
      </c>
    </row>
    <row r="745" spans="1:19" x14ac:dyDescent="0.3">
      <c r="A745" t="s">
        <v>938</v>
      </c>
      <c r="B745" t="s">
        <v>22</v>
      </c>
      <c r="C745">
        <v>2025</v>
      </c>
      <c r="D745">
        <v>1</v>
      </c>
      <c r="E745" s="2">
        <v>45676</v>
      </c>
      <c r="F745" t="s">
        <v>7</v>
      </c>
      <c r="G745" t="s">
        <v>8</v>
      </c>
      <c r="H745" t="s">
        <v>70</v>
      </c>
      <c r="I745" t="s">
        <v>82</v>
      </c>
      <c r="J745" t="s">
        <v>83</v>
      </c>
      <c r="K745" t="s">
        <v>73</v>
      </c>
      <c r="L745">
        <v>701000</v>
      </c>
      <c r="M745" t="s">
        <v>62</v>
      </c>
      <c r="N745" t="s">
        <v>33</v>
      </c>
      <c r="O745">
        <v>176</v>
      </c>
      <c r="P745">
        <v>18.47</v>
      </c>
      <c r="Q745">
        <v>3.25</v>
      </c>
      <c r="R745" t="s">
        <v>1205</v>
      </c>
      <c r="S745" t="s">
        <v>195</v>
      </c>
    </row>
    <row r="746" spans="1:19" x14ac:dyDescent="0.3">
      <c r="A746" t="s">
        <v>939</v>
      </c>
      <c r="B746" t="s">
        <v>22</v>
      </c>
      <c r="C746">
        <v>2025</v>
      </c>
      <c r="D746">
        <v>1</v>
      </c>
      <c r="E746" s="2">
        <v>45676</v>
      </c>
      <c r="F746" t="s">
        <v>7</v>
      </c>
      <c r="G746" t="s">
        <v>8</v>
      </c>
      <c r="H746" t="s">
        <v>70</v>
      </c>
      <c r="I746" t="s">
        <v>82</v>
      </c>
      <c r="J746" t="s">
        <v>83</v>
      </c>
      <c r="K746" t="s">
        <v>73</v>
      </c>
      <c r="L746">
        <v>701000</v>
      </c>
      <c r="M746" t="s">
        <v>62</v>
      </c>
      <c r="N746" t="s">
        <v>33</v>
      </c>
      <c r="O746">
        <v>108</v>
      </c>
      <c r="P746">
        <v>18.52</v>
      </c>
      <c r="Q746">
        <v>2</v>
      </c>
      <c r="R746" t="s">
        <v>1201</v>
      </c>
      <c r="S746" t="s">
        <v>195</v>
      </c>
    </row>
    <row r="747" spans="1:19" x14ac:dyDescent="0.3">
      <c r="A747" t="s">
        <v>940</v>
      </c>
      <c r="B747" t="s">
        <v>22</v>
      </c>
      <c r="C747">
        <v>2025</v>
      </c>
      <c r="D747">
        <v>1</v>
      </c>
      <c r="E747" s="2">
        <v>45684</v>
      </c>
      <c r="F747" t="s">
        <v>7</v>
      </c>
      <c r="G747" t="s">
        <v>8</v>
      </c>
      <c r="H747" t="s">
        <v>70</v>
      </c>
      <c r="I747" t="s">
        <v>82</v>
      </c>
      <c r="J747" t="s">
        <v>83</v>
      </c>
      <c r="K747" t="s">
        <v>73</v>
      </c>
      <c r="L747">
        <v>701000</v>
      </c>
      <c r="M747" t="s">
        <v>62</v>
      </c>
      <c r="N747" t="s">
        <v>33</v>
      </c>
      <c r="O747">
        <v>146</v>
      </c>
      <c r="P747">
        <v>18.559999999999999</v>
      </c>
      <c r="Q747">
        <v>2.71</v>
      </c>
      <c r="R747" t="s">
        <v>1203</v>
      </c>
      <c r="S747" t="s">
        <v>195</v>
      </c>
    </row>
    <row r="748" spans="1:19" x14ac:dyDescent="0.3">
      <c r="A748" t="s">
        <v>941</v>
      </c>
      <c r="B748" t="s">
        <v>22</v>
      </c>
      <c r="C748">
        <v>2025</v>
      </c>
      <c r="D748">
        <v>1</v>
      </c>
      <c r="E748" s="2">
        <v>45684</v>
      </c>
      <c r="F748" t="s">
        <v>7</v>
      </c>
      <c r="G748" t="s">
        <v>8</v>
      </c>
      <c r="H748" t="s">
        <v>70</v>
      </c>
      <c r="I748" t="s">
        <v>82</v>
      </c>
      <c r="J748" t="s">
        <v>83</v>
      </c>
      <c r="K748" t="s">
        <v>73</v>
      </c>
      <c r="L748">
        <v>701000</v>
      </c>
      <c r="M748" t="s">
        <v>62</v>
      </c>
      <c r="N748" t="s">
        <v>33</v>
      </c>
      <c r="O748">
        <v>155</v>
      </c>
      <c r="P748">
        <v>18.45</v>
      </c>
      <c r="Q748">
        <v>2.86</v>
      </c>
      <c r="R748" t="s">
        <v>1204</v>
      </c>
      <c r="S748" t="s">
        <v>195</v>
      </c>
    </row>
    <row r="749" spans="1:19" x14ac:dyDescent="0.3">
      <c r="A749" t="s">
        <v>942</v>
      </c>
      <c r="B749" t="s">
        <v>22</v>
      </c>
      <c r="C749">
        <v>2025</v>
      </c>
      <c r="D749">
        <v>1</v>
      </c>
      <c r="E749" s="2">
        <v>45684</v>
      </c>
      <c r="F749" t="s">
        <v>7</v>
      </c>
      <c r="G749" t="s">
        <v>8</v>
      </c>
      <c r="H749" t="s">
        <v>70</v>
      </c>
      <c r="I749" t="s">
        <v>82</v>
      </c>
      <c r="J749" t="s">
        <v>83</v>
      </c>
      <c r="K749" t="s">
        <v>73</v>
      </c>
      <c r="L749">
        <v>701000</v>
      </c>
      <c r="M749" t="s">
        <v>62</v>
      </c>
      <c r="N749" t="s">
        <v>33</v>
      </c>
      <c r="O749">
        <v>118</v>
      </c>
      <c r="P749">
        <v>18.559999999999999</v>
      </c>
      <c r="Q749">
        <v>2.19</v>
      </c>
      <c r="R749" t="s">
        <v>1199</v>
      </c>
      <c r="S749" t="s">
        <v>195</v>
      </c>
    </row>
    <row r="750" spans="1:19" x14ac:dyDescent="0.3">
      <c r="A750" t="s">
        <v>943</v>
      </c>
      <c r="B750" t="s">
        <v>22</v>
      </c>
      <c r="C750">
        <v>2025</v>
      </c>
      <c r="D750">
        <v>1</v>
      </c>
      <c r="E750" s="2">
        <v>45684</v>
      </c>
      <c r="F750" t="s">
        <v>7</v>
      </c>
      <c r="G750" t="s">
        <v>8</v>
      </c>
      <c r="H750" t="s">
        <v>70</v>
      </c>
      <c r="I750" t="s">
        <v>82</v>
      </c>
      <c r="J750" t="s">
        <v>83</v>
      </c>
      <c r="K750" t="s">
        <v>73</v>
      </c>
      <c r="L750">
        <v>701000</v>
      </c>
      <c r="M750" t="s">
        <v>62</v>
      </c>
      <c r="N750" t="s">
        <v>33</v>
      </c>
      <c r="O750">
        <v>112</v>
      </c>
      <c r="P750">
        <v>18.48</v>
      </c>
      <c r="Q750">
        <v>2.0699999999999998</v>
      </c>
      <c r="R750" t="s">
        <v>1201</v>
      </c>
      <c r="S750" t="s">
        <v>195</v>
      </c>
    </row>
    <row r="751" spans="1:19" x14ac:dyDescent="0.3">
      <c r="A751" t="s">
        <v>944</v>
      </c>
      <c r="B751" t="s">
        <v>22</v>
      </c>
      <c r="C751">
        <v>2025</v>
      </c>
      <c r="D751">
        <v>1</v>
      </c>
      <c r="E751" s="2">
        <v>45684</v>
      </c>
      <c r="F751" t="s">
        <v>7</v>
      </c>
      <c r="G751" t="s">
        <v>8</v>
      </c>
      <c r="H751" t="s">
        <v>70</v>
      </c>
      <c r="I751" t="s">
        <v>82</v>
      </c>
      <c r="J751" t="s">
        <v>83</v>
      </c>
      <c r="K751" t="s">
        <v>73</v>
      </c>
      <c r="L751">
        <v>701000</v>
      </c>
      <c r="M751" t="s">
        <v>62</v>
      </c>
      <c r="N751" t="s">
        <v>33</v>
      </c>
      <c r="O751">
        <v>29</v>
      </c>
      <c r="P751">
        <v>18.28</v>
      </c>
      <c r="Q751">
        <v>0.53</v>
      </c>
      <c r="R751" t="s">
        <v>1200</v>
      </c>
      <c r="S751" t="s">
        <v>195</v>
      </c>
    </row>
    <row r="752" spans="1:19" x14ac:dyDescent="0.3">
      <c r="A752" t="s">
        <v>945</v>
      </c>
      <c r="B752" t="s">
        <v>22</v>
      </c>
      <c r="C752">
        <v>2025</v>
      </c>
      <c r="D752">
        <v>1</v>
      </c>
      <c r="E752" s="2">
        <v>45664</v>
      </c>
      <c r="F752" t="s">
        <v>7</v>
      </c>
      <c r="G752" t="s">
        <v>8</v>
      </c>
      <c r="H752" t="s">
        <v>74</v>
      </c>
      <c r="I752" t="s">
        <v>82</v>
      </c>
      <c r="J752" t="s">
        <v>83</v>
      </c>
      <c r="K752" t="s">
        <v>73</v>
      </c>
      <c r="L752">
        <v>701000</v>
      </c>
      <c r="M752" t="s">
        <v>62</v>
      </c>
      <c r="N752" t="s">
        <v>33</v>
      </c>
      <c r="O752">
        <v>61</v>
      </c>
      <c r="P752">
        <v>18.36</v>
      </c>
      <c r="Q752">
        <v>1.1200000000000001</v>
      </c>
      <c r="R752" t="s">
        <v>1200</v>
      </c>
      <c r="S752" t="s">
        <v>195</v>
      </c>
    </row>
    <row r="753" spans="1:19" x14ac:dyDescent="0.3">
      <c r="A753" t="s">
        <v>946</v>
      </c>
      <c r="B753" t="s">
        <v>22</v>
      </c>
      <c r="C753">
        <v>2025</v>
      </c>
      <c r="D753">
        <v>1</v>
      </c>
      <c r="E753" s="2">
        <v>45664</v>
      </c>
      <c r="F753" t="s">
        <v>7</v>
      </c>
      <c r="G753" t="s">
        <v>8</v>
      </c>
      <c r="H753" t="s">
        <v>74</v>
      </c>
      <c r="I753" t="s">
        <v>82</v>
      </c>
      <c r="J753" t="s">
        <v>83</v>
      </c>
      <c r="K753" t="s">
        <v>73</v>
      </c>
      <c r="L753">
        <v>701000</v>
      </c>
      <c r="M753" t="s">
        <v>62</v>
      </c>
      <c r="N753" t="s">
        <v>33</v>
      </c>
      <c r="O753">
        <v>141</v>
      </c>
      <c r="P753">
        <v>18.440000000000001</v>
      </c>
      <c r="Q753">
        <v>2.6</v>
      </c>
      <c r="R753" t="s">
        <v>1202</v>
      </c>
      <c r="S753" t="s">
        <v>195</v>
      </c>
    </row>
    <row r="754" spans="1:19" x14ac:dyDescent="0.3">
      <c r="A754" t="s">
        <v>947</v>
      </c>
      <c r="B754" t="s">
        <v>22</v>
      </c>
      <c r="C754">
        <v>2025</v>
      </c>
      <c r="D754">
        <v>1</v>
      </c>
      <c r="E754" s="2">
        <v>45664</v>
      </c>
      <c r="F754" t="s">
        <v>7</v>
      </c>
      <c r="G754" t="s">
        <v>8</v>
      </c>
      <c r="H754" t="s">
        <v>74</v>
      </c>
      <c r="I754" t="s">
        <v>82</v>
      </c>
      <c r="J754" t="s">
        <v>83</v>
      </c>
      <c r="K754" t="s">
        <v>73</v>
      </c>
      <c r="L754">
        <v>701000</v>
      </c>
      <c r="M754" t="s">
        <v>62</v>
      </c>
      <c r="N754" t="s">
        <v>33</v>
      </c>
      <c r="O754">
        <v>161</v>
      </c>
      <c r="P754">
        <v>18.510000000000002</v>
      </c>
      <c r="Q754">
        <v>2.98</v>
      </c>
      <c r="R754" t="s">
        <v>1199</v>
      </c>
      <c r="S754" t="s">
        <v>195</v>
      </c>
    </row>
    <row r="755" spans="1:19" x14ac:dyDescent="0.3">
      <c r="A755" t="s">
        <v>948</v>
      </c>
      <c r="B755" t="s">
        <v>22</v>
      </c>
      <c r="C755">
        <v>2025</v>
      </c>
      <c r="D755">
        <v>1</v>
      </c>
      <c r="E755" s="2">
        <v>45664</v>
      </c>
      <c r="F755" t="s">
        <v>7</v>
      </c>
      <c r="G755" t="s">
        <v>8</v>
      </c>
      <c r="H755" t="s">
        <v>74</v>
      </c>
      <c r="I755" t="s">
        <v>82</v>
      </c>
      <c r="J755" t="s">
        <v>83</v>
      </c>
      <c r="K755" t="s">
        <v>73</v>
      </c>
      <c r="L755">
        <v>701000</v>
      </c>
      <c r="M755" t="s">
        <v>62</v>
      </c>
      <c r="N755" t="s">
        <v>33</v>
      </c>
      <c r="O755">
        <v>154</v>
      </c>
      <c r="P755">
        <v>18.510000000000002</v>
      </c>
      <c r="Q755">
        <v>2.85</v>
      </c>
      <c r="R755" t="s">
        <v>1201</v>
      </c>
      <c r="S755" t="s">
        <v>195</v>
      </c>
    </row>
    <row r="756" spans="1:19" x14ac:dyDescent="0.3">
      <c r="A756" t="s">
        <v>949</v>
      </c>
      <c r="B756" t="s">
        <v>22</v>
      </c>
      <c r="C756">
        <v>2025</v>
      </c>
      <c r="D756">
        <v>1</v>
      </c>
      <c r="E756" s="2">
        <v>45664</v>
      </c>
      <c r="F756" t="s">
        <v>7</v>
      </c>
      <c r="G756" t="s">
        <v>8</v>
      </c>
      <c r="H756" t="s">
        <v>74</v>
      </c>
      <c r="I756" t="s">
        <v>82</v>
      </c>
      <c r="J756" t="s">
        <v>83</v>
      </c>
      <c r="K756" t="s">
        <v>73</v>
      </c>
      <c r="L756">
        <v>701000</v>
      </c>
      <c r="M756" t="s">
        <v>62</v>
      </c>
      <c r="N756" t="s">
        <v>33</v>
      </c>
      <c r="O756">
        <v>68</v>
      </c>
      <c r="P756">
        <v>18.68</v>
      </c>
      <c r="Q756">
        <v>1.27</v>
      </c>
      <c r="R756" t="s">
        <v>1203</v>
      </c>
      <c r="S756" t="s">
        <v>195</v>
      </c>
    </row>
    <row r="757" spans="1:19" x14ac:dyDescent="0.3">
      <c r="A757" t="s">
        <v>950</v>
      </c>
      <c r="B757" t="s">
        <v>22</v>
      </c>
      <c r="C757">
        <v>2025</v>
      </c>
      <c r="D757">
        <v>1</v>
      </c>
      <c r="E757" s="2">
        <v>45665</v>
      </c>
      <c r="F757" t="s">
        <v>7</v>
      </c>
      <c r="G757" t="s">
        <v>8</v>
      </c>
      <c r="H757" t="s">
        <v>74</v>
      </c>
      <c r="I757" t="s">
        <v>82</v>
      </c>
      <c r="J757" t="s">
        <v>83</v>
      </c>
      <c r="K757" t="s">
        <v>73</v>
      </c>
      <c r="L757">
        <v>701000</v>
      </c>
      <c r="M757" t="s">
        <v>62</v>
      </c>
      <c r="N757" t="s">
        <v>33</v>
      </c>
      <c r="O757">
        <v>106</v>
      </c>
      <c r="P757">
        <v>18.489999999999998</v>
      </c>
      <c r="Q757">
        <v>1.96</v>
      </c>
      <c r="R757" t="s">
        <v>1201</v>
      </c>
      <c r="S757" t="s">
        <v>195</v>
      </c>
    </row>
    <row r="758" spans="1:19" x14ac:dyDescent="0.3">
      <c r="A758" t="s">
        <v>951</v>
      </c>
      <c r="B758" t="s">
        <v>22</v>
      </c>
      <c r="C758">
        <v>2025</v>
      </c>
      <c r="D758">
        <v>1</v>
      </c>
      <c r="E758" s="2">
        <v>45665</v>
      </c>
      <c r="F758" t="s">
        <v>7</v>
      </c>
      <c r="G758" t="s">
        <v>8</v>
      </c>
      <c r="H758" t="s">
        <v>74</v>
      </c>
      <c r="I758" t="s">
        <v>82</v>
      </c>
      <c r="J758" t="s">
        <v>83</v>
      </c>
      <c r="K758" t="s">
        <v>73</v>
      </c>
      <c r="L758">
        <v>701000</v>
      </c>
      <c r="M758" t="s">
        <v>62</v>
      </c>
      <c r="N758" t="s">
        <v>33</v>
      </c>
      <c r="O758">
        <v>52</v>
      </c>
      <c r="P758">
        <v>18.27</v>
      </c>
      <c r="Q758">
        <v>0.95</v>
      </c>
      <c r="R758" t="s">
        <v>1202</v>
      </c>
      <c r="S758" t="s">
        <v>195</v>
      </c>
    </row>
    <row r="759" spans="1:19" x14ac:dyDescent="0.3">
      <c r="A759" t="s">
        <v>952</v>
      </c>
      <c r="B759" t="s">
        <v>22</v>
      </c>
      <c r="C759">
        <v>2025</v>
      </c>
      <c r="D759">
        <v>1</v>
      </c>
      <c r="E759" s="2">
        <v>45665</v>
      </c>
      <c r="F759" t="s">
        <v>7</v>
      </c>
      <c r="G759" t="s">
        <v>8</v>
      </c>
      <c r="H759" t="s">
        <v>74</v>
      </c>
      <c r="I759" t="s">
        <v>82</v>
      </c>
      <c r="J759" t="s">
        <v>83</v>
      </c>
      <c r="K759" t="s">
        <v>73</v>
      </c>
      <c r="L759">
        <v>701000</v>
      </c>
      <c r="M759" t="s">
        <v>62</v>
      </c>
      <c r="N759" t="s">
        <v>33</v>
      </c>
      <c r="O759">
        <v>206</v>
      </c>
      <c r="P759">
        <v>18.54</v>
      </c>
      <c r="Q759">
        <v>3.82</v>
      </c>
      <c r="R759" t="s">
        <v>1205</v>
      </c>
      <c r="S759" t="s">
        <v>195</v>
      </c>
    </row>
    <row r="760" spans="1:19" x14ac:dyDescent="0.3">
      <c r="A760" t="s">
        <v>953</v>
      </c>
      <c r="B760" t="s">
        <v>22</v>
      </c>
      <c r="C760">
        <v>2025</v>
      </c>
      <c r="D760">
        <v>1</v>
      </c>
      <c r="E760" s="2">
        <v>45665</v>
      </c>
      <c r="F760" t="s">
        <v>7</v>
      </c>
      <c r="G760" t="s">
        <v>8</v>
      </c>
      <c r="H760" t="s">
        <v>74</v>
      </c>
      <c r="I760" t="s">
        <v>82</v>
      </c>
      <c r="J760" t="s">
        <v>83</v>
      </c>
      <c r="K760" t="s">
        <v>73</v>
      </c>
      <c r="L760">
        <v>701000</v>
      </c>
      <c r="M760" t="s">
        <v>62</v>
      </c>
      <c r="N760" t="s">
        <v>33</v>
      </c>
      <c r="O760">
        <v>82</v>
      </c>
      <c r="P760">
        <v>18.41</v>
      </c>
      <c r="Q760">
        <v>1.51</v>
      </c>
      <c r="R760" t="s">
        <v>1197</v>
      </c>
      <c r="S760" t="s">
        <v>195</v>
      </c>
    </row>
    <row r="761" spans="1:19" x14ac:dyDescent="0.3">
      <c r="A761" t="s">
        <v>954</v>
      </c>
      <c r="B761" t="s">
        <v>22</v>
      </c>
      <c r="C761">
        <v>2025</v>
      </c>
      <c r="D761">
        <v>1</v>
      </c>
      <c r="E761" s="2">
        <v>45665</v>
      </c>
      <c r="F761" t="s">
        <v>7</v>
      </c>
      <c r="G761" t="s">
        <v>8</v>
      </c>
      <c r="H761" t="s">
        <v>74</v>
      </c>
      <c r="I761" t="s">
        <v>82</v>
      </c>
      <c r="J761" t="s">
        <v>83</v>
      </c>
      <c r="K761" t="s">
        <v>73</v>
      </c>
      <c r="L761">
        <v>701000</v>
      </c>
      <c r="M761" t="s">
        <v>62</v>
      </c>
      <c r="N761" t="s">
        <v>33</v>
      </c>
      <c r="O761">
        <v>45</v>
      </c>
      <c r="P761">
        <v>18.670000000000002</v>
      </c>
      <c r="Q761">
        <v>0.84</v>
      </c>
      <c r="R761" t="s">
        <v>1198</v>
      </c>
      <c r="S761" t="s">
        <v>195</v>
      </c>
    </row>
    <row r="762" spans="1:19" x14ac:dyDescent="0.3">
      <c r="A762" t="s">
        <v>955</v>
      </c>
      <c r="B762" t="s">
        <v>22</v>
      </c>
      <c r="C762">
        <v>2025</v>
      </c>
      <c r="D762">
        <v>1</v>
      </c>
      <c r="E762" s="2">
        <v>45683</v>
      </c>
      <c r="F762" t="s">
        <v>7</v>
      </c>
      <c r="G762" t="s">
        <v>8</v>
      </c>
      <c r="H762" t="s">
        <v>70</v>
      </c>
      <c r="I762" t="s">
        <v>82</v>
      </c>
      <c r="J762" t="s">
        <v>83</v>
      </c>
      <c r="K762" t="s">
        <v>73</v>
      </c>
      <c r="L762">
        <v>701000</v>
      </c>
      <c r="M762" t="s">
        <v>62</v>
      </c>
      <c r="N762" t="s">
        <v>33</v>
      </c>
      <c r="O762">
        <v>210</v>
      </c>
      <c r="P762">
        <v>18.48</v>
      </c>
      <c r="Q762">
        <v>3.88</v>
      </c>
      <c r="R762" t="s">
        <v>1199</v>
      </c>
      <c r="S762" t="s">
        <v>195</v>
      </c>
    </row>
    <row r="763" spans="1:19" x14ac:dyDescent="0.3">
      <c r="A763" t="s">
        <v>956</v>
      </c>
      <c r="B763" t="s">
        <v>22</v>
      </c>
      <c r="C763">
        <v>2025</v>
      </c>
      <c r="D763">
        <v>1</v>
      </c>
      <c r="E763" s="2">
        <v>45683</v>
      </c>
      <c r="F763" t="s">
        <v>7</v>
      </c>
      <c r="G763" t="s">
        <v>8</v>
      </c>
      <c r="H763" t="s">
        <v>70</v>
      </c>
      <c r="I763" t="s">
        <v>82</v>
      </c>
      <c r="J763" t="s">
        <v>83</v>
      </c>
      <c r="K763" t="s">
        <v>73</v>
      </c>
      <c r="L763">
        <v>701000</v>
      </c>
      <c r="M763" t="s">
        <v>62</v>
      </c>
      <c r="N763" t="s">
        <v>33</v>
      </c>
      <c r="O763">
        <v>55</v>
      </c>
      <c r="P763">
        <v>18.55</v>
      </c>
      <c r="Q763">
        <v>1.02</v>
      </c>
      <c r="R763" t="s">
        <v>1201</v>
      </c>
      <c r="S763" t="s">
        <v>195</v>
      </c>
    </row>
    <row r="764" spans="1:19" x14ac:dyDescent="0.3">
      <c r="A764" t="s">
        <v>957</v>
      </c>
      <c r="B764" t="s">
        <v>22</v>
      </c>
      <c r="C764">
        <v>2025</v>
      </c>
      <c r="D764">
        <v>1</v>
      </c>
      <c r="E764" s="2">
        <v>45683</v>
      </c>
      <c r="F764" t="s">
        <v>7</v>
      </c>
      <c r="G764" t="s">
        <v>8</v>
      </c>
      <c r="H764" t="s">
        <v>70</v>
      </c>
      <c r="I764" t="s">
        <v>82</v>
      </c>
      <c r="J764" t="s">
        <v>83</v>
      </c>
      <c r="K764" t="s">
        <v>73</v>
      </c>
      <c r="L764">
        <v>701000</v>
      </c>
      <c r="M764" t="s">
        <v>62</v>
      </c>
      <c r="N764" t="s">
        <v>33</v>
      </c>
      <c r="O764">
        <v>20</v>
      </c>
      <c r="P764">
        <v>18</v>
      </c>
      <c r="Q764">
        <v>0.36</v>
      </c>
      <c r="R764" t="s">
        <v>1200</v>
      </c>
      <c r="S764" t="s">
        <v>195</v>
      </c>
    </row>
    <row r="765" spans="1:19" x14ac:dyDescent="0.3">
      <c r="A765" t="s">
        <v>958</v>
      </c>
      <c r="B765" t="s">
        <v>22</v>
      </c>
      <c r="C765">
        <v>2025</v>
      </c>
      <c r="D765">
        <v>1</v>
      </c>
      <c r="E765" s="2">
        <v>45683</v>
      </c>
      <c r="F765" t="s">
        <v>7</v>
      </c>
      <c r="G765" t="s">
        <v>8</v>
      </c>
      <c r="H765" t="s">
        <v>70</v>
      </c>
      <c r="I765" t="s">
        <v>82</v>
      </c>
      <c r="J765" t="s">
        <v>83</v>
      </c>
      <c r="K765" t="s">
        <v>73</v>
      </c>
      <c r="L765">
        <v>701000</v>
      </c>
      <c r="M765" t="s">
        <v>62</v>
      </c>
      <c r="N765" t="s">
        <v>33</v>
      </c>
      <c r="O765">
        <v>131</v>
      </c>
      <c r="P765">
        <v>18.47</v>
      </c>
      <c r="Q765">
        <v>2.42</v>
      </c>
      <c r="R765" t="s">
        <v>1202</v>
      </c>
      <c r="S765" t="s">
        <v>195</v>
      </c>
    </row>
    <row r="766" spans="1:19" x14ac:dyDescent="0.3">
      <c r="A766" t="s">
        <v>959</v>
      </c>
      <c r="B766" t="s">
        <v>22</v>
      </c>
      <c r="C766">
        <v>2025</v>
      </c>
      <c r="D766">
        <v>1</v>
      </c>
      <c r="E766" s="2">
        <v>45683</v>
      </c>
      <c r="F766" t="s">
        <v>7</v>
      </c>
      <c r="G766" t="s">
        <v>8</v>
      </c>
      <c r="H766" t="s">
        <v>70</v>
      </c>
      <c r="I766" t="s">
        <v>82</v>
      </c>
      <c r="J766" t="s">
        <v>83</v>
      </c>
      <c r="K766" t="s">
        <v>73</v>
      </c>
      <c r="L766">
        <v>701000</v>
      </c>
      <c r="M766" t="s">
        <v>62</v>
      </c>
      <c r="N766" t="s">
        <v>33</v>
      </c>
      <c r="O766">
        <v>103</v>
      </c>
      <c r="P766">
        <v>18.64</v>
      </c>
      <c r="Q766">
        <v>1.92</v>
      </c>
      <c r="R766" t="s">
        <v>1204</v>
      </c>
      <c r="S766" t="s">
        <v>195</v>
      </c>
    </row>
    <row r="767" spans="1:19" x14ac:dyDescent="0.3">
      <c r="A767" t="s">
        <v>960</v>
      </c>
      <c r="B767" t="s">
        <v>22</v>
      </c>
      <c r="C767">
        <v>2025</v>
      </c>
      <c r="D767">
        <v>1</v>
      </c>
      <c r="E767" s="2">
        <v>45685</v>
      </c>
      <c r="F767" t="s">
        <v>7</v>
      </c>
      <c r="G767" t="s">
        <v>8</v>
      </c>
      <c r="H767" t="s">
        <v>74</v>
      </c>
      <c r="I767" t="s">
        <v>82</v>
      </c>
      <c r="J767" t="s">
        <v>83</v>
      </c>
      <c r="K767" t="s">
        <v>73</v>
      </c>
      <c r="L767">
        <v>709000</v>
      </c>
      <c r="M767" t="s">
        <v>86</v>
      </c>
      <c r="N767" t="s">
        <v>33</v>
      </c>
      <c r="O767">
        <v>0</v>
      </c>
      <c r="P767">
        <v>-2480</v>
      </c>
      <c r="Q767">
        <v>-2.48</v>
      </c>
      <c r="R767" t="s">
        <v>1204</v>
      </c>
      <c r="S767" t="s">
        <v>195</v>
      </c>
    </row>
    <row r="768" spans="1:19" x14ac:dyDescent="0.3">
      <c r="A768" t="s">
        <v>961</v>
      </c>
      <c r="B768" t="s">
        <v>22</v>
      </c>
      <c r="C768">
        <v>2025</v>
      </c>
      <c r="D768">
        <v>1</v>
      </c>
      <c r="E768" s="2">
        <v>45685</v>
      </c>
      <c r="F768" t="s">
        <v>7</v>
      </c>
      <c r="G768" t="s">
        <v>8</v>
      </c>
      <c r="H768" t="s">
        <v>74</v>
      </c>
      <c r="I768" t="s">
        <v>82</v>
      </c>
      <c r="J768" t="s">
        <v>83</v>
      </c>
      <c r="K768" t="s">
        <v>73</v>
      </c>
      <c r="L768">
        <v>709000</v>
      </c>
      <c r="M768" t="s">
        <v>86</v>
      </c>
      <c r="N768" t="s">
        <v>33</v>
      </c>
      <c r="O768">
        <v>0</v>
      </c>
      <c r="P768">
        <v>-350</v>
      </c>
      <c r="Q768">
        <v>-0.35</v>
      </c>
      <c r="R768" t="s">
        <v>1205</v>
      </c>
      <c r="S768" t="s">
        <v>195</v>
      </c>
    </row>
    <row r="769" spans="1:19" x14ac:dyDescent="0.3">
      <c r="A769" t="s">
        <v>962</v>
      </c>
      <c r="B769" t="s">
        <v>22</v>
      </c>
      <c r="C769">
        <v>2025</v>
      </c>
      <c r="D769">
        <v>1</v>
      </c>
      <c r="E769" s="2">
        <v>45685</v>
      </c>
      <c r="F769" t="s">
        <v>7</v>
      </c>
      <c r="G769" t="s">
        <v>8</v>
      </c>
      <c r="H769" t="s">
        <v>74</v>
      </c>
      <c r="I769" t="s">
        <v>82</v>
      </c>
      <c r="J769" t="s">
        <v>83</v>
      </c>
      <c r="K769" t="s">
        <v>73</v>
      </c>
      <c r="L769">
        <v>709000</v>
      </c>
      <c r="M769" t="s">
        <v>86</v>
      </c>
      <c r="N769" t="s">
        <v>33</v>
      </c>
      <c r="O769">
        <v>0</v>
      </c>
      <c r="P769">
        <v>-690</v>
      </c>
      <c r="Q769">
        <v>-0.69</v>
      </c>
      <c r="R769" t="s">
        <v>1199</v>
      </c>
      <c r="S769" t="s">
        <v>195</v>
      </c>
    </row>
    <row r="770" spans="1:19" x14ac:dyDescent="0.3">
      <c r="A770" t="s">
        <v>963</v>
      </c>
      <c r="B770" t="s">
        <v>22</v>
      </c>
      <c r="C770">
        <v>2025</v>
      </c>
      <c r="D770">
        <v>1</v>
      </c>
      <c r="E770" s="2">
        <v>45685</v>
      </c>
      <c r="F770" t="s">
        <v>7</v>
      </c>
      <c r="G770" t="s">
        <v>8</v>
      </c>
      <c r="H770" t="s">
        <v>74</v>
      </c>
      <c r="I770" t="s">
        <v>82</v>
      </c>
      <c r="J770" t="s">
        <v>83</v>
      </c>
      <c r="K770" t="s">
        <v>73</v>
      </c>
      <c r="L770">
        <v>709000</v>
      </c>
      <c r="M770" t="s">
        <v>86</v>
      </c>
      <c r="N770" t="s">
        <v>33</v>
      </c>
      <c r="O770">
        <v>0</v>
      </c>
      <c r="P770">
        <v>-150</v>
      </c>
      <c r="Q770">
        <v>-0.15</v>
      </c>
      <c r="R770" t="s">
        <v>1203</v>
      </c>
      <c r="S770" t="s">
        <v>195</v>
      </c>
    </row>
    <row r="771" spans="1:19" x14ac:dyDescent="0.3">
      <c r="A771" t="s">
        <v>964</v>
      </c>
      <c r="B771" t="s">
        <v>22</v>
      </c>
      <c r="C771">
        <v>2025</v>
      </c>
      <c r="D771">
        <v>1</v>
      </c>
      <c r="E771" s="2">
        <v>45685</v>
      </c>
      <c r="F771" t="s">
        <v>7</v>
      </c>
      <c r="G771" t="s">
        <v>8</v>
      </c>
      <c r="H771" t="s">
        <v>74</v>
      </c>
      <c r="I771" t="s">
        <v>82</v>
      </c>
      <c r="J771" t="s">
        <v>83</v>
      </c>
      <c r="K771" t="s">
        <v>73</v>
      </c>
      <c r="L771">
        <v>709000</v>
      </c>
      <c r="M771" t="s">
        <v>86</v>
      </c>
      <c r="N771" t="s">
        <v>33</v>
      </c>
      <c r="O771">
        <v>0</v>
      </c>
      <c r="P771">
        <v>-1430</v>
      </c>
      <c r="Q771">
        <v>-1.43</v>
      </c>
      <c r="R771" t="s">
        <v>1198</v>
      </c>
      <c r="S771" t="s">
        <v>195</v>
      </c>
    </row>
    <row r="772" spans="1:19" x14ac:dyDescent="0.3">
      <c r="A772" t="s">
        <v>965</v>
      </c>
      <c r="B772" t="s">
        <v>22</v>
      </c>
      <c r="C772">
        <v>2025</v>
      </c>
      <c r="D772">
        <v>2</v>
      </c>
      <c r="E772" s="2">
        <v>45696</v>
      </c>
      <c r="F772" t="s">
        <v>7</v>
      </c>
      <c r="G772" t="s">
        <v>8</v>
      </c>
      <c r="H772" t="s">
        <v>74</v>
      </c>
      <c r="I772" t="s">
        <v>84</v>
      </c>
      <c r="J772" t="s">
        <v>85</v>
      </c>
      <c r="K772" t="s">
        <v>73</v>
      </c>
      <c r="L772">
        <v>701000</v>
      </c>
      <c r="M772" t="s">
        <v>62</v>
      </c>
      <c r="N772" t="s">
        <v>33</v>
      </c>
      <c r="O772">
        <v>3738</v>
      </c>
      <c r="P772">
        <v>0.95</v>
      </c>
      <c r="Q772">
        <v>3.55</v>
      </c>
      <c r="R772" t="s">
        <v>1200</v>
      </c>
      <c r="S772" t="s">
        <v>195</v>
      </c>
    </row>
    <row r="773" spans="1:19" x14ac:dyDescent="0.3">
      <c r="A773" t="s">
        <v>966</v>
      </c>
      <c r="B773" t="s">
        <v>22</v>
      </c>
      <c r="C773">
        <v>2025</v>
      </c>
      <c r="D773">
        <v>2</v>
      </c>
      <c r="E773" s="2">
        <v>45696</v>
      </c>
      <c r="F773" t="s">
        <v>7</v>
      </c>
      <c r="G773" t="s">
        <v>8</v>
      </c>
      <c r="H773" t="s">
        <v>74</v>
      </c>
      <c r="I773" t="s">
        <v>84</v>
      </c>
      <c r="J773" t="s">
        <v>85</v>
      </c>
      <c r="K773" t="s">
        <v>73</v>
      </c>
      <c r="L773">
        <v>701000</v>
      </c>
      <c r="M773" t="s">
        <v>62</v>
      </c>
      <c r="N773" t="s">
        <v>33</v>
      </c>
      <c r="O773">
        <v>1023</v>
      </c>
      <c r="P773">
        <v>0.95</v>
      </c>
      <c r="Q773">
        <v>0.97</v>
      </c>
      <c r="R773" t="s">
        <v>1197</v>
      </c>
      <c r="S773" t="s">
        <v>195</v>
      </c>
    </row>
    <row r="774" spans="1:19" x14ac:dyDescent="0.3">
      <c r="A774" t="s">
        <v>967</v>
      </c>
      <c r="B774" t="s">
        <v>22</v>
      </c>
      <c r="C774">
        <v>2025</v>
      </c>
      <c r="D774">
        <v>2</v>
      </c>
      <c r="E774" s="2">
        <v>45696</v>
      </c>
      <c r="F774" t="s">
        <v>7</v>
      </c>
      <c r="G774" t="s">
        <v>8</v>
      </c>
      <c r="H774" t="s">
        <v>74</v>
      </c>
      <c r="I774" t="s">
        <v>84</v>
      </c>
      <c r="J774" t="s">
        <v>85</v>
      </c>
      <c r="K774" t="s">
        <v>73</v>
      </c>
      <c r="L774">
        <v>701000</v>
      </c>
      <c r="M774" t="s">
        <v>62</v>
      </c>
      <c r="N774" t="s">
        <v>33</v>
      </c>
      <c r="O774">
        <v>2660</v>
      </c>
      <c r="P774">
        <v>0.95</v>
      </c>
      <c r="Q774">
        <v>2.5299999999999998</v>
      </c>
      <c r="R774" t="s">
        <v>1203</v>
      </c>
      <c r="S774" t="s">
        <v>195</v>
      </c>
    </row>
    <row r="775" spans="1:19" x14ac:dyDescent="0.3">
      <c r="A775" t="s">
        <v>968</v>
      </c>
      <c r="B775" t="s">
        <v>22</v>
      </c>
      <c r="C775">
        <v>2025</v>
      </c>
      <c r="D775">
        <v>2</v>
      </c>
      <c r="E775" s="2">
        <v>45696</v>
      </c>
      <c r="F775" t="s">
        <v>7</v>
      </c>
      <c r="G775" t="s">
        <v>8</v>
      </c>
      <c r="H775" t="s">
        <v>74</v>
      </c>
      <c r="I775" t="s">
        <v>84</v>
      </c>
      <c r="J775" t="s">
        <v>85</v>
      </c>
      <c r="K775" t="s">
        <v>73</v>
      </c>
      <c r="L775">
        <v>701000</v>
      </c>
      <c r="M775" t="s">
        <v>62</v>
      </c>
      <c r="N775" t="s">
        <v>33</v>
      </c>
      <c r="O775">
        <v>1479</v>
      </c>
      <c r="P775">
        <v>0.95</v>
      </c>
      <c r="Q775">
        <v>1.41</v>
      </c>
      <c r="R775" t="s">
        <v>1205</v>
      </c>
      <c r="S775" t="s">
        <v>195</v>
      </c>
    </row>
    <row r="776" spans="1:19" x14ac:dyDescent="0.3">
      <c r="A776" t="s">
        <v>969</v>
      </c>
      <c r="B776" t="s">
        <v>22</v>
      </c>
      <c r="C776">
        <v>2025</v>
      </c>
      <c r="D776">
        <v>2</v>
      </c>
      <c r="E776" s="2">
        <v>45696</v>
      </c>
      <c r="F776" t="s">
        <v>7</v>
      </c>
      <c r="G776" t="s">
        <v>8</v>
      </c>
      <c r="H776" t="s">
        <v>74</v>
      </c>
      <c r="I776" t="s">
        <v>84</v>
      </c>
      <c r="J776" t="s">
        <v>85</v>
      </c>
      <c r="K776" t="s">
        <v>73</v>
      </c>
      <c r="L776">
        <v>701000</v>
      </c>
      <c r="M776" t="s">
        <v>62</v>
      </c>
      <c r="N776" t="s">
        <v>33</v>
      </c>
      <c r="O776">
        <v>5748</v>
      </c>
      <c r="P776">
        <v>0.95</v>
      </c>
      <c r="Q776">
        <v>5.46</v>
      </c>
      <c r="R776" t="s">
        <v>1202</v>
      </c>
      <c r="S776" t="s">
        <v>195</v>
      </c>
    </row>
    <row r="777" spans="1:19" x14ac:dyDescent="0.3">
      <c r="A777" t="s">
        <v>970</v>
      </c>
      <c r="B777" t="s">
        <v>22</v>
      </c>
      <c r="C777">
        <v>2025</v>
      </c>
      <c r="D777">
        <v>2</v>
      </c>
      <c r="E777" s="2">
        <v>45716</v>
      </c>
      <c r="F777" t="s">
        <v>7</v>
      </c>
      <c r="G777" t="s">
        <v>8</v>
      </c>
      <c r="H777" t="s">
        <v>70</v>
      </c>
      <c r="I777" t="s">
        <v>84</v>
      </c>
      <c r="J777" t="s">
        <v>85</v>
      </c>
      <c r="K777" t="s">
        <v>73</v>
      </c>
      <c r="L777">
        <v>701000</v>
      </c>
      <c r="M777" t="s">
        <v>62</v>
      </c>
      <c r="N777" t="s">
        <v>33</v>
      </c>
      <c r="O777">
        <v>1177</v>
      </c>
      <c r="P777">
        <v>0.95</v>
      </c>
      <c r="Q777">
        <v>1.1200000000000001</v>
      </c>
      <c r="R777" t="s">
        <v>1200</v>
      </c>
      <c r="S777" t="s">
        <v>195</v>
      </c>
    </row>
    <row r="778" spans="1:19" x14ac:dyDescent="0.3">
      <c r="A778" t="s">
        <v>971</v>
      </c>
      <c r="B778" t="s">
        <v>22</v>
      </c>
      <c r="C778">
        <v>2025</v>
      </c>
      <c r="D778">
        <v>2</v>
      </c>
      <c r="E778" s="2">
        <v>45716</v>
      </c>
      <c r="F778" t="s">
        <v>7</v>
      </c>
      <c r="G778" t="s">
        <v>8</v>
      </c>
      <c r="H778" t="s">
        <v>70</v>
      </c>
      <c r="I778" t="s">
        <v>84</v>
      </c>
      <c r="J778" t="s">
        <v>85</v>
      </c>
      <c r="K778" t="s">
        <v>73</v>
      </c>
      <c r="L778">
        <v>701000</v>
      </c>
      <c r="M778" t="s">
        <v>62</v>
      </c>
      <c r="N778" t="s">
        <v>33</v>
      </c>
      <c r="O778">
        <v>3652</v>
      </c>
      <c r="P778">
        <v>0.95</v>
      </c>
      <c r="Q778">
        <v>3.47</v>
      </c>
      <c r="R778" t="s">
        <v>1201</v>
      </c>
      <c r="S778" t="s">
        <v>195</v>
      </c>
    </row>
    <row r="779" spans="1:19" x14ac:dyDescent="0.3">
      <c r="A779" t="s">
        <v>972</v>
      </c>
      <c r="B779" t="s">
        <v>22</v>
      </c>
      <c r="C779">
        <v>2025</v>
      </c>
      <c r="D779">
        <v>2</v>
      </c>
      <c r="E779" s="2">
        <v>45716</v>
      </c>
      <c r="F779" t="s">
        <v>7</v>
      </c>
      <c r="G779" t="s">
        <v>8</v>
      </c>
      <c r="H779" t="s">
        <v>70</v>
      </c>
      <c r="I779" t="s">
        <v>84</v>
      </c>
      <c r="J779" t="s">
        <v>85</v>
      </c>
      <c r="K779" t="s">
        <v>73</v>
      </c>
      <c r="L779">
        <v>701000</v>
      </c>
      <c r="M779" t="s">
        <v>62</v>
      </c>
      <c r="N779" t="s">
        <v>33</v>
      </c>
      <c r="O779">
        <v>2629</v>
      </c>
      <c r="P779">
        <v>0.95</v>
      </c>
      <c r="Q779">
        <v>2.5</v>
      </c>
      <c r="R779" t="s">
        <v>1205</v>
      </c>
      <c r="S779" t="s">
        <v>195</v>
      </c>
    </row>
    <row r="780" spans="1:19" x14ac:dyDescent="0.3">
      <c r="A780" t="s">
        <v>973</v>
      </c>
      <c r="B780" t="s">
        <v>22</v>
      </c>
      <c r="C780">
        <v>2025</v>
      </c>
      <c r="D780">
        <v>2</v>
      </c>
      <c r="E780" s="2">
        <v>45716</v>
      </c>
      <c r="F780" t="s">
        <v>7</v>
      </c>
      <c r="G780" t="s">
        <v>8</v>
      </c>
      <c r="H780" t="s">
        <v>70</v>
      </c>
      <c r="I780" t="s">
        <v>84</v>
      </c>
      <c r="J780" t="s">
        <v>85</v>
      </c>
      <c r="K780" t="s">
        <v>73</v>
      </c>
      <c r="L780">
        <v>701000</v>
      </c>
      <c r="M780" t="s">
        <v>62</v>
      </c>
      <c r="N780" t="s">
        <v>33</v>
      </c>
      <c r="O780">
        <v>6404</v>
      </c>
      <c r="P780">
        <v>0.95</v>
      </c>
      <c r="Q780">
        <v>6.08</v>
      </c>
      <c r="R780" t="s">
        <v>1204</v>
      </c>
      <c r="S780" t="s">
        <v>195</v>
      </c>
    </row>
    <row r="781" spans="1:19" x14ac:dyDescent="0.3">
      <c r="A781" t="s">
        <v>974</v>
      </c>
      <c r="B781" t="s">
        <v>22</v>
      </c>
      <c r="C781">
        <v>2025</v>
      </c>
      <c r="D781">
        <v>2</v>
      </c>
      <c r="E781" s="2">
        <v>45716</v>
      </c>
      <c r="F781" t="s">
        <v>7</v>
      </c>
      <c r="G781" t="s">
        <v>8</v>
      </c>
      <c r="H781" t="s">
        <v>70</v>
      </c>
      <c r="I781" t="s">
        <v>84</v>
      </c>
      <c r="J781" t="s">
        <v>85</v>
      </c>
      <c r="K781" t="s">
        <v>73</v>
      </c>
      <c r="L781">
        <v>701000</v>
      </c>
      <c r="M781" t="s">
        <v>62</v>
      </c>
      <c r="N781" t="s">
        <v>33</v>
      </c>
      <c r="O781">
        <v>3475</v>
      </c>
      <c r="P781">
        <v>0.95</v>
      </c>
      <c r="Q781">
        <v>3.3</v>
      </c>
      <c r="R781" t="s">
        <v>1202</v>
      </c>
      <c r="S781" t="s">
        <v>195</v>
      </c>
    </row>
    <row r="782" spans="1:19" x14ac:dyDescent="0.3">
      <c r="A782" t="s">
        <v>975</v>
      </c>
      <c r="B782" t="s">
        <v>22</v>
      </c>
      <c r="C782">
        <v>2025</v>
      </c>
      <c r="D782">
        <v>2</v>
      </c>
      <c r="E782" s="2">
        <v>45715</v>
      </c>
      <c r="F782" t="s">
        <v>7</v>
      </c>
      <c r="G782" t="s">
        <v>8</v>
      </c>
      <c r="H782" t="s">
        <v>74</v>
      </c>
      <c r="I782" t="s">
        <v>84</v>
      </c>
      <c r="J782" t="s">
        <v>85</v>
      </c>
      <c r="K782" t="s">
        <v>73</v>
      </c>
      <c r="L782">
        <v>701000</v>
      </c>
      <c r="M782" t="s">
        <v>62</v>
      </c>
      <c r="N782" t="s">
        <v>33</v>
      </c>
      <c r="O782">
        <v>5581</v>
      </c>
      <c r="P782">
        <v>0.95</v>
      </c>
      <c r="Q782">
        <v>5.3</v>
      </c>
      <c r="R782" t="s">
        <v>1203</v>
      </c>
      <c r="S782" t="s">
        <v>195</v>
      </c>
    </row>
    <row r="783" spans="1:19" x14ac:dyDescent="0.3">
      <c r="A783" t="s">
        <v>976</v>
      </c>
      <c r="B783" t="s">
        <v>22</v>
      </c>
      <c r="C783">
        <v>2025</v>
      </c>
      <c r="D783">
        <v>2</v>
      </c>
      <c r="E783" s="2">
        <v>45715</v>
      </c>
      <c r="F783" t="s">
        <v>7</v>
      </c>
      <c r="G783" t="s">
        <v>8</v>
      </c>
      <c r="H783" t="s">
        <v>74</v>
      </c>
      <c r="I783" t="s">
        <v>84</v>
      </c>
      <c r="J783" t="s">
        <v>85</v>
      </c>
      <c r="K783" t="s">
        <v>73</v>
      </c>
      <c r="L783">
        <v>701000</v>
      </c>
      <c r="M783" t="s">
        <v>62</v>
      </c>
      <c r="N783" t="s">
        <v>33</v>
      </c>
      <c r="O783">
        <v>1213</v>
      </c>
      <c r="P783">
        <v>0.95</v>
      </c>
      <c r="Q783">
        <v>1.1499999999999999</v>
      </c>
      <c r="R783" t="s">
        <v>1197</v>
      </c>
      <c r="S783" t="s">
        <v>195</v>
      </c>
    </row>
    <row r="784" spans="1:19" x14ac:dyDescent="0.3">
      <c r="A784" t="s">
        <v>977</v>
      </c>
      <c r="B784" t="s">
        <v>22</v>
      </c>
      <c r="C784">
        <v>2025</v>
      </c>
      <c r="D784">
        <v>2</v>
      </c>
      <c r="E784" s="2">
        <v>45715</v>
      </c>
      <c r="F784" t="s">
        <v>7</v>
      </c>
      <c r="G784" t="s">
        <v>8</v>
      </c>
      <c r="H784" t="s">
        <v>74</v>
      </c>
      <c r="I784" t="s">
        <v>84</v>
      </c>
      <c r="J784" t="s">
        <v>85</v>
      </c>
      <c r="K784" t="s">
        <v>73</v>
      </c>
      <c r="L784">
        <v>701000</v>
      </c>
      <c r="M784" t="s">
        <v>62</v>
      </c>
      <c r="N784" t="s">
        <v>33</v>
      </c>
      <c r="O784">
        <v>2242</v>
      </c>
      <c r="P784">
        <v>0.95</v>
      </c>
      <c r="Q784">
        <v>2.13</v>
      </c>
      <c r="R784" t="s">
        <v>1199</v>
      </c>
      <c r="S784" t="s">
        <v>195</v>
      </c>
    </row>
    <row r="785" spans="1:19" x14ac:dyDescent="0.3">
      <c r="A785" t="s">
        <v>978</v>
      </c>
      <c r="B785" t="s">
        <v>22</v>
      </c>
      <c r="C785">
        <v>2025</v>
      </c>
      <c r="D785">
        <v>2</v>
      </c>
      <c r="E785" s="2">
        <v>45715</v>
      </c>
      <c r="F785" t="s">
        <v>7</v>
      </c>
      <c r="G785" t="s">
        <v>8</v>
      </c>
      <c r="H785" t="s">
        <v>74</v>
      </c>
      <c r="I785" t="s">
        <v>84</v>
      </c>
      <c r="J785" t="s">
        <v>85</v>
      </c>
      <c r="K785" t="s">
        <v>73</v>
      </c>
      <c r="L785">
        <v>701000</v>
      </c>
      <c r="M785" t="s">
        <v>62</v>
      </c>
      <c r="N785" t="s">
        <v>33</v>
      </c>
      <c r="O785">
        <v>3878</v>
      </c>
      <c r="P785">
        <v>0.95</v>
      </c>
      <c r="Q785">
        <v>3.68</v>
      </c>
      <c r="R785" t="s">
        <v>1198</v>
      </c>
      <c r="S785" t="s">
        <v>195</v>
      </c>
    </row>
    <row r="786" spans="1:19" x14ac:dyDescent="0.3">
      <c r="A786" t="s">
        <v>979</v>
      </c>
      <c r="B786" t="s">
        <v>22</v>
      </c>
      <c r="C786">
        <v>2025</v>
      </c>
      <c r="D786">
        <v>2</v>
      </c>
      <c r="E786" s="2">
        <v>45715</v>
      </c>
      <c r="F786" t="s">
        <v>7</v>
      </c>
      <c r="G786" t="s">
        <v>8</v>
      </c>
      <c r="H786" t="s">
        <v>74</v>
      </c>
      <c r="I786" t="s">
        <v>84</v>
      </c>
      <c r="J786" t="s">
        <v>85</v>
      </c>
      <c r="K786" t="s">
        <v>73</v>
      </c>
      <c r="L786">
        <v>701000</v>
      </c>
      <c r="M786" t="s">
        <v>62</v>
      </c>
      <c r="N786" t="s">
        <v>33</v>
      </c>
      <c r="O786">
        <v>6688</v>
      </c>
      <c r="P786">
        <v>0.95</v>
      </c>
      <c r="Q786">
        <v>6.36</v>
      </c>
      <c r="R786" t="s">
        <v>1202</v>
      </c>
      <c r="S786" t="s">
        <v>195</v>
      </c>
    </row>
    <row r="787" spans="1:19" x14ac:dyDescent="0.3">
      <c r="A787" t="s">
        <v>980</v>
      </c>
      <c r="B787" t="s">
        <v>22</v>
      </c>
      <c r="C787">
        <v>2025</v>
      </c>
      <c r="D787">
        <v>2</v>
      </c>
      <c r="E787" s="2">
        <v>45710</v>
      </c>
      <c r="F787" t="s">
        <v>7</v>
      </c>
      <c r="G787" t="s">
        <v>8</v>
      </c>
      <c r="H787" t="s">
        <v>74</v>
      </c>
      <c r="I787" t="s">
        <v>84</v>
      </c>
      <c r="J787" t="s">
        <v>85</v>
      </c>
      <c r="K787" t="s">
        <v>73</v>
      </c>
      <c r="L787">
        <v>701000</v>
      </c>
      <c r="M787" t="s">
        <v>62</v>
      </c>
      <c r="N787" t="s">
        <v>33</v>
      </c>
      <c r="O787">
        <v>1956</v>
      </c>
      <c r="P787">
        <v>0.95</v>
      </c>
      <c r="Q787">
        <v>1.86</v>
      </c>
      <c r="R787" t="s">
        <v>1203</v>
      </c>
      <c r="S787" t="s">
        <v>195</v>
      </c>
    </row>
    <row r="788" spans="1:19" x14ac:dyDescent="0.3">
      <c r="A788" t="s">
        <v>981</v>
      </c>
      <c r="B788" t="s">
        <v>22</v>
      </c>
      <c r="C788">
        <v>2025</v>
      </c>
      <c r="D788">
        <v>2</v>
      </c>
      <c r="E788" s="2">
        <v>45710</v>
      </c>
      <c r="F788" t="s">
        <v>7</v>
      </c>
      <c r="G788" t="s">
        <v>8</v>
      </c>
      <c r="H788" t="s">
        <v>74</v>
      </c>
      <c r="I788" t="s">
        <v>84</v>
      </c>
      <c r="J788" t="s">
        <v>85</v>
      </c>
      <c r="K788" t="s">
        <v>73</v>
      </c>
      <c r="L788">
        <v>701000</v>
      </c>
      <c r="M788" t="s">
        <v>62</v>
      </c>
      <c r="N788" t="s">
        <v>33</v>
      </c>
      <c r="O788">
        <v>2459</v>
      </c>
      <c r="P788">
        <v>0.95</v>
      </c>
      <c r="Q788">
        <v>2.34</v>
      </c>
      <c r="R788" t="s">
        <v>1200</v>
      </c>
      <c r="S788" t="s">
        <v>195</v>
      </c>
    </row>
    <row r="789" spans="1:19" x14ac:dyDescent="0.3">
      <c r="A789" t="s">
        <v>982</v>
      </c>
      <c r="B789" t="s">
        <v>22</v>
      </c>
      <c r="C789">
        <v>2025</v>
      </c>
      <c r="D789">
        <v>2</v>
      </c>
      <c r="E789" s="2">
        <v>45710</v>
      </c>
      <c r="F789" t="s">
        <v>7</v>
      </c>
      <c r="G789" t="s">
        <v>8</v>
      </c>
      <c r="H789" t="s">
        <v>74</v>
      </c>
      <c r="I789" t="s">
        <v>84</v>
      </c>
      <c r="J789" t="s">
        <v>85</v>
      </c>
      <c r="K789" t="s">
        <v>73</v>
      </c>
      <c r="L789">
        <v>701000</v>
      </c>
      <c r="M789" t="s">
        <v>62</v>
      </c>
      <c r="N789" t="s">
        <v>33</v>
      </c>
      <c r="O789">
        <v>2276</v>
      </c>
      <c r="P789">
        <v>0.95</v>
      </c>
      <c r="Q789">
        <v>2.16</v>
      </c>
      <c r="R789" t="s">
        <v>1201</v>
      </c>
      <c r="S789" t="s">
        <v>195</v>
      </c>
    </row>
    <row r="790" spans="1:19" x14ac:dyDescent="0.3">
      <c r="A790" t="s">
        <v>983</v>
      </c>
      <c r="B790" t="s">
        <v>22</v>
      </c>
      <c r="C790">
        <v>2025</v>
      </c>
      <c r="D790">
        <v>2</v>
      </c>
      <c r="E790" s="2">
        <v>45710</v>
      </c>
      <c r="F790" t="s">
        <v>7</v>
      </c>
      <c r="G790" t="s">
        <v>8</v>
      </c>
      <c r="H790" t="s">
        <v>74</v>
      </c>
      <c r="I790" t="s">
        <v>84</v>
      </c>
      <c r="J790" t="s">
        <v>85</v>
      </c>
      <c r="K790" t="s">
        <v>73</v>
      </c>
      <c r="L790">
        <v>701000</v>
      </c>
      <c r="M790" t="s">
        <v>62</v>
      </c>
      <c r="N790" t="s">
        <v>33</v>
      </c>
      <c r="O790">
        <v>5976</v>
      </c>
      <c r="P790">
        <v>0.95</v>
      </c>
      <c r="Q790">
        <v>5.68</v>
      </c>
      <c r="R790" t="s">
        <v>1205</v>
      </c>
      <c r="S790" t="s">
        <v>195</v>
      </c>
    </row>
    <row r="791" spans="1:19" x14ac:dyDescent="0.3">
      <c r="A791" t="s">
        <v>984</v>
      </c>
      <c r="B791" t="s">
        <v>22</v>
      </c>
      <c r="C791">
        <v>2025</v>
      </c>
      <c r="D791">
        <v>2</v>
      </c>
      <c r="E791" s="2">
        <v>45710</v>
      </c>
      <c r="F791" t="s">
        <v>7</v>
      </c>
      <c r="G791" t="s">
        <v>8</v>
      </c>
      <c r="H791" t="s">
        <v>74</v>
      </c>
      <c r="I791" t="s">
        <v>84</v>
      </c>
      <c r="J791" t="s">
        <v>85</v>
      </c>
      <c r="K791" t="s">
        <v>73</v>
      </c>
      <c r="L791">
        <v>701000</v>
      </c>
      <c r="M791" t="s">
        <v>62</v>
      </c>
      <c r="N791" t="s">
        <v>33</v>
      </c>
      <c r="O791">
        <v>3350</v>
      </c>
      <c r="P791">
        <v>0.95</v>
      </c>
      <c r="Q791">
        <v>3.18</v>
      </c>
      <c r="R791" t="s">
        <v>1199</v>
      </c>
      <c r="S791" t="s">
        <v>195</v>
      </c>
    </row>
    <row r="792" spans="1:19" x14ac:dyDescent="0.3">
      <c r="A792" t="s">
        <v>985</v>
      </c>
      <c r="B792" t="s">
        <v>22</v>
      </c>
      <c r="C792">
        <v>2025</v>
      </c>
      <c r="D792">
        <v>2</v>
      </c>
      <c r="E792" s="2">
        <v>45703</v>
      </c>
      <c r="F792" t="s">
        <v>7</v>
      </c>
      <c r="G792" t="s">
        <v>8</v>
      </c>
      <c r="H792" t="s">
        <v>70</v>
      </c>
      <c r="I792" t="s">
        <v>84</v>
      </c>
      <c r="J792" t="s">
        <v>85</v>
      </c>
      <c r="K792" t="s">
        <v>73</v>
      </c>
      <c r="L792">
        <v>701000</v>
      </c>
      <c r="M792" t="s">
        <v>62</v>
      </c>
      <c r="N792" t="s">
        <v>33</v>
      </c>
      <c r="O792">
        <v>4018</v>
      </c>
      <c r="P792">
        <v>0.95</v>
      </c>
      <c r="Q792">
        <v>3.82</v>
      </c>
      <c r="R792" t="s">
        <v>1204</v>
      </c>
      <c r="S792" t="s">
        <v>195</v>
      </c>
    </row>
    <row r="793" spans="1:19" x14ac:dyDescent="0.3">
      <c r="A793" t="s">
        <v>986</v>
      </c>
      <c r="B793" t="s">
        <v>22</v>
      </c>
      <c r="C793">
        <v>2025</v>
      </c>
      <c r="D793">
        <v>2</v>
      </c>
      <c r="E793" s="2">
        <v>45703</v>
      </c>
      <c r="F793" t="s">
        <v>7</v>
      </c>
      <c r="G793" t="s">
        <v>8</v>
      </c>
      <c r="H793" t="s">
        <v>70</v>
      </c>
      <c r="I793" t="s">
        <v>84</v>
      </c>
      <c r="J793" t="s">
        <v>85</v>
      </c>
      <c r="K793" t="s">
        <v>73</v>
      </c>
      <c r="L793">
        <v>701000</v>
      </c>
      <c r="M793" t="s">
        <v>62</v>
      </c>
      <c r="N793" t="s">
        <v>33</v>
      </c>
      <c r="O793">
        <v>3517</v>
      </c>
      <c r="P793">
        <v>0.95</v>
      </c>
      <c r="Q793">
        <v>3.34</v>
      </c>
      <c r="R793" t="s">
        <v>1201</v>
      </c>
      <c r="S793" t="s">
        <v>195</v>
      </c>
    </row>
    <row r="794" spans="1:19" x14ac:dyDescent="0.3">
      <c r="A794" t="s">
        <v>987</v>
      </c>
      <c r="B794" t="s">
        <v>22</v>
      </c>
      <c r="C794">
        <v>2025</v>
      </c>
      <c r="D794">
        <v>2</v>
      </c>
      <c r="E794" s="2">
        <v>45703</v>
      </c>
      <c r="F794" t="s">
        <v>7</v>
      </c>
      <c r="G794" t="s">
        <v>8</v>
      </c>
      <c r="H794" t="s">
        <v>70</v>
      </c>
      <c r="I794" t="s">
        <v>84</v>
      </c>
      <c r="J794" t="s">
        <v>85</v>
      </c>
      <c r="K794" t="s">
        <v>73</v>
      </c>
      <c r="L794">
        <v>701000</v>
      </c>
      <c r="M794" t="s">
        <v>62</v>
      </c>
      <c r="N794" t="s">
        <v>33</v>
      </c>
      <c r="O794">
        <v>2630</v>
      </c>
      <c r="P794">
        <v>0.95</v>
      </c>
      <c r="Q794">
        <v>2.5</v>
      </c>
      <c r="R794" t="s">
        <v>1197</v>
      </c>
      <c r="S794" t="s">
        <v>195</v>
      </c>
    </row>
    <row r="795" spans="1:19" x14ac:dyDescent="0.3">
      <c r="A795" t="s">
        <v>988</v>
      </c>
      <c r="B795" t="s">
        <v>22</v>
      </c>
      <c r="C795">
        <v>2025</v>
      </c>
      <c r="D795">
        <v>2</v>
      </c>
      <c r="E795" s="2">
        <v>45703</v>
      </c>
      <c r="F795" t="s">
        <v>7</v>
      </c>
      <c r="G795" t="s">
        <v>8</v>
      </c>
      <c r="H795" t="s">
        <v>70</v>
      </c>
      <c r="I795" t="s">
        <v>84</v>
      </c>
      <c r="J795" t="s">
        <v>85</v>
      </c>
      <c r="K795" t="s">
        <v>73</v>
      </c>
      <c r="L795">
        <v>701000</v>
      </c>
      <c r="M795" t="s">
        <v>62</v>
      </c>
      <c r="N795" t="s">
        <v>33</v>
      </c>
      <c r="O795">
        <v>3709</v>
      </c>
      <c r="P795">
        <v>0.95</v>
      </c>
      <c r="Q795">
        <v>3.52</v>
      </c>
      <c r="R795" t="s">
        <v>1200</v>
      </c>
      <c r="S795" t="s">
        <v>195</v>
      </c>
    </row>
    <row r="796" spans="1:19" x14ac:dyDescent="0.3">
      <c r="A796" t="s">
        <v>989</v>
      </c>
      <c r="B796" t="s">
        <v>22</v>
      </c>
      <c r="C796">
        <v>2025</v>
      </c>
      <c r="D796">
        <v>2</v>
      </c>
      <c r="E796" s="2">
        <v>45703</v>
      </c>
      <c r="F796" t="s">
        <v>7</v>
      </c>
      <c r="G796" t="s">
        <v>8</v>
      </c>
      <c r="H796" t="s">
        <v>70</v>
      </c>
      <c r="I796" t="s">
        <v>84</v>
      </c>
      <c r="J796" t="s">
        <v>85</v>
      </c>
      <c r="K796" t="s">
        <v>73</v>
      </c>
      <c r="L796">
        <v>701000</v>
      </c>
      <c r="M796" t="s">
        <v>62</v>
      </c>
      <c r="N796" t="s">
        <v>33</v>
      </c>
      <c r="O796">
        <v>2611</v>
      </c>
      <c r="P796">
        <v>0.95</v>
      </c>
      <c r="Q796">
        <v>2.48</v>
      </c>
      <c r="R796" t="s">
        <v>1205</v>
      </c>
      <c r="S796" t="s">
        <v>195</v>
      </c>
    </row>
    <row r="797" spans="1:19" x14ac:dyDescent="0.3">
      <c r="A797" t="s">
        <v>990</v>
      </c>
      <c r="B797" t="s">
        <v>22</v>
      </c>
      <c r="C797">
        <v>2025</v>
      </c>
      <c r="D797">
        <v>2</v>
      </c>
      <c r="E797" s="2">
        <v>45693</v>
      </c>
      <c r="F797" t="s">
        <v>7</v>
      </c>
      <c r="G797" t="s">
        <v>8</v>
      </c>
      <c r="H797" t="s">
        <v>70</v>
      </c>
      <c r="I797" t="s">
        <v>84</v>
      </c>
      <c r="J797" t="s">
        <v>85</v>
      </c>
      <c r="K797" t="s">
        <v>73</v>
      </c>
      <c r="L797">
        <v>701000</v>
      </c>
      <c r="M797" t="s">
        <v>62</v>
      </c>
      <c r="N797" t="s">
        <v>33</v>
      </c>
      <c r="O797">
        <v>4144</v>
      </c>
      <c r="P797">
        <v>0.95</v>
      </c>
      <c r="Q797">
        <v>3.94</v>
      </c>
      <c r="R797" t="s">
        <v>1199</v>
      </c>
      <c r="S797" t="s">
        <v>195</v>
      </c>
    </row>
    <row r="798" spans="1:19" x14ac:dyDescent="0.3">
      <c r="A798" t="s">
        <v>991</v>
      </c>
      <c r="B798" t="s">
        <v>22</v>
      </c>
      <c r="C798">
        <v>2025</v>
      </c>
      <c r="D798">
        <v>2</v>
      </c>
      <c r="E798" s="2">
        <v>45693</v>
      </c>
      <c r="F798" t="s">
        <v>7</v>
      </c>
      <c r="G798" t="s">
        <v>8</v>
      </c>
      <c r="H798" t="s">
        <v>70</v>
      </c>
      <c r="I798" t="s">
        <v>84</v>
      </c>
      <c r="J798" t="s">
        <v>85</v>
      </c>
      <c r="K798" t="s">
        <v>73</v>
      </c>
      <c r="L798">
        <v>701000</v>
      </c>
      <c r="M798" t="s">
        <v>62</v>
      </c>
      <c r="N798" t="s">
        <v>33</v>
      </c>
      <c r="O798">
        <v>5305</v>
      </c>
      <c r="P798">
        <v>0.95</v>
      </c>
      <c r="Q798">
        <v>5.04</v>
      </c>
      <c r="R798" t="s">
        <v>1198</v>
      </c>
      <c r="S798" t="s">
        <v>195</v>
      </c>
    </row>
    <row r="799" spans="1:19" x14ac:dyDescent="0.3">
      <c r="A799" t="s">
        <v>992</v>
      </c>
      <c r="B799" t="s">
        <v>22</v>
      </c>
      <c r="C799">
        <v>2025</v>
      </c>
      <c r="D799">
        <v>2</v>
      </c>
      <c r="E799" s="2">
        <v>45693</v>
      </c>
      <c r="F799" t="s">
        <v>7</v>
      </c>
      <c r="G799" t="s">
        <v>8</v>
      </c>
      <c r="H799" t="s">
        <v>70</v>
      </c>
      <c r="I799" t="s">
        <v>84</v>
      </c>
      <c r="J799" t="s">
        <v>85</v>
      </c>
      <c r="K799" t="s">
        <v>73</v>
      </c>
      <c r="L799">
        <v>701000</v>
      </c>
      <c r="M799" t="s">
        <v>62</v>
      </c>
      <c r="N799" t="s">
        <v>33</v>
      </c>
      <c r="O799">
        <v>1768</v>
      </c>
      <c r="P799">
        <v>0.95</v>
      </c>
      <c r="Q799">
        <v>1.68</v>
      </c>
      <c r="R799" t="s">
        <v>1202</v>
      </c>
      <c r="S799" t="s">
        <v>195</v>
      </c>
    </row>
    <row r="800" spans="1:19" x14ac:dyDescent="0.3">
      <c r="A800" t="s">
        <v>993</v>
      </c>
      <c r="B800" t="s">
        <v>22</v>
      </c>
      <c r="C800">
        <v>2025</v>
      </c>
      <c r="D800">
        <v>2</v>
      </c>
      <c r="E800" s="2">
        <v>45693</v>
      </c>
      <c r="F800" t="s">
        <v>7</v>
      </c>
      <c r="G800" t="s">
        <v>8</v>
      </c>
      <c r="H800" t="s">
        <v>70</v>
      </c>
      <c r="I800" t="s">
        <v>84</v>
      </c>
      <c r="J800" t="s">
        <v>85</v>
      </c>
      <c r="K800" t="s">
        <v>73</v>
      </c>
      <c r="L800">
        <v>701000</v>
      </c>
      <c r="M800" t="s">
        <v>62</v>
      </c>
      <c r="N800" t="s">
        <v>33</v>
      </c>
      <c r="O800">
        <v>2062</v>
      </c>
      <c r="P800">
        <v>0.95</v>
      </c>
      <c r="Q800">
        <v>1.96</v>
      </c>
      <c r="R800" t="s">
        <v>1205</v>
      </c>
      <c r="S800" t="s">
        <v>195</v>
      </c>
    </row>
    <row r="801" spans="1:19" x14ac:dyDescent="0.3">
      <c r="A801" t="s">
        <v>994</v>
      </c>
      <c r="B801" t="s">
        <v>22</v>
      </c>
      <c r="C801">
        <v>2025</v>
      </c>
      <c r="D801">
        <v>2</v>
      </c>
      <c r="E801" s="2">
        <v>45693</v>
      </c>
      <c r="F801" t="s">
        <v>7</v>
      </c>
      <c r="G801" t="s">
        <v>8</v>
      </c>
      <c r="H801" t="s">
        <v>70</v>
      </c>
      <c r="I801" t="s">
        <v>84</v>
      </c>
      <c r="J801" t="s">
        <v>85</v>
      </c>
      <c r="K801" t="s">
        <v>73</v>
      </c>
      <c r="L801">
        <v>701000</v>
      </c>
      <c r="M801" t="s">
        <v>62</v>
      </c>
      <c r="N801" t="s">
        <v>33</v>
      </c>
      <c r="O801">
        <v>1144</v>
      </c>
      <c r="P801">
        <v>0.94</v>
      </c>
      <c r="Q801">
        <v>1.08</v>
      </c>
      <c r="R801" t="s">
        <v>1200</v>
      </c>
      <c r="S801" t="s">
        <v>195</v>
      </c>
    </row>
    <row r="802" spans="1:19" x14ac:dyDescent="0.3">
      <c r="A802" t="s">
        <v>995</v>
      </c>
      <c r="B802" t="s">
        <v>22</v>
      </c>
      <c r="C802">
        <v>2025</v>
      </c>
      <c r="D802">
        <v>2</v>
      </c>
      <c r="E802" s="2">
        <v>45705</v>
      </c>
      <c r="F802" t="s">
        <v>7</v>
      </c>
      <c r="G802" t="s">
        <v>8</v>
      </c>
      <c r="H802" t="s">
        <v>74</v>
      </c>
      <c r="I802" t="s">
        <v>84</v>
      </c>
      <c r="J802" t="s">
        <v>85</v>
      </c>
      <c r="K802" t="s">
        <v>73</v>
      </c>
      <c r="L802">
        <v>701000</v>
      </c>
      <c r="M802" t="s">
        <v>62</v>
      </c>
      <c r="N802" t="s">
        <v>33</v>
      </c>
      <c r="O802">
        <v>1524</v>
      </c>
      <c r="P802">
        <v>0.95</v>
      </c>
      <c r="Q802">
        <v>1.45</v>
      </c>
      <c r="R802" t="s">
        <v>1197</v>
      </c>
      <c r="S802" t="s">
        <v>195</v>
      </c>
    </row>
    <row r="803" spans="1:19" x14ac:dyDescent="0.3">
      <c r="A803" t="s">
        <v>996</v>
      </c>
      <c r="B803" t="s">
        <v>22</v>
      </c>
      <c r="C803">
        <v>2025</v>
      </c>
      <c r="D803">
        <v>2</v>
      </c>
      <c r="E803" s="2">
        <v>45705</v>
      </c>
      <c r="F803" t="s">
        <v>7</v>
      </c>
      <c r="G803" t="s">
        <v>8</v>
      </c>
      <c r="H803" t="s">
        <v>74</v>
      </c>
      <c r="I803" t="s">
        <v>84</v>
      </c>
      <c r="J803" t="s">
        <v>85</v>
      </c>
      <c r="K803" t="s">
        <v>73</v>
      </c>
      <c r="L803">
        <v>701000</v>
      </c>
      <c r="M803" t="s">
        <v>62</v>
      </c>
      <c r="N803" t="s">
        <v>33</v>
      </c>
      <c r="O803">
        <v>4236</v>
      </c>
      <c r="P803">
        <v>0.95</v>
      </c>
      <c r="Q803">
        <v>4.03</v>
      </c>
      <c r="R803" t="s">
        <v>1203</v>
      </c>
      <c r="S803" t="s">
        <v>195</v>
      </c>
    </row>
    <row r="804" spans="1:19" x14ac:dyDescent="0.3">
      <c r="A804" t="s">
        <v>997</v>
      </c>
      <c r="B804" t="s">
        <v>22</v>
      </c>
      <c r="C804">
        <v>2025</v>
      </c>
      <c r="D804">
        <v>2</v>
      </c>
      <c r="E804" s="2">
        <v>45705</v>
      </c>
      <c r="F804" t="s">
        <v>7</v>
      </c>
      <c r="G804" t="s">
        <v>8</v>
      </c>
      <c r="H804" t="s">
        <v>74</v>
      </c>
      <c r="I804" t="s">
        <v>84</v>
      </c>
      <c r="J804" t="s">
        <v>85</v>
      </c>
      <c r="K804" t="s">
        <v>73</v>
      </c>
      <c r="L804">
        <v>701000</v>
      </c>
      <c r="M804" t="s">
        <v>62</v>
      </c>
      <c r="N804" t="s">
        <v>33</v>
      </c>
      <c r="O804">
        <v>1283</v>
      </c>
      <c r="P804">
        <v>0.95</v>
      </c>
      <c r="Q804">
        <v>1.22</v>
      </c>
      <c r="R804" t="s">
        <v>1205</v>
      </c>
      <c r="S804" t="s">
        <v>195</v>
      </c>
    </row>
    <row r="805" spans="1:19" x14ac:dyDescent="0.3">
      <c r="A805" t="s">
        <v>998</v>
      </c>
      <c r="B805" t="s">
        <v>22</v>
      </c>
      <c r="C805">
        <v>2025</v>
      </c>
      <c r="D805">
        <v>2</v>
      </c>
      <c r="E805" s="2">
        <v>45705</v>
      </c>
      <c r="F805" t="s">
        <v>7</v>
      </c>
      <c r="G805" t="s">
        <v>8</v>
      </c>
      <c r="H805" t="s">
        <v>74</v>
      </c>
      <c r="I805" t="s">
        <v>84</v>
      </c>
      <c r="J805" t="s">
        <v>85</v>
      </c>
      <c r="K805" t="s">
        <v>73</v>
      </c>
      <c r="L805">
        <v>701000</v>
      </c>
      <c r="M805" t="s">
        <v>62</v>
      </c>
      <c r="N805" t="s">
        <v>33</v>
      </c>
      <c r="O805">
        <v>2384</v>
      </c>
      <c r="P805">
        <v>0.95</v>
      </c>
      <c r="Q805">
        <v>2.27</v>
      </c>
      <c r="R805" t="s">
        <v>1201</v>
      </c>
      <c r="S805" t="s">
        <v>195</v>
      </c>
    </row>
    <row r="806" spans="1:19" x14ac:dyDescent="0.3">
      <c r="A806" t="s">
        <v>999</v>
      </c>
      <c r="B806" t="s">
        <v>22</v>
      </c>
      <c r="C806">
        <v>2025</v>
      </c>
      <c r="D806">
        <v>2</v>
      </c>
      <c r="E806" s="2">
        <v>45705</v>
      </c>
      <c r="F806" t="s">
        <v>7</v>
      </c>
      <c r="G806" t="s">
        <v>8</v>
      </c>
      <c r="H806" t="s">
        <v>74</v>
      </c>
      <c r="I806" t="s">
        <v>84</v>
      </c>
      <c r="J806" t="s">
        <v>85</v>
      </c>
      <c r="K806" t="s">
        <v>73</v>
      </c>
      <c r="L806">
        <v>701000</v>
      </c>
      <c r="M806" t="s">
        <v>62</v>
      </c>
      <c r="N806" t="s">
        <v>33</v>
      </c>
      <c r="O806">
        <v>4769</v>
      </c>
      <c r="P806">
        <v>0.95</v>
      </c>
      <c r="Q806">
        <v>4.5199999999999996</v>
      </c>
      <c r="R806" t="s">
        <v>1204</v>
      </c>
      <c r="S806" t="s">
        <v>195</v>
      </c>
    </row>
    <row r="807" spans="1:19" x14ac:dyDescent="0.3">
      <c r="A807" t="s">
        <v>1000</v>
      </c>
      <c r="B807" t="s">
        <v>22</v>
      </c>
      <c r="C807">
        <v>2025</v>
      </c>
      <c r="D807">
        <v>2</v>
      </c>
      <c r="E807" s="2">
        <v>45689</v>
      </c>
      <c r="F807" t="s">
        <v>7</v>
      </c>
      <c r="G807" t="s">
        <v>8</v>
      </c>
      <c r="H807" t="s">
        <v>70</v>
      </c>
      <c r="I807" t="s">
        <v>84</v>
      </c>
      <c r="J807" t="s">
        <v>85</v>
      </c>
      <c r="K807" t="s">
        <v>73</v>
      </c>
      <c r="L807">
        <v>701000</v>
      </c>
      <c r="M807" t="s">
        <v>62</v>
      </c>
      <c r="N807" t="s">
        <v>33</v>
      </c>
      <c r="O807">
        <v>870</v>
      </c>
      <c r="P807">
        <v>0.95</v>
      </c>
      <c r="Q807">
        <v>0.83</v>
      </c>
      <c r="R807" t="s">
        <v>1200</v>
      </c>
      <c r="S807" t="s">
        <v>195</v>
      </c>
    </row>
    <row r="808" spans="1:19" x14ac:dyDescent="0.3">
      <c r="A808" t="s">
        <v>1001</v>
      </c>
      <c r="B808" t="s">
        <v>22</v>
      </c>
      <c r="C808">
        <v>2025</v>
      </c>
      <c r="D808">
        <v>2</v>
      </c>
      <c r="E808" s="2">
        <v>45689</v>
      </c>
      <c r="F808" t="s">
        <v>7</v>
      </c>
      <c r="G808" t="s">
        <v>8</v>
      </c>
      <c r="H808" t="s">
        <v>70</v>
      </c>
      <c r="I808" t="s">
        <v>84</v>
      </c>
      <c r="J808" t="s">
        <v>85</v>
      </c>
      <c r="K808" t="s">
        <v>73</v>
      </c>
      <c r="L808">
        <v>701000</v>
      </c>
      <c r="M808" t="s">
        <v>62</v>
      </c>
      <c r="N808" t="s">
        <v>33</v>
      </c>
      <c r="O808">
        <v>911</v>
      </c>
      <c r="P808">
        <v>0.95</v>
      </c>
      <c r="Q808">
        <v>0.87</v>
      </c>
      <c r="R808" t="s">
        <v>1198</v>
      </c>
      <c r="S808" t="s">
        <v>195</v>
      </c>
    </row>
    <row r="809" spans="1:19" x14ac:dyDescent="0.3">
      <c r="A809" t="s">
        <v>1002</v>
      </c>
      <c r="B809" t="s">
        <v>22</v>
      </c>
      <c r="C809">
        <v>2025</v>
      </c>
      <c r="D809">
        <v>2</v>
      </c>
      <c r="E809" s="2">
        <v>45689</v>
      </c>
      <c r="F809" t="s">
        <v>7</v>
      </c>
      <c r="G809" t="s">
        <v>8</v>
      </c>
      <c r="H809" t="s">
        <v>70</v>
      </c>
      <c r="I809" t="s">
        <v>84</v>
      </c>
      <c r="J809" t="s">
        <v>85</v>
      </c>
      <c r="K809" t="s">
        <v>73</v>
      </c>
      <c r="L809">
        <v>701000</v>
      </c>
      <c r="M809" t="s">
        <v>62</v>
      </c>
      <c r="N809" t="s">
        <v>33</v>
      </c>
      <c r="O809">
        <v>5451</v>
      </c>
      <c r="P809">
        <v>0.95</v>
      </c>
      <c r="Q809">
        <v>5.18</v>
      </c>
      <c r="R809" t="s">
        <v>1201</v>
      </c>
      <c r="S809" t="s">
        <v>195</v>
      </c>
    </row>
    <row r="810" spans="1:19" x14ac:dyDescent="0.3">
      <c r="A810" t="s">
        <v>1003</v>
      </c>
      <c r="B810" t="s">
        <v>22</v>
      </c>
      <c r="C810">
        <v>2025</v>
      </c>
      <c r="D810">
        <v>2</v>
      </c>
      <c r="E810" s="2">
        <v>45689</v>
      </c>
      <c r="F810" t="s">
        <v>7</v>
      </c>
      <c r="G810" t="s">
        <v>8</v>
      </c>
      <c r="H810" t="s">
        <v>70</v>
      </c>
      <c r="I810" t="s">
        <v>84</v>
      </c>
      <c r="J810" t="s">
        <v>85</v>
      </c>
      <c r="K810" t="s">
        <v>73</v>
      </c>
      <c r="L810">
        <v>701000</v>
      </c>
      <c r="M810" t="s">
        <v>62</v>
      </c>
      <c r="N810" t="s">
        <v>33</v>
      </c>
      <c r="O810">
        <v>5049</v>
      </c>
      <c r="P810">
        <v>0.95</v>
      </c>
      <c r="Q810">
        <v>4.8</v>
      </c>
      <c r="R810" t="s">
        <v>1197</v>
      </c>
      <c r="S810" t="s">
        <v>195</v>
      </c>
    </row>
    <row r="811" spans="1:19" x14ac:dyDescent="0.3">
      <c r="A811" t="s">
        <v>1004</v>
      </c>
      <c r="B811" t="s">
        <v>22</v>
      </c>
      <c r="C811">
        <v>2025</v>
      </c>
      <c r="D811">
        <v>2</v>
      </c>
      <c r="E811" s="2">
        <v>45689</v>
      </c>
      <c r="F811" t="s">
        <v>7</v>
      </c>
      <c r="G811" t="s">
        <v>8</v>
      </c>
      <c r="H811" t="s">
        <v>70</v>
      </c>
      <c r="I811" t="s">
        <v>84</v>
      </c>
      <c r="J811" t="s">
        <v>85</v>
      </c>
      <c r="K811" t="s">
        <v>73</v>
      </c>
      <c r="L811">
        <v>701000</v>
      </c>
      <c r="M811" t="s">
        <v>62</v>
      </c>
      <c r="N811" t="s">
        <v>33</v>
      </c>
      <c r="O811">
        <v>2883</v>
      </c>
      <c r="P811">
        <v>0.95</v>
      </c>
      <c r="Q811">
        <v>2.73</v>
      </c>
      <c r="R811" t="s">
        <v>1203</v>
      </c>
      <c r="S811" t="s">
        <v>195</v>
      </c>
    </row>
    <row r="812" spans="1:19" x14ac:dyDescent="0.3">
      <c r="A812" t="s">
        <v>1005</v>
      </c>
      <c r="B812" t="s">
        <v>22</v>
      </c>
      <c r="C812">
        <v>2025</v>
      </c>
      <c r="D812">
        <v>2</v>
      </c>
      <c r="E812" s="2">
        <v>45710</v>
      </c>
      <c r="F812" t="s">
        <v>7</v>
      </c>
      <c r="G812" t="s">
        <v>8</v>
      </c>
      <c r="H812" t="s">
        <v>70</v>
      </c>
      <c r="I812" t="s">
        <v>84</v>
      </c>
      <c r="J812" t="s">
        <v>85</v>
      </c>
      <c r="K812" t="s">
        <v>73</v>
      </c>
      <c r="L812">
        <v>701000</v>
      </c>
      <c r="M812" t="s">
        <v>62</v>
      </c>
      <c r="N812" t="s">
        <v>33</v>
      </c>
      <c r="O812">
        <v>7643</v>
      </c>
      <c r="P812">
        <v>0.95</v>
      </c>
      <c r="Q812">
        <v>7.26</v>
      </c>
      <c r="R812" t="s">
        <v>1198</v>
      </c>
      <c r="S812" t="s">
        <v>195</v>
      </c>
    </row>
    <row r="813" spans="1:19" x14ac:dyDescent="0.3">
      <c r="A813" t="s">
        <v>1006</v>
      </c>
      <c r="B813" t="s">
        <v>22</v>
      </c>
      <c r="C813">
        <v>2025</v>
      </c>
      <c r="D813">
        <v>2</v>
      </c>
      <c r="E813" s="2">
        <v>45710</v>
      </c>
      <c r="F813" t="s">
        <v>7</v>
      </c>
      <c r="G813" t="s">
        <v>8</v>
      </c>
      <c r="H813" t="s">
        <v>70</v>
      </c>
      <c r="I813" t="s">
        <v>84</v>
      </c>
      <c r="J813" t="s">
        <v>85</v>
      </c>
      <c r="K813" t="s">
        <v>73</v>
      </c>
      <c r="L813">
        <v>701000</v>
      </c>
      <c r="M813" t="s">
        <v>62</v>
      </c>
      <c r="N813" t="s">
        <v>33</v>
      </c>
      <c r="O813">
        <v>1347</v>
      </c>
      <c r="P813">
        <v>0.95</v>
      </c>
      <c r="Q813">
        <v>1.28</v>
      </c>
      <c r="R813" t="s">
        <v>1200</v>
      </c>
      <c r="S813" t="s">
        <v>195</v>
      </c>
    </row>
    <row r="814" spans="1:19" x14ac:dyDescent="0.3">
      <c r="A814" t="s">
        <v>1007</v>
      </c>
      <c r="B814" t="s">
        <v>22</v>
      </c>
      <c r="C814">
        <v>2025</v>
      </c>
      <c r="D814">
        <v>2</v>
      </c>
      <c r="E814" s="2">
        <v>45710</v>
      </c>
      <c r="F814" t="s">
        <v>7</v>
      </c>
      <c r="G814" t="s">
        <v>8</v>
      </c>
      <c r="H814" t="s">
        <v>70</v>
      </c>
      <c r="I814" t="s">
        <v>84</v>
      </c>
      <c r="J814" t="s">
        <v>85</v>
      </c>
      <c r="K814" t="s">
        <v>73</v>
      </c>
      <c r="L814">
        <v>701000</v>
      </c>
      <c r="M814" t="s">
        <v>62</v>
      </c>
      <c r="N814" t="s">
        <v>33</v>
      </c>
      <c r="O814">
        <v>3911</v>
      </c>
      <c r="P814">
        <v>0.95</v>
      </c>
      <c r="Q814">
        <v>3.71</v>
      </c>
      <c r="R814" t="s">
        <v>1201</v>
      </c>
      <c r="S814" t="s">
        <v>195</v>
      </c>
    </row>
    <row r="815" spans="1:19" x14ac:dyDescent="0.3">
      <c r="A815" t="s">
        <v>1008</v>
      </c>
      <c r="B815" t="s">
        <v>22</v>
      </c>
      <c r="C815">
        <v>2025</v>
      </c>
      <c r="D815">
        <v>2</v>
      </c>
      <c r="E815" s="2">
        <v>45710</v>
      </c>
      <c r="F815" t="s">
        <v>7</v>
      </c>
      <c r="G815" t="s">
        <v>8</v>
      </c>
      <c r="H815" t="s">
        <v>70</v>
      </c>
      <c r="I815" t="s">
        <v>84</v>
      </c>
      <c r="J815" t="s">
        <v>85</v>
      </c>
      <c r="K815" t="s">
        <v>73</v>
      </c>
      <c r="L815">
        <v>701000</v>
      </c>
      <c r="M815" t="s">
        <v>62</v>
      </c>
      <c r="N815" t="s">
        <v>33</v>
      </c>
      <c r="O815">
        <v>2415</v>
      </c>
      <c r="P815">
        <v>0.95</v>
      </c>
      <c r="Q815">
        <v>2.29</v>
      </c>
      <c r="R815" t="s">
        <v>1203</v>
      </c>
      <c r="S815" t="s">
        <v>195</v>
      </c>
    </row>
    <row r="816" spans="1:19" x14ac:dyDescent="0.3">
      <c r="A816" t="s">
        <v>1009</v>
      </c>
      <c r="B816" t="s">
        <v>22</v>
      </c>
      <c r="C816">
        <v>2025</v>
      </c>
      <c r="D816">
        <v>2</v>
      </c>
      <c r="E816" s="2">
        <v>45710</v>
      </c>
      <c r="F816" t="s">
        <v>7</v>
      </c>
      <c r="G816" t="s">
        <v>8</v>
      </c>
      <c r="H816" t="s">
        <v>70</v>
      </c>
      <c r="I816" t="s">
        <v>84</v>
      </c>
      <c r="J816" t="s">
        <v>85</v>
      </c>
      <c r="K816" t="s">
        <v>73</v>
      </c>
      <c r="L816">
        <v>701000</v>
      </c>
      <c r="M816" t="s">
        <v>62</v>
      </c>
      <c r="N816" t="s">
        <v>33</v>
      </c>
      <c r="O816">
        <v>3562</v>
      </c>
      <c r="P816">
        <v>0.95</v>
      </c>
      <c r="Q816">
        <v>3.39</v>
      </c>
      <c r="R816" t="s">
        <v>1199</v>
      </c>
      <c r="S816" t="s">
        <v>195</v>
      </c>
    </row>
    <row r="817" spans="1:19" x14ac:dyDescent="0.3">
      <c r="A817" t="s">
        <v>1010</v>
      </c>
      <c r="B817" t="s">
        <v>22</v>
      </c>
      <c r="C817">
        <v>2025</v>
      </c>
      <c r="D817">
        <v>2</v>
      </c>
      <c r="E817" s="2">
        <v>45696</v>
      </c>
      <c r="F817" t="s">
        <v>7</v>
      </c>
      <c r="G817" t="s">
        <v>8</v>
      </c>
      <c r="H817" t="s">
        <v>70</v>
      </c>
      <c r="I817" t="s">
        <v>84</v>
      </c>
      <c r="J817" t="s">
        <v>85</v>
      </c>
      <c r="K817" t="s">
        <v>73</v>
      </c>
      <c r="L817">
        <v>701000</v>
      </c>
      <c r="M817" t="s">
        <v>62</v>
      </c>
      <c r="N817" t="s">
        <v>33</v>
      </c>
      <c r="O817">
        <v>2774</v>
      </c>
      <c r="P817">
        <v>0.95</v>
      </c>
      <c r="Q817">
        <v>2.64</v>
      </c>
      <c r="R817" t="s">
        <v>1201</v>
      </c>
      <c r="S817" t="s">
        <v>195</v>
      </c>
    </row>
    <row r="818" spans="1:19" x14ac:dyDescent="0.3">
      <c r="A818" t="s">
        <v>1011</v>
      </c>
      <c r="B818" t="s">
        <v>22</v>
      </c>
      <c r="C818">
        <v>2025</v>
      </c>
      <c r="D818">
        <v>2</v>
      </c>
      <c r="E818" s="2">
        <v>45696</v>
      </c>
      <c r="F818" t="s">
        <v>7</v>
      </c>
      <c r="G818" t="s">
        <v>8</v>
      </c>
      <c r="H818" t="s">
        <v>70</v>
      </c>
      <c r="I818" t="s">
        <v>84</v>
      </c>
      <c r="J818" t="s">
        <v>85</v>
      </c>
      <c r="K818" t="s">
        <v>73</v>
      </c>
      <c r="L818">
        <v>701000</v>
      </c>
      <c r="M818" t="s">
        <v>62</v>
      </c>
      <c r="N818" t="s">
        <v>33</v>
      </c>
      <c r="O818">
        <v>3569</v>
      </c>
      <c r="P818">
        <v>0.95</v>
      </c>
      <c r="Q818">
        <v>3.39</v>
      </c>
      <c r="R818" t="s">
        <v>1204</v>
      </c>
      <c r="S818" t="s">
        <v>195</v>
      </c>
    </row>
    <row r="819" spans="1:19" x14ac:dyDescent="0.3">
      <c r="A819" t="s">
        <v>1012</v>
      </c>
      <c r="B819" t="s">
        <v>22</v>
      </c>
      <c r="C819">
        <v>2025</v>
      </c>
      <c r="D819">
        <v>2</v>
      </c>
      <c r="E819" s="2">
        <v>45696</v>
      </c>
      <c r="F819" t="s">
        <v>7</v>
      </c>
      <c r="G819" t="s">
        <v>8</v>
      </c>
      <c r="H819" t="s">
        <v>70</v>
      </c>
      <c r="I819" t="s">
        <v>84</v>
      </c>
      <c r="J819" t="s">
        <v>85</v>
      </c>
      <c r="K819" t="s">
        <v>73</v>
      </c>
      <c r="L819">
        <v>701000</v>
      </c>
      <c r="M819" t="s">
        <v>62</v>
      </c>
      <c r="N819" t="s">
        <v>33</v>
      </c>
      <c r="O819">
        <v>5035</v>
      </c>
      <c r="P819">
        <v>0.95</v>
      </c>
      <c r="Q819">
        <v>4.78</v>
      </c>
      <c r="R819" t="s">
        <v>1205</v>
      </c>
      <c r="S819" t="s">
        <v>195</v>
      </c>
    </row>
    <row r="820" spans="1:19" x14ac:dyDescent="0.3">
      <c r="A820" t="s">
        <v>1013</v>
      </c>
      <c r="B820" t="s">
        <v>22</v>
      </c>
      <c r="C820">
        <v>2025</v>
      </c>
      <c r="D820">
        <v>2</v>
      </c>
      <c r="E820" s="2">
        <v>45696</v>
      </c>
      <c r="F820" t="s">
        <v>7</v>
      </c>
      <c r="G820" t="s">
        <v>8</v>
      </c>
      <c r="H820" t="s">
        <v>70</v>
      </c>
      <c r="I820" t="s">
        <v>84</v>
      </c>
      <c r="J820" t="s">
        <v>85</v>
      </c>
      <c r="K820" t="s">
        <v>73</v>
      </c>
      <c r="L820">
        <v>701000</v>
      </c>
      <c r="M820" t="s">
        <v>62</v>
      </c>
      <c r="N820" t="s">
        <v>33</v>
      </c>
      <c r="O820">
        <v>2608</v>
      </c>
      <c r="P820">
        <v>0.95</v>
      </c>
      <c r="Q820">
        <v>2.48</v>
      </c>
      <c r="R820" t="s">
        <v>1200</v>
      </c>
      <c r="S820" t="s">
        <v>195</v>
      </c>
    </row>
    <row r="821" spans="1:19" x14ac:dyDescent="0.3">
      <c r="A821" t="s">
        <v>1014</v>
      </c>
      <c r="B821" t="s">
        <v>22</v>
      </c>
      <c r="C821">
        <v>2025</v>
      </c>
      <c r="D821">
        <v>2</v>
      </c>
      <c r="E821" s="2">
        <v>45696</v>
      </c>
      <c r="F821" t="s">
        <v>7</v>
      </c>
      <c r="G821" t="s">
        <v>8</v>
      </c>
      <c r="H821" t="s">
        <v>70</v>
      </c>
      <c r="I821" t="s">
        <v>84</v>
      </c>
      <c r="J821" t="s">
        <v>85</v>
      </c>
      <c r="K821" t="s">
        <v>73</v>
      </c>
      <c r="L821">
        <v>701000</v>
      </c>
      <c r="M821" t="s">
        <v>62</v>
      </c>
      <c r="N821" t="s">
        <v>33</v>
      </c>
      <c r="O821">
        <v>673</v>
      </c>
      <c r="P821">
        <v>0.95</v>
      </c>
      <c r="Q821">
        <v>0.64</v>
      </c>
      <c r="R821" t="s">
        <v>1202</v>
      </c>
      <c r="S821" t="s">
        <v>195</v>
      </c>
    </row>
    <row r="822" spans="1:19" x14ac:dyDescent="0.3">
      <c r="A822" t="s">
        <v>1015</v>
      </c>
      <c r="B822" t="s">
        <v>22</v>
      </c>
      <c r="C822">
        <v>2025</v>
      </c>
      <c r="D822">
        <v>2</v>
      </c>
      <c r="E822" s="2">
        <v>45697</v>
      </c>
      <c r="F822" t="s">
        <v>7</v>
      </c>
      <c r="G822" t="s">
        <v>8</v>
      </c>
      <c r="H822" t="s">
        <v>70</v>
      </c>
      <c r="I822" t="s">
        <v>84</v>
      </c>
      <c r="J822" t="s">
        <v>85</v>
      </c>
      <c r="K822" t="s">
        <v>73</v>
      </c>
      <c r="L822">
        <v>701000</v>
      </c>
      <c r="M822" t="s">
        <v>62</v>
      </c>
      <c r="N822" t="s">
        <v>33</v>
      </c>
      <c r="O822">
        <v>3176</v>
      </c>
      <c r="P822">
        <v>0.95</v>
      </c>
      <c r="Q822">
        <v>3.02</v>
      </c>
      <c r="R822" t="s">
        <v>1201</v>
      </c>
      <c r="S822" t="s">
        <v>195</v>
      </c>
    </row>
    <row r="823" spans="1:19" x14ac:dyDescent="0.3">
      <c r="A823" t="s">
        <v>1016</v>
      </c>
      <c r="B823" t="s">
        <v>22</v>
      </c>
      <c r="C823">
        <v>2025</v>
      </c>
      <c r="D823">
        <v>2</v>
      </c>
      <c r="E823" s="2">
        <v>45697</v>
      </c>
      <c r="F823" t="s">
        <v>7</v>
      </c>
      <c r="G823" t="s">
        <v>8</v>
      </c>
      <c r="H823" t="s">
        <v>70</v>
      </c>
      <c r="I823" t="s">
        <v>84</v>
      </c>
      <c r="J823" t="s">
        <v>85</v>
      </c>
      <c r="K823" t="s">
        <v>73</v>
      </c>
      <c r="L823">
        <v>701000</v>
      </c>
      <c r="M823" t="s">
        <v>62</v>
      </c>
      <c r="N823" t="s">
        <v>33</v>
      </c>
      <c r="O823">
        <v>5135</v>
      </c>
      <c r="P823">
        <v>0.95</v>
      </c>
      <c r="Q823">
        <v>4.88</v>
      </c>
      <c r="R823" t="s">
        <v>1200</v>
      </c>
      <c r="S823" t="s">
        <v>195</v>
      </c>
    </row>
    <row r="824" spans="1:19" x14ac:dyDescent="0.3">
      <c r="A824" t="s">
        <v>1017</v>
      </c>
      <c r="B824" t="s">
        <v>22</v>
      </c>
      <c r="C824">
        <v>2025</v>
      </c>
      <c r="D824">
        <v>2</v>
      </c>
      <c r="E824" s="2">
        <v>45697</v>
      </c>
      <c r="F824" t="s">
        <v>7</v>
      </c>
      <c r="G824" t="s">
        <v>8</v>
      </c>
      <c r="H824" t="s">
        <v>70</v>
      </c>
      <c r="I824" t="s">
        <v>84</v>
      </c>
      <c r="J824" t="s">
        <v>85</v>
      </c>
      <c r="K824" t="s">
        <v>73</v>
      </c>
      <c r="L824">
        <v>701000</v>
      </c>
      <c r="M824" t="s">
        <v>62</v>
      </c>
      <c r="N824" t="s">
        <v>33</v>
      </c>
      <c r="O824">
        <v>1433</v>
      </c>
      <c r="P824">
        <v>0.95</v>
      </c>
      <c r="Q824">
        <v>1.36</v>
      </c>
      <c r="R824" t="s">
        <v>1203</v>
      </c>
      <c r="S824" t="s">
        <v>195</v>
      </c>
    </row>
    <row r="825" spans="1:19" x14ac:dyDescent="0.3">
      <c r="A825" t="s">
        <v>1018</v>
      </c>
      <c r="B825" t="s">
        <v>22</v>
      </c>
      <c r="C825">
        <v>2025</v>
      </c>
      <c r="D825">
        <v>2</v>
      </c>
      <c r="E825" s="2">
        <v>45697</v>
      </c>
      <c r="F825" t="s">
        <v>7</v>
      </c>
      <c r="G825" t="s">
        <v>8</v>
      </c>
      <c r="H825" t="s">
        <v>70</v>
      </c>
      <c r="I825" t="s">
        <v>84</v>
      </c>
      <c r="J825" t="s">
        <v>85</v>
      </c>
      <c r="K825" t="s">
        <v>73</v>
      </c>
      <c r="L825">
        <v>701000</v>
      </c>
      <c r="M825" t="s">
        <v>62</v>
      </c>
      <c r="N825" t="s">
        <v>33</v>
      </c>
      <c r="O825">
        <v>4516</v>
      </c>
      <c r="P825">
        <v>0.95</v>
      </c>
      <c r="Q825">
        <v>4.29</v>
      </c>
      <c r="R825" t="s">
        <v>1198</v>
      </c>
      <c r="S825" t="s">
        <v>195</v>
      </c>
    </row>
    <row r="826" spans="1:19" x14ac:dyDescent="0.3">
      <c r="A826" t="s">
        <v>1019</v>
      </c>
      <c r="B826" t="s">
        <v>22</v>
      </c>
      <c r="C826">
        <v>2025</v>
      </c>
      <c r="D826">
        <v>2</v>
      </c>
      <c r="E826" s="2">
        <v>45697</v>
      </c>
      <c r="F826" t="s">
        <v>7</v>
      </c>
      <c r="G826" t="s">
        <v>8</v>
      </c>
      <c r="H826" t="s">
        <v>70</v>
      </c>
      <c r="I826" t="s">
        <v>84</v>
      </c>
      <c r="J826" t="s">
        <v>85</v>
      </c>
      <c r="K826" t="s">
        <v>73</v>
      </c>
      <c r="L826">
        <v>701000</v>
      </c>
      <c r="M826" t="s">
        <v>62</v>
      </c>
      <c r="N826" t="s">
        <v>33</v>
      </c>
      <c r="O826">
        <v>1660</v>
      </c>
      <c r="P826">
        <v>0.95</v>
      </c>
      <c r="Q826">
        <v>1.57</v>
      </c>
      <c r="R826" t="s">
        <v>1202</v>
      </c>
      <c r="S826" t="s">
        <v>195</v>
      </c>
    </row>
    <row r="827" spans="1:19" x14ac:dyDescent="0.3">
      <c r="A827" t="s">
        <v>1020</v>
      </c>
      <c r="B827" t="s">
        <v>22</v>
      </c>
      <c r="C827">
        <v>2025</v>
      </c>
      <c r="D827">
        <v>2</v>
      </c>
      <c r="E827" s="2">
        <v>45710</v>
      </c>
      <c r="F827" t="s">
        <v>7</v>
      </c>
      <c r="G827" t="s">
        <v>8</v>
      </c>
      <c r="H827" t="s">
        <v>70</v>
      </c>
      <c r="I827" t="s">
        <v>84</v>
      </c>
      <c r="J827" t="s">
        <v>85</v>
      </c>
      <c r="K827" t="s">
        <v>73</v>
      </c>
      <c r="L827">
        <v>701000</v>
      </c>
      <c r="M827" t="s">
        <v>62</v>
      </c>
      <c r="N827" t="s">
        <v>33</v>
      </c>
      <c r="O827">
        <v>4026</v>
      </c>
      <c r="P827">
        <v>0.95</v>
      </c>
      <c r="Q827">
        <v>3.82</v>
      </c>
      <c r="R827" t="s">
        <v>1202</v>
      </c>
      <c r="S827" t="s">
        <v>195</v>
      </c>
    </row>
    <row r="828" spans="1:19" x14ac:dyDescent="0.3">
      <c r="A828" t="s">
        <v>1021</v>
      </c>
      <c r="B828" t="s">
        <v>22</v>
      </c>
      <c r="C828">
        <v>2025</v>
      </c>
      <c r="D828">
        <v>2</v>
      </c>
      <c r="E828" s="2">
        <v>45710</v>
      </c>
      <c r="F828" t="s">
        <v>7</v>
      </c>
      <c r="G828" t="s">
        <v>8</v>
      </c>
      <c r="H828" t="s">
        <v>70</v>
      </c>
      <c r="I828" t="s">
        <v>84</v>
      </c>
      <c r="J828" t="s">
        <v>85</v>
      </c>
      <c r="K828" t="s">
        <v>73</v>
      </c>
      <c r="L828">
        <v>701000</v>
      </c>
      <c r="M828" t="s">
        <v>62</v>
      </c>
      <c r="N828" t="s">
        <v>33</v>
      </c>
      <c r="O828">
        <v>2741</v>
      </c>
      <c r="P828">
        <v>0.95</v>
      </c>
      <c r="Q828">
        <v>2.6</v>
      </c>
      <c r="R828" t="s">
        <v>1198</v>
      </c>
      <c r="S828" t="s">
        <v>195</v>
      </c>
    </row>
    <row r="829" spans="1:19" x14ac:dyDescent="0.3">
      <c r="A829" t="s">
        <v>1022</v>
      </c>
      <c r="B829" t="s">
        <v>22</v>
      </c>
      <c r="C829">
        <v>2025</v>
      </c>
      <c r="D829">
        <v>2</v>
      </c>
      <c r="E829" s="2">
        <v>45710</v>
      </c>
      <c r="F829" t="s">
        <v>7</v>
      </c>
      <c r="G829" t="s">
        <v>8</v>
      </c>
      <c r="H829" t="s">
        <v>70</v>
      </c>
      <c r="I829" t="s">
        <v>84</v>
      </c>
      <c r="J829" t="s">
        <v>85</v>
      </c>
      <c r="K829" t="s">
        <v>73</v>
      </c>
      <c r="L829">
        <v>701000</v>
      </c>
      <c r="M829" t="s">
        <v>62</v>
      </c>
      <c r="N829" t="s">
        <v>33</v>
      </c>
      <c r="O829">
        <v>1066</v>
      </c>
      <c r="P829">
        <v>0.95</v>
      </c>
      <c r="Q829">
        <v>1.01</v>
      </c>
      <c r="R829" t="s">
        <v>1205</v>
      </c>
      <c r="S829" t="s">
        <v>195</v>
      </c>
    </row>
    <row r="830" spans="1:19" x14ac:dyDescent="0.3">
      <c r="A830" t="s">
        <v>1023</v>
      </c>
      <c r="B830" t="s">
        <v>22</v>
      </c>
      <c r="C830">
        <v>2025</v>
      </c>
      <c r="D830">
        <v>2</v>
      </c>
      <c r="E830" s="2">
        <v>45710</v>
      </c>
      <c r="F830" t="s">
        <v>7</v>
      </c>
      <c r="G830" t="s">
        <v>8</v>
      </c>
      <c r="H830" t="s">
        <v>70</v>
      </c>
      <c r="I830" t="s">
        <v>84</v>
      </c>
      <c r="J830" t="s">
        <v>85</v>
      </c>
      <c r="K830" t="s">
        <v>73</v>
      </c>
      <c r="L830">
        <v>701000</v>
      </c>
      <c r="M830" t="s">
        <v>62</v>
      </c>
      <c r="N830" t="s">
        <v>33</v>
      </c>
      <c r="O830">
        <v>3860</v>
      </c>
      <c r="P830">
        <v>0.95</v>
      </c>
      <c r="Q830">
        <v>3.67</v>
      </c>
      <c r="R830" t="s">
        <v>1204</v>
      </c>
      <c r="S830" t="s">
        <v>195</v>
      </c>
    </row>
    <row r="831" spans="1:19" x14ac:dyDescent="0.3">
      <c r="A831" t="s">
        <v>1024</v>
      </c>
      <c r="B831" t="s">
        <v>22</v>
      </c>
      <c r="C831">
        <v>2025</v>
      </c>
      <c r="D831">
        <v>2</v>
      </c>
      <c r="E831" s="2">
        <v>45710</v>
      </c>
      <c r="F831" t="s">
        <v>7</v>
      </c>
      <c r="G831" t="s">
        <v>8</v>
      </c>
      <c r="H831" t="s">
        <v>70</v>
      </c>
      <c r="I831" t="s">
        <v>84</v>
      </c>
      <c r="J831" t="s">
        <v>85</v>
      </c>
      <c r="K831" t="s">
        <v>73</v>
      </c>
      <c r="L831">
        <v>701000</v>
      </c>
      <c r="M831" t="s">
        <v>62</v>
      </c>
      <c r="N831" t="s">
        <v>33</v>
      </c>
      <c r="O831">
        <v>3247</v>
      </c>
      <c r="P831">
        <v>0.95</v>
      </c>
      <c r="Q831">
        <v>3.09</v>
      </c>
      <c r="R831" t="s">
        <v>1200</v>
      </c>
      <c r="S831" t="s">
        <v>195</v>
      </c>
    </row>
    <row r="832" spans="1:19" x14ac:dyDescent="0.3">
      <c r="A832" t="s">
        <v>1025</v>
      </c>
      <c r="B832" t="s">
        <v>22</v>
      </c>
      <c r="C832">
        <v>2025</v>
      </c>
      <c r="D832">
        <v>2</v>
      </c>
      <c r="E832" s="2">
        <v>45689</v>
      </c>
      <c r="F832" t="s">
        <v>7</v>
      </c>
      <c r="G832" t="s">
        <v>8</v>
      </c>
      <c r="H832" t="s">
        <v>74</v>
      </c>
      <c r="I832" t="s">
        <v>84</v>
      </c>
      <c r="J832" t="s">
        <v>85</v>
      </c>
      <c r="K832" t="s">
        <v>73</v>
      </c>
      <c r="L832">
        <v>706000</v>
      </c>
      <c r="M832" t="s">
        <v>63</v>
      </c>
      <c r="N832" t="s">
        <v>33</v>
      </c>
      <c r="O832">
        <v>649</v>
      </c>
      <c r="P832">
        <v>0.96</v>
      </c>
      <c r="Q832">
        <v>0.62</v>
      </c>
      <c r="R832" t="s">
        <v>1201</v>
      </c>
      <c r="S832" t="s">
        <v>195</v>
      </c>
    </row>
    <row r="833" spans="1:19" x14ac:dyDescent="0.3">
      <c r="A833" t="s">
        <v>1026</v>
      </c>
      <c r="B833" t="s">
        <v>22</v>
      </c>
      <c r="C833">
        <v>2025</v>
      </c>
      <c r="D833">
        <v>2</v>
      </c>
      <c r="E833" s="2">
        <v>45689</v>
      </c>
      <c r="F833" t="s">
        <v>7</v>
      </c>
      <c r="G833" t="s">
        <v>8</v>
      </c>
      <c r="H833" t="s">
        <v>74</v>
      </c>
      <c r="I833" t="s">
        <v>84</v>
      </c>
      <c r="J833" t="s">
        <v>85</v>
      </c>
      <c r="K833" t="s">
        <v>73</v>
      </c>
      <c r="L833">
        <v>706000</v>
      </c>
      <c r="M833" t="s">
        <v>63</v>
      </c>
      <c r="N833" t="s">
        <v>33</v>
      </c>
      <c r="O833">
        <v>1094</v>
      </c>
      <c r="P833">
        <v>0.95</v>
      </c>
      <c r="Q833">
        <v>1.04</v>
      </c>
      <c r="R833" t="s">
        <v>1199</v>
      </c>
      <c r="S833" t="s">
        <v>195</v>
      </c>
    </row>
    <row r="834" spans="1:19" x14ac:dyDescent="0.3">
      <c r="A834" t="s">
        <v>1027</v>
      </c>
      <c r="B834" t="s">
        <v>22</v>
      </c>
      <c r="C834">
        <v>2025</v>
      </c>
      <c r="D834">
        <v>2</v>
      </c>
      <c r="E834" s="2">
        <v>45689</v>
      </c>
      <c r="F834" t="s">
        <v>7</v>
      </c>
      <c r="G834" t="s">
        <v>8</v>
      </c>
      <c r="H834" t="s">
        <v>74</v>
      </c>
      <c r="I834" t="s">
        <v>84</v>
      </c>
      <c r="J834" t="s">
        <v>85</v>
      </c>
      <c r="K834" t="s">
        <v>73</v>
      </c>
      <c r="L834">
        <v>706000</v>
      </c>
      <c r="M834" t="s">
        <v>63</v>
      </c>
      <c r="N834" t="s">
        <v>33</v>
      </c>
      <c r="O834">
        <v>4486</v>
      </c>
      <c r="P834">
        <v>0.95</v>
      </c>
      <c r="Q834">
        <v>4.26</v>
      </c>
      <c r="R834" t="s">
        <v>1203</v>
      </c>
      <c r="S834" t="s">
        <v>195</v>
      </c>
    </row>
    <row r="835" spans="1:19" x14ac:dyDescent="0.3">
      <c r="A835" t="s">
        <v>1028</v>
      </c>
      <c r="B835" t="s">
        <v>22</v>
      </c>
      <c r="C835">
        <v>2025</v>
      </c>
      <c r="D835">
        <v>2</v>
      </c>
      <c r="E835" s="2">
        <v>45689</v>
      </c>
      <c r="F835" t="s">
        <v>7</v>
      </c>
      <c r="G835" t="s">
        <v>8</v>
      </c>
      <c r="H835" t="s">
        <v>74</v>
      </c>
      <c r="I835" t="s">
        <v>84</v>
      </c>
      <c r="J835" t="s">
        <v>85</v>
      </c>
      <c r="K835" t="s">
        <v>73</v>
      </c>
      <c r="L835">
        <v>706000</v>
      </c>
      <c r="M835" t="s">
        <v>63</v>
      </c>
      <c r="N835" t="s">
        <v>33</v>
      </c>
      <c r="O835">
        <v>2903</v>
      </c>
      <c r="P835">
        <v>0.95</v>
      </c>
      <c r="Q835">
        <v>2.76</v>
      </c>
      <c r="R835" t="s">
        <v>1197</v>
      </c>
      <c r="S835" t="s">
        <v>195</v>
      </c>
    </row>
    <row r="836" spans="1:19" x14ac:dyDescent="0.3">
      <c r="A836" t="s">
        <v>1029</v>
      </c>
      <c r="B836" t="s">
        <v>22</v>
      </c>
      <c r="C836">
        <v>2025</v>
      </c>
      <c r="D836">
        <v>2</v>
      </c>
      <c r="E836" s="2">
        <v>45689</v>
      </c>
      <c r="F836" t="s">
        <v>7</v>
      </c>
      <c r="G836" t="s">
        <v>8</v>
      </c>
      <c r="H836" t="s">
        <v>74</v>
      </c>
      <c r="I836" t="s">
        <v>84</v>
      </c>
      <c r="J836" t="s">
        <v>85</v>
      </c>
      <c r="K836" t="s">
        <v>73</v>
      </c>
      <c r="L836">
        <v>706000</v>
      </c>
      <c r="M836" t="s">
        <v>63</v>
      </c>
      <c r="N836" t="s">
        <v>33</v>
      </c>
      <c r="O836">
        <v>7535</v>
      </c>
      <c r="P836">
        <v>0.95</v>
      </c>
      <c r="Q836">
        <v>7.15</v>
      </c>
      <c r="R836" t="s">
        <v>1198</v>
      </c>
      <c r="S836" t="s">
        <v>195</v>
      </c>
    </row>
    <row r="837" spans="1:19" x14ac:dyDescent="0.3">
      <c r="A837" t="s">
        <v>1030</v>
      </c>
      <c r="B837" t="s">
        <v>22</v>
      </c>
      <c r="C837">
        <v>2025</v>
      </c>
      <c r="D837">
        <v>2</v>
      </c>
      <c r="E837" s="2">
        <v>45702</v>
      </c>
      <c r="F837" t="s">
        <v>7</v>
      </c>
      <c r="G837" t="s">
        <v>8</v>
      </c>
      <c r="H837" t="s">
        <v>74</v>
      </c>
      <c r="I837" t="s">
        <v>84</v>
      </c>
      <c r="J837" t="s">
        <v>85</v>
      </c>
      <c r="K837" t="s">
        <v>73</v>
      </c>
      <c r="L837">
        <v>701000</v>
      </c>
      <c r="M837" t="s">
        <v>62</v>
      </c>
      <c r="N837" t="s">
        <v>33</v>
      </c>
      <c r="O837">
        <v>1583</v>
      </c>
      <c r="P837">
        <v>0.95</v>
      </c>
      <c r="Q837">
        <v>1.5</v>
      </c>
      <c r="R837" t="s">
        <v>1197</v>
      </c>
      <c r="S837" t="s">
        <v>195</v>
      </c>
    </row>
    <row r="838" spans="1:19" x14ac:dyDescent="0.3">
      <c r="A838" t="s">
        <v>1031</v>
      </c>
      <c r="B838" t="s">
        <v>22</v>
      </c>
      <c r="C838">
        <v>2025</v>
      </c>
      <c r="D838">
        <v>2</v>
      </c>
      <c r="E838" s="2">
        <v>45702</v>
      </c>
      <c r="F838" t="s">
        <v>7</v>
      </c>
      <c r="G838" t="s">
        <v>8</v>
      </c>
      <c r="H838" t="s">
        <v>74</v>
      </c>
      <c r="I838" t="s">
        <v>84</v>
      </c>
      <c r="J838" t="s">
        <v>85</v>
      </c>
      <c r="K838" t="s">
        <v>73</v>
      </c>
      <c r="L838">
        <v>701000</v>
      </c>
      <c r="M838" t="s">
        <v>62</v>
      </c>
      <c r="N838" t="s">
        <v>33</v>
      </c>
      <c r="O838">
        <v>2679</v>
      </c>
      <c r="P838">
        <v>0.95</v>
      </c>
      <c r="Q838">
        <v>2.5499999999999998</v>
      </c>
      <c r="R838" t="s">
        <v>1199</v>
      </c>
      <c r="S838" t="s">
        <v>195</v>
      </c>
    </row>
    <row r="839" spans="1:19" x14ac:dyDescent="0.3">
      <c r="A839" t="s">
        <v>1032</v>
      </c>
      <c r="B839" t="s">
        <v>22</v>
      </c>
      <c r="C839">
        <v>2025</v>
      </c>
      <c r="D839">
        <v>2</v>
      </c>
      <c r="E839" s="2">
        <v>45702</v>
      </c>
      <c r="F839" t="s">
        <v>7</v>
      </c>
      <c r="G839" t="s">
        <v>8</v>
      </c>
      <c r="H839" t="s">
        <v>74</v>
      </c>
      <c r="I839" t="s">
        <v>84</v>
      </c>
      <c r="J839" t="s">
        <v>85</v>
      </c>
      <c r="K839" t="s">
        <v>73</v>
      </c>
      <c r="L839">
        <v>701000</v>
      </c>
      <c r="M839" t="s">
        <v>62</v>
      </c>
      <c r="N839" t="s">
        <v>33</v>
      </c>
      <c r="O839">
        <v>6048</v>
      </c>
      <c r="P839">
        <v>0.95</v>
      </c>
      <c r="Q839">
        <v>5.75</v>
      </c>
      <c r="R839" t="s">
        <v>1201</v>
      </c>
      <c r="S839" t="s">
        <v>195</v>
      </c>
    </row>
    <row r="840" spans="1:19" x14ac:dyDescent="0.3">
      <c r="A840" t="s">
        <v>1033</v>
      </c>
      <c r="B840" t="s">
        <v>22</v>
      </c>
      <c r="C840">
        <v>2025</v>
      </c>
      <c r="D840">
        <v>2</v>
      </c>
      <c r="E840" s="2">
        <v>45702</v>
      </c>
      <c r="F840" t="s">
        <v>7</v>
      </c>
      <c r="G840" t="s">
        <v>8</v>
      </c>
      <c r="H840" t="s">
        <v>74</v>
      </c>
      <c r="I840" t="s">
        <v>84</v>
      </c>
      <c r="J840" t="s">
        <v>85</v>
      </c>
      <c r="K840" t="s">
        <v>73</v>
      </c>
      <c r="L840">
        <v>701000</v>
      </c>
      <c r="M840" t="s">
        <v>62</v>
      </c>
      <c r="N840" t="s">
        <v>33</v>
      </c>
      <c r="O840">
        <v>3216</v>
      </c>
      <c r="P840">
        <v>0.95</v>
      </c>
      <c r="Q840">
        <v>3.06</v>
      </c>
      <c r="R840" t="s">
        <v>1198</v>
      </c>
      <c r="S840" t="s">
        <v>195</v>
      </c>
    </row>
    <row r="841" spans="1:19" x14ac:dyDescent="0.3">
      <c r="A841" t="s">
        <v>1034</v>
      </c>
      <c r="B841" t="s">
        <v>22</v>
      </c>
      <c r="C841">
        <v>2025</v>
      </c>
      <c r="D841">
        <v>2</v>
      </c>
      <c r="E841" s="2">
        <v>45702</v>
      </c>
      <c r="F841" t="s">
        <v>7</v>
      </c>
      <c r="G841" t="s">
        <v>8</v>
      </c>
      <c r="H841" t="s">
        <v>74</v>
      </c>
      <c r="I841" t="s">
        <v>84</v>
      </c>
      <c r="J841" t="s">
        <v>85</v>
      </c>
      <c r="K841" t="s">
        <v>73</v>
      </c>
      <c r="L841">
        <v>701000</v>
      </c>
      <c r="M841" t="s">
        <v>62</v>
      </c>
      <c r="N841" t="s">
        <v>33</v>
      </c>
      <c r="O841">
        <v>5303</v>
      </c>
      <c r="P841">
        <v>0.95</v>
      </c>
      <c r="Q841">
        <v>5.03</v>
      </c>
      <c r="R841" t="s">
        <v>1205</v>
      </c>
      <c r="S841" t="s">
        <v>195</v>
      </c>
    </row>
    <row r="842" spans="1:19" x14ac:dyDescent="0.3">
      <c r="A842" t="s">
        <v>1035</v>
      </c>
      <c r="B842" t="s">
        <v>22</v>
      </c>
      <c r="C842">
        <v>2025</v>
      </c>
      <c r="D842">
        <v>2</v>
      </c>
      <c r="E842" s="2">
        <v>45712</v>
      </c>
      <c r="F842" t="s">
        <v>7</v>
      </c>
      <c r="G842" t="s">
        <v>8</v>
      </c>
      <c r="H842" t="s">
        <v>74</v>
      </c>
      <c r="I842" t="s">
        <v>84</v>
      </c>
      <c r="J842" t="s">
        <v>85</v>
      </c>
      <c r="K842" t="s">
        <v>73</v>
      </c>
      <c r="L842">
        <v>701000</v>
      </c>
      <c r="M842" t="s">
        <v>62</v>
      </c>
      <c r="N842" t="s">
        <v>33</v>
      </c>
      <c r="O842">
        <v>6884</v>
      </c>
      <c r="P842">
        <v>0.95</v>
      </c>
      <c r="Q842">
        <v>6.54</v>
      </c>
      <c r="R842" t="s">
        <v>1205</v>
      </c>
      <c r="S842" t="s">
        <v>195</v>
      </c>
    </row>
    <row r="843" spans="1:19" x14ac:dyDescent="0.3">
      <c r="A843" t="s">
        <v>1036</v>
      </c>
      <c r="B843" t="s">
        <v>22</v>
      </c>
      <c r="C843">
        <v>2025</v>
      </c>
      <c r="D843">
        <v>2</v>
      </c>
      <c r="E843" s="2">
        <v>45712</v>
      </c>
      <c r="F843" t="s">
        <v>7</v>
      </c>
      <c r="G843" t="s">
        <v>8</v>
      </c>
      <c r="H843" t="s">
        <v>74</v>
      </c>
      <c r="I843" t="s">
        <v>84</v>
      </c>
      <c r="J843" t="s">
        <v>85</v>
      </c>
      <c r="K843" t="s">
        <v>73</v>
      </c>
      <c r="L843">
        <v>701000</v>
      </c>
      <c r="M843" t="s">
        <v>62</v>
      </c>
      <c r="N843" t="s">
        <v>33</v>
      </c>
      <c r="O843">
        <v>4864</v>
      </c>
      <c r="P843">
        <v>0.95</v>
      </c>
      <c r="Q843">
        <v>4.62</v>
      </c>
      <c r="R843" t="s">
        <v>1204</v>
      </c>
      <c r="S843" t="s">
        <v>195</v>
      </c>
    </row>
    <row r="844" spans="1:19" x14ac:dyDescent="0.3">
      <c r="A844" t="s">
        <v>1037</v>
      </c>
      <c r="B844" t="s">
        <v>22</v>
      </c>
      <c r="C844">
        <v>2025</v>
      </c>
      <c r="D844">
        <v>2</v>
      </c>
      <c r="E844" s="2">
        <v>45712</v>
      </c>
      <c r="F844" t="s">
        <v>7</v>
      </c>
      <c r="G844" t="s">
        <v>8</v>
      </c>
      <c r="H844" t="s">
        <v>74</v>
      </c>
      <c r="I844" t="s">
        <v>84</v>
      </c>
      <c r="J844" t="s">
        <v>85</v>
      </c>
      <c r="K844" t="s">
        <v>73</v>
      </c>
      <c r="L844">
        <v>701000</v>
      </c>
      <c r="M844" t="s">
        <v>62</v>
      </c>
      <c r="N844" t="s">
        <v>33</v>
      </c>
      <c r="O844">
        <v>3372</v>
      </c>
      <c r="P844">
        <v>0.95</v>
      </c>
      <c r="Q844">
        <v>3.2</v>
      </c>
      <c r="R844" t="s">
        <v>1197</v>
      </c>
      <c r="S844" t="s">
        <v>195</v>
      </c>
    </row>
    <row r="845" spans="1:19" x14ac:dyDescent="0.3">
      <c r="A845" t="s">
        <v>1038</v>
      </c>
      <c r="B845" t="s">
        <v>22</v>
      </c>
      <c r="C845">
        <v>2025</v>
      </c>
      <c r="D845">
        <v>2</v>
      </c>
      <c r="E845" s="2">
        <v>45712</v>
      </c>
      <c r="F845" t="s">
        <v>7</v>
      </c>
      <c r="G845" t="s">
        <v>8</v>
      </c>
      <c r="H845" t="s">
        <v>74</v>
      </c>
      <c r="I845" t="s">
        <v>84</v>
      </c>
      <c r="J845" t="s">
        <v>85</v>
      </c>
      <c r="K845" t="s">
        <v>73</v>
      </c>
      <c r="L845">
        <v>701000</v>
      </c>
      <c r="M845" t="s">
        <v>62</v>
      </c>
      <c r="N845" t="s">
        <v>33</v>
      </c>
      <c r="O845">
        <v>1705</v>
      </c>
      <c r="P845">
        <v>0.95</v>
      </c>
      <c r="Q845">
        <v>1.62</v>
      </c>
      <c r="R845" t="s">
        <v>1203</v>
      </c>
      <c r="S845" t="s">
        <v>195</v>
      </c>
    </row>
    <row r="846" spans="1:19" x14ac:dyDescent="0.3">
      <c r="A846" t="s">
        <v>1039</v>
      </c>
      <c r="B846" t="s">
        <v>22</v>
      </c>
      <c r="C846">
        <v>2025</v>
      </c>
      <c r="D846">
        <v>2</v>
      </c>
      <c r="E846" s="2">
        <v>45712</v>
      </c>
      <c r="F846" t="s">
        <v>7</v>
      </c>
      <c r="G846" t="s">
        <v>8</v>
      </c>
      <c r="H846" t="s">
        <v>74</v>
      </c>
      <c r="I846" t="s">
        <v>84</v>
      </c>
      <c r="J846" t="s">
        <v>85</v>
      </c>
      <c r="K846" t="s">
        <v>73</v>
      </c>
      <c r="L846">
        <v>701000</v>
      </c>
      <c r="M846" t="s">
        <v>62</v>
      </c>
      <c r="N846" t="s">
        <v>33</v>
      </c>
      <c r="O846">
        <v>1331</v>
      </c>
      <c r="P846">
        <v>0.95</v>
      </c>
      <c r="Q846">
        <v>1.27</v>
      </c>
      <c r="R846" t="s">
        <v>1201</v>
      </c>
      <c r="S846" t="s">
        <v>195</v>
      </c>
    </row>
    <row r="847" spans="1:19" x14ac:dyDescent="0.3">
      <c r="A847" t="s">
        <v>1040</v>
      </c>
      <c r="B847" t="s">
        <v>22</v>
      </c>
      <c r="C847">
        <v>2025</v>
      </c>
      <c r="D847">
        <v>2</v>
      </c>
      <c r="E847" s="2">
        <v>45702</v>
      </c>
      <c r="F847" t="s">
        <v>7</v>
      </c>
      <c r="G847" t="s">
        <v>8</v>
      </c>
      <c r="H847" t="s">
        <v>74</v>
      </c>
      <c r="I847" t="s">
        <v>84</v>
      </c>
      <c r="J847" t="s">
        <v>85</v>
      </c>
      <c r="K847" t="s">
        <v>73</v>
      </c>
      <c r="L847">
        <v>701000</v>
      </c>
      <c r="M847" t="s">
        <v>62</v>
      </c>
      <c r="N847" t="s">
        <v>33</v>
      </c>
      <c r="O847">
        <v>1111</v>
      </c>
      <c r="P847">
        <v>0.95</v>
      </c>
      <c r="Q847">
        <v>1.06</v>
      </c>
      <c r="R847" t="s">
        <v>1205</v>
      </c>
      <c r="S847" t="s">
        <v>195</v>
      </c>
    </row>
    <row r="848" spans="1:19" x14ac:dyDescent="0.3">
      <c r="A848" t="s">
        <v>1041</v>
      </c>
      <c r="B848" t="s">
        <v>22</v>
      </c>
      <c r="C848">
        <v>2025</v>
      </c>
      <c r="D848">
        <v>2</v>
      </c>
      <c r="E848" s="2">
        <v>45702</v>
      </c>
      <c r="F848" t="s">
        <v>7</v>
      </c>
      <c r="G848" t="s">
        <v>8</v>
      </c>
      <c r="H848" t="s">
        <v>74</v>
      </c>
      <c r="I848" t="s">
        <v>84</v>
      </c>
      <c r="J848" t="s">
        <v>85</v>
      </c>
      <c r="K848" t="s">
        <v>73</v>
      </c>
      <c r="L848">
        <v>701000</v>
      </c>
      <c r="M848" t="s">
        <v>62</v>
      </c>
      <c r="N848" t="s">
        <v>33</v>
      </c>
      <c r="O848">
        <v>6925</v>
      </c>
      <c r="P848">
        <v>0.95</v>
      </c>
      <c r="Q848">
        <v>6.58</v>
      </c>
      <c r="R848" t="s">
        <v>1200</v>
      </c>
      <c r="S848" t="s">
        <v>195</v>
      </c>
    </row>
    <row r="849" spans="1:19" x14ac:dyDescent="0.3">
      <c r="A849" t="s">
        <v>1042</v>
      </c>
      <c r="B849" t="s">
        <v>22</v>
      </c>
      <c r="C849">
        <v>2025</v>
      </c>
      <c r="D849">
        <v>2</v>
      </c>
      <c r="E849" s="2">
        <v>45702</v>
      </c>
      <c r="F849" t="s">
        <v>7</v>
      </c>
      <c r="G849" t="s">
        <v>8</v>
      </c>
      <c r="H849" t="s">
        <v>74</v>
      </c>
      <c r="I849" t="s">
        <v>84</v>
      </c>
      <c r="J849" t="s">
        <v>85</v>
      </c>
      <c r="K849" t="s">
        <v>73</v>
      </c>
      <c r="L849">
        <v>701000</v>
      </c>
      <c r="M849" t="s">
        <v>62</v>
      </c>
      <c r="N849" t="s">
        <v>33</v>
      </c>
      <c r="O849">
        <v>3582</v>
      </c>
      <c r="P849">
        <v>0.95</v>
      </c>
      <c r="Q849">
        <v>3.4</v>
      </c>
      <c r="R849" t="s">
        <v>1201</v>
      </c>
      <c r="S849" t="s">
        <v>195</v>
      </c>
    </row>
    <row r="850" spans="1:19" x14ac:dyDescent="0.3">
      <c r="A850" t="s">
        <v>1043</v>
      </c>
      <c r="B850" t="s">
        <v>22</v>
      </c>
      <c r="C850">
        <v>2025</v>
      </c>
      <c r="D850">
        <v>2</v>
      </c>
      <c r="E850" s="2">
        <v>45702</v>
      </c>
      <c r="F850" t="s">
        <v>7</v>
      </c>
      <c r="G850" t="s">
        <v>8</v>
      </c>
      <c r="H850" t="s">
        <v>74</v>
      </c>
      <c r="I850" t="s">
        <v>84</v>
      </c>
      <c r="J850" t="s">
        <v>85</v>
      </c>
      <c r="K850" t="s">
        <v>73</v>
      </c>
      <c r="L850">
        <v>701000</v>
      </c>
      <c r="M850" t="s">
        <v>62</v>
      </c>
      <c r="N850" t="s">
        <v>33</v>
      </c>
      <c r="O850">
        <v>3017</v>
      </c>
      <c r="P850">
        <v>0.95</v>
      </c>
      <c r="Q850">
        <v>2.87</v>
      </c>
      <c r="R850" t="s">
        <v>1204</v>
      </c>
      <c r="S850" t="s">
        <v>195</v>
      </c>
    </row>
    <row r="851" spans="1:19" x14ac:dyDescent="0.3">
      <c r="A851" t="s">
        <v>1044</v>
      </c>
      <c r="B851" t="s">
        <v>22</v>
      </c>
      <c r="C851">
        <v>2025</v>
      </c>
      <c r="D851">
        <v>2</v>
      </c>
      <c r="E851" s="2">
        <v>45702</v>
      </c>
      <c r="F851" t="s">
        <v>7</v>
      </c>
      <c r="G851" t="s">
        <v>8</v>
      </c>
      <c r="H851" t="s">
        <v>74</v>
      </c>
      <c r="I851" t="s">
        <v>84</v>
      </c>
      <c r="J851" t="s">
        <v>85</v>
      </c>
      <c r="K851" t="s">
        <v>73</v>
      </c>
      <c r="L851">
        <v>701000</v>
      </c>
      <c r="M851" t="s">
        <v>62</v>
      </c>
      <c r="N851" t="s">
        <v>33</v>
      </c>
      <c r="O851">
        <v>2547</v>
      </c>
      <c r="P851">
        <v>0.95</v>
      </c>
      <c r="Q851">
        <v>2.41</v>
      </c>
      <c r="R851" t="s">
        <v>1197</v>
      </c>
      <c r="S851" t="s">
        <v>195</v>
      </c>
    </row>
    <row r="852" spans="1:19" x14ac:dyDescent="0.3">
      <c r="A852" t="s">
        <v>1045</v>
      </c>
      <c r="B852" t="s">
        <v>22</v>
      </c>
      <c r="C852">
        <v>2025</v>
      </c>
      <c r="D852">
        <v>2</v>
      </c>
      <c r="E852" s="2">
        <v>45691</v>
      </c>
      <c r="F852" t="s">
        <v>7</v>
      </c>
      <c r="G852" t="s">
        <v>8</v>
      </c>
      <c r="H852" t="s">
        <v>70</v>
      </c>
      <c r="I852" t="s">
        <v>84</v>
      </c>
      <c r="J852" t="s">
        <v>85</v>
      </c>
      <c r="K852" t="s">
        <v>73</v>
      </c>
      <c r="L852">
        <v>701000</v>
      </c>
      <c r="M852" t="s">
        <v>62</v>
      </c>
      <c r="N852" t="s">
        <v>33</v>
      </c>
      <c r="O852">
        <v>2738</v>
      </c>
      <c r="P852">
        <v>0.95</v>
      </c>
      <c r="Q852">
        <v>2.6</v>
      </c>
      <c r="R852" t="s">
        <v>1201</v>
      </c>
      <c r="S852" t="s">
        <v>195</v>
      </c>
    </row>
    <row r="853" spans="1:19" x14ac:dyDescent="0.3">
      <c r="A853" t="s">
        <v>1046</v>
      </c>
      <c r="B853" t="s">
        <v>22</v>
      </c>
      <c r="C853">
        <v>2025</v>
      </c>
      <c r="D853">
        <v>2</v>
      </c>
      <c r="E853" s="2">
        <v>45691</v>
      </c>
      <c r="F853" t="s">
        <v>7</v>
      </c>
      <c r="G853" t="s">
        <v>8</v>
      </c>
      <c r="H853" t="s">
        <v>70</v>
      </c>
      <c r="I853" t="s">
        <v>84</v>
      </c>
      <c r="J853" t="s">
        <v>85</v>
      </c>
      <c r="K853" t="s">
        <v>73</v>
      </c>
      <c r="L853">
        <v>701000</v>
      </c>
      <c r="M853" t="s">
        <v>62</v>
      </c>
      <c r="N853" t="s">
        <v>33</v>
      </c>
      <c r="O853">
        <v>5351</v>
      </c>
      <c r="P853">
        <v>0.95</v>
      </c>
      <c r="Q853">
        <v>5.08</v>
      </c>
      <c r="R853" t="s">
        <v>1205</v>
      </c>
      <c r="S853" t="s">
        <v>195</v>
      </c>
    </row>
    <row r="854" spans="1:19" x14ac:dyDescent="0.3">
      <c r="A854" t="s">
        <v>1047</v>
      </c>
      <c r="B854" t="s">
        <v>22</v>
      </c>
      <c r="C854">
        <v>2025</v>
      </c>
      <c r="D854">
        <v>2</v>
      </c>
      <c r="E854" s="2">
        <v>45691</v>
      </c>
      <c r="F854" t="s">
        <v>7</v>
      </c>
      <c r="G854" t="s">
        <v>8</v>
      </c>
      <c r="H854" t="s">
        <v>70</v>
      </c>
      <c r="I854" t="s">
        <v>84</v>
      </c>
      <c r="J854" t="s">
        <v>85</v>
      </c>
      <c r="K854" t="s">
        <v>73</v>
      </c>
      <c r="L854">
        <v>701000</v>
      </c>
      <c r="M854" t="s">
        <v>62</v>
      </c>
      <c r="N854" t="s">
        <v>33</v>
      </c>
      <c r="O854">
        <v>1841</v>
      </c>
      <c r="P854">
        <v>0.95</v>
      </c>
      <c r="Q854">
        <v>1.75</v>
      </c>
      <c r="R854" t="s">
        <v>1204</v>
      </c>
      <c r="S854" t="s">
        <v>195</v>
      </c>
    </row>
    <row r="855" spans="1:19" x14ac:dyDescent="0.3">
      <c r="A855" t="s">
        <v>1048</v>
      </c>
      <c r="B855" t="s">
        <v>22</v>
      </c>
      <c r="C855">
        <v>2025</v>
      </c>
      <c r="D855">
        <v>2</v>
      </c>
      <c r="E855" s="2">
        <v>45691</v>
      </c>
      <c r="F855" t="s">
        <v>7</v>
      </c>
      <c r="G855" t="s">
        <v>8</v>
      </c>
      <c r="H855" t="s">
        <v>70</v>
      </c>
      <c r="I855" t="s">
        <v>84</v>
      </c>
      <c r="J855" t="s">
        <v>85</v>
      </c>
      <c r="K855" t="s">
        <v>73</v>
      </c>
      <c r="L855">
        <v>701000</v>
      </c>
      <c r="M855" t="s">
        <v>62</v>
      </c>
      <c r="N855" t="s">
        <v>33</v>
      </c>
      <c r="O855">
        <v>3794</v>
      </c>
      <c r="P855">
        <v>0.95</v>
      </c>
      <c r="Q855">
        <v>3.61</v>
      </c>
      <c r="R855" t="s">
        <v>1202</v>
      </c>
      <c r="S855" t="s">
        <v>195</v>
      </c>
    </row>
    <row r="856" spans="1:19" x14ac:dyDescent="0.3">
      <c r="A856" t="s">
        <v>1049</v>
      </c>
      <c r="B856" t="s">
        <v>22</v>
      </c>
      <c r="C856">
        <v>2025</v>
      </c>
      <c r="D856">
        <v>2</v>
      </c>
      <c r="E856" s="2">
        <v>45691</v>
      </c>
      <c r="F856" t="s">
        <v>7</v>
      </c>
      <c r="G856" t="s">
        <v>8</v>
      </c>
      <c r="H856" t="s">
        <v>70</v>
      </c>
      <c r="I856" t="s">
        <v>84</v>
      </c>
      <c r="J856" t="s">
        <v>85</v>
      </c>
      <c r="K856" t="s">
        <v>73</v>
      </c>
      <c r="L856">
        <v>701000</v>
      </c>
      <c r="M856" t="s">
        <v>62</v>
      </c>
      <c r="N856" t="s">
        <v>33</v>
      </c>
      <c r="O856">
        <v>5989</v>
      </c>
      <c r="P856">
        <v>0.95</v>
      </c>
      <c r="Q856">
        <v>5.69</v>
      </c>
      <c r="R856" t="s">
        <v>1197</v>
      </c>
      <c r="S856" t="s">
        <v>195</v>
      </c>
    </row>
    <row r="857" spans="1:19" x14ac:dyDescent="0.3">
      <c r="A857" t="s">
        <v>1050</v>
      </c>
      <c r="B857" t="s">
        <v>22</v>
      </c>
      <c r="C857">
        <v>2025</v>
      </c>
      <c r="D857">
        <v>2</v>
      </c>
      <c r="E857" s="2">
        <v>45689</v>
      </c>
      <c r="F857" t="s">
        <v>7</v>
      </c>
      <c r="G857" t="s">
        <v>8</v>
      </c>
      <c r="H857" t="s">
        <v>74</v>
      </c>
      <c r="I857" t="s">
        <v>84</v>
      </c>
      <c r="J857" t="s">
        <v>85</v>
      </c>
      <c r="K857" t="s">
        <v>73</v>
      </c>
      <c r="L857">
        <v>701000</v>
      </c>
      <c r="M857" t="s">
        <v>62</v>
      </c>
      <c r="N857" t="s">
        <v>33</v>
      </c>
      <c r="O857">
        <v>5134</v>
      </c>
      <c r="P857">
        <v>0.95</v>
      </c>
      <c r="Q857">
        <v>4.88</v>
      </c>
      <c r="R857" t="s">
        <v>1203</v>
      </c>
      <c r="S857" t="s">
        <v>195</v>
      </c>
    </row>
    <row r="858" spans="1:19" x14ac:dyDescent="0.3">
      <c r="A858" t="s">
        <v>1051</v>
      </c>
      <c r="B858" t="s">
        <v>22</v>
      </c>
      <c r="C858">
        <v>2025</v>
      </c>
      <c r="D858">
        <v>2</v>
      </c>
      <c r="E858" s="2">
        <v>45689</v>
      </c>
      <c r="F858" t="s">
        <v>7</v>
      </c>
      <c r="G858" t="s">
        <v>8</v>
      </c>
      <c r="H858" t="s">
        <v>74</v>
      </c>
      <c r="I858" t="s">
        <v>84</v>
      </c>
      <c r="J858" t="s">
        <v>85</v>
      </c>
      <c r="K858" t="s">
        <v>73</v>
      </c>
      <c r="L858">
        <v>701000</v>
      </c>
      <c r="M858" t="s">
        <v>62</v>
      </c>
      <c r="N858" t="s">
        <v>33</v>
      </c>
      <c r="O858">
        <v>2925</v>
      </c>
      <c r="P858">
        <v>0.95</v>
      </c>
      <c r="Q858">
        <v>2.78</v>
      </c>
      <c r="R858" t="s">
        <v>1205</v>
      </c>
      <c r="S858" t="s">
        <v>195</v>
      </c>
    </row>
    <row r="859" spans="1:19" x14ac:dyDescent="0.3">
      <c r="A859" t="s">
        <v>1052</v>
      </c>
      <c r="B859" t="s">
        <v>22</v>
      </c>
      <c r="C859">
        <v>2025</v>
      </c>
      <c r="D859">
        <v>2</v>
      </c>
      <c r="E859" s="2">
        <v>45689</v>
      </c>
      <c r="F859" t="s">
        <v>7</v>
      </c>
      <c r="G859" t="s">
        <v>8</v>
      </c>
      <c r="H859" t="s">
        <v>74</v>
      </c>
      <c r="I859" t="s">
        <v>84</v>
      </c>
      <c r="J859" t="s">
        <v>85</v>
      </c>
      <c r="K859" t="s">
        <v>73</v>
      </c>
      <c r="L859">
        <v>701000</v>
      </c>
      <c r="M859" t="s">
        <v>62</v>
      </c>
      <c r="N859" t="s">
        <v>33</v>
      </c>
      <c r="O859">
        <v>4300</v>
      </c>
      <c r="P859">
        <v>0.95</v>
      </c>
      <c r="Q859">
        <v>4.09</v>
      </c>
      <c r="R859" t="s">
        <v>1202</v>
      </c>
      <c r="S859" t="s">
        <v>195</v>
      </c>
    </row>
    <row r="860" spans="1:19" x14ac:dyDescent="0.3">
      <c r="A860" t="s">
        <v>1053</v>
      </c>
      <c r="B860" t="s">
        <v>22</v>
      </c>
      <c r="C860">
        <v>2025</v>
      </c>
      <c r="D860">
        <v>2</v>
      </c>
      <c r="E860" s="2">
        <v>45689</v>
      </c>
      <c r="F860" t="s">
        <v>7</v>
      </c>
      <c r="G860" t="s">
        <v>8</v>
      </c>
      <c r="H860" t="s">
        <v>74</v>
      </c>
      <c r="I860" t="s">
        <v>84</v>
      </c>
      <c r="J860" t="s">
        <v>85</v>
      </c>
      <c r="K860" t="s">
        <v>73</v>
      </c>
      <c r="L860">
        <v>701000</v>
      </c>
      <c r="M860" t="s">
        <v>62</v>
      </c>
      <c r="N860" t="s">
        <v>33</v>
      </c>
      <c r="O860">
        <v>2620</v>
      </c>
      <c r="P860">
        <v>0.95</v>
      </c>
      <c r="Q860">
        <v>2.4900000000000002</v>
      </c>
      <c r="R860" t="s">
        <v>1204</v>
      </c>
      <c r="S860" t="s">
        <v>195</v>
      </c>
    </row>
    <row r="861" spans="1:19" x14ac:dyDescent="0.3">
      <c r="A861" t="s">
        <v>1054</v>
      </c>
      <c r="B861" t="s">
        <v>22</v>
      </c>
      <c r="C861">
        <v>2025</v>
      </c>
      <c r="D861">
        <v>2</v>
      </c>
      <c r="E861" s="2">
        <v>45689</v>
      </c>
      <c r="F861" t="s">
        <v>7</v>
      </c>
      <c r="G861" t="s">
        <v>8</v>
      </c>
      <c r="H861" t="s">
        <v>74</v>
      </c>
      <c r="I861" t="s">
        <v>84</v>
      </c>
      <c r="J861" t="s">
        <v>85</v>
      </c>
      <c r="K861" t="s">
        <v>73</v>
      </c>
      <c r="L861">
        <v>701000</v>
      </c>
      <c r="M861" t="s">
        <v>62</v>
      </c>
      <c r="N861" t="s">
        <v>33</v>
      </c>
      <c r="O861">
        <v>1944</v>
      </c>
      <c r="P861">
        <v>0.95</v>
      </c>
      <c r="Q861">
        <v>1.84</v>
      </c>
      <c r="R861" t="s">
        <v>1201</v>
      </c>
      <c r="S861" t="s">
        <v>195</v>
      </c>
    </row>
    <row r="862" spans="1:19" x14ac:dyDescent="0.3">
      <c r="A862" t="s">
        <v>1055</v>
      </c>
      <c r="B862" t="s">
        <v>22</v>
      </c>
      <c r="C862">
        <v>2025</v>
      </c>
      <c r="D862">
        <v>2</v>
      </c>
      <c r="E862" s="2">
        <v>45700</v>
      </c>
      <c r="F862" t="s">
        <v>7</v>
      </c>
      <c r="G862" t="s">
        <v>8</v>
      </c>
      <c r="H862" t="s">
        <v>74</v>
      </c>
      <c r="I862" t="s">
        <v>84</v>
      </c>
      <c r="J862" t="s">
        <v>85</v>
      </c>
      <c r="K862" t="s">
        <v>73</v>
      </c>
      <c r="L862">
        <v>701000</v>
      </c>
      <c r="M862" t="s">
        <v>62</v>
      </c>
      <c r="N862" t="s">
        <v>33</v>
      </c>
      <c r="O862">
        <v>4882</v>
      </c>
      <c r="P862">
        <v>0.95</v>
      </c>
      <c r="Q862">
        <v>4.6399999999999997</v>
      </c>
      <c r="R862" t="s">
        <v>1197</v>
      </c>
      <c r="S862" t="s">
        <v>195</v>
      </c>
    </row>
    <row r="863" spans="1:19" x14ac:dyDescent="0.3">
      <c r="A863" t="s">
        <v>1056</v>
      </c>
      <c r="B863" t="s">
        <v>22</v>
      </c>
      <c r="C863">
        <v>2025</v>
      </c>
      <c r="D863">
        <v>2</v>
      </c>
      <c r="E863" s="2">
        <v>45700</v>
      </c>
      <c r="F863" t="s">
        <v>7</v>
      </c>
      <c r="G863" t="s">
        <v>8</v>
      </c>
      <c r="H863" t="s">
        <v>74</v>
      </c>
      <c r="I863" t="s">
        <v>84</v>
      </c>
      <c r="J863" t="s">
        <v>85</v>
      </c>
      <c r="K863" t="s">
        <v>73</v>
      </c>
      <c r="L863">
        <v>701000</v>
      </c>
      <c r="M863" t="s">
        <v>62</v>
      </c>
      <c r="N863" t="s">
        <v>33</v>
      </c>
      <c r="O863">
        <v>2000</v>
      </c>
      <c r="P863">
        <v>0.95</v>
      </c>
      <c r="Q863">
        <v>1.9</v>
      </c>
      <c r="R863" t="s">
        <v>1201</v>
      </c>
      <c r="S863" t="s">
        <v>195</v>
      </c>
    </row>
    <row r="864" spans="1:19" x14ac:dyDescent="0.3">
      <c r="A864" t="s">
        <v>1057</v>
      </c>
      <c r="B864" t="s">
        <v>22</v>
      </c>
      <c r="C864">
        <v>2025</v>
      </c>
      <c r="D864">
        <v>2</v>
      </c>
      <c r="E864" s="2">
        <v>45700</v>
      </c>
      <c r="F864" t="s">
        <v>7</v>
      </c>
      <c r="G864" t="s">
        <v>8</v>
      </c>
      <c r="H864" t="s">
        <v>74</v>
      </c>
      <c r="I864" t="s">
        <v>84</v>
      </c>
      <c r="J864" t="s">
        <v>85</v>
      </c>
      <c r="K864" t="s">
        <v>73</v>
      </c>
      <c r="L864">
        <v>701000</v>
      </c>
      <c r="M864" t="s">
        <v>62</v>
      </c>
      <c r="N864" t="s">
        <v>33</v>
      </c>
      <c r="O864">
        <v>2124</v>
      </c>
      <c r="P864">
        <v>0.95</v>
      </c>
      <c r="Q864">
        <v>2.02</v>
      </c>
      <c r="R864" t="s">
        <v>1205</v>
      </c>
      <c r="S864" t="s">
        <v>195</v>
      </c>
    </row>
    <row r="865" spans="1:19" x14ac:dyDescent="0.3">
      <c r="A865" t="s">
        <v>1058</v>
      </c>
      <c r="B865" t="s">
        <v>22</v>
      </c>
      <c r="C865">
        <v>2025</v>
      </c>
      <c r="D865">
        <v>2</v>
      </c>
      <c r="E865" s="2">
        <v>45700</v>
      </c>
      <c r="F865" t="s">
        <v>7</v>
      </c>
      <c r="G865" t="s">
        <v>8</v>
      </c>
      <c r="H865" t="s">
        <v>74</v>
      </c>
      <c r="I865" t="s">
        <v>84</v>
      </c>
      <c r="J865" t="s">
        <v>85</v>
      </c>
      <c r="K865" t="s">
        <v>73</v>
      </c>
      <c r="L865">
        <v>701000</v>
      </c>
      <c r="M865" t="s">
        <v>62</v>
      </c>
      <c r="N865" t="s">
        <v>33</v>
      </c>
      <c r="O865">
        <v>2960</v>
      </c>
      <c r="P865">
        <v>0.95</v>
      </c>
      <c r="Q865">
        <v>2.81</v>
      </c>
      <c r="R865" t="s">
        <v>1202</v>
      </c>
      <c r="S865" t="s">
        <v>195</v>
      </c>
    </row>
    <row r="866" spans="1:19" x14ac:dyDescent="0.3">
      <c r="A866" t="s">
        <v>1059</v>
      </c>
      <c r="B866" t="s">
        <v>22</v>
      </c>
      <c r="C866">
        <v>2025</v>
      </c>
      <c r="D866">
        <v>2</v>
      </c>
      <c r="E866" s="2">
        <v>45700</v>
      </c>
      <c r="F866" t="s">
        <v>7</v>
      </c>
      <c r="G866" t="s">
        <v>8</v>
      </c>
      <c r="H866" t="s">
        <v>74</v>
      </c>
      <c r="I866" t="s">
        <v>84</v>
      </c>
      <c r="J866" t="s">
        <v>85</v>
      </c>
      <c r="K866" t="s">
        <v>73</v>
      </c>
      <c r="L866">
        <v>701000</v>
      </c>
      <c r="M866" t="s">
        <v>62</v>
      </c>
      <c r="N866" t="s">
        <v>33</v>
      </c>
      <c r="O866">
        <v>3598</v>
      </c>
      <c r="P866">
        <v>0.95</v>
      </c>
      <c r="Q866">
        <v>3.42</v>
      </c>
      <c r="R866" t="s">
        <v>1203</v>
      </c>
      <c r="S866" t="s">
        <v>195</v>
      </c>
    </row>
    <row r="867" spans="1:19" x14ac:dyDescent="0.3">
      <c r="A867" t="s">
        <v>1060</v>
      </c>
      <c r="B867" t="s">
        <v>22</v>
      </c>
      <c r="C867">
        <v>2025</v>
      </c>
      <c r="D867">
        <v>2</v>
      </c>
      <c r="E867" s="2">
        <v>45696</v>
      </c>
      <c r="F867" t="s">
        <v>7</v>
      </c>
      <c r="G867" t="s">
        <v>8</v>
      </c>
      <c r="H867" t="s">
        <v>70</v>
      </c>
      <c r="I867" t="s">
        <v>84</v>
      </c>
      <c r="J867" t="s">
        <v>85</v>
      </c>
      <c r="K867" t="s">
        <v>73</v>
      </c>
      <c r="L867">
        <v>701000</v>
      </c>
      <c r="M867" t="s">
        <v>62</v>
      </c>
      <c r="N867" t="s">
        <v>33</v>
      </c>
      <c r="O867">
        <v>2517</v>
      </c>
      <c r="P867">
        <v>0.95</v>
      </c>
      <c r="Q867">
        <v>2.39</v>
      </c>
      <c r="R867" t="s">
        <v>1204</v>
      </c>
      <c r="S867" t="s">
        <v>195</v>
      </c>
    </row>
    <row r="868" spans="1:19" x14ac:dyDescent="0.3">
      <c r="A868" t="s">
        <v>1061</v>
      </c>
      <c r="B868" t="s">
        <v>22</v>
      </c>
      <c r="C868">
        <v>2025</v>
      </c>
      <c r="D868">
        <v>2</v>
      </c>
      <c r="E868" s="2">
        <v>45696</v>
      </c>
      <c r="F868" t="s">
        <v>7</v>
      </c>
      <c r="G868" t="s">
        <v>8</v>
      </c>
      <c r="H868" t="s">
        <v>70</v>
      </c>
      <c r="I868" t="s">
        <v>84</v>
      </c>
      <c r="J868" t="s">
        <v>85</v>
      </c>
      <c r="K868" t="s">
        <v>73</v>
      </c>
      <c r="L868">
        <v>701000</v>
      </c>
      <c r="M868" t="s">
        <v>62</v>
      </c>
      <c r="N868" t="s">
        <v>33</v>
      </c>
      <c r="O868">
        <v>5763</v>
      </c>
      <c r="P868">
        <v>0.95</v>
      </c>
      <c r="Q868">
        <v>5.47</v>
      </c>
      <c r="R868" t="s">
        <v>1198</v>
      </c>
      <c r="S868" t="s">
        <v>195</v>
      </c>
    </row>
    <row r="869" spans="1:19" x14ac:dyDescent="0.3">
      <c r="A869" t="s">
        <v>1062</v>
      </c>
      <c r="B869" t="s">
        <v>22</v>
      </c>
      <c r="C869">
        <v>2025</v>
      </c>
      <c r="D869">
        <v>2</v>
      </c>
      <c r="E869" s="2">
        <v>45696</v>
      </c>
      <c r="F869" t="s">
        <v>7</v>
      </c>
      <c r="G869" t="s">
        <v>8</v>
      </c>
      <c r="H869" t="s">
        <v>70</v>
      </c>
      <c r="I869" t="s">
        <v>84</v>
      </c>
      <c r="J869" t="s">
        <v>85</v>
      </c>
      <c r="K869" t="s">
        <v>73</v>
      </c>
      <c r="L869">
        <v>701000</v>
      </c>
      <c r="M869" t="s">
        <v>62</v>
      </c>
      <c r="N869" t="s">
        <v>33</v>
      </c>
      <c r="O869">
        <v>4111</v>
      </c>
      <c r="P869">
        <v>0.95</v>
      </c>
      <c r="Q869">
        <v>3.91</v>
      </c>
      <c r="R869" t="s">
        <v>1203</v>
      </c>
      <c r="S869" t="s">
        <v>195</v>
      </c>
    </row>
    <row r="870" spans="1:19" x14ac:dyDescent="0.3">
      <c r="A870" t="s">
        <v>1063</v>
      </c>
      <c r="B870" t="s">
        <v>22</v>
      </c>
      <c r="C870">
        <v>2025</v>
      </c>
      <c r="D870">
        <v>2</v>
      </c>
      <c r="E870" s="2">
        <v>45696</v>
      </c>
      <c r="F870" t="s">
        <v>7</v>
      </c>
      <c r="G870" t="s">
        <v>8</v>
      </c>
      <c r="H870" t="s">
        <v>70</v>
      </c>
      <c r="I870" t="s">
        <v>84</v>
      </c>
      <c r="J870" t="s">
        <v>85</v>
      </c>
      <c r="K870" t="s">
        <v>73</v>
      </c>
      <c r="L870">
        <v>701000</v>
      </c>
      <c r="M870" t="s">
        <v>62</v>
      </c>
      <c r="N870" t="s">
        <v>33</v>
      </c>
      <c r="O870">
        <v>4892</v>
      </c>
      <c r="P870">
        <v>0.95</v>
      </c>
      <c r="Q870">
        <v>4.6500000000000004</v>
      </c>
      <c r="R870" t="s">
        <v>1197</v>
      </c>
      <c r="S870" t="s">
        <v>195</v>
      </c>
    </row>
    <row r="871" spans="1:19" x14ac:dyDescent="0.3">
      <c r="A871" t="s">
        <v>1064</v>
      </c>
      <c r="B871" t="s">
        <v>22</v>
      </c>
      <c r="C871">
        <v>2025</v>
      </c>
      <c r="D871">
        <v>2</v>
      </c>
      <c r="E871" s="2">
        <v>45696</v>
      </c>
      <c r="F871" t="s">
        <v>7</v>
      </c>
      <c r="G871" t="s">
        <v>8</v>
      </c>
      <c r="H871" t="s">
        <v>70</v>
      </c>
      <c r="I871" t="s">
        <v>84</v>
      </c>
      <c r="J871" t="s">
        <v>85</v>
      </c>
      <c r="K871" t="s">
        <v>73</v>
      </c>
      <c r="L871">
        <v>701000</v>
      </c>
      <c r="M871" t="s">
        <v>62</v>
      </c>
      <c r="N871" t="s">
        <v>33</v>
      </c>
      <c r="O871">
        <v>2770</v>
      </c>
      <c r="P871">
        <v>0.95</v>
      </c>
      <c r="Q871">
        <v>2.63</v>
      </c>
      <c r="R871" t="s">
        <v>1202</v>
      </c>
      <c r="S871" t="s">
        <v>195</v>
      </c>
    </row>
    <row r="872" spans="1:19" x14ac:dyDescent="0.3">
      <c r="A872" t="s">
        <v>1065</v>
      </c>
      <c r="B872" t="s">
        <v>22</v>
      </c>
      <c r="C872">
        <v>2025</v>
      </c>
      <c r="D872">
        <v>2</v>
      </c>
      <c r="E872" s="2">
        <v>45702</v>
      </c>
      <c r="F872" t="s">
        <v>7</v>
      </c>
      <c r="G872" t="s">
        <v>8</v>
      </c>
      <c r="H872" t="s">
        <v>70</v>
      </c>
      <c r="I872" t="s">
        <v>84</v>
      </c>
      <c r="J872" t="s">
        <v>85</v>
      </c>
      <c r="K872" t="s">
        <v>73</v>
      </c>
      <c r="L872">
        <v>701000</v>
      </c>
      <c r="M872" t="s">
        <v>62</v>
      </c>
      <c r="N872" t="s">
        <v>33</v>
      </c>
      <c r="O872">
        <v>4961</v>
      </c>
      <c r="P872">
        <v>0.95</v>
      </c>
      <c r="Q872">
        <v>4.71</v>
      </c>
      <c r="R872" t="s">
        <v>1201</v>
      </c>
      <c r="S872" t="s">
        <v>195</v>
      </c>
    </row>
    <row r="873" spans="1:19" x14ac:dyDescent="0.3">
      <c r="A873" t="s">
        <v>1066</v>
      </c>
      <c r="B873" t="s">
        <v>22</v>
      </c>
      <c r="C873">
        <v>2025</v>
      </c>
      <c r="D873">
        <v>2</v>
      </c>
      <c r="E873" s="2">
        <v>45702</v>
      </c>
      <c r="F873" t="s">
        <v>7</v>
      </c>
      <c r="G873" t="s">
        <v>8</v>
      </c>
      <c r="H873" t="s">
        <v>70</v>
      </c>
      <c r="I873" t="s">
        <v>84</v>
      </c>
      <c r="J873" t="s">
        <v>85</v>
      </c>
      <c r="K873" t="s">
        <v>73</v>
      </c>
      <c r="L873">
        <v>701000</v>
      </c>
      <c r="M873" t="s">
        <v>62</v>
      </c>
      <c r="N873" t="s">
        <v>33</v>
      </c>
      <c r="O873">
        <v>3660</v>
      </c>
      <c r="P873">
        <v>0.95</v>
      </c>
      <c r="Q873">
        <v>3.48</v>
      </c>
      <c r="R873" t="s">
        <v>1203</v>
      </c>
      <c r="S873" t="s">
        <v>195</v>
      </c>
    </row>
    <row r="874" spans="1:19" x14ac:dyDescent="0.3">
      <c r="A874" t="s">
        <v>1067</v>
      </c>
      <c r="B874" t="s">
        <v>22</v>
      </c>
      <c r="C874">
        <v>2025</v>
      </c>
      <c r="D874">
        <v>2</v>
      </c>
      <c r="E874" s="2">
        <v>45702</v>
      </c>
      <c r="F874" t="s">
        <v>7</v>
      </c>
      <c r="G874" t="s">
        <v>8</v>
      </c>
      <c r="H874" t="s">
        <v>70</v>
      </c>
      <c r="I874" t="s">
        <v>84</v>
      </c>
      <c r="J874" t="s">
        <v>85</v>
      </c>
      <c r="K874" t="s">
        <v>73</v>
      </c>
      <c r="L874">
        <v>701000</v>
      </c>
      <c r="M874" t="s">
        <v>62</v>
      </c>
      <c r="N874" t="s">
        <v>33</v>
      </c>
      <c r="O874">
        <v>1262</v>
      </c>
      <c r="P874">
        <v>0.95</v>
      </c>
      <c r="Q874">
        <v>1.2</v>
      </c>
      <c r="R874" t="s">
        <v>1198</v>
      </c>
      <c r="S874" t="s">
        <v>195</v>
      </c>
    </row>
    <row r="875" spans="1:19" x14ac:dyDescent="0.3">
      <c r="A875" t="s">
        <v>1068</v>
      </c>
      <c r="B875" t="s">
        <v>22</v>
      </c>
      <c r="C875">
        <v>2025</v>
      </c>
      <c r="D875">
        <v>2</v>
      </c>
      <c r="E875" s="2">
        <v>45702</v>
      </c>
      <c r="F875" t="s">
        <v>7</v>
      </c>
      <c r="G875" t="s">
        <v>8</v>
      </c>
      <c r="H875" t="s">
        <v>70</v>
      </c>
      <c r="I875" t="s">
        <v>84</v>
      </c>
      <c r="J875" t="s">
        <v>85</v>
      </c>
      <c r="K875" t="s">
        <v>73</v>
      </c>
      <c r="L875">
        <v>701000</v>
      </c>
      <c r="M875" t="s">
        <v>62</v>
      </c>
      <c r="N875" t="s">
        <v>33</v>
      </c>
      <c r="O875">
        <v>1843</v>
      </c>
      <c r="P875">
        <v>0.95</v>
      </c>
      <c r="Q875">
        <v>1.75</v>
      </c>
      <c r="R875" t="s">
        <v>1199</v>
      </c>
      <c r="S875" t="s">
        <v>195</v>
      </c>
    </row>
    <row r="876" spans="1:19" x14ac:dyDescent="0.3">
      <c r="A876" t="s">
        <v>1069</v>
      </c>
      <c r="B876" t="s">
        <v>22</v>
      </c>
      <c r="C876">
        <v>2025</v>
      </c>
      <c r="D876">
        <v>2</v>
      </c>
      <c r="E876" s="2">
        <v>45702</v>
      </c>
      <c r="F876" t="s">
        <v>7</v>
      </c>
      <c r="G876" t="s">
        <v>8</v>
      </c>
      <c r="H876" t="s">
        <v>70</v>
      </c>
      <c r="I876" t="s">
        <v>84</v>
      </c>
      <c r="J876" t="s">
        <v>85</v>
      </c>
      <c r="K876" t="s">
        <v>73</v>
      </c>
      <c r="L876">
        <v>701000</v>
      </c>
      <c r="M876" t="s">
        <v>62</v>
      </c>
      <c r="N876" t="s">
        <v>33</v>
      </c>
      <c r="O876">
        <v>4775</v>
      </c>
      <c r="P876">
        <v>0.95</v>
      </c>
      <c r="Q876">
        <v>4.54</v>
      </c>
      <c r="R876" t="s">
        <v>1197</v>
      </c>
      <c r="S876" t="s">
        <v>195</v>
      </c>
    </row>
    <row r="877" spans="1:19" x14ac:dyDescent="0.3">
      <c r="A877" t="s">
        <v>1070</v>
      </c>
      <c r="B877" t="s">
        <v>22</v>
      </c>
      <c r="C877">
        <v>2025</v>
      </c>
      <c r="D877">
        <v>2</v>
      </c>
      <c r="E877" s="2">
        <v>45708</v>
      </c>
      <c r="F877" t="s">
        <v>7</v>
      </c>
      <c r="G877" t="s">
        <v>8</v>
      </c>
      <c r="H877" t="s">
        <v>74</v>
      </c>
      <c r="I877" t="s">
        <v>84</v>
      </c>
      <c r="J877" t="s">
        <v>85</v>
      </c>
      <c r="K877" t="s">
        <v>73</v>
      </c>
      <c r="L877">
        <v>701000</v>
      </c>
      <c r="M877" t="s">
        <v>62</v>
      </c>
      <c r="N877" t="s">
        <v>33</v>
      </c>
      <c r="O877">
        <v>5363</v>
      </c>
      <c r="P877">
        <v>0.95</v>
      </c>
      <c r="Q877">
        <v>5.09</v>
      </c>
      <c r="R877" t="s">
        <v>1197</v>
      </c>
      <c r="S877" t="s">
        <v>195</v>
      </c>
    </row>
    <row r="878" spans="1:19" x14ac:dyDescent="0.3">
      <c r="A878" t="s">
        <v>1071</v>
      </c>
      <c r="B878" t="s">
        <v>22</v>
      </c>
      <c r="C878">
        <v>2025</v>
      </c>
      <c r="D878">
        <v>2</v>
      </c>
      <c r="E878" s="2">
        <v>45708</v>
      </c>
      <c r="F878" t="s">
        <v>7</v>
      </c>
      <c r="G878" t="s">
        <v>8</v>
      </c>
      <c r="H878" t="s">
        <v>74</v>
      </c>
      <c r="I878" t="s">
        <v>84</v>
      </c>
      <c r="J878" t="s">
        <v>85</v>
      </c>
      <c r="K878" t="s">
        <v>73</v>
      </c>
      <c r="L878">
        <v>701000</v>
      </c>
      <c r="M878" t="s">
        <v>62</v>
      </c>
      <c r="N878" t="s">
        <v>33</v>
      </c>
      <c r="O878">
        <v>4860</v>
      </c>
      <c r="P878">
        <v>0.95</v>
      </c>
      <c r="Q878">
        <v>4.62</v>
      </c>
      <c r="R878" t="s">
        <v>1201</v>
      </c>
      <c r="S878" t="s">
        <v>195</v>
      </c>
    </row>
    <row r="879" spans="1:19" x14ac:dyDescent="0.3">
      <c r="A879" t="s">
        <v>1072</v>
      </c>
      <c r="B879" t="s">
        <v>22</v>
      </c>
      <c r="C879">
        <v>2025</v>
      </c>
      <c r="D879">
        <v>2</v>
      </c>
      <c r="E879" s="2">
        <v>45708</v>
      </c>
      <c r="F879" t="s">
        <v>7</v>
      </c>
      <c r="G879" t="s">
        <v>8</v>
      </c>
      <c r="H879" t="s">
        <v>74</v>
      </c>
      <c r="I879" t="s">
        <v>84</v>
      </c>
      <c r="J879" t="s">
        <v>85</v>
      </c>
      <c r="K879" t="s">
        <v>73</v>
      </c>
      <c r="L879">
        <v>701000</v>
      </c>
      <c r="M879" t="s">
        <v>62</v>
      </c>
      <c r="N879" t="s">
        <v>33</v>
      </c>
      <c r="O879">
        <v>728</v>
      </c>
      <c r="P879">
        <v>0.95</v>
      </c>
      <c r="Q879">
        <v>0.69</v>
      </c>
      <c r="R879" t="s">
        <v>1202</v>
      </c>
      <c r="S879" t="s">
        <v>195</v>
      </c>
    </row>
    <row r="880" spans="1:19" x14ac:dyDescent="0.3">
      <c r="A880" t="s">
        <v>1073</v>
      </c>
      <c r="B880" t="s">
        <v>22</v>
      </c>
      <c r="C880">
        <v>2025</v>
      </c>
      <c r="D880">
        <v>2</v>
      </c>
      <c r="E880" s="2">
        <v>45708</v>
      </c>
      <c r="F880" t="s">
        <v>7</v>
      </c>
      <c r="G880" t="s">
        <v>8</v>
      </c>
      <c r="H880" t="s">
        <v>74</v>
      </c>
      <c r="I880" t="s">
        <v>84</v>
      </c>
      <c r="J880" t="s">
        <v>85</v>
      </c>
      <c r="K880" t="s">
        <v>73</v>
      </c>
      <c r="L880">
        <v>701000</v>
      </c>
      <c r="M880" t="s">
        <v>62</v>
      </c>
      <c r="N880" t="s">
        <v>33</v>
      </c>
      <c r="O880">
        <v>6280</v>
      </c>
      <c r="P880">
        <v>0.95</v>
      </c>
      <c r="Q880">
        <v>5.97</v>
      </c>
      <c r="R880" t="s">
        <v>1203</v>
      </c>
      <c r="S880" t="s">
        <v>195</v>
      </c>
    </row>
    <row r="881" spans="1:19" x14ac:dyDescent="0.3">
      <c r="A881" t="s">
        <v>1074</v>
      </c>
      <c r="B881" t="s">
        <v>22</v>
      </c>
      <c r="C881">
        <v>2025</v>
      </c>
      <c r="D881">
        <v>2</v>
      </c>
      <c r="E881" s="2">
        <v>45708</v>
      </c>
      <c r="F881" t="s">
        <v>7</v>
      </c>
      <c r="G881" t="s">
        <v>8</v>
      </c>
      <c r="H881" t="s">
        <v>74</v>
      </c>
      <c r="I881" t="s">
        <v>84</v>
      </c>
      <c r="J881" t="s">
        <v>85</v>
      </c>
      <c r="K881" t="s">
        <v>73</v>
      </c>
      <c r="L881">
        <v>701000</v>
      </c>
      <c r="M881" t="s">
        <v>62</v>
      </c>
      <c r="N881" t="s">
        <v>33</v>
      </c>
      <c r="O881">
        <v>961</v>
      </c>
      <c r="P881">
        <v>0.95</v>
      </c>
      <c r="Q881">
        <v>0.91</v>
      </c>
      <c r="R881" t="s">
        <v>1205</v>
      </c>
      <c r="S881" t="s">
        <v>195</v>
      </c>
    </row>
    <row r="882" spans="1:19" x14ac:dyDescent="0.3">
      <c r="A882" t="s">
        <v>1075</v>
      </c>
      <c r="B882" t="s">
        <v>22</v>
      </c>
      <c r="C882">
        <v>2025</v>
      </c>
      <c r="D882">
        <v>2</v>
      </c>
      <c r="E882" s="2">
        <v>45694</v>
      </c>
      <c r="F882" t="s">
        <v>7</v>
      </c>
      <c r="G882" t="s">
        <v>8</v>
      </c>
      <c r="H882" t="s">
        <v>70</v>
      </c>
      <c r="I882" t="s">
        <v>84</v>
      </c>
      <c r="J882" t="s">
        <v>85</v>
      </c>
      <c r="K882" t="s">
        <v>73</v>
      </c>
      <c r="L882">
        <v>701000</v>
      </c>
      <c r="M882" t="s">
        <v>62</v>
      </c>
      <c r="N882" t="s">
        <v>33</v>
      </c>
      <c r="O882">
        <v>5203</v>
      </c>
      <c r="P882">
        <v>0.95</v>
      </c>
      <c r="Q882">
        <v>4.9400000000000004</v>
      </c>
      <c r="R882" t="s">
        <v>1202</v>
      </c>
      <c r="S882" t="s">
        <v>195</v>
      </c>
    </row>
    <row r="883" spans="1:19" x14ac:dyDescent="0.3">
      <c r="A883" t="s">
        <v>1076</v>
      </c>
      <c r="B883" t="s">
        <v>22</v>
      </c>
      <c r="C883">
        <v>2025</v>
      </c>
      <c r="D883">
        <v>2</v>
      </c>
      <c r="E883" s="2">
        <v>45694</v>
      </c>
      <c r="F883" t="s">
        <v>7</v>
      </c>
      <c r="G883" t="s">
        <v>8</v>
      </c>
      <c r="H883" t="s">
        <v>70</v>
      </c>
      <c r="I883" t="s">
        <v>84</v>
      </c>
      <c r="J883" t="s">
        <v>85</v>
      </c>
      <c r="K883" t="s">
        <v>73</v>
      </c>
      <c r="L883">
        <v>701000</v>
      </c>
      <c r="M883" t="s">
        <v>62</v>
      </c>
      <c r="N883" t="s">
        <v>33</v>
      </c>
      <c r="O883">
        <v>7526</v>
      </c>
      <c r="P883">
        <v>0.95</v>
      </c>
      <c r="Q883">
        <v>7.15</v>
      </c>
      <c r="R883" t="s">
        <v>1205</v>
      </c>
      <c r="S883" t="s">
        <v>195</v>
      </c>
    </row>
    <row r="884" spans="1:19" x14ac:dyDescent="0.3">
      <c r="A884" t="s">
        <v>1077</v>
      </c>
      <c r="B884" t="s">
        <v>22</v>
      </c>
      <c r="C884">
        <v>2025</v>
      </c>
      <c r="D884">
        <v>2</v>
      </c>
      <c r="E884" s="2">
        <v>45694</v>
      </c>
      <c r="F884" t="s">
        <v>7</v>
      </c>
      <c r="G884" t="s">
        <v>8</v>
      </c>
      <c r="H884" t="s">
        <v>70</v>
      </c>
      <c r="I884" t="s">
        <v>84</v>
      </c>
      <c r="J884" t="s">
        <v>85</v>
      </c>
      <c r="K884" t="s">
        <v>73</v>
      </c>
      <c r="L884">
        <v>701000</v>
      </c>
      <c r="M884" t="s">
        <v>62</v>
      </c>
      <c r="N884" t="s">
        <v>33</v>
      </c>
      <c r="O884">
        <v>556</v>
      </c>
      <c r="P884">
        <v>0.95</v>
      </c>
      <c r="Q884">
        <v>0.53</v>
      </c>
      <c r="R884" t="s">
        <v>1198</v>
      </c>
      <c r="S884" t="s">
        <v>195</v>
      </c>
    </row>
    <row r="885" spans="1:19" x14ac:dyDescent="0.3">
      <c r="A885" t="s">
        <v>1078</v>
      </c>
      <c r="B885" t="s">
        <v>22</v>
      </c>
      <c r="C885">
        <v>2025</v>
      </c>
      <c r="D885">
        <v>2</v>
      </c>
      <c r="E885" s="2">
        <v>45694</v>
      </c>
      <c r="F885" t="s">
        <v>7</v>
      </c>
      <c r="G885" t="s">
        <v>8</v>
      </c>
      <c r="H885" t="s">
        <v>70</v>
      </c>
      <c r="I885" t="s">
        <v>84</v>
      </c>
      <c r="J885" t="s">
        <v>85</v>
      </c>
      <c r="K885" t="s">
        <v>73</v>
      </c>
      <c r="L885">
        <v>701000</v>
      </c>
      <c r="M885" t="s">
        <v>62</v>
      </c>
      <c r="N885" t="s">
        <v>33</v>
      </c>
      <c r="O885">
        <v>676</v>
      </c>
      <c r="P885">
        <v>0.95</v>
      </c>
      <c r="Q885">
        <v>0.64</v>
      </c>
      <c r="R885" t="s">
        <v>1199</v>
      </c>
      <c r="S885" t="s">
        <v>195</v>
      </c>
    </row>
    <row r="886" spans="1:19" x14ac:dyDescent="0.3">
      <c r="A886" t="s">
        <v>1079</v>
      </c>
      <c r="B886" t="s">
        <v>22</v>
      </c>
      <c r="C886">
        <v>2025</v>
      </c>
      <c r="D886">
        <v>2</v>
      </c>
      <c r="E886" s="2">
        <v>45694</v>
      </c>
      <c r="F886" t="s">
        <v>7</v>
      </c>
      <c r="G886" t="s">
        <v>8</v>
      </c>
      <c r="H886" t="s">
        <v>70</v>
      </c>
      <c r="I886" t="s">
        <v>84</v>
      </c>
      <c r="J886" t="s">
        <v>85</v>
      </c>
      <c r="K886" t="s">
        <v>73</v>
      </c>
      <c r="L886">
        <v>701000</v>
      </c>
      <c r="M886" t="s">
        <v>62</v>
      </c>
      <c r="N886" t="s">
        <v>33</v>
      </c>
      <c r="O886">
        <v>2529</v>
      </c>
      <c r="P886">
        <v>0.95</v>
      </c>
      <c r="Q886">
        <v>2.41</v>
      </c>
      <c r="R886" t="s">
        <v>1203</v>
      </c>
      <c r="S886" t="s">
        <v>195</v>
      </c>
    </row>
    <row r="887" spans="1:19" x14ac:dyDescent="0.3">
      <c r="A887" t="s">
        <v>1080</v>
      </c>
      <c r="B887" t="s">
        <v>22</v>
      </c>
      <c r="C887">
        <v>2025</v>
      </c>
      <c r="D887">
        <v>2</v>
      </c>
      <c r="E887" s="2">
        <v>45712</v>
      </c>
      <c r="F887" t="s">
        <v>7</v>
      </c>
      <c r="G887" t="s">
        <v>8</v>
      </c>
      <c r="H887" t="s">
        <v>74</v>
      </c>
      <c r="I887" t="s">
        <v>84</v>
      </c>
      <c r="J887" t="s">
        <v>85</v>
      </c>
      <c r="K887" t="s">
        <v>73</v>
      </c>
      <c r="L887">
        <v>701000</v>
      </c>
      <c r="M887" t="s">
        <v>62</v>
      </c>
      <c r="N887" t="s">
        <v>33</v>
      </c>
      <c r="O887">
        <v>1041</v>
      </c>
      <c r="P887">
        <v>0.95</v>
      </c>
      <c r="Q887">
        <v>0.99</v>
      </c>
      <c r="R887" t="s">
        <v>1200</v>
      </c>
      <c r="S887" t="s">
        <v>195</v>
      </c>
    </row>
    <row r="888" spans="1:19" x14ac:dyDescent="0.3">
      <c r="A888" t="s">
        <v>1081</v>
      </c>
      <c r="B888" t="s">
        <v>22</v>
      </c>
      <c r="C888">
        <v>2025</v>
      </c>
      <c r="D888">
        <v>2</v>
      </c>
      <c r="E888" s="2">
        <v>45712</v>
      </c>
      <c r="F888" t="s">
        <v>7</v>
      </c>
      <c r="G888" t="s">
        <v>8</v>
      </c>
      <c r="H888" t="s">
        <v>74</v>
      </c>
      <c r="I888" t="s">
        <v>84</v>
      </c>
      <c r="J888" t="s">
        <v>85</v>
      </c>
      <c r="K888" t="s">
        <v>73</v>
      </c>
      <c r="L888">
        <v>701000</v>
      </c>
      <c r="M888" t="s">
        <v>62</v>
      </c>
      <c r="N888" t="s">
        <v>33</v>
      </c>
      <c r="O888">
        <v>3800</v>
      </c>
      <c r="P888">
        <v>0.95</v>
      </c>
      <c r="Q888">
        <v>3.61</v>
      </c>
      <c r="R888" t="s">
        <v>1205</v>
      </c>
      <c r="S888" t="s">
        <v>195</v>
      </c>
    </row>
    <row r="889" spans="1:19" x14ac:dyDescent="0.3">
      <c r="A889" t="s">
        <v>1082</v>
      </c>
      <c r="B889" t="s">
        <v>22</v>
      </c>
      <c r="C889">
        <v>2025</v>
      </c>
      <c r="D889">
        <v>2</v>
      </c>
      <c r="E889" s="2">
        <v>45712</v>
      </c>
      <c r="F889" t="s">
        <v>7</v>
      </c>
      <c r="G889" t="s">
        <v>8</v>
      </c>
      <c r="H889" t="s">
        <v>74</v>
      </c>
      <c r="I889" t="s">
        <v>84</v>
      </c>
      <c r="J889" t="s">
        <v>85</v>
      </c>
      <c r="K889" t="s">
        <v>73</v>
      </c>
      <c r="L889">
        <v>701000</v>
      </c>
      <c r="M889" t="s">
        <v>62</v>
      </c>
      <c r="N889" t="s">
        <v>33</v>
      </c>
      <c r="O889">
        <v>4610</v>
      </c>
      <c r="P889">
        <v>0.95</v>
      </c>
      <c r="Q889">
        <v>4.38</v>
      </c>
      <c r="R889" t="s">
        <v>1201</v>
      </c>
      <c r="S889" t="s">
        <v>195</v>
      </c>
    </row>
    <row r="890" spans="1:19" x14ac:dyDescent="0.3">
      <c r="A890" t="s">
        <v>1083</v>
      </c>
      <c r="B890" t="s">
        <v>22</v>
      </c>
      <c r="C890">
        <v>2025</v>
      </c>
      <c r="D890">
        <v>2</v>
      </c>
      <c r="E890" s="2">
        <v>45712</v>
      </c>
      <c r="F890" t="s">
        <v>7</v>
      </c>
      <c r="G890" t="s">
        <v>8</v>
      </c>
      <c r="H890" t="s">
        <v>74</v>
      </c>
      <c r="I890" t="s">
        <v>84</v>
      </c>
      <c r="J890" t="s">
        <v>85</v>
      </c>
      <c r="K890" t="s">
        <v>73</v>
      </c>
      <c r="L890">
        <v>701000</v>
      </c>
      <c r="M890" t="s">
        <v>62</v>
      </c>
      <c r="N890" t="s">
        <v>33</v>
      </c>
      <c r="O890">
        <v>3569</v>
      </c>
      <c r="P890">
        <v>0.95</v>
      </c>
      <c r="Q890">
        <v>3.39</v>
      </c>
      <c r="R890" t="s">
        <v>1203</v>
      </c>
      <c r="S890" t="s">
        <v>195</v>
      </c>
    </row>
    <row r="891" spans="1:19" x14ac:dyDescent="0.3">
      <c r="A891" t="s">
        <v>1084</v>
      </c>
      <c r="B891" t="s">
        <v>22</v>
      </c>
      <c r="C891">
        <v>2025</v>
      </c>
      <c r="D891">
        <v>2</v>
      </c>
      <c r="E891" s="2">
        <v>45712</v>
      </c>
      <c r="F891" t="s">
        <v>7</v>
      </c>
      <c r="G891" t="s">
        <v>8</v>
      </c>
      <c r="H891" t="s">
        <v>74</v>
      </c>
      <c r="I891" t="s">
        <v>84</v>
      </c>
      <c r="J891" t="s">
        <v>85</v>
      </c>
      <c r="K891" t="s">
        <v>73</v>
      </c>
      <c r="L891">
        <v>701000</v>
      </c>
      <c r="M891" t="s">
        <v>62</v>
      </c>
      <c r="N891" t="s">
        <v>33</v>
      </c>
      <c r="O891">
        <v>3266</v>
      </c>
      <c r="P891">
        <v>0.95</v>
      </c>
      <c r="Q891">
        <v>3.1</v>
      </c>
      <c r="R891" t="s">
        <v>1202</v>
      </c>
      <c r="S891" t="s">
        <v>195</v>
      </c>
    </row>
    <row r="892" spans="1:19" x14ac:dyDescent="0.3">
      <c r="A892" t="s">
        <v>1085</v>
      </c>
      <c r="B892" t="s">
        <v>22</v>
      </c>
      <c r="C892">
        <v>2025</v>
      </c>
      <c r="D892">
        <v>2</v>
      </c>
      <c r="E892" s="2">
        <v>45700</v>
      </c>
      <c r="F892" t="s">
        <v>7</v>
      </c>
      <c r="G892" t="s">
        <v>8</v>
      </c>
      <c r="H892" t="s">
        <v>74</v>
      </c>
      <c r="I892" t="s">
        <v>84</v>
      </c>
      <c r="J892" t="s">
        <v>85</v>
      </c>
      <c r="K892" t="s">
        <v>73</v>
      </c>
      <c r="L892">
        <v>701000</v>
      </c>
      <c r="M892" t="s">
        <v>62</v>
      </c>
      <c r="N892" t="s">
        <v>33</v>
      </c>
      <c r="O892">
        <v>1348</v>
      </c>
      <c r="P892">
        <v>0.95</v>
      </c>
      <c r="Q892">
        <v>1.28</v>
      </c>
      <c r="R892" t="s">
        <v>1201</v>
      </c>
      <c r="S892" t="s">
        <v>195</v>
      </c>
    </row>
    <row r="893" spans="1:19" x14ac:dyDescent="0.3">
      <c r="A893" t="s">
        <v>1086</v>
      </c>
      <c r="B893" t="s">
        <v>22</v>
      </c>
      <c r="C893">
        <v>2025</v>
      </c>
      <c r="D893">
        <v>2</v>
      </c>
      <c r="E893" s="2">
        <v>45700</v>
      </c>
      <c r="F893" t="s">
        <v>7</v>
      </c>
      <c r="G893" t="s">
        <v>8</v>
      </c>
      <c r="H893" t="s">
        <v>74</v>
      </c>
      <c r="I893" t="s">
        <v>84</v>
      </c>
      <c r="J893" t="s">
        <v>85</v>
      </c>
      <c r="K893" t="s">
        <v>73</v>
      </c>
      <c r="L893">
        <v>701000</v>
      </c>
      <c r="M893" t="s">
        <v>62</v>
      </c>
      <c r="N893" t="s">
        <v>33</v>
      </c>
      <c r="O893">
        <v>1202</v>
      </c>
      <c r="P893">
        <v>0.95</v>
      </c>
      <c r="Q893">
        <v>1.1399999999999999</v>
      </c>
      <c r="R893" t="s">
        <v>1198</v>
      </c>
      <c r="S893" t="s">
        <v>195</v>
      </c>
    </row>
    <row r="894" spans="1:19" x14ac:dyDescent="0.3">
      <c r="A894" t="s">
        <v>1087</v>
      </c>
      <c r="B894" t="s">
        <v>22</v>
      </c>
      <c r="C894">
        <v>2025</v>
      </c>
      <c r="D894">
        <v>2</v>
      </c>
      <c r="E894" s="2">
        <v>45700</v>
      </c>
      <c r="F894" t="s">
        <v>7</v>
      </c>
      <c r="G894" t="s">
        <v>8</v>
      </c>
      <c r="H894" t="s">
        <v>74</v>
      </c>
      <c r="I894" t="s">
        <v>84</v>
      </c>
      <c r="J894" t="s">
        <v>85</v>
      </c>
      <c r="K894" t="s">
        <v>73</v>
      </c>
      <c r="L894">
        <v>701000</v>
      </c>
      <c r="M894" t="s">
        <v>62</v>
      </c>
      <c r="N894" t="s">
        <v>33</v>
      </c>
      <c r="O894">
        <v>4915</v>
      </c>
      <c r="P894">
        <v>0.95</v>
      </c>
      <c r="Q894">
        <v>4.67</v>
      </c>
      <c r="R894" t="s">
        <v>1202</v>
      </c>
      <c r="S894" t="s">
        <v>195</v>
      </c>
    </row>
    <row r="895" spans="1:19" x14ac:dyDescent="0.3">
      <c r="A895" t="s">
        <v>1088</v>
      </c>
      <c r="B895" t="s">
        <v>22</v>
      </c>
      <c r="C895">
        <v>2025</v>
      </c>
      <c r="D895">
        <v>2</v>
      </c>
      <c r="E895" s="2">
        <v>45700</v>
      </c>
      <c r="F895" t="s">
        <v>7</v>
      </c>
      <c r="G895" t="s">
        <v>8</v>
      </c>
      <c r="H895" t="s">
        <v>74</v>
      </c>
      <c r="I895" t="s">
        <v>84</v>
      </c>
      <c r="J895" t="s">
        <v>85</v>
      </c>
      <c r="K895" t="s">
        <v>73</v>
      </c>
      <c r="L895">
        <v>701000</v>
      </c>
      <c r="M895" t="s">
        <v>62</v>
      </c>
      <c r="N895" t="s">
        <v>33</v>
      </c>
      <c r="O895">
        <v>3468</v>
      </c>
      <c r="P895">
        <v>0.95</v>
      </c>
      <c r="Q895">
        <v>3.3</v>
      </c>
      <c r="R895" t="s">
        <v>1199</v>
      </c>
      <c r="S895" t="s">
        <v>195</v>
      </c>
    </row>
    <row r="896" spans="1:19" x14ac:dyDescent="0.3">
      <c r="A896" t="s">
        <v>1089</v>
      </c>
      <c r="B896" t="s">
        <v>22</v>
      </c>
      <c r="C896">
        <v>2025</v>
      </c>
      <c r="D896">
        <v>2</v>
      </c>
      <c r="E896" s="2">
        <v>45700</v>
      </c>
      <c r="F896" t="s">
        <v>7</v>
      </c>
      <c r="G896" t="s">
        <v>8</v>
      </c>
      <c r="H896" t="s">
        <v>74</v>
      </c>
      <c r="I896" t="s">
        <v>84</v>
      </c>
      <c r="J896" t="s">
        <v>85</v>
      </c>
      <c r="K896" t="s">
        <v>73</v>
      </c>
      <c r="L896">
        <v>701000</v>
      </c>
      <c r="M896" t="s">
        <v>62</v>
      </c>
      <c r="N896" t="s">
        <v>33</v>
      </c>
      <c r="O896">
        <v>3158</v>
      </c>
      <c r="P896">
        <v>0.95</v>
      </c>
      <c r="Q896">
        <v>3</v>
      </c>
      <c r="R896" t="s">
        <v>1197</v>
      </c>
      <c r="S896" t="s">
        <v>195</v>
      </c>
    </row>
    <row r="897" spans="1:19" x14ac:dyDescent="0.3">
      <c r="A897" t="s">
        <v>1090</v>
      </c>
      <c r="B897" t="s">
        <v>22</v>
      </c>
      <c r="C897">
        <v>2025</v>
      </c>
      <c r="D897">
        <v>2</v>
      </c>
      <c r="E897" s="2">
        <v>45707</v>
      </c>
      <c r="F897" t="s">
        <v>7</v>
      </c>
      <c r="G897" t="s">
        <v>8</v>
      </c>
      <c r="H897" t="s">
        <v>74</v>
      </c>
      <c r="I897" t="s">
        <v>84</v>
      </c>
      <c r="J897" t="s">
        <v>85</v>
      </c>
      <c r="K897" t="s">
        <v>73</v>
      </c>
      <c r="L897">
        <v>701000</v>
      </c>
      <c r="M897" t="s">
        <v>62</v>
      </c>
      <c r="N897" t="s">
        <v>33</v>
      </c>
      <c r="O897">
        <v>4515</v>
      </c>
      <c r="P897">
        <v>0.95</v>
      </c>
      <c r="Q897">
        <v>4.29</v>
      </c>
      <c r="R897" t="s">
        <v>1204</v>
      </c>
      <c r="S897" t="s">
        <v>195</v>
      </c>
    </row>
    <row r="898" spans="1:19" x14ac:dyDescent="0.3">
      <c r="A898" t="s">
        <v>1091</v>
      </c>
      <c r="B898" t="s">
        <v>22</v>
      </c>
      <c r="C898">
        <v>2025</v>
      </c>
      <c r="D898">
        <v>2</v>
      </c>
      <c r="E898" s="2">
        <v>45707</v>
      </c>
      <c r="F898" t="s">
        <v>7</v>
      </c>
      <c r="G898" t="s">
        <v>8</v>
      </c>
      <c r="H898" t="s">
        <v>74</v>
      </c>
      <c r="I898" t="s">
        <v>84</v>
      </c>
      <c r="J898" t="s">
        <v>85</v>
      </c>
      <c r="K898" t="s">
        <v>73</v>
      </c>
      <c r="L898">
        <v>701000</v>
      </c>
      <c r="M898" t="s">
        <v>62</v>
      </c>
      <c r="N898" t="s">
        <v>33</v>
      </c>
      <c r="O898">
        <v>1686</v>
      </c>
      <c r="P898">
        <v>0.95</v>
      </c>
      <c r="Q898">
        <v>1.6</v>
      </c>
      <c r="R898" t="s">
        <v>1198</v>
      </c>
      <c r="S898" t="s">
        <v>195</v>
      </c>
    </row>
    <row r="899" spans="1:19" x14ac:dyDescent="0.3">
      <c r="A899" t="s">
        <v>1092</v>
      </c>
      <c r="B899" t="s">
        <v>22</v>
      </c>
      <c r="C899">
        <v>2025</v>
      </c>
      <c r="D899">
        <v>2</v>
      </c>
      <c r="E899" s="2">
        <v>45707</v>
      </c>
      <c r="F899" t="s">
        <v>7</v>
      </c>
      <c r="G899" t="s">
        <v>8</v>
      </c>
      <c r="H899" t="s">
        <v>74</v>
      </c>
      <c r="I899" t="s">
        <v>84</v>
      </c>
      <c r="J899" t="s">
        <v>85</v>
      </c>
      <c r="K899" t="s">
        <v>73</v>
      </c>
      <c r="L899">
        <v>701000</v>
      </c>
      <c r="M899" t="s">
        <v>62</v>
      </c>
      <c r="N899" t="s">
        <v>33</v>
      </c>
      <c r="O899">
        <v>2490</v>
      </c>
      <c r="P899">
        <v>0.95</v>
      </c>
      <c r="Q899">
        <v>2.37</v>
      </c>
      <c r="R899" t="s">
        <v>1202</v>
      </c>
      <c r="S899" t="s">
        <v>195</v>
      </c>
    </row>
    <row r="900" spans="1:19" x14ac:dyDescent="0.3">
      <c r="A900" t="s">
        <v>1093</v>
      </c>
      <c r="B900" t="s">
        <v>22</v>
      </c>
      <c r="C900">
        <v>2025</v>
      </c>
      <c r="D900">
        <v>2</v>
      </c>
      <c r="E900" s="2">
        <v>45707</v>
      </c>
      <c r="F900" t="s">
        <v>7</v>
      </c>
      <c r="G900" t="s">
        <v>8</v>
      </c>
      <c r="H900" t="s">
        <v>74</v>
      </c>
      <c r="I900" t="s">
        <v>84</v>
      </c>
      <c r="J900" t="s">
        <v>85</v>
      </c>
      <c r="K900" t="s">
        <v>73</v>
      </c>
      <c r="L900">
        <v>701000</v>
      </c>
      <c r="M900" t="s">
        <v>62</v>
      </c>
      <c r="N900" t="s">
        <v>33</v>
      </c>
      <c r="O900">
        <v>6913</v>
      </c>
      <c r="P900">
        <v>0.95</v>
      </c>
      <c r="Q900">
        <v>6.57</v>
      </c>
      <c r="R900" t="s">
        <v>1201</v>
      </c>
      <c r="S900" t="s">
        <v>195</v>
      </c>
    </row>
    <row r="901" spans="1:19" x14ac:dyDescent="0.3">
      <c r="A901" t="s">
        <v>1094</v>
      </c>
      <c r="B901" t="s">
        <v>22</v>
      </c>
      <c r="C901">
        <v>2025</v>
      </c>
      <c r="D901">
        <v>2</v>
      </c>
      <c r="E901" s="2">
        <v>45707</v>
      </c>
      <c r="F901" t="s">
        <v>7</v>
      </c>
      <c r="G901" t="s">
        <v>8</v>
      </c>
      <c r="H901" t="s">
        <v>74</v>
      </c>
      <c r="I901" t="s">
        <v>84</v>
      </c>
      <c r="J901" t="s">
        <v>85</v>
      </c>
      <c r="K901" t="s">
        <v>73</v>
      </c>
      <c r="L901">
        <v>701000</v>
      </c>
      <c r="M901" t="s">
        <v>62</v>
      </c>
      <c r="N901" t="s">
        <v>33</v>
      </c>
      <c r="O901">
        <v>3114</v>
      </c>
      <c r="P901">
        <v>0.95</v>
      </c>
      <c r="Q901">
        <v>2.95</v>
      </c>
      <c r="R901" t="s">
        <v>1197</v>
      </c>
      <c r="S901" t="s">
        <v>195</v>
      </c>
    </row>
    <row r="902" spans="1:19" x14ac:dyDescent="0.3">
      <c r="A902" t="s">
        <v>1095</v>
      </c>
      <c r="B902" t="s">
        <v>22</v>
      </c>
      <c r="C902">
        <v>2025</v>
      </c>
      <c r="D902">
        <v>2</v>
      </c>
      <c r="E902" s="2">
        <v>45716</v>
      </c>
      <c r="F902" t="s">
        <v>7</v>
      </c>
      <c r="G902" t="s">
        <v>8</v>
      </c>
      <c r="H902" t="s">
        <v>70</v>
      </c>
      <c r="I902" t="s">
        <v>84</v>
      </c>
      <c r="J902" t="s">
        <v>85</v>
      </c>
      <c r="K902" t="s">
        <v>73</v>
      </c>
      <c r="L902">
        <v>709000</v>
      </c>
      <c r="M902" t="s">
        <v>86</v>
      </c>
      <c r="N902" t="s">
        <v>33</v>
      </c>
      <c r="O902">
        <v>0</v>
      </c>
      <c r="P902">
        <v>-1410</v>
      </c>
      <c r="Q902">
        <v>-1.41</v>
      </c>
      <c r="R902" t="s">
        <v>1205</v>
      </c>
      <c r="S902" t="s">
        <v>195</v>
      </c>
    </row>
    <row r="903" spans="1:19" x14ac:dyDescent="0.3">
      <c r="A903" t="s">
        <v>1096</v>
      </c>
      <c r="B903" t="s">
        <v>22</v>
      </c>
      <c r="C903">
        <v>2025</v>
      </c>
      <c r="D903">
        <v>2</v>
      </c>
      <c r="E903" s="2">
        <v>45716</v>
      </c>
      <c r="F903" t="s">
        <v>7</v>
      </c>
      <c r="G903" t="s">
        <v>8</v>
      </c>
      <c r="H903" t="s">
        <v>70</v>
      </c>
      <c r="I903" t="s">
        <v>84</v>
      </c>
      <c r="J903" t="s">
        <v>85</v>
      </c>
      <c r="K903" t="s">
        <v>73</v>
      </c>
      <c r="L903">
        <v>709000</v>
      </c>
      <c r="M903" t="s">
        <v>86</v>
      </c>
      <c r="N903" t="s">
        <v>33</v>
      </c>
      <c r="O903">
        <v>0</v>
      </c>
      <c r="P903">
        <v>-3440</v>
      </c>
      <c r="Q903">
        <v>-3.44</v>
      </c>
      <c r="R903" t="s">
        <v>1200</v>
      </c>
      <c r="S903" t="s">
        <v>195</v>
      </c>
    </row>
    <row r="904" spans="1:19" x14ac:dyDescent="0.3">
      <c r="A904" t="s">
        <v>1097</v>
      </c>
      <c r="B904" t="s">
        <v>22</v>
      </c>
      <c r="C904">
        <v>2025</v>
      </c>
      <c r="D904">
        <v>2</v>
      </c>
      <c r="E904" s="2">
        <v>45716</v>
      </c>
      <c r="F904" t="s">
        <v>7</v>
      </c>
      <c r="G904" t="s">
        <v>8</v>
      </c>
      <c r="H904" t="s">
        <v>70</v>
      </c>
      <c r="I904" t="s">
        <v>84</v>
      </c>
      <c r="J904" t="s">
        <v>85</v>
      </c>
      <c r="K904" t="s">
        <v>73</v>
      </c>
      <c r="L904">
        <v>709000</v>
      </c>
      <c r="M904" t="s">
        <v>86</v>
      </c>
      <c r="N904" t="s">
        <v>33</v>
      </c>
      <c r="O904">
        <v>0</v>
      </c>
      <c r="P904">
        <v>-480</v>
      </c>
      <c r="Q904">
        <v>-0.48</v>
      </c>
      <c r="R904" t="s">
        <v>1198</v>
      </c>
      <c r="S904" t="s">
        <v>195</v>
      </c>
    </row>
    <row r="905" spans="1:19" x14ac:dyDescent="0.3">
      <c r="A905" t="s">
        <v>1098</v>
      </c>
      <c r="B905" t="s">
        <v>22</v>
      </c>
      <c r="C905">
        <v>2025</v>
      </c>
      <c r="D905">
        <v>2</v>
      </c>
      <c r="E905" s="2">
        <v>45716</v>
      </c>
      <c r="F905" t="s">
        <v>7</v>
      </c>
      <c r="G905" t="s">
        <v>8</v>
      </c>
      <c r="H905" t="s">
        <v>70</v>
      </c>
      <c r="I905" t="s">
        <v>84</v>
      </c>
      <c r="J905" t="s">
        <v>85</v>
      </c>
      <c r="K905" t="s">
        <v>73</v>
      </c>
      <c r="L905">
        <v>709000</v>
      </c>
      <c r="M905" t="s">
        <v>86</v>
      </c>
      <c r="N905" t="s">
        <v>33</v>
      </c>
      <c r="O905">
        <v>0</v>
      </c>
      <c r="P905">
        <v>-850</v>
      </c>
      <c r="Q905">
        <v>-0.85</v>
      </c>
      <c r="R905" t="s">
        <v>1197</v>
      </c>
      <c r="S905" t="s">
        <v>195</v>
      </c>
    </row>
    <row r="906" spans="1:19" x14ac:dyDescent="0.3">
      <c r="A906" t="s">
        <v>1099</v>
      </c>
      <c r="B906" t="s">
        <v>22</v>
      </c>
      <c r="C906">
        <v>2025</v>
      </c>
      <c r="D906">
        <v>2</v>
      </c>
      <c r="E906" s="2">
        <v>45716</v>
      </c>
      <c r="F906" t="s">
        <v>7</v>
      </c>
      <c r="G906" t="s">
        <v>8</v>
      </c>
      <c r="H906" t="s">
        <v>70</v>
      </c>
      <c r="I906" t="s">
        <v>84</v>
      </c>
      <c r="J906" t="s">
        <v>85</v>
      </c>
      <c r="K906" t="s">
        <v>73</v>
      </c>
      <c r="L906">
        <v>709000</v>
      </c>
      <c r="M906" t="s">
        <v>86</v>
      </c>
      <c r="N906" t="s">
        <v>33</v>
      </c>
      <c r="O906">
        <v>0</v>
      </c>
      <c r="P906">
        <v>-1510</v>
      </c>
      <c r="Q906">
        <v>-1.51</v>
      </c>
      <c r="R906" t="s">
        <v>1199</v>
      </c>
      <c r="S906" t="s">
        <v>195</v>
      </c>
    </row>
    <row r="907" spans="1:19" x14ac:dyDescent="0.3">
      <c r="A907" t="s">
        <v>1100</v>
      </c>
      <c r="B907" t="s">
        <v>22</v>
      </c>
      <c r="C907">
        <v>2025</v>
      </c>
      <c r="D907">
        <v>2</v>
      </c>
      <c r="E907" s="2">
        <v>45704</v>
      </c>
      <c r="F907" t="s">
        <v>7</v>
      </c>
      <c r="G907" t="s">
        <v>8</v>
      </c>
      <c r="H907" t="s">
        <v>70</v>
      </c>
      <c r="I907" t="s">
        <v>71</v>
      </c>
      <c r="J907" t="s">
        <v>72</v>
      </c>
      <c r="K907" t="s">
        <v>73</v>
      </c>
      <c r="L907">
        <v>701000</v>
      </c>
      <c r="M907" t="s">
        <v>62</v>
      </c>
      <c r="N907" t="s">
        <v>33</v>
      </c>
      <c r="O907">
        <v>1669</v>
      </c>
      <c r="P907">
        <v>1.05</v>
      </c>
      <c r="Q907">
        <v>1.75</v>
      </c>
      <c r="R907" t="s">
        <v>1197</v>
      </c>
      <c r="S907" t="s">
        <v>195</v>
      </c>
    </row>
    <row r="908" spans="1:19" x14ac:dyDescent="0.3">
      <c r="A908" t="s">
        <v>1101</v>
      </c>
      <c r="B908" t="s">
        <v>22</v>
      </c>
      <c r="C908">
        <v>2025</v>
      </c>
      <c r="D908">
        <v>2</v>
      </c>
      <c r="E908" s="2">
        <v>45704</v>
      </c>
      <c r="F908" t="s">
        <v>7</v>
      </c>
      <c r="G908" t="s">
        <v>8</v>
      </c>
      <c r="H908" t="s">
        <v>70</v>
      </c>
      <c r="I908" t="s">
        <v>71</v>
      </c>
      <c r="J908" t="s">
        <v>72</v>
      </c>
      <c r="K908" t="s">
        <v>73</v>
      </c>
      <c r="L908">
        <v>701000</v>
      </c>
      <c r="M908" t="s">
        <v>62</v>
      </c>
      <c r="N908" t="s">
        <v>33</v>
      </c>
      <c r="O908">
        <v>865</v>
      </c>
      <c r="P908">
        <v>1.05</v>
      </c>
      <c r="Q908">
        <v>0.91</v>
      </c>
      <c r="R908" t="s">
        <v>1204</v>
      </c>
      <c r="S908" t="s">
        <v>195</v>
      </c>
    </row>
    <row r="909" spans="1:19" x14ac:dyDescent="0.3">
      <c r="A909" t="s">
        <v>1102</v>
      </c>
      <c r="B909" t="s">
        <v>22</v>
      </c>
      <c r="C909">
        <v>2025</v>
      </c>
      <c r="D909">
        <v>2</v>
      </c>
      <c r="E909" s="2">
        <v>45704</v>
      </c>
      <c r="F909" t="s">
        <v>7</v>
      </c>
      <c r="G909" t="s">
        <v>8</v>
      </c>
      <c r="H909" t="s">
        <v>70</v>
      </c>
      <c r="I909" t="s">
        <v>71</v>
      </c>
      <c r="J909" t="s">
        <v>72</v>
      </c>
      <c r="K909" t="s">
        <v>73</v>
      </c>
      <c r="L909">
        <v>701000</v>
      </c>
      <c r="M909" t="s">
        <v>62</v>
      </c>
      <c r="N909" t="s">
        <v>33</v>
      </c>
      <c r="O909">
        <v>960</v>
      </c>
      <c r="P909">
        <v>1.05</v>
      </c>
      <c r="Q909">
        <v>1.01</v>
      </c>
      <c r="R909" t="s">
        <v>1202</v>
      </c>
      <c r="S909" t="s">
        <v>195</v>
      </c>
    </row>
    <row r="910" spans="1:19" x14ac:dyDescent="0.3">
      <c r="A910" t="s">
        <v>1103</v>
      </c>
      <c r="B910" t="s">
        <v>22</v>
      </c>
      <c r="C910">
        <v>2025</v>
      </c>
      <c r="D910">
        <v>2</v>
      </c>
      <c r="E910" s="2">
        <v>45704</v>
      </c>
      <c r="F910" t="s">
        <v>7</v>
      </c>
      <c r="G910" t="s">
        <v>8</v>
      </c>
      <c r="H910" t="s">
        <v>70</v>
      </c>
      <c r="I910" t="s">
        <v>71</v>
      </c>
      <c r="J910" t="s">
        <v>72</v>
      </c>
      <c r="K910" t="s">
        <v>73</v>
      </c>
      <c r="L910">
        <v>701000</v>
      </c>
      <c r="M910" t="s">
        <v>62</v>
      </c>
      <c r="N910" t="s">
        <v>33</v>
      </c>
      <c r="O910">
        <v>3973</v>
      </c>
      <c r="P910">
        <v>1.05</v>
      </c>
      <c r="Q910">
        <v>4.17</v>
      </c>
      <c r="R910" t="s">
        <v>1200</v>
      </c>
      <c r="S910" t="s">
        <v>195</v>
      </c>
    </row>
    <row r="911" spans="1:19" x14ac:dyDescent="0.3">
      <c r="A911" t="s">
        <v>1104</v>
      </c>
      <c r="B911" t="s">
        <v>22</v>
      </c>
      <c r="C911">
        <v>2025</v>
      </c>
      <c r="D911">
        <v>2</v>
      </c>
      <c r="E911" s="2">
        <v>45704</v>
      </c>
      <c r="F911" t="s">
        <v>7</v>
      </c>
      <c r="G911" t="s">
        <v>8</v>
      </c>
      <c r="H911" t="s">
        <v>70</v>
      </c>
      <c r="I911" t="s">
        <v>71</v>
      </c>
      <c r="J911" t="s">
        <v>72</v>
      </c>
      <c r="K911" t="s">
        <v>73</v>
      </c>
      <c r="L911">
        <v>701000</v>
      </c>
      <c r="M911" t="s">
        <v>62</v>
      </c>
      <c r="N911" t="s">
        <v>33</v>
      </c>
      <c r="O911">
        <v>976</v>
      </c>
      <c r="P911">
        <v>1.05</v>
      </c>
      <c r="Q911">
        <v>1.02</v>
      </c>
      <c r="R911" t="s">
        <v>1205</v>
      </c>
      <c r="S911" t="s">
        <v>195</v>
      </c>
    </row>
    <row r="912" spans="1:19" x14ac:dyDescent="0.3">
      <c r="A912" t="s">
        <v>1105</v>
      </c>
      <c r="B912" t="s">
        <v>22</v>
      </c>
      <c r="C912">
        <v>2025</v>
      </c>
      <c r="D912">
        <v>2</v>
      </c>
      <c r="E912" s="2">
        <v>45711</v>
      </c>
      <c r="F912" t="s">
        <v>7</v>
      </c>
      <c r="G912" t="s">
        <v>8</v>
      </c>
      <c r="H912" t="s">
        <v>74</v>
      </c>
      <c r="I912" t="s">
        <v>71</v>
      </c>
      <c r="J912" t="s">
        <v>72</v>
      </c>
      <c r="K912" t="s">
        <v>73</v>
      </c>
      <c r="L912">
        <v>701000</v>
      </c>
      <c r="M912" t="s">
        <v>62</v>
      </c>
      <c r="N912" t="s">
        <v>33</v>
      </c>
      <c r="O912">
        <v>3224</v>
      </c>
      <c r="P912">
        <v>1.05</v>
      </c>
      <c r="Q912">
        <v>3.38</v>
      </c>
      <c r="R912" t="s">
        <v>1200</v>
      </c>
      <c r="S912" t="s">
        <v>195</v>
      </c>
    </row>
    <row r="913" spans="1:19" x14ac:dyDescent="0.3">
      <c r="A913" t="s">
        <v>1106</v>
      </c>
      <c r="B913" t="s">
        <v>22</v>
      </c>
      <c r="C913">
        <v>2025</v>
      </c>
      <c r="D913">
        <v>2</v>
      </c>
      <c r="E913" s="2">
        <v>45711</v>
      </c>
      <c r="F913" t="s">
        <v>7</v>
      </c>
      <c r="G913" t="s">
        <v>8</v>
      </c>
      <c r="H913" t="s">
        <v>74</v>
      </c>
      <c r="I913" t="s">
        <v>71</v>
      </c>
      <c r="J913" t="s">
        <v>72</v>
      </c>
      <c r="K913" t="s">
        <v>73</v>
      </c>
      <c r="L913">
        <v>701000</v>
      </c>
      <c r="M913" t="s">
        <v>62</v>
      </c>
      <c r="N913" t="s">
        <v>33</v>
      </c>
      <c r="O913">
        <v>1385</v>
      </c>
      <c r="P913">
        <v>1.05</v>
      </c>
      <c r="Q913">
        <v>1.45</v>
      </c>
      <c r="R913" t="s">
        <v>1203</v>
      </c>
      <c r="S913" t="s">
        <v>195</v>
      </c>
    </row>
    <row r="914" spans="1:19" x14ac:dyDescent="0.3">
      <c r="A914" t="s">
        <v>1107</v>
      </c>
      <c r="B914" t="s">
        <v>22</v>
      </c>
      <c r="C914">
        <v>2025</v>
      </c>
      <c r="D914">
        <v>2</v>
      </c>
      <c r="E914" s="2">
        <v>45711</v>
      </c>
      <c r="F914" t="s">
        <v>7</v>
      </c>
      <c r="G914" t="s">
        <v>8</v>
      </c>
      <c r="H914" t="s">
        <v>74</v>
      </c>
      <c r="I914" t="s">
        <v>71</v>
      </c>
      <c r="J914" t="s">
        <v>72</v>
      </c>
      <c r="K914" t="s">
        <v>73</v>
      </c>
      <c r="L914">
        <v>701000</v>
      </c>
      <c r="M914" t="s">
        <v>62</v>
      </c>
      <c r="N914" t="s">
        <v>33</v>
      </c>
      <c r="O914">
        <v>886</v>
      </c>
      <c r="P914">
        <v>1.05</v>
      </c>
      <c r="Q914">
        <v>0.93</v>
      </c>
      <c r="R914" t="s">
        <v>1199</v>
      </c>
      <c r="S914" t="s">
        <v>195</v>
      </c>
    </row>
    <row r="915" spans="1:19" x14ac:dyDescent="0.3">
      <c r="A915" t="s">
        <v>1108</v>
      </c>
      <c r="B915" t="s">
        <v>22</v>
      </c>
      <c r="C915">
        <v>2025</v>
      </c>
      <c r="D915">
        <v>2</v>
      </c>
      <c r="E915" s="2">
        <v>45711</v>
      </c>
      <c r="F915" t="s">
        <v>7</v>
      </c>
      <c r="G915" t="s">
        <v>8</v>
      </c>
      <c r="H915" t="s">
        <v>74</v>
      </c>
      <c r="I915" t="s">
        <v>71</v>
      </c>
      <c r="J915" t="s">
        <v>72</v>
      </c>
      <c r="K915" t="s">
        <v>73</v>
      </c>
      <c r="L915">
        <v>701000</v>
      </c>
      <c r="M915" t="s">
        <v>62</v>
      </c>
      <c r="N915" t="s">
        <v>33</v>
      </c>
      <c r="O915">
        <v>2440</v>
      </c>
      <c r="P915">
        <v>1.05</v>
      </c>
      <c r="Q915">
        <v>2.56</v>
      </c>
      <c r="R915" t="s">
        <v>1197</v>
      </c>
      <c r="S915" t="s">
        <v>195</v>
      </c>
    </row>
    <row r="916" spans="1:19" x14ac:dyDescent="0.3">
      <c r="A916" t="s">
        <v>1109</v>
      </c>
      <c r="B916" t="s">
        <v>22</v>
      </c>
      <c r="C916">
        <v>2025</v>
      </c>
      <c r="D916">
        <v>2</v>
      </c>
      <c r="E916" s="2">
        <v>45711</v>
      </c>
      <c r="F916" t="s">
        <v>7</v>
      </c>
      <c r="G916" t="s">
        <v>8</v>
      </c>
      <c r="H916" t="s">
        <v>74</v>
      </c>
      <c r="I916" t="s">
        <v>71</v>
      </c>
      <c r="J916" t="s">
        <v>72</v>
      </c>
      <c r="K916" t="s">
        <v>73</v>
      </c>
      <c r="L916">
        <v>701000</v>
      </c>
      <c r="M916" t="s">
        <v>62</v>
      </c>
      <c r="N916" t="s">
        <v>33</v>
      </c>
      <c r="O916">
        <v>3126</v>
      </c>
      <c r="P916">
        <v>1.05</v>
      </c>
      <c r="Q916">
        <v>3.29</v>
      </c>
      <c r="R916" t="s">
        <v>1204</v>
      </c>
      <c r="S916" t="s">
        <v>195</v>
      </c>
    </row>
    <row r="917" spans="1:19" x14ac:dyDescent="0.3">
      <c r="A917" t="s">
        <v>1110</v>
      </c>
      <c r="B917" t="s">
        <v>22</v>
      </c>
      <c r="C917">
        <v>2025</v>
      </c>
      <c r="D917">
        <v>2</v>
      </c>
      <c r="E917" s="2">
        <v>45692</v>
      </c>
      <c r="F917" t="s">
        <v>7</v>
      </c>
      <c r="G917" t="s">
        <v>8</v>
      </c>
      <c r="H917" t="s">
        <v>74</v>
      </c>
      <c r="I917" t="s">
        <v>71</v>
      </c>
      <c r="J917" t="s">
        <v>72</v>
      </c>
      <c r="K917" t="s">
        <v>73</v>
      </c>
      <c r="L917">
        <v>701000</v>
      </c>
      <c r="M917" t="s">
        <v>62</v>
      </c>
      <c r="N917" t="s">
        <v>33</v>
      </c>
      <c r="O917">
        <v>1664</v>
      </c>
      <c r="P917">
        <v>1.05</v>
      </c>
      <c r="Q917">
        <v>1.75</v>
      </c>
      <c r="R917" t="s">
        <v>1202</v>
      </c>
      <c r="S917" t="s">
        <v>195</v>
      </c>
    </row>
    <row r="918" spans="1:19" x14ac:dyDescent="0.3">
      <c r="A918" t="s">
        <v>1111</v>
      </c>
      <c r="B918" t="s">
        <v>22</v>
      </c>
      <c r="C918">
        <v>2025</v>
      </c>
      <c r="D918">
        <v>2</v>
      </c>
      <c r="E918" s="2">
        <v>45692</v>
      </c>
      <c r="F918" t="s">
        <v>7</v>
      </c>
      <c r="G918" t="s">
        <v>8</v>
      </c>
      <c r="H918" t="s">
        <v>74</v>
      </c>
      <c r="I918" t="s">
        <v>71</v>
      </c>
      <c r="J918" t="s">
        <v>72</v>
      </c>
      <c r="K918" t="s">
        <v>73</v>
      </c>
      <c r="L918">
        <v>701000</v>
      </c>
      <c r="M918" t="s">
        <v>62</v>
      </c>
      <c r="N918" t="s">
        <v>33</v>
      </c>
      <c r="O918">
        <v>1355</v>
      </c>
      <c r="P918">
        <v>1.05</v>
      </c>
      <c r="Q918">
        <v>1.42</v>
      </c>
      <c r="R918" t="s">
        <v>1203</v>
      </c>
      <c r="S918" t="s">
        <v>195</v>
      </c>
    </row>
    <row r="919" spans="1:19" x14ac:dyDescent="0.3">
      <c r="A919" t="s">
        <v>1112</v>
      </c>
      <c r="B919" t="s">
        <v>22</v>
      </c>
      <c r="C919">
        <v>2025</v>
      </c>
      <c r="D919">
        <v>2</v>
      </c>
      <c r="E919" s="2">
        <v>45692</v>
      </c>
      <c r="F919" t="s">
        <v>7</v>
      </c>
      <c r="G919" t="s">
        <v>8</v>
      </c>
      <c r="H919" t="s">
        <v>74</v>
      </c>
      <c r="I919" t="s">
        <v>71</v>
      </c>
      <c r="J919" t="s">
        <v>72</v>
      </c>
      <c r="K919" t="s">
        <v>73</v>
      </c>
      <c r="L919">
        <v>701000</v>
      </c>
      <c r="M919" t="s">
        <v>62</v>
      </c>
      <c r="N919" t="s">
        <v>33</v>
      </c>
      <c r="O919">
        <v>2439</v>
      </c>
      <c r="P919">
        <v>1.05</v>
      </c>
      <c r="Q919">
        <v>2.56</v>
      </c>
      <c r="R919" t="s">
        <v>1200</v>
      </c>
      <c r="S919" t="s">
        <v>195</v>
      </c>
    </row>
    <row r="920" spans="1:19" x14ac:dyDescent="0.3">
      <c r="A920" t="s">
        <v>1113</v>
      </c>
      <c r="B920" t="s">
        <v>22</v>
      </c>
      <c r="C920">
        <v>2025</v>
      </c>
      <c r="D920">
        <v>2</v>
      </c>
      <c r="E920" s="2">
        <v>45692</v>
      </c>
      <c r="F920" t="s">
        <v>7</v>
      </c>
      <c r="G920" t="s">
        <v>8</v>
      </c>
      <c r="H920" t="s">
        <v>74</v>
      </c>
      <c r="I920" t="s">
        <v>71</v>
      </c>
      <c r="J920" t="s">
        <v>72</v>
      </c>
      <c r="K920" t="s">
        <v>73</v>
      </c>
      <c r="L920">
        <v>701000</v>
      </c>
      <c r="M920" t="s">
        <v>62</v>
      </c>
      <c r="N920" t="s">
        <v>33</v>
      </c>
      <c r="O920">
        <v>1286</v>
      </c>
      <c r="P920">
        <v>1.05</v>
      </c>
      <c r="Q920">
        <v>1.35</v>
      </c>
      <c r="R920" t="s">
        <v>1199</v>
      </c>
      <c r="S920" t="s">
        <v>195</v>
      </c>
    </row>
    <row r="921" spans="1:19" x14ac:dyDescent="0.3">
      <c r="A921" t="s">
        <v>1114</v>
      </c>
      <c r="B921" t="s">
        <v>22</v>
      </c>
      <c r="C921">
        <v>2025</v>
      </c>
      <c r="D921">
        <v>2</v>
      </c>
      <c r="E921" s="2">
        <v>45692</v>
      </c>
      <c r="F921" t="s">
        <v>7</v>
      </c>
      <c r="G921" t="s">
        <v>8</v>
      </c>
      <c r="H921" t="s">
        <v>74</v>
      </c>
      <c r="I921" t="s">
        <v>71</v>
      </c>
      <c r="J921" t="s">
        <v>72</v>
      </c>
      <c r="K921" t="s">
        <v>73</v>
      </c>
      <c r="L921">
        <v>701000</v>
      </c>
      <c r="M921" t="s">
        <v>62</v>
      </c>
      <c r="N921" t="s">
        <v>33</v>
      </c>
      <c r="O921">
        <v>2860</v>
      </c>
      <c r="P921">
        <v>1.05</v>
      </c>
      <c r="Q921">
        <v>3</v>
      </c>
      <c r="R921" t="s">
        <v>1204</v>
      </c>
      <c r="S921" t="s">
        <v>195</v>
      </c>
    </row>
    <row r="922" spans="1:19" x14ac:dyDescent="0.3">
      <c r="A922" t="s">
        <v>1115</v>
      </c>
      <c r="B922" t="s">
        <v>22</v>
      </c>
      <c r="C922">
        <v>2025</v>
      </c>
      <c r="D922">
        <v>2</v>
      </c>
      <c r="E922" s="2">
        <v>45713</v>
      </c>
      <c r="F922" t="s">
        <v>7</v>
      </c>
      <c r="G922" t="s">
        <v>8</v>
      </c>
      <c r="H922" t="s">
        <v>74</v>
      </c>
      <c r="I922" t="s">
        <v>71</v>
      </c>
      <c r="J922" t="s">
        <v>72</v>
      </c>
      <c r="K922" t="s">
        <v>73</v>
      </c>
      <c r="L922">
        <v>701000</v>
      </c>
      <c r="M922" t="s">
        <v>62</v>
      </c>
      <c r="N922" t="s">
        <v>33</v>
      </c>
      <c r="O922">
        <v>942</v>
      </c>
      <c r="P922">
        <v>1.05</v>
      </c>
      <c r="Q922">
        <v>0.99</v>
      </c>
      <c r="R922" t="s">
        <v>1199</v>
      </c>
      <c r="S922" t="s">
        <v>195</v>
      </c>
    </row>
    <row r="923" spans="1:19" x14ac:dyDescent="0.3">
      <c r="A923" t="s">
        <v>1116</v>
      </c>
      <c r="B923" t="s">
        <v>22</v>
      </c>
      <c r="C923">
        <v>2025</v>
      </c>
      <c r="D923">
        <v>2</v>
      </c>
      <c r="E923" s="2">
        <v>45713</v>
      </c>
      <c r="F923" t="s">
        <v>7</v>
      </c>
      <c r="G923" t="s">
        <v>8</v>
      </c>
      <c r="H923" t="s">
        <v>74</v>
      </c>
      <c r="I923" t="s">
        <v>71</v>
      </c>
      <c r="J923" t="s">
        <v>72</v>
      </c>
      <c r="K923" t="s">
        <v>73</v>
      </c>
      <c r="L923">
        <v>701000</v>
      </c>
      <c r="M923" t="s">
        <v>62</v>
      </c>
      <c r="N923" t="s">
        <v>33</v>
      </c>
      <c r="O923">
        <v>1358</v>
      </c>
      <c r="P923">
        <v>1.05</v>
      </c>
      <c r="Q923">
        <v>1.43</v>
      </c>
      <c r="R923" t="s">
        <v>1197</v>
      </c>
      <c r="S923" t="s">
        <v>195</v>
      </c>
    </row>
    <row r="924" spans="1:19" x14ac:dyDescent="0.3">
      <c r="A924" t="s">
        <v>1117</v>
      </c>
      <c r="B924" t="s">
        <v>22</v>
      </c>
      <c r="C924">
        <v>2025</v>
      </c>
      <c r="D924">
        <v>2</v>
      </c>
      <c r="E924" s="2">
        <v>45713</v>
      </c>
      <c r="F924" t="s">
        <v>7</v>
      </c>
      <c r="G924" t="s">
        <v>8</v>
      </c>
      <c r="H924" t="s">
        <v>74</v>
      </c>
      <c r="I924" t="s">
        <v>71</v>
      </c>
      <c r="J924" t="s">
        <v>72</v>
      </c>
      <c r="K924" t="s">
        <v>73</v>
      </c>
      <c r="L924">
        <v>701000</v>
      </c>
      <c r="M924" t="s">
        <v>62</v>
      </c>
      <c r="N924" t="s">
        <v>33</v>
      </c>
      <c r="O924">
        <v>1506</v>
      </c>
      <c r="P924">
        <v>1.05</v>
      </c>
      <c r="Q924">
        <v>1.58</v>
      </c>
      <c r="R924" t="s">
        <v>1201</v>
      </c>
      <c r="S924" t="s">
        <v>195</v>
      </c>
    </row>
    <row r="925" spans="1:19" x14ac:dyDescent="0.3">
      <c r="A925" t="s">
        <v>1118</v>
      </c>
      <c r="B925" t="s">
        <v>22</v>
      </c>
      <c r="C925">
        <v>2025</v>
      </c>
      <c r="D925">
        <v>2</v>
      </c>
      <c r="E925" s="2">
        <v>45713</v>
      </c>
      <c r="F925" t="s">
        <v>7</v>
      </c>
      <c r="G925" t="s">
        <v>8</v>
      </c>
      <c r="H925" t="s">
        <v>74</v>
      </c>
      <c r="I925" t="s">
        <v>71</v>
      </c>
      <c r="J925" t="s">
        <v>72</v>
      </c>
      <c r="K925" t="s">
        <v>73</v>
      </c>
      <c r="L925">
        <v>701000</v>
      </c>
      <c r="M925" t="s">
        <v>62</v>
      </c>
      <c r="N925" t="s">
        <v>33</v>
      </c>
      <c r="O925">
        <v>4226</v>
      </c>
      <c r="P925">
        <v>1.05</v>
      </c>
      <c r="Q925">
        <v>4.4400000000000004</v>
      </c>
      <c r="R925" t="s">
        <v>1205</v>
      </c>
      <c r="S925" t="s">
        <v>195</v>
      </c>
    </row>
    <row r="926" spans="1:19" x14ac:dyDescent="0.3">
      <c r="A926" t="s">
        <v>1119</v>
      </c>
      <c r="B926" t="s">
        <v>22</v>
      </c>
      <c r="C926">
        <v>2025</v>
      </c>
      <c r="D926">
        <v>2</v>
      </c>
      <c r="E926" s="2">
        <v>45713</v>
      </c>
      <c r="F926" t="s">
        <v>7</v>
      </c>
      <c r="G926" t="s">
        <v>8</v>
      </c>
      <c r="H926" t="s">
        <v>74</v>
      </c>
      <c r="I926" t="s">
        <v>71</v>
      </c>
      <c r="J926" t="s">
        <v>72</v>
      </c>
      <c r="K926" t="s">
        <v>73</v>
      </c>
      <c r="L926">
        <v>701000</v>
      </c>
      <c r="M926" t="s">
        <v>62</v>
      </c>
      <c r="N926" t="s">
        <v>33</v>
      </c>
      <c r="O926">
        <v>1606</v>
      </c>
      <c r="P926">
        <v>1.05</v>
      </c>
      <c r="Q926">
        <v>1.68</v>
      </c>
      <c r="R926" t="s">
        <v>1198</v>
      </c>
      <c r="S926" t="s">
        <v>195</v>
      </c>
    </row>
    <row r="927" spans="1:19" x14ac:dyDescent="0.3">
      <c r="A927" t="s">
        <v>1120</v>
      </c>
      <c r="B927" t="s">
        <v>22</v>
      </c>
      <c r="C927">
        <v>2025</v>
      </c>
      <c r="D927">
        <v>2</v>
      </c>
      <c r="E927" s="2">
        <v>45703</v>
      </c>
      <c r="F927" t="s">
        <v>7</v>
      </c>
      <c r="G927" t="s">
        <v>8</v>
      </c>
      <c r="H927" t="s">
        <v>74</v>
      </c>
      <c r="I927" t="s">
        <v>71</v>
      </c>
      <c r="J927" t="s">
        <v>72</v>
      </c>
      <c r="K927" t="s">
        <v>73</v>
      </c>
      <c r="L927">
        <v>701000</v>
      </c>
      <c r="M927" t="s">
        <v>62</v>
      </c>
      <c r="N927" t="s">
        <v>33</v>
      </c>
      <c r="O927">
        <v>1784</v>
      </c>
      <c r="P927">
        <v>1.05</v>
      </c>
      <c r="Q927">
        <v>1.87</v>
      </c>
      <c r="R927" t="s">
        <v>1203</v>
      </c>
      <c r="S927" t="s">
        <v>195</v>
      </c>
    </row>
    <row r="928" spans="1:19" x14ac:dyDescent="0.3">
      <c r="A928" t="s">
        <v>1121</v>
      </c>
      <c r="B928" t="s">
        <v>22</v>
      </c>
      <c r="C928">
        <v>2025</v>
      </c>
      <c r="D928">
        <v>2</v>
      </c>
      <c r="E928" s="2">
        <v>45703</v>
      </c>
      <c r="F928" t="s">
        <v>7</v>
      </c>
      <c r="G928" t="s">
        <v>8</v>
      </c>
      <c r="H928" t="s">
        <v>74</v>
      </c>
      <c r="I928" t="s">
        <v>71</v>
      </c>
      <c r="J928" t="s">
        <v>72</v>
      </c>
      <c r="K928" t="s">
        <v>73</v>
      </c>
      <c r="L928">
        <v>701000</v>
      </c>
      <c r="M928" t="s">
        <v>62</v>
      </c>
      <c r="N928" t="s">
        <v>33</v>
      </c>
      <c r="O928">
        <v>3235</v>
      </c>
      <c r="P928">
        <v>1.05</v>
      </c>
      <c r="Q928">
        <v>3.4</v>
      </c>
      <c r="R928" t="s">
        <v>1197</v>
      </c>
      <c r="S928" t="s">
        <v>195</v>
      </c>
    </row>
    <row r="929" spans="1:19" x14ac:dyDescent="0.3">
      <c r="A929" t="s">
        <v>1122</v>
      </c>
      <c r="B929" t="s">
        <v>22</v>
      </c>
      <c r="C929">
        <v>2025</v>
      </c>
      <c r="D929">
        <v>2</v>
      </c>
      <c r="E929" s="2">
        <v>45703</v>
      </c>
      <c r="F929" t="s">
        <v>7</v>
      </c>
      <c r="G929" t="s">
        <v>8</v>
      </c>
      <c r="H929" t="s">
        <v>74</v>
      </c>
      <c r="I929" t="s">
        <v>71</v>
      </c>
      <c r="J929" t="s">
        <v>72</v>
      </c>
      <c r="K929" t="s">
        <v>73</v>
      </c>
      <c r="L929">
        <v>701000</v>
      </c>
      <c r="M929" t="s">
        <v>62</v>
      </c>
      <c r="N929" t="s">
        <v>33</v>
      </c>
      <c r="O929">
        <v>1756</v>
      </c>
      <c r="P929">
        <v>1.05</v>
      </c>
      <c r="Q929">
        <v>1.84</v>
      </c>
      <c r="R929" t="s">
        <v>1205</v>
      </c>
      <c r="S929" t="s">
        <v>195</v>
      </c>
    </row>
    <row r="930" spans="1:19" x14ac:dyDescent="0.3">
      <c r="A930" t="s">
        <v>1123</v>
      </c>
      <c r="B930" t="s">
        <v>22</v>
      </c>
      <c r="C930">
        <v>2025</v>
      </c>
      <c r="D930">
        <v>2</v>
      </c>
      <c r="E930" s="2">
        <v>45703</v>
      </c>
      <c r="F930" t="s">
        <v>7</v>
      </c>
      <c r="G930" t="s">
        <v>8</v>
      </c>
      <c r="H930" t="s">
        <v>74</v>
      </c>
      <c r="I930" t="s">
        <v>71</v>
      </c>
      <c r="J930" t="s">
        <v>72</v>
      </c>
      <c r="K930" t="s">
        <v>73</v>
      </c>
      <c r="L930">
        <v>701000</v>
      </c>
      <c r="M930" t="s">
        <v>62</v>
      </c>
      <c r="N930" t="s">
        <v>33</v>
      </c>
      <c r="O930">
        <v>1001</v>
      </c>
      <c r="P930">
        <v>1.05</v>
      </c>
      <c r="Q930">
        <v>1.05</v>
      </c>
      <c r="R930" t="s">
        <v>1200</v>
      </c>
      <c r="S930" t="s">
        <v>195</v>
      </c>
    </row>
    <row r="931" spans="1:19" x14ac:dyDescent="0.3">
      <c r="A931" t="s">
        <v>1124</v>
      </c>
      <c r="B931" t="s">
        <v>22</v>
      </c>
      <c r="C931">
        <v>2025</v>
      </c>
      <c r="D931">
        <v>2</v>
      </c>
      <c r="E931" s="2">
        <v>45703</v>
      </c>
      <c r="F931" t="s">
        <v>7</v>
      </c>
      <c r="G931" t="s">
        <v>8</v>
      </c>
      <c r="H931" t="s">
        <v>74</v>
      </c>
      <c r="I931" t="s">
        <v>71</v>
      </c>
      <c r="J931" t="s">
        <v>72</v>
      </c>
      <c r="K931" t="s">
        <v>73</v>
      </c>
      <c r="L931">
        <v>701000</v>
      </c>
      <c r="M931" t="s">
        <v>62</v>
      </c>
      <c r="N931" t="s">
        <v>33</v>
      </c>
      <c r="O931">
        <v>2025</v>
      </c>
      <c r="P931">
        <v>1.05</v>
      </c>
      <c r="Q931">
        <v>2.13</v>
      </c>
      <c r="R931" t="s">
        <v>1198</v>
      </c>
      <c r="S931" t="s">
        <v>195</v>
      </c>
    </row>
    <row r="932" spans="1:19" x14ac:dyDescent="0.3">
      <c r="A932" t="s">
        <v>1125</v>
      </c>
      <c r="B932" t="s">
        <v>22</v>
      </c>
      <c r="C932">
        <v>2025</v>
      </c>
      <c r="D932">
        <v>2</v>
      </c>
      <c r="E932" s="2">
        <v>45690</v>
      </c>
      <c r="F932" t="s">
        <v>7</v>
      </c>
      <c r="G932" t="s">
        <v>8</v>
      </c>
      <c r="H932" t="s">
        <v>70</v>
      </c>
      <c r="I932" t="s">
        <v>71</v>
      </c>
      <c r="J932" t="s">
        <v>72</v>
      </c>
      <c r="K932" t="s">
        <v>73</v>
      </c>
      <c r="L932">
        <v>701000</v>
      </c>
      <c r="M932" t="s">
        <v>62</v>
      </c>
      <c r="N932" t="s">
        <v>33</v>
      </c>
      <c r="O932">
        <v>1267</v>
      </c>
      <c r="P932">
        <v>1.05</v>
      </c>
      <c r="Q932">
        <v>1.33</v>
      </c>
      <c r="R932" t="s">
        <v>1204</v>
      </c>
      <c r="S932" t="s">
        <v>195</v>
      </c>
    </row>
    <row r="933" spans="1:19" x14ac:dyDescent="0.3">
      <c r="A933" t="s">
        <v>1126</v>
      </c>
      <c r="B933" t="s">
        <v>22</v>
      </c>
      <c r="C933">
        <v>2025</v>
      </c>
      <c r="D933">
        <v>2</v>
      </c>
      <c r="E933" s="2">
        <v>45690</v>
      </c>
      <c r="F933" t="s">
        <v>7</v>
      </c>
      <c r="G933" t="s">
        <v>8</v>
      </c>
      <c r="H933" t="s">
        <v>70</v>
      </c>
      <c r="I933" t="s">
        <v>71</v>
      </c>
      <c r="J933" t="s">
        <v>72</v>
      </c>
      <c r="K933" t="s">
        <v>73</v>
      </c>
      <c r="L933">
        <v>701000</v>
      </c>
      <c r="M933" t="s">
        <v>62</v>
      </c>
      <c r="N933" t="s">
        <v>33</v>
      </c>
      <c r="O933">
        <v>2604</v>
      </c>
      <c r="P933">
        <v>1.05</v>
      </c>
      <c r="Q933">
        <v>2.73</v>
      </c>
      <c r="R933" t="s">
        <v>1205</v>
      </c>
      <c r="S933" t="s">
        <v>195</v>
      </c>
    </row>
    <row r="934" spans="1:19" x14ac:dyDescent="0.3">
      <c r="A934" t="s">
        <v>1127</v>
      </c>
      <c r="B934" t="s">
        <v>22</v>
      </c>
      <c r="C934">
        <v>2025</v>
      </c>
      <c r="D934">
        <v>2</v>
      </c>
      <c r="E934" s="2">
        <v>45690</v>
      </c>
      <c r="F934" t="s">
        <v>7</v>
      </c>
      <c r="G934" t="s">
        <v>8</v>
      </c>
      <c r="H934" t="s">
        <v>70</v>
      </c>
      <c r="I934" t="s">
        <v>71</v>
      </c>
      <c r="J934" t="s">
        <v>72</v>
      </c>
      <c r="K934" t="s">
        <v>73</v>
      </c>
      <c r="L934">
        <v>701000</v>
      </c>
      <c r="M934" t="s">
        <v>62</v>
      </c>
      <c r="N934" t="s">
        <v>33</v>
      </c>
      <c r="O934">
        <v>701</v>
      </c>
      <c r="P934">
        <v>1.06</v>
      </c>
      <c r="Q934">
        <v>0.74</v>
      </c>
      <c r="R934" t="s">
        <v>1201</v>
      </c>
      <c r="S934" t="s">
        <v>195</v>
      </c>
    </row>
    <row r="935" spans="1:19" x14ac:dyDescent="0.3">
      <c r="A935" t="s">
        <v>1128</v>
      </c>
      <c r="B935" t="s">
        <v>22</v>
      </c>
      <c r="C935">
        <v>2025</v>
      </c>
      <c r="D935">
        <v>2</v>
      </c>
      <c r="E935" s="2">
        <v>45690</v>
      </c>
      <c r="F935" t="s">
        <v>7</v>
      </c>
      <c r="G935" t="s">
        <v>8</v>
      </c>
      <c r="H935" t="s">
        <v>70</v>
      </c>
      <c r="I935" t="s">
        <v>71</v>
      </c>
      <c r="J935" t="s">
        <v>72</v>
      </c>
      <c r="K935" t="s">
        <v>73</v>
      </c>
      <c r="L935">
        <v>701000</v>
      </c>
      <c r="M935" t="s">
        <v>62</v>
      </c>
      <c r="N935" t="s">
        <v>33</v>
      </c>
      <c r="O935">
        <v>3565</v>
      </c>
      <c r="P935">
        <v>1.05</v>
      </c>
      <c r="Q935">
        <v>3.74</v>
      </c>
      <c r="R935" t="s">
        <v>1203</v>
      </c>
      <c r="S935" t="s">
        <v>195</v>
      </c>
    </row>
    <row r="936" spans="1:19" x14ac:dyDescent="0.3">
      <c r="A936" t="s">
        <v>1129</v>
      </c>
      <c r="B936" t="s">
        <v>22</v>
      </c>
      <c r="C936">
        <v>2025</v>
      </c>
      <c r="D936">
        <v>2</v>
      </c>
      <c r="E936" s="2">
        <v>45690</v>
      </c>
      <c r="F936" t="s">
        <v>7</v>
      </c>
      <c r="G936" t="s">
        <v>8</v>
      </c>
      <c r="H936" t="s">
        <v>70</v>
      </c>
      <c r="I936" t="s">
        <v>71</v>
      </c>
      <c r="J936" t="s">
        <v>72</v>
      </c>
      <c r="K936" t="s">
        <v>73</v>
      </c>
      <c r="L936">
        <v>701000</v>
      </c>
      <c r="M936" t="s">
        <v>62</v>
      </c>
      <c r="N936" t="s">
        <v>33</v>
      </c>
      <c r="O936">
        <v>1214</v>
      </c>
      <c r="P936">
        <v>1.05</v>
      </c>
      <c r="Q936">
        <v>1.28</v>
      </c>
      <c r="R936" t="s">
        <v>1198</v>
      </c>
      <c r="S936" t="s">
        <v>195</v>
      </c>
    </row>
    <row r="937" spans="1:19" x14ac:dyDescent="0.3">
      <c r="A937" t="s">
        <v>1130</v>
      </c>
      <c r="B937" t="s">
        <v>22</v>
      </c>
      <c r="C937">
        <v>2025</v>
      </c>
      <c r="D937">
        <v>2</v>
      </c>
      <c r="E937" s="2">
        <v>45711</v>
      </c>
      <c r="F937" t="s">
        <v>7</v>
      </c>
      <c r="G937" t="s">
        <v>8</v>
      </c>
      <c r="H937" t="s">
        <v>74</v>
      </c>
      <c r="I937" t="s">
        <v>71</v>
      </c>
      <c r="J937" t="s">
        <v>72</v>
      </c>
      <c r="K937" t="s">
        <v>73</v>
      </c>
      <c r="L937">
        <v>701000</v>
      </c>
      <c r="M937" t="s">
        <v>62</v>
      </c>
      <c r="N937" t="s">
        <v>33</v>
      </c>
      <c r="O937">
        <v>2526</v>
      </c>
      <c r="P937">
        <v>1.05</v>
      </c>
      <c r="Q937">
        <v>2.65</v>
      </c>
      <c r="R937" t="s">
        <v>1205</v>
      </c>
      <c r="S937" t="s">
        <v>195</v>
      </c>
    </row>
    <row r="938" spans="1:19" x14ac:dyDescent="0.3">
      <c r="A938" t="s">
        <v>1131</v>
      </c>
      <c r="B938" t="s">
        <v>22</v>
      </c>
      <c r="C938">
        <v>2025</v>
      </c>
      <c r="D938">
        <v>2</v>
      </c>
      <c r="E938" s="2">
        <v>45711</v>
      </c>
      <c r="F938" t="s">
        <v>7</v>
      </c>
      <c r="G938" t="s">
        <v>8</v>
      </c>
      <c r="H938" t="s">
        <v>74</v>
      </c>
      <c r="I938" t="s">
        <v>71</v>
      </c>
      <c r="J938" t="s">
        <v>72</v>
      </c>
      <c r="K938" t="s">
        <v>73</v>
      </c>
      <c r="L938">
        <v>701000</v>
      </c>
      <c r="M938" t="s">
        <v>62</v>
      </c>
      <c r="N938" t="s">
        <v>33</v>
      </c>
      <c r="O938">
        <v>1021</v>
      </c>
      <c r="P938">
        <v>1.05</v>
      </c>
      <c r="Q938">
        <v>1.07</v>
      </c>
      <c r="R938" t="s">
        <v>1197</v>
      </c>
      <c r="S938" t="s">
        <v>195</v>
      </c>
    </row>
    <row r="939" spans="1:19" x14ac:dyDescent="0.3">
      <c r="A939" t="s">
        <v>1132</v>
      </c>
      <c r="B939" t="s">
        <v>22</v>
      </c>
      <c r="C939">
        <v>2025</v>
      </c>
      <c r="D939">
        <v>2</v>
      </c>
      <c r="E939" s="2">
        <v>45711</v>
      </c>
      <c r="F939" t="s">
        <v>7</v>
      </c>
      <c r="G939" t="s">
        <v>8</v>
      </c>
      <c r="H939" t="s">
        <v>74</v>
      </c>
      <c r="I939" t="s">
        <v>71</v>
      </c>
      <c r="J939" t="s">
        <v>72</v>
      </c>
      <c r="K939" t="s">
        <v>73</v>
      </c>
      <c r="L939">
        <v>701000</v>
      </c>
      <c r="M939" t="s">
        <v>62</v>
      </c>
      <c r="N939" t="s">
        <v>33</v>
      </c>
      <c r="O939">
        <v>1887</v>
      </c>
      <c r="P939">
        <v>1.05</v>
      </c>
      <c r="Q939">
        <v>1.98</v>
      </c>
      <c r="R939" t="s">
        <v>1202</v>
      </c>
      <c r="S939" t="s">
        <v>195</v>
      </c>
    </row>
    <row r="940" spans="1:19" x14ac:dyDescent="0.3">
      <c r="A940" t="s">
        <v>1133</v>
      </c>
      <c r="B940" t="s">
        <v>22</v>
      </c>
      <c r="C940">
        <v>2025</v>
      </c>
      <c r="D940">
        <v>2</v>
      </c>
      <c r="E940" s="2">
        <v>45711</v>
      </c>
      <c r="F940" t="s">
        <v>7</v>
      </c>
      <c r="G940" t="s">
        <v>8</v>
      </c>
      <c r="H940" t="s">
        <v>74</v>
      </c>
      <c r="I940" t="s">
        <v>71</v>
      </c>
      <c r="J940" t="s">
        <v>72</v>
      </c>
      <c r="K940" t="s">
        <v>73</v>
      </c>
      <c r="L940">
        <v>701000</v>
      </c>
      <c r="M940" t="s">
        <v>62</v>
      </c>
      <c r="N940" t="s">
        <v>33</v>
      </c>
      <c r="O940">
        <v>629</v>
      </c>
      <c r="P940">
        <v>1.05</v>
      </c>
      <c r="Q940">
        <v>0.66</v>
      </c>
      <c r="R940" t="s">
        <v>1200</v>
      </c>
      <c r="S940" t="s">
        <v>195</v>
      </c>
    </row>
    <row r="941" spans="1:19" x14ac:dyDescent="0.3">
      <c r="A941" t="s">
        <v>1134</v>
      </c>
      <c r="B941" t="s">
        <v>22</v>
      </c>
      <c r="C941">
        <v>2025</v>
      </c>
      <c r="D941">
        <v>2</v>
      </c>
      <c r="E941" s="2">
        <v>45711</v>
      </c>
      <c r="F941" t="s">
        <v>7</v>
      </c>
      <c r="G941" t="s">
        <v>8</v>
      </c>
      <c r="H941" t="s">
        <v>74</v>
      </c>
      <c r="I941" t="s">
        <v>71</v>
      </c>
      <c r="J941" t="s">
        <v>72</v>
      </c>
      <c r="K941" t="s">
        <v>73</v>
      </c>
      <c r="L941">
        <v>701000</v>
      </c>
      <c r="M941" t="s">
        <v>62</v>
      </c>
      <c r="N941" t="s">
        <v>33</v>
      </c>
      <c r="O941">
        <v>2985</v>
      </c>
      <c r="P941">
        <v>1.05</v>
      </c>
      <c r="Q941">
        <v>3.14</v>
      </c>
      <c r="R941" t="s">
        <v>1199</v>
      </c>
      <c r="S941" t="s">
        <v>195</v>
      </c>
    </row>
    <row r="942" spans="1:19" x14ac:dyDescent="0.3">
      <c r="A942" t="s">
        <v>1135</v>
      </c>
      <c r="B942" t="s">
        <v>22</v>
      </c>
      <c r="C942">
        <v>2025</v>
      </c>
      <c r="D942">
        <v>2</v>
      </c>
      <c r="E942" s="2">
        <v>45715</v>
      </c>
      <c r="F942" t="s">
        <v>7</v>
      </c>
      <c r="G942" t="s">
        <v>8</v>
      </c>
      <c r="H942" t="s">
        <v>70</v>
      </c>
      <c r="I942" t="s">
        <v>71</v>
      </c>
      <c r="J942" t="s">
        <v>72</v>
      </c>
      <c r="K942" t="s">
        <v>73</v>
      </c>
      <c r="L942">
        <v>701000</v>
      </c>
      <c r="M942" t="s">
        <v>62</v>
      </c>
      <c r="N942" t="s">
        <v>33</v>
      </c>
      <c r="O942">
        <v>1270</v>
      </c>
      <c r="P942">
        <v>1.05</v>
      </c>
      <c r="Q942">
        <v>1.33</v>
      </c>
      <c r="R942" t="s">
        <v>1205</v>
      </c>
      <c r="S942" t="s">
        <v>195</v>
      </c>
    </row>
    <row r="943" spans="1:19" x14ac:dyDescent="0.3">
      <c r="A943" t="s">
        <v>1136</v>
      </c>
      <c r="B943" t="s">
        <v>22</v>
      </c>
      <c r="C943">
        <v>2025</v>
      </c>
      <c r="D943">
        <v>2</v>
      </c>
      <c r="E943" s="2">
        <v>45715</v>
      </c>
      <c r="F943" t="s">
        <v>7</v>
      </c>
      <c r="G943" t="s">
        <v>8</v>
      </c>
      <c r="H943" t="s">
        <v>70</v>
      </c>
      <c r="I943" t="s">
        <v>71</v>
      </c>
      <c r="J943" t="s">
        <v>72</v>
      </c>
      <c r="K943" t="s">
        <v>73</v>
      </c>
      <c r="L943">
        <v>701000</v>
      </c>
      <c r="M943" t="s">
        <v>62</v>
      </c>
      <c r="N943" t="s">
        <v>33</v>
      </c>
      <c r="O943">
        <v>1339</v>
      </c>
      <c r="P943">
        <v>1.05</v>
      </c>
      <c r="Q943">
        <v>1.41</v>
      </c>
      <c r="R943" t="s">
        <v>1203</v>
      </c>
      <c r="S943" t="s">
        <v>195</v>
      </c>
    </row>
    <row r="944" spans="1:19" x14ac:dyDescent="0.3">
      <c r="A944" t="s">
        <v>1137</v>
      </c>
      <c r="B944" t="s">
        <v>22</v>
      </c>
      <c r="C944">
        <v>2025</v>
      </c>
      <c r="D944">
        <v>2</v>
      </c>
      <c r="E944" s="2">
        <v>45715</v>
      </c>
      <c r="F944" t="s">
        <v>7</v>
      </c>
      <c r="G944" t="s">
        <v>8</v>
      </c>
      <c r="H944" t="s">
        <v>70</v>
      </c>
      <c r="I944" t="s">
        <v>71</v>
      </c>
      <c r="J944" t="s">
        <v>72</v>
      </c>
      <c r="K944" t="s">
        <v>73</v>
      </c>
      <c r="L944">
        <v>701000</v>
      </c>
      <c r="M944" t="s">
        <v>62</v>
      </c>
      <c r="N944" t="s">
        <v>33</v>
      </c>
      <c r="O944">
        <v>2163</v>
      </c>
      <c r="P944">
        <v>1.05</v>
      </c>
      <c r="Q944">
        <v>2.27</v>
      </c>
      <c r="R944" t="s">
        <v>1200</v>
      </c>
      <c r="S944" t="s">
        <v>195</v>
      </c>
    </row>
    <row r="945" spans="1:19" x14ac:dyDescent="0.3">
      <c r="A945" t="s">
        <v>1138</v>
      </c>
      <c r="B945" t="s">
        <v>22</v>
      </c>
      <c r="C945">
        <v>2025</v>
      </c>
      <c r="D945">
        <v>2</v>
      </c>
      <c r="E945" s="2">
        <v>45715</v>
      </c>
      <c r="F945" t="s">
        <v>7</v>
      </c>
      <c r="G945" t="s">
        <v>8</v>
      </c>
      <c r="H945" t="s">
        <v>70</v>
      </c>
      <c r="I945" t="s">
        <v>71</v>
      </c>
      <c r="J945" t="s">
        <v>72</v>
      </c>
      <c r="K945" t="s">
        <v>73</v>
      </c>
      <c r="L945">
        <v>701000</v>
      </c>
      <c r="M945" t="s">
        <v>62</v>
      </c>
      <c r="N945" t="s">
        <v>33</v>
      </c>
      <c r="O945">
        <v>3487</v>
      </c>
      <c r="P945">
        <v>1.05</v>
      </c>
      <c r="Q945">
        <v>3.66</v>
      </c>
      <c r="R945" t="s">
        <v>1197</v>
      </c>
      <c r="S945" t="s">
        <v>195</v>
      </c>
    </row>
    <row r="946" spans="1:19" x14ac:dyDescent="0.3">
      <c r="A946" t="s">
        <v>1139</v>
      </c>
      <c r="B946" t="s">
        <v>22</v>
      </c>
      <c r="C946">
        <v>2025</v>
      </c>
      <c r="D946">
        <v>2</v>
      </c>
      <c r="E946" s="2">
        <v>45715</v>
      </c>
      <c r="F946" t="s">
        <v>7</v>
      </c>
      <c r="G946" t="s">
        <v>8</v>
      </c>
      <c r="H946" t="s">
        <v>70</v>
      </c>
      <c r="I946" t="s">
        <v>71</v>
      </c>
      <c r="J946" t="s">
        <v>72</v>
      </c>
      <c r="K946" t="s">
        <v>73</v>
      </c>
      <c r="L946">
        <v>701000</v>
      </c>
      <c r="M946" t="s">
        <v>62</v>
      </c>
      <c r="N946" t="s">
        <v>33</v>
      </c>
      <c r="O946">
        <v>1468</v>
      </c>
      <c r="P946">
        <v>1.05</v>
      </c>
      <c r="Q946">
        <v>1.54</v>
      </c>
      <c r="R946" t="s">
        <v>1204</v>
      </c>
      <c r="S946" t="s">
        <v>195</v>
      </c>
    </row>
    <row r="947" spans="1:19" x14ac:dyDescent="0.3">
      <c r="A947" t="s">
        <v>1140</v>
      </c>
      <c r="B947" t="s">
        <v>22</v>
      </c>
      <c r="C947">
        <v>2025</v>
      </c>
      <c r="D947">
        <v>2</v>
      </c>
      <c r="E947" s="2">
        <v>45694</v>
      </c>
      <c r="F947" t="s">
        <v>7</v>
      </c>
      <c r="G947" t="s">
        <v>8</v>
      </c>
      <c r="H947" t="s">
        <v>70</v>
      </c>
      <c r="I947" t="s">
        <v>71</v>
      </c>
      <c r="J947" t="s">
        <v>72</v>
      </c>
      <c r="K947" t="s">
        <v>73</v>
      </c>
      <c r="L947">
        <v>701000</v>
      </c>
      <c r="M947" t="s">
        <v>62</v>
      </c>
      <c r="N947" t="s">
        <v>33</v>
      </c>
      <c r="O947">
        <v>357</v>
      </c>
      <c r="P947">
        <v>1.04</v>
      </c>
      <c r="Q947">
        <v>0.37</v>
      </c>
      <c r="R947" t="s">
        <v>1200</v>
      </c>
      <c r="S947" t="s">
        <v>195</v>
      </c>
    </row>
    <row r="948" spans="1:19" x14ac:dyDescent="0.3">
      <c r="A948" t="s">
        <v>1141</v>
      </c>
      <c r="B948" t="s">
        <v>22</v>
      </c>
      <c r="C948">
        <v>2025</v>
      </c>
      <c r="D948">
        <v>2</v>
      </c>
      <c r="E948" s="2">
        <v>45694</v>
      </c>
      <c r="F948" t="s">
        <v>7</v>
      </c>
      <c r="G948" t="s">
        <v>8</v>
      </c>
      <c r="H948" t="s">
        <v>70</v>
      </c>
      <c r="I948" t="s">
        <v>71</v>
      </c>
      <c r="J948" t="s">
        <v>72</v>
      </c>
      <c r="K948" t="s">
        <v>73</v>
      </c>
      <c r="L948">
        <v>701000</v>
      </c>
      <c r="M948" t="s">
        <v>62</v>
      </c>
      <c r="N948" t="s">
        <v>33</v>
      </c>
      <c r="O948">
        <v>1144</v>
      </c>
      <c r="P948">
        <v>1.05</v>
      </c>
      <c r="Q948">
        <v>1.2</v>
      </c>
      <c r="R948" t="s">
        <v>1199</v>
      </c>
      <c r="S948" t="s">
        <v>195</v>
      </c>
    </row>
    <row r="949" spans="1:19" x14ac:dyDescent="0.3">
      <c r="A949" t="s">
        <v>1142</v>
      </c>
      <c r="B949" t="s">
        <v>22</v>
      </c>
      <c r="C949">
        <v>2025</v>
      </c>
      <c r="D949">
        <v>2</v>
      </c>
      <c r="E949" s="2">
        <v>45694</v>
      </c>
      <c r="F949" t="s">
        <v>7</v>
      </c>
      <c r="G949" t="s">
        <v>8</v>
      </c>
      <c r="H949" t="s">
        <v>70</v>
      </c>
      <c r="I949" t="s">
        <v>71</v>
      </c>
      <c r="J949" t="s">
        <v>72</v>
      </c>
      <c r="K949" t="s">
        <v>73</v>
      </c>
      <c r="L949">
        <v>701000</v>
      </c>
      <c r="M949" t="s">
        <v>62</v>
      </c>
      <c r="N949" t="s">
        <v>33</v>
      </c>
      <c r="O949">
        <v>734</v>
      </c>
      <c r="P949">
        <v>1.05</v>
      </c>
      <c r="Q949">
        <v>0.77</v>
      </c>
      <c r="R949" t="s">
        <v>1205</v>
      </c>
      <c r="S949" t="s">
        <v>195</v>
      </c>
    </row>
    <row r="950" spans="1:19" x14ac:dyDescent="0.3">
      <c r="A950" t="s">
        <v>1143</v>
      </c>
      <c r="B950" t="s">
        <v>22</v>
      </c>
      <c r="C950">
        <v>2025</v>
      </c>
      <c r="D950">
        <v>2</v>
      </c>
      <c r="E950" s="2">
        <v>45694</v>
      </c>
      <c r="F950" t="s">
        <v>7</v>
      </c>
      <c r="G950" t="s">
        <v>8</v>
      </c>
      <c r="H950" t="s">
        <v>70</v>
      </c>
      <c r="I950" t="s">
        <v>71</v>
      </c>
      <c r="J950" t="s">
        <v>72</v>
      </c>
      <c r="K950" t="s">
        <v>73</v>
      </c>
      <c r="L950">
        <v>701000</v>
      </c>
      <c r="M950" t="s">
        <v>62</v>
      </c>
      <c r="N950" t="s">
        <v>33</v>
      </c>
      <c r="O950">
        <v>2806</v>
      </c>
      <c r="P950">
        <v>1.05</v>
      </c>
      <c r="Q950">
        <v>2.94</v>
      </c>
      <c r="R950" t="s">
        <v>1201</v>
      </c>
      <c r="S950" t="s">
        <v>195</v>
      </c>
    </row>
    <row r="951" spans="1:19" x14ac:dyDescent="0.3">
      <c r="A951" t="s">
        <v>1144</v>
      </c>
      <c r="B951" t="s">
        <v>22</v>
      </c>
      <c r="C951">
        <v>2025</v>
      </c>
      <c r="D951">
        <v>2</v>
      </c>
      <c r="E951" s="2">
        <v>45694</v>
      </c>
      <c r="F951" t="s">
        <v>7</v>
      </c>
      <c r="G951" t="s">
        <v>8</v>
      </c>
      <c r="H951" t="s">
        <v>70</v>
      </c>
      <c r="I951" t="s">
        <v>71</v>
      </c>
      <c r="J951" t="s">
        <v>72</v>
      </c>
      <c r="K951" t="s">
        <v>73</v>
      </c>
      <c r="L951">
        <v>701000</v>
      </c>
      <c r="M951" t="s">
        <v>62</v>
      </c>
      <c r="N951" t="s">
        <v>33</v>
      </c>
      <c r="O951">
        <v>2838</v>
      </c>
      <c r="P951">
        <v>1.05</v>
      </c>
      <c r="Q951">
        <v>2.99</v>
      </c>
      <c r="R951" t="s">
        <v>1203</v>
      </c>
      <c r="S951" t="s">
        <v>195</v>
      </c>
    </row>
    <row r="952" spans="1:19" x14ac:dyDescent="0.3">
      <c r="A952" t="s">
        <v>1145</v>
      </c>
      <c r="B952" t="s">
        <v>22</v>
      </c>
      <c r="C952">
        <v>2025</v>
      </c>
      <c r="D952">
        <v>2</v>
      </c>
      <c r="E952" s="2">
        <v>45716</v>
      </c>
      <c r="F952" t="s">
        <v>7</v>
      </c>
      <c r="G952" t="s">
        <v>8</v>
      </c>
      <c r="H952" t="s">
        <v>74</v>
      </c>
      <c r="I952" t="s">
        <v>71</v>
      </c>
      <c r="J952" t="s">
        <v>72</v>
      </c>
      <c r="K952" t="s">
        <v>73</v>
      </c>
      <c r="L952">
        <v>701000</v>
      </c>
      <c r="M952" t="s">
        <v>62</v>
      </c>
      <c r="N952" t="s">
        <v>33</v>
      </c>
      <c r="O952">
        <v>1107</v>
      </c>
      <c r="P952">
        <v>1.05</v>
      </c>
      <c r="Q952">
        <v>1.1599999999999999</v>
      </c>
      <c r="R952" t="s">
        <v>1199</v>
      </c>
      <c r="S952" t="s">
        <v>195</v>
      </c>
    </row>
    <row r="953" spans="1:19" x14ac:dyDescent="0.3">
      <c r="A953" t="s">
        <v>1146</v>
      </c>
      <c r="B953" t="s">
        <v>22</v>
      </c>
      <c r="C953">
        <v>2025</v>
      </c>
      <c r="D953">
        <v>2</v>
      </c>
      <c r="E953" s="2">
        <v>45716</v>
      </c>
      <c r="F953" t="s">
        <v>7</v>
      </c>
      <c r="G953" t="s">
        <v>8</v>
      </c>
      <c r="H953" t="s">
        <v>74</v>
      </c>
      <c r="I953" t="s">
        <v>71</v>
      </c>
      <c r="J953" t="s">
        <v>72</v>
      </c>
      <c r="K953" t="s">
        <v>73</v>
      </c>
      <c r="L953">
        <v>701000</v>
      </c>
      <c r="M953" t="s">
        <v>62</v>
      </c>
      <c r="N953" t="s">
        <v>33</v>
      </c>
      <c r="O953">
        <v>2340</v>
      </c>
      <c r="P953">
        <v>1.05</v>
      </c>
      <c r="Q953">
        <v>2.46</v>
      </c>
      <c r="R953" t="s">
        <v>1205</v>
      </c>
      <c r="S953" t="s">
        <v>195</v>
      </c>
    </row>
    <row r="954" spans="1:19" x14ac:dyDescent="0.3">
      <c r="A954" t="s">
        <v>1147</v>
      </c>
      <c r="B954" t="s">
        <v>22</v>
      </c>
      <c r="C954">
        <v>2025</v>
      </c>
      <c r="D954">
        <v>2</v>
      </c>
      <c r="E954" s="2">
        <v>45716</v>
      </c>
      <c r="F954" t="s">
        <v>7</v>
      </c>
      <c r="G954" t="s">
        <v>8</v>
      </c>
      <c r="H954" t="s">
        <v>74</v>
      </c>
      <c r="I954" t="s">
        <v>71</v>
      </c>
      <c r="J954" t="s">
        <v>72</v>
      </c>
      <c r="K954" t="s">
        <v>73</v>
      </c>
      <c r="L954">
        <v>701000</v>
      </c>
      <c r="M954" t="s">
        <v>62</v>
      </c>
      <c r="N954" t="s">
        <v>33</v>
      </c>
      <c r="O954">
        <v>1125</v>
      </c>
      <c r="P954">
        <v>1.05</v>
      </c>
      <c r="Q954">
        <v>1.18</v>
      </c>
      <c r="R954" t="s">
        <v>1197</v>
      </c>
      <c r="S954" t="s">
        <v>195</v>
      </c>
    </row>
    <row r="955" spans="1:19" x14ac:dyDescent="0.3">
      <c r="A955" t="s">
        <v>1148</v>
      </c>
      <c r="B955" t="s">
        <v>22</v>
      </c>
      <c r="C955">
        <v>2025</v>
      </c>
      <c r="D955">
        <v>2</v>
      </c>
      <c r="E955" s="2">
        <v>45716</v>
      </c>
      <c r="F955" t="s">
        <v>7</v>
      </c>
      <c r="G955" t="s">
        <v>8</v>
      </c>
      <c r="H955" t="s">
        <v>74</v>
      </c>
      <c r="I955" t="s">
        <v>71</v>
      </c>
      <c r="J955" t="s">
        <v>72</v>
      </c>
      <c r="K955" t="s">
        <v>73</v>
      </c>
      <c r="L955">
        <v>701000</v>
      </c>
      <c r="M955" t="s">
        <v>62</v>
      </c>
      <c r="N955" t="s">
        <v>33</v>
      </c>
      <c r="O955">
        <v>3051</v>
      </c>
      <c r="P955">
        <v>1.05</v>
      </c>
      <c r="Q955">
        <v>3.2</v>
      </c>
      <c r="R955" t="s">
        <v>1204</v>
      </c>
      <c r="S955" t="s">
        <v>195</v>
      </c>
    </row>
    <row r="956" spans="1:19" x14ac:dyDescent="0.3">
      <c r="A956" t="s">
        <v>1149</v>
      </c>
      <c r="B956" t="s">
        <v>22</v>
      </c>
      <c r="C956">
        <v>2025</v>
      </c>
      <c r="D956">
        <v>2</v>
      </c>
      <c r="E956" s="2">
        <v>45716</v>
      </c>
      <c r="F956" t="s">
        <v>7</v>
      </c>
      <c r="G956" t="s">
        <v>8</v>
      </c>
      <c r="H956" t="s">
        <v>74</v>
      </c>
      <c r="I956" t="s">
        <v>71</v>
      </c>
      <c r="J956" t="s">
        <v>72</v>
      </c>
      <c r="K956" t="s">
        <v>73</v>
      </c>
      <c r="L956">
        <v>701000</v>
      </c>
      <c r="M956" t="s">
        <v>62</v>
      </c>
      <c r="N956" t="s">
        <v>33</v>
      </c>
      <c r="O956">
        <v>1535</v>
      </c>
      <c r="P956">
        <v>1.06</v>
      </c>
      <c r="Q956">
        <v>1.62</v>
      </c>
      <c r="R956" t="s">
        <v>1201</v>
      </c>
      <c r="S956" t="s">
        <v>195</v>
      </c>
    </row>
    <row r="957" spans="1:19" x14ac:dyDescent="0.3">
      <c r="A957" t="s">
        <v>1150</v>
      </c>
      <c r="B957" t="s">
        <v>22</v>
      </c>
      <c r="C957">
        <v>2025</v>
      </c>
      <c r="D957">
        <v>2</v>
      </c>
      <c r="E957" s="2">
        <v>45703</v>
      </c>
      <c r="F957" t="s">
        <v>7</v>
      </c>
      <c r="G957" t="s">
        <v>8</v>
      </c>
      <c r="H957" t="s">
        <v>70</v>
      </c>
      <c r="I957" t="s">
        <v>71</v>
      </c>
      <c r="J957" t="s">
        <v>72</v>
      </c>
      <c r="K957" t="s">
        <v>73</v>
      </c>
      <c r="L957">
        <v>701000</v>
      </c>
      <c r="M957" t="s">
        <v>62</v>
      </c>
      <c r="N957" t="s">
        <v>33</v>
      </c>
      <c r="O957">
        <v>1643</v>
      </c>
      <c r="P957">
        <v>1.05</v>
      </c>
      <c r="Q957">
        <v>1.72</v>
      </c>
      <c r="R957" t="s">
        <v>1198</v>
      </c>
      <c r="S957" t="s">
        <v>195</v>
      </c>
    </row>
    <row r="958" spans="1:19" x14ac:dyDescent="0.3">
      <c r="A958" t="s">
        <v>1151</v>
      </c>
      <c r="B958" t="s">
        <v>22</v>
      </c>
      <c r="C958">
        <v>2025</v>
      </c>
      <c r="D958">
        <v>2</v>
      </c>
      <c r="E958" s="2">
        <v>45703</v>
      </c>
      <c r="F958" t="s">
        <v>7</v>
      </c>
      <c r="G958" t="s">
        <v>8</v>
      </c>
      <c r="H958" t="s">
        <v>70</v>
      </c>
      <c r="I958" t="s">
        <v>71</v>
      </c>
      <c r="J958" t="s">
        <v>72</v>
      </c>
      <c r="K958" t="s">
        <v>73</v>
      </c>
      <c r="L958">
        <v>701000</v>
      </c>
      <c r="M958" t="s">
        <v>62</v>
      </c>
      <c r="N958" t="s">
        <v>33</v>
      </c>
      <c r="O958">
        <v>1897</v>
      </c>
      <c r="P958">
        <v>1.05</v>
      </c>
      <c r="Q958">
        <v>1.99</v>
      </c>
      <c r="R958" t="s">
        <v>1204</v>
      </c>
      <c r="S958" t="s">
        <v>195</v>
      </c>
    </row>
    <row r="959" spans="1:19" x14ac:dyDescent="0.3">
      <c r="A959" t="s">
        <v>1152</v>
      </c>
      <c r="B959" t="s">
        <v>22</v>
      </c>
      <c r="C959">
        <v>2025</v>
      </c>
      <c r="D959">
        <v>2</v>
      </c>
      <c r="E959" s="2">
        <v>45703</v>
      </c>
      <c r="F959" t="s">
        <v>7</v>
      </c>
      <c r="G959" t="s">
        <v>8</v>
      </c>
      <c r="H959" t="s">
        <v>70</v>
      </c>
      <c r="I959" t="s">
        <v>71</v>
      </c>
      <c r="J959" t="s">
        <v>72</v>
      </c>
      <c r="K959" t="s">
        <v>73</v>
      </c>
      <c r="L959">
        <v>701000</v>
      </c>
      <c r="M959" t="s">
        <v>62</v>
      </c>
      <c r="N959" t="s">
        <v>33</v>
      </c>
      <c r="O959">
        <v>800</v>
      </c>
      <c r="P959">
        <v>1.05</v>
      </c>
      <c r="Q959">
        <v>0.84</v>
      </c>
      <c r="R959" t="s">
        <v>1199</v>
      </c>
      <c r="S959" t="s">
        <v>195</v>
      </c>
    </row>
    <row r="960" spans="1:19" x14ac:dyDescent="0.3">
      <c r="A960" t="s">
        <v>1153</v>
      </c>
      <c r="B960" t="s">
        <v>22</v>
      </c>
      <c r="C960">
        <v>2025</v>
      </c>
      <c r="D960">
        <v>2</v>
      </c>
      <c r="E960" s="2">
        <v>45703</v>
      </c>
      <c r="F960" t="s">
        <v>7</v>
      </c>
      <c r="G960" t="s">
        <v>8</v>
      </c>
      <c r="H960" t="s">
        <v>70</v>
      </c>
      <c r="I960" t="s">
        <v>71</v>
      </c>
      <c r="J960" t="s">
        <v>72</v>
      </c>
      <c r="K960" t="s">
        <v>73</v>
      </c>
      <c r="L960">
        <v>701000</v>
      </c>
      <c r="M960" t="s">
        <v>62</v>
      </c>
      <c r="N960" t="s">
        <v>33</v>
      </c>
      <c r="O960">
        <v>2527</v>
      </c>
      <c r="P960">
        <v>1.05</v>
      </c>
      <c r="Q960">
        <v>2.65</v>
      </c>
      <c r="R960" t="s">
        <v>1205</v>
      </c>
      <c r="S960" t="s">
        <v>195</v>
      </c>
    </row>
    <row r="961" spans="1:19" x14ac:dyDescent="0.3">
      <c r="A961" t="s">
        <v>1154</v>
      </c>
      <c r="B961" t="s">
        <v>22</v>
      </c>
      <c r="C961">
        <v>2025</v>
      </c>
      <c r="D961">
        <v>2</v>
      </c>
      <c r="E961" s="2">
        <v>45703</v>
      </c>
      <c r="F961" t="s">
        <v>7</v>
      </c>
      <c r="G961" t="s">
        <v>8</v>
      </c>
      <c r="H961" t="s">
        <v>70</v>
      </c>
      <c r="I961" t="s">
        <v>71</v>
      </c>
      <c r="J961" t="s">
        <v>72</v>
      </c>
      <c r="K961" t="s">
        <v>73</v>
      </c>
      <c r="L961">
        <v>701000</v>
      </c>
      <c r="M961" t="s">
        <v>62</v>
      </c>
      <c r="N961" t="s">
        <v>33</v>
      </c>
      <c r="O961">
        <v>1546</v>
      </c>
      <c r="P961">
        <v>1.05</v>
      </c>
      <c r="Q961">
        <v>1.63</v>
      </c>
      <c r="R961" t="s">
        <v>1200</v>
      </c>
      <c r="S961" t="s">
        <v>195</v>
      </c>
    </row>
    <row r="962" spans="1:19" x14ac:dyDescent="0.3">
      <c r="A962" t="s">
        <v>1155</v>
      </c>
      <c r="B962" t="s">
        <v>22</v>
      </c>
      <c r="C962">
        <v>2025</v>
      </c>
      <c r="D962">
        <v>2</v>
      </c>
      <c r="E962" s="2">
        <v>45705</v>
      </c>
      <c r="F962" t="s">
        <v>7</v>
      </c>
      <c r="G962" t="s">
        <v>8</v>
      </c>
      <c r="H962" t="s">
        <v>74</v>
      </c>
      <c r="I962" t="s">
        <v>71</v>
      </c>
      <c r="J962" t="s">
        <v>72</v>
      </c>
      <c r="K962" t="s">
        <v>73</v>
      </c>
      <c r="L962">
        <v>701000</v>
      </c>
      <c r="M962" t="s">
        <v>62</v>
      </c>
      <c r="N962" t="s">
        <v>33</v>
      </c>
      <c r="O962">
        <v>1860</v>
      </c>
      <c r="P962">
        <v>1.05</v>
      </c>
      <c r="Q962">
        <v>1.95</v>
      </c>
      <c r="R962" t="s">
        <v>1204</v>
      </c>
      <c r="S962" t="s">
        <v>195</v>
      </c>
    </row>
    <row r="963" spans="1:19" x14ac:dyDescent="0.3">
      <c r="A963" t="s">
        <v>1156</v>
      </c>
      <c r="B963" t="s">
        <v>22</v>
      </c>
      <c r="C963">
        <v>2025</v>
      </c>
      <c r="D963">
        <v>2</v>
      </c>
      <c r="E963" s="2">
        <v>45705</v>
      </c>
      <c r="F963" t="s">
        <v>7</v>
      </c>
      <c r="G963" t="s">
        <v>8</v>
      </c>
      <c r="H963" t="s">
        <v>74</v>
      </c>
      <c r="I963" t="s">
        <v>71</v>
      </c>
      <c r="J963" t="s">
        <v>72</v>
      </c>
      <c r="K963" t="s">
        <v>73</v>
      </c>
      <c r="L963">
        <v>701000</v>
      </c>
      <c r="M963" t="s">
        <v>62</v>
      </c>
      <c r="N963" t="s">
        <v>33</v>
      </c>
      <c r="O963">
        <v>2785</v>
      </c>
      <c r="P963">
        <v>1.05</v>
      </c>
      <c r="Q963">
        <v>2.93</v>
      </c>
      <c r="R963" t="s">
        <v>1198</v>
      </c>
      <c r="S963" t="s">
        <v>195</v>
      </c>
    </row>
    <row r="964" spans="1:19" x14ac:dyDescent="0.3">
      <c r="A964" t="s">
        <v>1157</v>
      </c>
      <c r="B964" t="s">
        <v>22</v>
      </c>
      <c r="C964">
        <v>2025</v>
      </c>
      <c r="D964">
        <v>2</v>
      </c>
      <c r="E964" s="2">
        <v>45705</v>
      </c>
      <c r="F964" t="s">
        <v>7</v>
      </c>
      <c r="G964" t="s">
        <v>8</v>
      </c>
      <c r="H964" t="s">
        <v>74</v>
      </c>
      <c r="I964" t="s">
        <v>71</v>
      </c>
      <c r="J964" t="s">
        <v>72</v>
      </c>
      <c r="K964" t="s">
        <v>73</v>
      </c>
      <c r="L964">
        <v>701000</v>
      </c>
      <c r="M964" t="s">
        <v>62</v>
      </c>
      <c r="N964" t="s">
        <v>33</v>
      </c>
      <c r="O964">
        <v>1117</v>
      </c>
      <c r="P964">
        <v>1.05</v>
      </c>
      <c r="Q964">
        <v>1.17</v>
      </c>
      <c r="R964" t="s">
        <v>1200</v>
      </c>
      <c r="S964" t="s">
        <v>195</v>
      </c>
    </row>
    <row r="965" spans="1:19" x14ac:dyDescent="0.3">
      <c r="A965" t="s">
        <v>1158</v>
      </c>
      <c r="B965" t="s">
        <v>22</v>
      </c>
      <c r="C965">
        <v>2025</v>
      </c>
      <c r="D965">
        <v>2</v>
      </c>
      <c r="E965" s="2">
        <v>45705</v>
      </c>
      <c r="F965" t="s">
        <v>7</v>
      </c>
      <c r="G965" t="s">
        <v>8</v>
      </c>
      <c r="H965" t="s">
        <v>74</v>
      </c>
      <c r="I965" t="s">
        <v>71</v>
      </c>
      <c r="J965" t="s">
        <v>72</v>
      </c>
      <c r="K965" t="s">
        <v>73</v>
      </c>
      <c r="L965">
        <v>701000</v>
      </c>
      <c r="M965" t="s">
        <v>62</v>
      </c>
      <c r="N965" t="s">
        <v>33</v>
      </c>
      <c r="O965">
        <v>1244</v>
      </c>
      <c r="P965">
        <v>1.05</v>
      </c>
      <c r="Q965">
        <v>1.31</v>
      </c>
      <c r="R965" t="s">
        <v>1199</v>
      </c>
      <c r="S965" t="s">
        <v>195</v>
      </c>
    </row>
    <row r="966" spans="1:19" x14ac:dyDescent="0.3">
      <c r="A966" t="s">
        <v>1159</v>
      </c>
      <c r="B966" t="s">
        <v>22</v>
      </c>
      <c r="C966">
        <v>2025</v>
      </c>
      <c r="D966">
        <v>2</v>
      </c>
      <c r="E966" s="2">
        <v>45705</v>
      </c>
      <c r="F966" t="s">
        <v>7</v>
      </c>
      <c r="G966" t="s">
        <v>8</v>
      </c>
      <c r="H966" t="s">
        <v>74</v>
      </c>
      <c r="I966" t="s">
        <v>71</v>
      </c>
      <c r="J966" t="s">
        <v>72</v>
      </c>
      <c r="K966" t="s">
        <v>73</v>
      </c>
      <c r="L966">
        <v>701000</v>
      </c>
      <c r="M966" t="s">
        <v>62</v>
      </c>
      <c r="N966" t="s">
        <v>33</v>
      </c>
      <c r="O966">
        <v>2507</v>
      </c>
      <c r="P966">
        <v>1.05</v>
      </c>
      <c r="Q966">
        <v>2.63</v>
      </c>
      <c r="R966" t="s">
        <v>1203</v>
      </c>
      <c r="S966" t="s">
        <v>195</v>
      </c>
    </row>
    <row r="967" spans="1:19" x14ac:dyDescent="0.3">
      <c r="A967" t="s">
        <v>1160</v>
      </c>
      <c r="B967" t="s">
        <v>22</v>
      </c>
      <c r="C967">
        <v>2025</v>
      </c>
      <c r="D967">
        <v>2</v>
      </c>
      <c r="E967" s="2">
        <v>45698</v>
      </c>
      <c r="F967" t="s">
        <v>7</v>
      </c>
      <c r="G967" t="s">
        <v>8</v>
      </c>
      <c r="H967" t="s">
        <v>70</v>
      </c>
      <c r="I967" t="s">
        <v>71</v>
      </c>
      <c r="J967" t="s">
        <v>72</v>
      </c>
      <c r="K967" t="s">
        <v>73</v>
      </c>
      <c r="L967">
        <v>701000</v>
      </c>
      <c r="M967" t="s">
        <v>62</v>
      </c>
      <c r="N967" t="s">
        <v>33</v>
      </c>
      <c r="O967">
        <v>2884</v>
      </c>
      <c r="P967">
        <v>1.05</v>
      </c>
      <c r="Q967">
        <v>3.03</v>
      </c>
      <c r="R967" t="s">
        <v>1200</v>
      </c>
      <c r="S967" t="s">
        <v>195</v>
      </c>
    </row>
    <row r="968" spans="1:19" x14ac:dyDescent="0.3">
      <c r="A968" t="s">
        <v>1161</v>
      </c>
      <c r="B968" t="s">
        <v>22</v>
      </c>
      <c r="C968">
        <v>2025</v>
      </c>
      <c r="D968">
        <v>2</v>
      </c>
      <c r="E968" s="2">
        <v>45698</v>
      </c>
      <c r="F968" t="s">
        <v>7</v>
      </c>
      <c r="G968" t="s">
        <v>8</v>
      </c>
      <c r="H968" t="s">
        <v>70</v>
      </c>
      <c r="I968" t="s">
        <v>71</v>
      </c>
      <c r="J968" t="s">
        <v>72</v>
      </c>
      <c r="K968" t="s">
        <v>73</v>
      </c>
      <c r="L968">
        <v>701000</v>
      </c>
      <c r="M968" t="s">
        <v>62</v>
      </c>
      <c r="N968" t="s">
        <v>33</v>
      </c>
      <c r="O968">
        <v>252</v>
      </c>
      <c r="P968">
        <v>1.03</v>
      </c>
      <c r="Q968">
        <v>0.26</v>
      </c>
      <c r="R968" t="s">
        <v>1198</v>
      </c>
      <c r="S968" t="s">
        <v>195</v>
      </c>
    </row>
    <row r="969" spans="1:19" x14ac:dyDescent="0.3">
      <c r="A969" t="s">
        <v>1162</v>
      </c>
      <c r="B969" t="s">
        <v>22</v>
      </c>
      <c r="C969">
        <v>2025</v>
      </c>
      <c r="D969">
        <v>2</v>
      </c>
      <c r="E969" s="2">
        <v>45698</v>
      </c>
      <c r="F969" t="s">
        <v>7</v>
      </c>
      <c r="G969" t="s">
        <v>8</v>
      </c>
      <c r="H969" t="s">
        <v>70</v>
      </c>
      <c r="I969" t="s">
        <v>71</v>
      </c>
      <c r="J969" t="s">
        <v>72</v>
      </c>
      <c r="K969" t="s">
        <v>73</v>
      </c>
      <c r="L969">
        <v>701000</v>
      </c>
      <c r="M969" t="s">
        <v>62</v>
      </c>
      <c r="N969" t="s">
        <v>33</v>
      </c>
      <c r="O969">
        <v>2283</v>
      </c>
      <c r="P969">
        <v>1.05</v>
      </c>
      <c r="Q969">
        <v>2.4</v>
      </c>
      <c r="R969" t="s">
        <v>1204</v>
      </c>
      <c r="S969" t="s">
        <v>195</v>
      </c>
    </row>
    <row r="970" spans="1:19" x14ac:dyDescent="0.3">
      <c r="A970" t="s">
        <v>1163</v>
      </c>
      <c r="B970" t="s">
        <v>22</v>
      </c>
      <c r="C970">
        <v>2025</v>
      </c>
      <c r="D970">
        <v>2</v>
      </c>
      <c r="E970" s="2">
        <v>45698</v>
      </c>
      <c r="F970" t="s">
        <v>7</v>
      </c>
      <c r="G970" t="s">
        <v>8</v>
      </c>
      <c r="H970" t="s">
        <v>70</v>
      </c>
      <c r="I970" t="s">
        <v>71</v>
      </c>
      <c r="J970" t="s">
        <v>72</v>
      </c>
      <c r="K970" t="s">
        <v>73</v>
      </c>
      <c r="L970">
        <v>701000</v>
      </c>
      <c r="M970" t="s">
        <v>62</v>
      </c>
      <c r="N970" t="s">
        <v>33</v>
      </c>
      <c r="O970">
        <v>3149</v>
      </c>
      <c r="P970">
        <v>1.05</v>
      </c>
      <c r="Q970">
        <v>3.31</v>
      </c>
      <c r="R970" t="s">
        <v>1197</v>
      </c>
      <c r="S970" t="s">
        <v>195</v>
      </c>
    </row>
    <row r="971" spans="1:19" x14ac:dyDescent="0.3">
      <c r="A971" t="s">
        <v>1164</v>
      </c>
      <c r="B971" t="s">
        <v>22</v>
      </c>
      <c r="C971">
        <v>2025</v>
      </c>
      <c r="D971">
        <v>2</v>
      </c>
      <c r="E971" s="2">
        <v>45698</v>
      </c>
      <c r="F971" t="s">
        <v>7</v>
      </c>
      <c r="G971" t="s">
        <v>8</v>
      </c>
      <c r="H971" t="s">
        <v>70</v>
      </c>
      <c r="I971" t="s">
        <v>71</v>
      </c>
      <c r="J971" t="s">
        <v>72</v>
      </c>
      <c r="K971" t="s">
        <v>73</v>
      </c>
      <c r="L971">
        <v>701000</v>
      </c>
      <c r="M971" t="s">
        <v>62</v>
      </c>
      <c r="N971" t="s">
        <v>33</v>
      </c>
      <c r="O971">
        <v>1226</v>
      </c>
      <c r="P971">
        <v>1.04</v>
      </c>
      <c r="Q971">
        <v>1.28</v>
      </c>
      <c r="R971" t="s">
        <v>1205</v>
      </c>
      <c r="S971" t="s">
        <v>195</v>
      </c>
    </row>
    <row r="972" spans="1:19" x14ac:dyDescent="0.3">
      <c r="A972" t="s">
        <v>1165</v>
      </c>
      <c r="B972" t="s">
        <v>22</v>
      </c>
      <c r="C972">
        <v>2025</v>
      </c>
      <c r="D972">
        <v>2</v>
      </c>
      <c r="E972" s="2">
        <v>45716</v>
      </c>
      <c r="F972" t="s">
        <v>7</v>
      </c>
      <c r="G972" t="s">
        <v>8</v>
      </c>
      <c r="H972" t="s">
        <v>74</v>
      </c>
      <c r="I972" t="s">
        <v>71</v>
      </c>
      <c r="J972" t="s">
        <v>72</v>
      </c>
      <c r="K972" t="s">
        <v>73</v>
      </c>
      <c r="L972">
        <v>701000</v>
      </c>
      <c r="M972" t="s">
        <v>62</v>
      </c>
      <c r="N972" t="s">
        <v>33</v>
      </c>
      <c r="O972">
        <v>2269</v>
      </c>
      <c r="P972">
        <v>1.05</v>
      </c>
      <c r="Q972">
        <v>2.38</v>
      </c>
      <c r="R972" t="s">
        <v>1202</v>
      </c>
      <c r="S972" t="s">
        <v>195</v>
      </c>
    </row>
    <row r="973" spans="1:19" x14ac:dyDescent="0.3">
      <c r="A973" t="s">
        <v>1166</v>
      </c>
      <c r="B973" t="s">
        <v>22</v>
      </c>
      <c r="C973">
        <v>2025</v>
      </c>
      <c r="D973">
        <v>2</v>
      </c>
      <c r="E973" s="2">
        <v>45716</v>
      </c>
      <c r="F973" t="s">
        <v>7</v>
      </c>
      <c r="G973" t="s">
        <v>8</v>
      </c>
      <c r="H973" t="s">
        <v>74</v>
      </c>
      <c r="I973" t="s">
        <v>71</v>
      </c>
      <c r="J973" t="s">
        <v>72</v>
      </c>
      <c r="K973" t="s">
        <v>73</v>
      </c>
      <c r="L973">
        <v>701000</v>
      </c>
      <c r="M973" t="s">
        <v>62</v>
      </c>
      <c r="N973" t="s">
        <v>33</v>
      </c>
      <c r="O973">
        <v>1857</v>
      </c>
      <c r="P973">
        <v>1.05</v>
      </c>
      <c r="Q973">
        <v>1.95</v>
      </c>
      <c r="R973" t="s">
        <v>1197</v>
      </c>
      <c r="S973" t="s">
        <v>195</v>
      </c>
    </row>
    <row r="974" spans="1:19" x14ac:dyDescent="0.3">
      <c r="A974" t="s">
        <v>1167</v>
      </c>
      <c r="B974" t="s">
        <v>22</v>
      </c>
      <c r="C974">
        <v>2025</v>
      </c>
      <c r="D974">
        <v>2</v>
      </c>
      <c r="E974" s="2">
        <v>45716</v>
      </c>
      <c r="F974" t="s">
        <v>7</v>
      </c>
      <c r="G974" t="s">
        <v>8</v>
      </c>
      <c r="H974" t="s">
        <v>74</v>
      </c>
      <c r="I974" t="s">
        <v>71</v>
      </c>
      <c r="J974" t="s">
        <v>72</v>
      </c>
      <c r="K974" t="s">
        <v>73</v>
      </c>
      <c r="L974">
        <v>701000</v>
      </c>
      <c r="M974" t="s">
        <v>62</v>
      </c>
      <c r="N974" t="s">
        <v>33</v>
      </c>
      <c r="O974">
        <v>1646</v>
      </c>
      <c r="P974">
        <v>1.05</v>
      </c>
      <c r="Q974">
        <v>1.73</v>
      </c>
      <c r="R974" t="s">
        <v>1199</v>
      </c>
      <c r="S974" t="s">
        <v>195</v>
      </c>
    </row>
    <row r="975" spans="1:19" x14ac:dyDescent="0.3">
      <c r="A975" t="s">
        <v>1168</v>
      </c>
      <c r="B975" t="s">
        <v>22</v>
      </c>
      <c r="C975">
        <v>2025</v>
      </c>
      <c r="D975">
        <v>2</v>
      </c>
      <c r="E975" s="2">
        <v>45716</v>
      </c>
      <c r="F975" t="s">
        <v>7</v>
      </c>
      <c r="G975" t="s">
        <v>8</v>
      </c>
      <c r="H975" t="s">
        <v>74</v>
      </c>
      <c r="I975" t="s">
        <v>71</v>
      </c>
      <c r="J975" t="s">
        <v>72</v>
      </c>
      <c r="K975" t="s">
        <v>73</v>
      </c>
      <c r="L975">
        <v>701000</v>
      </c>
      <c r="M975" t="s">
        <v>62</v>
      </c>
      <c r="N975" t="s">
        <v>33</v>
      </c>
      <c r="O975">
        <v>3922</v>
      </c>
      <c r="P975">
        <v>1.05</v>
      </c>
      <c r="Q975">
        <v>4.12</v>
      </c>
      <c r="R975" t="s">
        <v>1201</v>
      </c>
      <c r="S975" t="s">
        <v>195</v>
      </c>
    </row>
    <row r="976" spans="1:19" x14ac:dyDescent="0.3">
      <c r="A976" t="s">
        <v>1169</v>
      </c>
      <c r="B976" t="s">
        <v>22</v>
      </c>
      <c r="C976">
        <v>2025</v>
      </c>
      <c r="D976">
        <v>2</v>
      </c>
      <c r="E976" s="2">
        <v>45716</v>
      </c>
      <c r="F976" t="s">
        <v>7</v>
      </c>
      <c r="G976" t="s">
        <v>8</v>
      </c>
      <c r="H976" t="s">
        <v>74</v>
      </c>
      <c r="I976" t="s">
        <v>71</v>
      </c>
      <c r="J976" t="s">
        <v>72</v>
      </c>
      <c r="K976" t="s">
        <v>73</v>
      </c>
      <c r="L976">
        <v>701000</v>
      </c>
      <c r="M976" t="s">
        <v>62</v>
      </c>
      <c r="N976" t="s">
        <v>33</v>
      </c>
      <c r="O976">
        <v>765</v>
      </c>
      <c r="P976">
        <v>1.05</v>
      </c>
      <c r="Q976">
        <v>0.8</v>
      </c>
      <c r="R976" t="s">
        <v>1205</v>
      </c>
      <c r="S976" t="s">
        <v>195</v>
      </c>
    </row>
    <row r="977" spans="1:19" x14ac:dyDescent="0.3">
      <c r="A977" t="s">
        <v>1170</v>
      </c>
      <c r="B977" t="s">
        <v>22</v>
      </c>
      <c r="C977">
        <v>2025</v>
      </c>
      <c r="D977">
        <v>2</v>
      </c>
      <c r="E977" s="2">
        <v>45714</v>
      </c>
      <c r="F977" t="s">
        <v>7</v>
      </c>
      <c r="G977" t="s">
        <v>8</v>
      </c>
      <c r="H977" t="s">
        <v>74</v>
      </c>
      <c r="I977" t="s">
        <v>71</v>
      </c>
      <c r="J977" t="s">
        <v>72</v>
      </c>
      <c r="K977" t="s">
        <v>73</v>
      </c>
      <c r="L977">
        <v>701000</v>
      </c>
      <c r="M977" t="s">
        <v>62</v>
      </c>
      <c r="N977" t="s">
        <v>33</v>
      </c>
      <c r="O977">
        <v>837</v>
      </c>
      <c r="P977">
        <v>1.05</v>
      </c>
      <c r="Q977">
        <v>0.88</v>
      </c>
      <c r="R977" t="s">
        <v>1204</v>
      </c>
      <c r="S977" t="s">
        <v>195</v>
      </c>
    </row>
    <row r="978" spans="1:19" x14ac:dyDescent="0.3">
      <c r="A978" t="s">
        <v>1171</v>
      </c>
      <c r="B978" t="s">
        <v>22</v>
      </c>
      <c r="C978">
        <v>2025</v>
      </c>
      <c r="D978">
        <v>2</v>
      </c>
      <c r="E978" s="2">
        <v>45714</v>
      </c>
      <c r="F978" t="s">
        <v>7</v>
      </c>
      <c r="G978" t="s">
        <v>8</v>
      </c>
      <c r="H978" t="s">
        <v>74</v>
      </c>
      <c r="I978" t="s">
        <v>71</v>
      </c>
      <c r="J978" t="s">
        <v>72</v>
      </c>
      <c r="K978" t="s">
        <v>73</v>
      </c>
      <c r="L978">
        <v>701000</v>
      </c>
      <c r="M978" t="s">
        <v>62</v>
      </c>
      <c r="N978" t="s">
        <v>33</v>
      </c>
      <c r="O978">
        <v>1887</v>
      </c>
      <c r="P978">
        <v>1.05</v>
      </c>
      <c r="Q978">
        <v>1.98</v>
      </c>
      <c r="R978" t="s">
        <v>1197</v>
      </c>
      <c r="S978" t="s">
        <v>195</v>
      </c>
    </row>
    <row r="979" spans="1:19" x14ac:dyDescent="0.3">
      <c r="A979" t="s">
        <v>1172</v>
      </c>
      <c r="B979" t="s">
        <v>22</v>
      </c>
      <c r="C979">
        <v>2025</v>
      </c>
      <c r="D979">
        <v>2</v>
      </c>
      <c r="E979" s="2">
        <v>45714</v>
      </c>
      <c r="F979" t="s">
        <v>7</v>
      </c>
      <c r="G979" t="s">
        <v>8</v>
      </c>
      <c r="H979" t="s">
        <v>74</v>
      </c>
      <c r="I979" t="s">
        <v>71</v>
      </c>
      <c r="J979" t="s">
        <v>72</v>
      </c>
      <c r="K979" t="s">
        <v>73</v>
      </c>
      <c r="L979">
        <v>701000</v>
      </c>
      <c r="M979" t="s">
        <v>62</v>
      </c>
      <c r="N979" t="s">
        <v>33</v>
      </c>
      <c r="O979">
        <v>1406</v>
      </c>
      <c r="P979">
        <v>1.05</v>
      </c>
      <c r="Q979">
        <v>1.48</v>
      </c>
      <c r="R979" t="s">
        <v>1199</v>
      </c>
      <c r="S979" t="s">
        <v>195</v>
      </c>
    </row>
    <row r="980" spans="1:19" x14ac:dyDescent="0.3">
      <c r="A980" t="s">
        <v>1173</v>
      </c>
      <c r="B980" t="s">
        <v>22</v>
      </c>
      <c r="C980">
        <v>2025</v>
      </c>
      <c r="D980">
        <v>2</v>
      </c>
      <c r="E980" s="2">
        <v>45714</v>
      </c>
      <c r="F980" t="s">
        <v>7</v>
      </c>
      <c r="G980" t="s">
        <v>8</v>
      </c>
      <c r="H980" t="s">
        <v>74</v>
      </c>
      <c r="I980" t="s">
        <v>71</v>
      </c>
      <c r="J980" t="s">
        <v>72</v>
      </c>
      <c r="K980" t="s">
        <v>73</v>
      </c>
      <c r="L980">
        <v>701000</v>
      </c>
      <c r="M980" t="s">
        <v>62</v>
      </c>
      <c r="N980" t="s">
        <v>33</v>
      </c>
      <c r="O980">
        <v>2985</v>
      </c>
      <c r="P980">
        <v>1.05</v>
      </c>
      <c r="Q980">
        <v>3.13</v>
      </c>
      <c r="R980" t="s">
        <v>1205</v>
      </c>
      <c r="S980" t="s">
        <v>195</v>
      </c>
    </row>
    <row r="981" spans="1:19" x14ac:dyDescent="0.3">
      <c r="A981" t="s">
        <v>1174</v>
      </c>
      <c r="B981" t="s">
        <v>22</v>
      </c>
      <c r="C981">
        <v>2025</v>
      </c>
      <c r="D981">
        <v>2</v>
      </c>
      <c r="E981" s="2">
        <v>45714</v>
      </c>
      <c r="F981" t="s">
        <v>7</v>
      </c>
      <c r="G981" t="s">
        <v>8</v>
      </c>
      <c r="H981" t="s">
        <v>74</v>
      </c>
      <c r="I981" t="s">
        <v>71</v>
      </c>
      <c r="J981" t="s">
        <v>72</v>
      </c>
      <c r="K981" t="s">
        <v>73</v>
      </c>
      <c r="L981">
        <v>701000</v>
      </c>
      <c r="M981" t="s">
        <v>62</v>
      </c>
      <c r="N981" t="s">
        <v>33</v>
      </c>
      <c r="O981">
        <v>1049</v>
      </c>
      <c r="P981">
        <v>1.05</v>
      </c>
      <c r="Q981">
        <v>1.1000000000000001</v>
      </c>
      <c r="R981" t="s">
        <v>1201</v>
      </c>
      <c r="S981" t="s">
        <v>195</v>
      </c>
    </row>
    <row r="982" spans="1:19" x14ac:dyDescent="0.3">
      <c r="A982" t="s">
        <v>1175</v>
      </c>
      <c r="B982" t="s">
        <v>22</v>
      </c>
      <c r="C982">
        <v>2025</v>
      </c>
      <c r="D982">
        <v>2</v>
      </c>
      <c r="E982" s="2">
        <v>45692</v>
      </c>
      <c r="F982" t="s">
        <v>7</v>
      </c>
      <c r="G982" t="s">
        <v>8</v>
      </c>
      <c r="H982" t="s">
        <v>74</v>
      </c>
      <c r="I982" t="s">
        <v>71</v>
      </c>
      <c r="J982" t="s">
        <v>72</v>
      </c>
      <c r="K982" t="s">
        <v>73</v>
      </c>
      <c r="L982">
        <v>701000</v>
      </c>
      <c r="M982" t="s">
        <v>62</v>
      </c>
      <c r="N982" t="s">
        <v>33</v>
      </c>
      <c r="O982">
        <v>3101</v>
      </c>
      <c r="P982">
        <v>1.05</v>
      </c>
      <c r="Q982">
        <v>3.26</v>
      </c>
      <c r="R982" t="s">
        <v>1198</v>
      </c>
      <c r="S982" t="s">
        <v>195</v>
      </c>
    </row>
    <row r="983" spans="1:19" x14ac:dyDescent="0.3">
      <c r="A983" t="s">
        <v>1176</v>
      </c>
      <c r="B983" t="s">
        <v>22</v>
      </c>
      <c r="C983">
        <v>2025</v>
      </c>
      <c r="D983">
        <v>2</v>
      </c>
      <c r="E983" s="2">
        <v>45692</v>
      </c>
      <c r="F983" t="s">
        <v>7</v>
      </c>
      <c r="G983" t="s">
        <v>8</v>
      </c>
      <c r="H983" t="s">
        <v>74</v>
      </c>
      <c r="I983" t="s">
        <v>71</v>
      </c>
      <c r="J983" t="s">
        <v>72</v>
      </c>
      <c r="K983" t="s">
        <v>73</v>
      </c>
      <c r="L983">
        <v>701000</v>
      </c>
      <c r="M983" t="s">
        <v>62</v>
      </c>
      <c r="N983" t="s">
        <v>33</v>
      </c>
      <c r="O983">
        <v>1487</v>
      </c>
      <c r="P983">
        <v>1.05</v>
      </c>
      <c r="Q983">
        <v>1.56</v>
      </c>
      <c r="R983" t="s">
        <v>1199</v>
      </c>
      <c r="S983" t="s">
        <v>195</v>
      </c>
    </row>
    <row r="984" spans="1:19" x14ac:dyDescent="0.3">
      <c r="A984" t="s">
        <v>1177</v>
      </c>
      <c r="B984" t="s">
        <v>22</v>
      </c>
      <c r="C984">
        <v>2025</v>
      </c>
      <c r="D984">
        <v>2</v>
      </c>
      <c r="E984" s="2">
        <v>45692</v>
      </c>
      <c r="F984" t="s">
        <v>7</v>
      </c>
      <c r="G984" t="s">
        <v>8</v>
      </c>
      <c r="H984" t="s">
        <v>74</v>
      </c>
      <c r="I984" t="s">
        <v>71</v>
      </c>
      <c r="J984" t="s">
        <v>72</v>
      </c>
      <c r="K984" t="s">
        <v>73</v>
      </c>
      <c r="L984">
        <v>701000</v>
      </c>
      <c r="M984" t="s">
        <v>62</v>
      </c>
      <c r="N984" t="s">
        <v>33</v>
      </c>
      <c r="O984">
        <v>1314</v>
      </c>
      <c r="P984">
        <v>1.05</v>
      </c>
      <c r="Q984">
        <v>1.38</v>
      </c>
      <c r="R984" t="s">
        <v>1203</v>
      </c>
      <c r="S984" t="s">
        <v>195</v>
      </c>
    </row>
    <row r="985" spans="1:19" x14ac:dyDescent="0.3">
      <c r="A985" t="s">
        <v>1178</v>
      </c>
      <c r="B985" t="s">
        <v>22</v>
      </c>
      <c r="C985">
        <v>2025</v>
      </c>
      <c r="D985">
        <v>2</v>
      </c>
      <c r="E985" s="2">
        <v>45692</v>
      </c>
      <c r="F985" t="s">
        <v>7</v>
      </c>
      <c r="G985" t="s">
        <v>8</v>
      </c>
      <c r="H985" t="s">
        <v>74</v>
      </c>
      <c r="I985" t="s">
        <v>71</v>
      </c>
      <c r="J985" t="s">
        <v>72</v>
      </c>
      <c r="K985" t="s">
        <v>73</v>
      </c>
      <c r="L985">
        <v>701000</v>
      </c>
      <c r="M985" t="s">
        <v>62</v>
      </c>
      <c r="N985" t="s">
        <v>33</v>
      </c>
      <c r="O985">
        <v>2361</v>
      </c>
      <c r="P985">
        <v>1.05</v>
      </c>
      <c r="Q985">
        <v>2.48</v>
      </c>
      <c r="R985" t="s">
        <v>1200</v>
      </c>
      <c r="S985" t="s">
        <v>195</v>
      </c>
    </row>
    <row r="986" spans="1:19" x14ac:dyDescent="0.3">
      <c r="A986" t="s">
        <v>1179</v>
      </c>
      <c r="B986" t="s">
        <v>22</v>
      </c>
      <c r="C986">
        <v>2025</v>
      </c>
      <c r="D986">
        <v>2</v>
      </c>
      <c r="E986" s="2">
        <v>45692</v>
      </c>
      <c r="F986" t="s">
        <v>7</v>
      </c>
      <c r="G986" t="s">
        <v>8</v>
      </c>
      <c r="H986" t="s">
        <v>74</v>
      </c>
      <c r="I986" t="s">
        <v>71</v>
      </c>
      <c r="J986" t="s">
        <v>72</v>
      </c>
      <c r="K986" t="s">
        <v>73</v>
      </c>
      <c r="L986">
        <v>701000</v>
      </c>
      <c r="M986" t="s">
        <v>62</v>
      </c>
      <c r="N986" t="s">
        <v>33</v>
      </c>
      <c r="O986">
        <v>2661</v>
      </c>
      <c r="P986">
        <v>1.05</v>
      </c>
      <c r="Q986">
        <v>2.79</v>
      </c>
      <c r="R986" t="s">
        <v>1202</v>
      </c>
      <c r="S986" t="s">
        <v>195</v>
      </c>
    </row>
    <row r="987" spans="1:19" x14ac:dyDescent="0.3">
      <c r="A987" t="s">
        <v>1180</v>
      </c>
      <c r="B987" t="s">
        <v>22</v>
      </c>
      <c r="C987">
        <v>2025</v>
      </c>
      <c r="D987">
        <v>2</v>
      </c>
      <c r="E987" s="2">
        <v>45701</v>
      </c>
      <c r="F987" t="s">
        <v>7</v>
      </c>
      <c r="G987" t="s">
        <v>8</v>
      </c>
      <c r="H987" t="s">
        <v>70</v>
      </c>
      <c r="I987" t="s">
        <v>71</v>
      </c>
      <c r="J987" t="s">
        <v>72</v>
      </c>
      <c r="K987" t="s">
        <v>73</v>
      </c>
      <c r="L987">
        <v>701000</v>
      </c>
      <c r="M987" t="s">
        <v>62</v>
      </c>
      <c r="N987" t="s">
        <v>33</v>
      </c>
      <c r="O987">
        <v>1716</v>
      </c>
      <c r="P987">
        <v>1.05</v>
      </c>
      <c r="Q987">
        <v>1.8</v>
      </c>
      <c r="R987" t="s">
        <v>1203</v>
      </c>
      <c r="S987" t="s">
        <v>195</v>
      </c>
    </row>
    <row r="988" spans="1:19" x14ac:dyDescent="0.3">
      <c r="A988" t="s">
        <v>1181</v>
      </c>
      <c r="B988" t="s">
        <v>22</v>
      </c>
      <c r="C988">
        <v>2025</v>
      </c>
      <c r="D988">
        <v>2</v>
      </c>
      <c r="E988" s="2">
        <v>45701</v>
      </c>
      <c r="F988" t="s">
        <v>7</v>
      </c>
      <c r="G988" t="s">
        <v>8</v>
      </c>
      <c r="H988" t="s">
        <v>70</v>
      </c>
      <c r="I988" t="s">
        <v>71</v>
      </c>
      <c r="J988" t="s">
        <v>72</v>
      </c>
      <c r="K988" t="s">
        <v>73</v>
      </c>
      <c r="L988">
        <v>701000</v>
      </c>
      <c r="M988" t="s">
        <v>62</v>
      </c>
      <c r="N988" t="s">
        <v>33</v>
      </c>
      <c r="O988">
        <v>2236</v>
      </c>
      <c r="P988">
        <v>1.05</v>
      </c>
      <c r="Q988">
        <v>2.35</v>
      </c>
      <c r="R988" t="s">
        <v>1198</v>
      </c>
      <c r="S988" t="s">
        <v>195</v>
      </c>
    </row>
    <row r="989" spans="1:19" x14ac:dyDescent="0.3">
      <c r="A989" t="s">
        <v>1182</v>
      </c>
      <c r="B989" t="s">
        <v>22</v>
      </c>
      <c r="C989">
        <v>2025</v>
      </c>
      <c r="D989">
        <v>2</v>
      </c>
      <c r="E989" s="2">
        <v>45701</v>
      </c>
      <c r="F989" t="s">
        <v>7</v>
      </c>
      <c r="G989" t="s">
        <v>8</v>
      </c>
      <c r="H989" t="s">
        <v>70</v>
      </c>
      <c r="I989" t="s">
        <v>71</v>
      </c>
      <c r="J989" t="s">
        <v>72</v>
      </c>
      <c r="K989" t="s">
        <v>73</v>
      </c>
      <c r="L989">
        <v>701000</v>
      </c>
      <c r="M989" t="s">
        <v>62</v>
      </c>
      <c r="N989" t="s">
        <v>33</v>
      </c>
      <c r="O989">
        <v>1953</v>
      </c>
      <c r="P989">
        <v>1.05</v>
      </c>
      <c r="Q989">
        <v>2.0499999999999998</v>
      </c>
      <c r="R989" t="s">
        <v>1201</v>
      </c>
      <c r="S989" t="s">
        <v>195</v>
      </c>
    </row>
    <row r="990" spans="1:19" x14ac:dyDescent="0.3">
      <c r="A990" t="s">
        <v>1183</v>
      </c>
      <c r="B990" t="s">
        <v>22</v>
      </c>
      <c r="C990">
        <v>2025</v>
      </c>
      <c r="D990">
        <v>2</v>
      </c>
      <c r="E990" s="2">
        <v>45701</v>
      </c>
      <c r="F990" t="s">
        <v>7</v>
      </c>
      <c r="G990" t="s">
        <v>8</v>
      </c>
      <c r="H990" t="s">
        <v>70</v>
      </c>
      <c r="I990" t="s">
        <v>71</v>
      </c>
      <c r="J990" t="s">
        <v>72</v>
      </c>
      <c r="K990" t="s">
        <v>73</v>
      </c>
      <c r="L990">
        <v>701000</v>
      </c>
      <c r="M990" t="s">
        <v>62</v>
      </c>
      <c r="N990" t="s">
        <v>33</v>
      </c>
      <c r="O990">
        <v>2099</v>
      </c>
      <c r="P990">
        <v>1.05</v>
      </c>
      <c r="Q990">
        <v>2.2000000000000002</v>
      </c>
      <c r="R990" t="s">
        <v>1205</v>
      </c>
      <c r="S990" t="s">
        <v>195</v>
      </c>
    </row>
    <row r="991" spans="1:19" x14ac:dyDescent="0.3">
      <c r="A991" t="s">
        <v>1184</v>
      </c>
      <c r="B991" t="s">
        <v>22</v>
      </c>
      <c r="C991">
        <v>2025</v>
      </c>
      <c r="D991">
        <v>2</v>
      </c>
      <c r="E991" s="2">
        <v>45701</v>
      </c>
      <c r="F991" t="s">
        <v>7</v>
      </c>
      <c r="G991" t="s">
        <v>8</v>
      </c>
      <c r="H991" t="s">
        <v>70</v>
      </c>
      <c r="I991" t="s">
        <v>71</v>
      </c>
      <c r="J991" t="s">
        <v>72</v>
      </c>
      <c r="K991" t="s">
        <v>73</v>
      </c>
      <c r="L991">
        <v>701000</v>
      </c>
      <c r="M991" t="s">
        <v>62</v>
      </c>
      <c r="N991" t="s">
        <v>33</v>
      </c>
      <c r="O991">
        <v>465</v>
      </c>
      <c r="P991">
        <v>1.05</v>
      </c>
      <c r="Q991">
        <v>0.49</v>
      </c>
      <c r="R991" t="s">
        <v>1204</v>
      </c>
      <c r="S991" t="s">
        <v>195</v>
      </c>
    </row>
    <row r="992" spans="1:19" x14ac:dyDescent="0.3">
      <c r="A992" t="s">
        <v>1185</v>
      </c>
      <c r="B992" t="s">
        <v>22</v>
      </c>
      <c r="C992">
        <v>2025</v>
      </c>
      <c r="D992">
        <v>2</v>
      </c>
      <c r="E992" s="2">
        <v>45709</v>
      </c>
      <c r="F992" t="s">
        <v>7</v>
      </c>
      <c r="G992" t="s">
        <v>8</v>
      </c>
      <c r="H992" t="s">
        <v>74</v>
      </c>
      <c r="I992" t="s">
        <v>71</v>
      </c>
      <c r="J992" t="s">
        <v>72</v>
      </c>
      <c r="K992" t="s">
        <v>73</v>
      </c>
      <c r="L992">
        <v>701000</v>
      </c>
      <c r="M992" t="s">
        <v>62</v>
      </c>
      <c r="N992" t="s">
        <v>33</v>
      </c>
      <c r="O992">
        <v>1082</v>
      </c>
      <c r="P992">
        <v>1.05</v>
      </c>
      <c r="Q992">
        <v>1.1399999999999999</v>
      </c>
      <c r="R992" t="s">
        <v>1199</v>
      </c>
      <c r="S992" t="s">
        <v>195</v>
      </c>
    </row>
    <row r="993" spans="1:19" x14ac:dyDescent="0.3">
      <c r="A993" t="s">
        <v>1186</v>
      </c>
      <c r="B993" t="s">
        <v>22</v>
      </c>
      <c r="C993">
        <v>2025</v>
      </c>
      <c r="D993">
        <v>2</v>
      </c>
      <c r="E993" s="2">
        <v>45709</v>
      </c>
      <c r="F993" t="s">
        <v>7</v>
      </c>
      <c r="G993" t="s">
        <v>8</v>
      </c>
      <c r="H993" t="s">
        <v>74</v>
      </c>
      <c r="I993" t="s">
        <v>71</v>
      </c>
      <c r="J993" t="s">
        <v>72</v>
      </c>
      <c r="K993" t="s">
        <v>73</v>
      </c>
      <c r="L993">
        <v>701000</v>
      </c>
      <c r="M993" t="s">
        <v>62</v>
      </c>
      <c r="N993" t="s">
        <v>33</v>
      </c>
      <c r="O993">
        <v>2218</v>
      </c>
      <c r="P993">
        <v>1.05</v>
      </c>
      <c r="Q993">
        <v>2.33</v>
      </c>
      <c r="R993" t="s">
        <v>1202</v>
      </c>
      <c r="S993" t="s">
        <v>195</v>
      </c>
    </row>
    <row r="994" spans="1:19" x14ac:dyDescent="0.3">
      <c r="A994" t="s">
        <v>1187</v>
      </c>
      <c r="B994" t="s">
        <v>22</v>
      </c>
      <c r="C994">
        <v>2025</v>
      </c>
      <c r="D994">
        <v>2</v>
      </c>
      <c r="E994" s="2">
        <v>45709</v>
      </c>
      <c r="F994" t="s">
        <v>7</v>
      </c>
      <c r="G994" t="s">
        <v>8</v>
      </c>
      <c r="H994" t="s">
        <v>74</v>
      </c>
      <c r="I994" t="s">
        <v>71</v>
      </c>
      <c r="J994" t="s">
        <v>72</v>
      </c>
      <c r="K994" t="s">
        <v>73</v>
      </c>
      <c r="L994">
        <v>701000</v>
      </c>
      <c r="M994" t="s">
        <v>62</v>
      </c>
      <c r="N994" t="s">
        <v>33</v>
      </c>
      <c r="O994">
        <v>2705</v>
      </c>
      <c r="P994">
        <v>1.05</v>
      </c>
      <c r="Q994">
        <v>2.84</v>
      </c>
      <c r="R994" t="s">
        <v>1203</v>
      </c>
      <c r="S994" t="s">
        <v>195</v>
      </c>
    </row>
    <row r="995" spans="1:19" x14ac:dyDescent="0.3">
      <c r="A995" t="s">
        <v>1188</v>
      </c>
      <c r="B995" t="s">
        <v>22</v>
      </c>
      <c r="C995">
        <v>2025</v>
      </c>
      <c r="D995">
        <v>2</v>
      </c>
      <c r="E995" s="2">
        <v>45709</v>
      </c>
      <c r="F995" t="s">
        <v>7</v>
      </c>
      <c r="G995" t="s">
        <v>8</v>
      </c>
      <c r="H995" t="s">
        <v>74</v>
      </c>
      <c r="I995" t="s">
        <v>71</v>
      </c>
      <c r="J995" t="s">
        <v>72</v>
      </c>
      <c r="K995" t="s">
        <v>73</v>
      </c>
      <c r="L995">
        <v>701000</v>
      </c>
      <c r="M995" t="s">
        <v>62</v>
      </c>
      <c r="N995" t="s">
        <v>33</v>
      </c>
      <c r="O995">
        <v>2290</v>
      </c>
      <c r="P995">
        <v>1.05</v>
      </c>
      <c r="Q995">
        <v>2.4</v>
      </c>
      <c r="R995" t="s">
        <v>1201</v>
      </c>
      <c r="S995" t="s">
        <v>195</v>
      </c>
    </row>
    <row r="996" spans="1:19" x14ac:dyDescent="0.3">
      <c r="A996" t="s">
        <v>1189</v>
      </c>
      <c r="B996" t="s">
        <v>22</v>
      </c>
      <c r="C996">
        <v>2025</v>
      </c>
      <c r="D996">
        <v>2</v>
      </c>
      <c r="E996" s="2">
        <v>45709</v>
      </c>
      <c r="F996" t="s">
        <v>7</v>
      </c>
      <c r="G996" t="s">
        <v>8</v>
      </c>
      <c r="H996" t="s">
        <v>74</v>
      </c>
      <c r="I996" t="s">
        <v>71</v>
      </c>
      <c r="J996" t="s">
        <v>72</v>
      </c>
      <c r="K996" t="s">
        <v>73</v>
      </c>
      <c r="L996">
        <v>701000</v>
      </c>
      <c r="M996" t="s">
        <v>62</v>
      </c>
      <c r="N996" t="s">
        <v>33</v>
      </c>
      <c r="O996">
        <v>2610</v>
      </c>
      <c r="P996">
        <v>1.05</v>
      </c>
      <c r="Q996">
        <v>2.74</v>
      </c>
      <c r="R996" t="s">
        <v>1197</v>
      </c>
      <c r="S996" t="s">
        <v>195</v>
      </c>
    </row>
    <row r="997" spans="1:19" x14ac:dyDescent="0.3">
      <c r="A997" t="s">
        <v>1190</v>
      </c>
      <c r="B997" t="s">
        <v>22</v>
      </c>
      <c r="C997">
        <v>2025</v>
      </c>
      <c r="D997">
        <v>2</v>
      </c>
      <c r="E997" s="2">
        <v>45703</v>
      </c>
      <c r="F997" t="s">
        <v>7</v>
      </c>
      <c r="G997" t="s">
        <v>8</v>
      </c>
      <c r="H997" t="s">
        <v>70</v>
      </c>
      <c r="I997" t="s">
        <v>71</v>
      </c>
      <c r="J997" t="s">
        <v>72</v>
      </c>
      <c r="K997" t="s">
        <v>73</v>
      </c>
      <c r="L997">
        <v>701000</v>
      </c>
      <c r="M997" t="s">
        <v>62</v>
      </c>
      <c r="N997" t="s">
        <v>33</v>
      </c>
      <c r="O997">
        <v>2513</v>
      </c>
      <c r="P997">
        <v>1.05</v>
      </c>
      <c r="Q997">
        <v>2.64</v>
      </c>
      <c r="R997" t="s">
        <v>1205</v>
      </c>
      <c r="S997" t="s">
        <v>195</v>
      </c>
    </row>
    <row r="998" spans="1:19" x14ac:dyDescent="0.3">
      <c r="A998" t="s">
        <v>1191</v>
      </c>
      <c r="B998" t="s">
        <v>22</v>
      </c>
      <c r="C998">
        <v>2025</v>
      </c>
      <c r="D998">
        <v>2</v>
      </c>
      <c r="E998" s="2">
        <v>45703</v>
      </c>
      <c r="F998" t="s">
        <v>7</v>
      </c>
      <c r="G998" t="s">
        <v>8</v>
      </c>
      <c r="H998" t="s">
        <v>70</v>
      </c>
      <c r="I998" t="s">
        <v>71</v>
      </c>
      <c r="J998" t="s">
        <v>72</v>
      </c>
      <c r="K998" t="s">
        <v>73</v>
      </c>
      <c r="L998">
        <v>701000</v>
      </c>
      <c r="M998" t="s">
        <v>62</v>
      </c>
      <c r="N998" t="s">
        <v>33</v>
      </c>
      <c r="O998">
        <v>2858</v>
      </c>
      <c r="P998">
        <v>1.05</v>
      </c>
      <c r="Q998">
        <v>3</v>
      </c>
      <c r="R998" t="s">
        <v>1199</v>
      </c>
      <c r="S998" t="s">
        <v>195</v>
      </c>
    </row>
    <row r="999" spans="1:19" x14ac:dyDescent="0.3">
      <c r="A999" t="s">
        <v>1192</v>
      </c>
      <c r="B999" t="s">
        <v>22</v>
      </c>
      <c r="C999">
        <v>2025</v>
      </c>
      <c r="D999">
        <v>2</v>
      </c>
      <c r="E999" s="2">
        <v>45703</v>
      </c>
      <c r="F999" t="s">
        <v>7</v>
      </c>
      <c r="G999" t="s">
        <v>8</v>
      </c>
      <c r="H999" t="s">
        <v>70</v>
      </c>
      <c r="I999" t="s">
        <v>71</v>
      </c>
      <c r="J999" t="s">
        <v>72</v>
      </c>
      <c r="K999" t="s">
        <v>73</v>
      </c>
      <c r="L999">
        <v>701000</v>
      </c>
      <c r="M999" t="s">
        <v>62</v>
      </c>
      <c r="N999" t="s">
        <v>33</v>
      </c>
      <c r="O999">
        <v>2828</v>
      </c>
      <c r="P999">
        <v>1.05</v>
      </c>
      <c r="Q999">
        <v>2.97</v>
      </c>
      <c r="R999" t="s">
        <v>1202</v>
      </c>
      <c r="S999" t="s">
        <v>195</v>
      </c>
    </row>
    <row r="1000" spans="1:19" x14ac:dyDescent="0.3">
      <c r="A1000" t="s">
        <v>1193</v>
      </c>
      <c r="B1000" t="s">
        <v>22</v>
      </c>
      <c r="C1000">
        <v>2025</v>
      </c>
      <c r="D1000">
        <v>2</v>
      </c>
      <c r="E1000" s="2">
        <v>45703</v>
      </c>
      <c r="F1000" t="s">
        <v>7</v>
      </c>
      <c r="G1000" t="s">
        <v>8</v>
      </c>
      <c r="H1000" t="s">
        <v>70</v>
      </c>
      <c r="I1000" t="s">
        <v>71</v>
      </c>
      <c r="J1000" t="s">
        <v>72</v>
      </c>
      <c r="K1000" t="s">
        <v>73</v>
      </c>
      <c r="L1000">
        <v>701000</v>
      </c>
      <c r="M1000" t="s">
        <v>62</v>
      </c>
      <c r="N1000" t="s">
        <v>33</v>
      </c>
      <c r="O1000">
        <v>598</v>
      </c>
      <c r="P1000">
        <v>1.05</v>
      </c>
      <c r="Q1000">
        <v>0.63</v>
      </c>
      <c r="R1000" t="s">
        <v>1201</v>
      </c>
      <c r="S1000" t="s">
        <v>195</v>
      </c>
    </row>
    <row r="1001" spans="1:19" x14ac:dyDescent="0.3">
      <c r="A1001" t="s">
        <v>1194</v>
      </c>
      <c r="B1001" t="s">
        <v>22</v>
      </c>
      <c r="C1001">
        <v>2025</v>
      </c>
      <c r="D1001">
        <v>2</v>
      </c>
      <c r="E1001" s="2">
        <v>45703</v>
      </c>
      <c r="F1001" t="s">
        <v>7</v>
      </c>
      <c r="G1001" t="s">
        <v>8</v>
      </c>
      <c r="H1001" t="s">
        <v>70</v>
      </c>
      <c r="I1001" t="s">
        <v>71</v>
      </c>
      <c r="J1001" t="s">
        <v>72</v>
      </c>
      <c r="K1001" t="s">
        <v>73</v>
      </c>
      <c r="L1001">
        <v>701000</v>
      </c>
      <c r="M1001" t="s">
        <v>62</v>
      </c>
      <c r="N1001" t="s">
        <v>33</v>
      </c>
      <c r="O1001">
        <v>368</v>
      </c>
      <c r="P1001">
        <v>1.03</v>
      </c>
      <c r="Q1001">
        <v>0.38</v>
      </c>
      <c r="R1001" t="s">
        <v>1197</v>
      </c>
      <c r="S1001" t="s">
        <v>195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AA92229-B429-4978-B6B1-4EE34D31B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3</vt:i4>
      </vt:variant>
    </vt:vector>
  </HeadingPairs>
  <TitlesOfParts>
    <vt:vector size="14" baseType="lpstr">
      <vt:lpstr>pMoisCloture</vt:lpstr>
      <vt:lpstr>PARAM</vt:lpstr>
      <vt:lpstr>DASHBOARD</vt:lpstr>
      <vt:lpstr>PACKAGE_PnL</vt:lpstr>
      <vt:lpstr>SYNTHESE_BU</vt:lpstr>
      <vt:lpstr>_CALC</vt:lpstr>
      <vt:lpstr>MENSUEL_PQ</vt:lpstr>
      <vt:lpstr>AGREG_PQ</vt:lpstr>
      <vt:lpstr>GL_Reel_2026</vt:lpstr>
      <vt:lpstr>GL_Budget_2026</vt:lpstr>
      <vt:lpstr>GL_Reel_2025</vt:lpstr>
      <vt:lpstr>CheminClasseur</vt:lpstr>
      <vt:lpstr>MoisCloture</vt:lpstr>
      <vt:lpstr>SeuilMat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ISMAIL ABGAR</cp:lastModifiedBy>
  <cp:revision>1</cp:revision>
  <cp:lastPrinted>2026-06-08T12:44:57Z</cp:lastPrinted>
  <dcterms:created xsi:type="dcterms:W3CDTF">2026-05-30T14:24:48Z</dcterms:created>
  <dcterms:modified xsi:type="dcterms:W3CDTF">2026-06-08T21:25:47Z</dcterms:modified>
  <dc:language>en-US</dc:language>
</cp:coreProperties>
</file>